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F543E1C-CE3A-48FF-95EB-8B30893AA4B3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7" l="1" a="1"/>
  <c r="B56" i="17" s="1"/>
  <c r="B55" i="17" a="1"/>
  <c r="B55" i="17" s="1"/>
  <c r="B54" i="17" a="1"/>
  <c r="B54" i="17" s="1"/>
  <c r="AN56" i="17" a="1"/>
  <c r="AN56" i="17" s="1"/>
  <c r="B53" i="17" a="1"/>
  <c r="B53" i="17" s="1"/>
  <c r="B7" i="17" a="1"/>
  <c r="B7" i="17" s="1"/>
  <c r="A6" i="30"/>
  <c r="B41" i="17" a="1"/>
  <c r="B41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K48" i="17" s="1" a="1"/>
  <c r="K48" i="17" s="1"/>
  <c r="B49" i="17" a="1"/>
  <c r="B49" i="17" s="1"/>
  <c r="B50" i="17" a="1"/>
  <c r="B50" i="17" s="1"/>
  <c r="B51" i="17" a="1"/>
  <c r="B51" i="17" s="1"/>
  <c r="B52" i="17" a="1"/>
  <c r="B52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H56" i="17" l="1" a="1"/>
  <c r="H56" i="17" s="1"/>
  <c r="J56" i="17" a="1"/>
  <c r="J56" i="17" s="1"/>
  <c r="K56" i="17" a="1"/>
  <c r="K56" i="17" s="1"/>
  <c r="I56" i="17" a="1"/>
  <c r="I56" i="17" s="1"/>
  <c r="A56" i="17" a="1"/>
  <c r="A56" i="17" s="1"/>
  <c r="K55" i="17" a="1"/>
  <c r="K55" i="17" s="1"/>
  <c r="I55" i="17" a="1"/>
  <c r="I55" i="17" s="1"/>
  <c r="H55" i="17" a="1"/>
  <c r="H55" i="17" s="1"/>
  <c r="J55" i="17" a="1"/>
  <c r="J55" i="17" s="1"/>
  <c r="A55" i="17" a="1"/>
  <c r="A55" i="17" s="1"/>
  <c r="I54" i="17" a="1"/>
  <c r="I54" i="17" s="1"/>
  <c r="K54" i="17" a="1"/>
  <c r="K54" i="17" s="1"/>
  <c r="J54" i="17" a="1"/>
  <c r="J54" i="17" s="1"/>
  <c r="A54" i="17" a="1"/>
  <c r="A54" i="17" s="1"/>
  <c r="H54" i="17" a="1"/>
  <c r="H54" i="17" s="1"/>
  <c r="P56" i="17"/>
  <c r="K53" i="17" a="1"/>
  <c r="K53" i="17" s="1"/>
  <c r="H53" i="17" a="1"/>
  <c r="H53" i="17" s="1"/>
  <c r="I53" i="17" a="1"/>
  <c r="I53" i="17" s="1"/>
  <c r="J53" i="17" a="1"/>
  <c r="J53" i="17" s="1"/>
  <c r="A53" i="17" a="1"/>
  <c r="A53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1" i="17" a="1"/>
  <c r="J41" i="17" s="1"/>
  <c r="A41" i="17" a="1"/>
  <c r="A41" i="17" s="1"/>
  <c r="K41" i="17" a="1"/>
  <c r="K41" i="17" s="1"/>
  <c r="I41" i="17" a="1"/>
  <c r="I41" i="17" s="1"/>
  <c r="H41" i="17" a="1"/>
  <c r="H41" i="17" s="1"/>
  <c r="P55" i="17"/>
  <c r="K52" i="17" a="1"/>
  <c r="K52" i="17" s="1"/>
  <c r="J52" i="17" a="1"/>
  <c r="J52" i="17" s="1"/>
  <c r="I52" i="17" a="1"/>
  <c r="I52" i="17" s="1"/>
  <c r="H52" i="17" a="1"/>
  <c r="H52" i="17" s="1"/>
  <c r="A52" i="17" a="1"/>
  <c r="A52" i="17" s="1"/>
  <c r="E52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1" i="17" a="1"/>
  <c r="A51" i="17" s="1"/>
  <c r="J51" i="17" a="1"/>
  <c r="J51" i="17" s="1"/>
  <c r="K51" i="17" a="1"/>
  <c r="K51" i="17" s="1"/>
  <c r="H51" i="17" a="1"/>
  <c r="H51" i="17" s="1"/>
  <c r="I51" i="17" a="1"/>
  <c r="I51" i="17" s="1"/>
  <c r="A50" i="17" a="1"/>
  <c r="A50" i="17" s="1"/>
  <c r="J50" i="17" a="1"/>
  <c r="J50" i="17" s="1"/>
  <c r="K50" i="17" a="1"/>
  <c r="K50" i="17" s="1"/>
  <c r="H50" i="17" a="1"/>
  <c r="H50" i="17" s="1"/>
  <c r="I50" i="17" a="1"/>
  <c r="I50" i="17" s="1"/>
  <c r="K49" i="17" a="1"/>
  <c r="K49" i="17" s="1"/>
  <c r="H49" i="17" a="1"/>
  <c r="H49" i="17" s="1"/>
  <c r="J49" i="17" a="1"/>
  <c r="J49" i="17" s="1"/>
  <c r="I49" i="17" a="1"/>
  <c r="I49" i="17" s="1"/>
  <c r="A49" i="17" a="1"/>
  <c r="A49" i="17" s="1"/>
  <c r="A48" i="17" a="1"/>
  <c r="A48" i="17" s="1"/>
  <c r="J48" i="17" a="1"/>
  <c r="J48" i="17" s="1"/>
  <c r="I48" i="17" a="1"/>
  <c r="I48" i="17" s="1"/>
  <c r="H48" i="17" a="1"/>
  <c r="H48" i="17" s="1"/>
  <c r="E56" i="17" l="1"/>
  <c r="C56" i="17" a="1"/>
  <c r="C56" i="17" s="1"/>
  <c r="D56" i="17" s="1"/>
  <c r="E55" i="17"/>
  <c r="C55" i="17" a="1"/>
  <c r="C55" i="17" s="1"/>
  <c r="D55" i="17" s="1"/>
  <c r="E54" i="17"/>
  <c r="C54" i="17" a="1"/>
  <c r="C54" i="17" s="1"/>
  <c r="D54" i="17" s="1"/>
  <c r="E53" i="17"/>
  <c r="C53" i="17" a="1"/>
  <c r="C53" i="17" s="1"/>
  <c r="D53" i="17" s="1"/>
  <c r="E7" i="17"/>
  <c r="C7" i="17" a="1"/>
  <c r="C7" i="17" s="1"/>
  <c r="D7" i="17" s="1"/>
  <c r="E41" i="17"/>
  <c r="C41" i="17" a="1"/>
  <c r="C41" i="17" s="1"/>
  <c r="D41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1" i="17"/>
  <c r="E50" i="17"/>
  <c r="E49" i="17"/>
  <c r="E48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7" i="17" l="1" a="1"/>
  <c r="A47" i="17" s="1"/>
  <c r="E47" i="17" s="1"/>
  <c r="H47" i="17" a="1"/>
  <c r="H47" i="17" s="1"/>
  <c r="I47" i="17" a="1"/>
  <c r="I47" i="17" s="1"/>
  <c r="J47" i="17" a="1"/>
  <c r="J47" i="17" s="1"/>
  <c r="K47" i="17" a="1"/>
  <c r="K47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0" i="17" a="1"/>
  <c r="K40" i="17" s="1"/>
  <c r="J40" i="17" a="1"/>
  <c r="J40" i="17" s="1"/>
  <c r="H40" i="17" a="1"/>
  <c r="H40" i="17" s="1"/>
  <c r="I40" i="17" a="1"/>
  <c r="I40" i="17" s="1"/>
  <c r="K39" i="17" a="1"/>
  <c r="K39" i="17" s="1"/>
  <c r="H39" i="17" a="1"/>
  <c r="H39" i="17" s="1"/>
  <c r="I39" i="17" a="1"/>
  <c r="I39" i="17" s="1"/>
  <c r="J39" i="17" a="1"/>
  <c r="J39" i="17" s="1"/>
  <c r="J36" i="17" a="1"/>
  <c r="J36" i="17" s="1"/>
  <c r="I36" i="17" a="1"/>
  <c r="I36" i="17" s="1"/>
  <c r="K36" i="17" a="1"/>
  <c r="K36" i="17" s="1"/>
  <c r="H36" i="17" a="1"/>
  <c r="H36" i="17" s="1"/>
  <c r="K35" i="17" a="1"/>
  <c r="K35" i="17" s="1"/>
  <c r="J35" i="17" a="1"/>
  <c r="J35" i="17" s="1"/>
  <c r="H35" i="17" a="1"/>
  <c r="H35" i="17" s="1"/>
  <c r="I35" i="17" a="1"/>
  <c r="I35" i="17" s="1"/>
  <c r="H34" i="17" a="1"/>
  <c r="H34" i="17" s="1"/>
  <c r="I34" i="17" a="1"/>
  <c r="I34" i="17" s="1"/>
  <c r="J34" i="17" a="1"/>
  <c r="J34" i="17" s="1"/>
  <c r="K34" i="17" a="1"/>
  <c r="K34" i="17" s="1"/>
  <c r="P34" i="17"/>
  <c r="P38" i="17"/>
  <c r="P37" i="17"/>
  <c r="P39" i="17"/>
  <c r="P40" i="17"/>
  <c r="P35" i="17"/>
  <c r="P41" i="17"/>
  <c r="P36" i="17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52" i="17"/>
  <c r="P51" i="17"/>
  <c r="P50" i="17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H45" i="17" a="1"/>
  <c r="H45" i="17" s="1"/>
  <c r="P48" i="17"/>
  <c r="K45" i="17" a="1"/>
  <c r="K45" i="17" s="1"/>
  <c r="J45" i="17" a="1"/>
  <c r="J45" i="17" s="1"/>
  <c r="A45" i="17" a="1"/>
  <c r="A45" i="17" s="1"/>
  <c r="I45" i="17" a="1"/>
  <c r="I45" i="17" s="1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P47" i="17"/>
  <c r="P46" i="17"/>
  <c r="P45" i="17"/>
  <c r="A43" i="17" a="1"/>
  <c r="A43" i="17" s="1"/>
  <c r="E43" i="17" s="1"/>
  <c r="H43" i="17" a="1"/>
  <c r="H43" i="17" s="1"/>
  <c r="I43" i="17" a="1"/>
  <c r="I43" i="17" s="1"/>
  <c r="K43" i="17" a="1"/>
  <c r="K43" i="17" s="1"/>
  <c r="J43" i="17" a="1"/>
  <c r="J43" i="17" s="1"/>
  <c r="A42" i="17" a="1"/>
  <c r="A42" i="17" s="1"/>
  <c r="E42" i="17" s="1"/>
  <c r="H42" i="17" a="1"/>
  <c r="H42" i="17" s="1"/>
  <c r="I42" i="17" a="1"/>
  <c r="I42" i="17" s="1"/>
  <c r="P44" i="17"/>
  <c r="K42" i="17" a="1"/>
  <c r="K42" i="17" s="1"/>
  <c r="J42" i="17" a="1"/>
  <c r="J42" i="17" s="1"/>
  <c r="P43" i="17"/>
  <c r="A40" i="17" a="1"/>
  <c r="A40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7" i="17" a="1"/>
  <c r="A37" i="17" s="1"/>
  <c r="H30" i="17" a="1"/>
  <c r="H30" i="17" s="1"/>
  <c r="K30" i="17" a="1"/>
  <c r="K30" i="17" s="1"/>
  <c r="A30" i="17" a="1"/>
  <c r="A30" i="17" s="1"/>
  <c r="I30" i="17" a="1"/>
  <c r="I30" i="17" s="1"/>
  <c r="J30" i="17" a="1"/>
  <c r="J30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5" i="17" a="1"/>
  <c r="A35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29" i="17" a="1"/>
  <c r="K29" i="17" s="1"/>
  <c r="J29" i="17" a="1"/>
  <c r="J29" i="17" s="1"/>
  <c r="H29" i="17" a="1"/>
  <c r="H29" i="17" s="1"/>
  <c r="A29" i="17" a="1"/>
  <c r="A29" i="17" s="1"/>
  <c r="I29" i="17" a="1"/>
  <c r="I29" i="17" s="1"/>
  <c r="K19" i="17" a="1"/>
  <c r="K19" i="17" s="1"/>
  <c r="J19" i="17" a="1"/>
  <c r="J19" i="17" s="1"/>
  <c r="I19" i="17" a="1"/>
  <c r="I19" i="17" s="1"/>
  <c r="H19" i="17" a="1"/>
  <c r="H19" i="17" s="1"/>
  <c r="A19" i="17" a="1"/>
  <c r="A19" i="17" s="1"/>
  <c r="A34" i="17" a="1"/>
  <c r="A34" i="17" s="1"/>
  <c r="K28" i="17" a="1"/>
  <c r="K28" i="17" s="1"/>
  <c r="H28" i="17" a="1"/>
  <c r="H28" i="17" s="1"/>
  <c r="J28" i="17" a="1"/>
  <c r="J28" i="17" s="1"/>
  <c r="A28" i="17" a="1"/>
  <c r="A28" i="17" s="1"/>
  <c r="I28" i="17" a="1"/>
  <c r="I28" i="17" s="1"/>
  <c r="H27" i="17" a="1"/>
  <c r="H27" i="17" s="1"/>
  <c r="I27" i="17" a="1"/>
  <c r="I27" i="17" s="1"/>
  <c r="K27" i="17" a="1"/>
  <c r="K27" i="17" s="1"/>
  <c r="J27" i="17" a="1"/>
  <c r="J27" i="17" s="1"/>
  <c r="A27" i="17" a="1"/>
  <c r="A27" i="17" s="1"/>
  <c r="H18" i="17" a="1"/>
  <c r="H18" i="17" s="1"/>
  <c r="J18" i="17" a="1"/>
  <c r="J18" i="17" s="1"/>
  <c r="I18" i="17" a="1"/>
  <c r="I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K25" i="17" a="1"/>
  <c r="K25" i="17" s="1"/>
  <c r="J25" i="17" a="1"/>
  <c r="J25" i="17" s="1"/>
  <c r="H25" i="17" a="1"/>
  <c r="H25" i="17" s="1"/>
  <c r="I25" i="17" a="1"/>
  <c r="I25" i="17" s="1"/>
  <c r="A25" i="17" a="1"/>
  <c r="A25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39" i="17" a="1"/>
  <c r="A39" i="17" s="1"/>
  <c r="A33" i="17" a="1"/>
  <c r="A33" i="17" s="1"/>
  <c r="J33" i="17" a="1"/>
  <c r="J33" i="17" s="1"/>
  <c r="K33" i="17" a="1"/>
  <c r="K33" i="17" s="1"/>
  <c r="I33" i="17" a="1"/>
  <c r="I33" i="17" s="1"/>
  <c r="H33" i="17" a="1"/>
  <c r="H33" i="17" s="1"/>
  <c r="A24" i="17" a="1"/>
  <c r="A24" i="17" s="1"/>
  <c r="J24" i="17" a="1"/>
  <c r="J24" i="17" s="1"/>
  <c r="I24" i="17" a="1"/>
  <c r="I24" i="17" s="1"/>
  <c r="K24" i="17" a="1"/>
  <c r="K24" i="17" s="1"/>
  <c r="H24" i="17" a="1"/>
  <c r="H24" i="17" s="1"/>
  <c r="A38" i="17" a="1"/>
  <c r="A38" i="17" s="1"/>
  <c r="A32" i="17" a="1"/>
  <c r="A32" i="17" s="1"/>
  <c r="K32" i="17" a="1"/>
  <c r="K32" i="17" s="1"/>
  <c r="J32" i="17" a="1"/>
  <c r="J32" i="17" s="1"/>
  <c r="I32" i="17" a="1"/>
  <c r="I32" i="17" s="1"/>
  <c r="H32" i="17" a="1"/>
  <c r="H32" i="17" s="1"/>
  <c r="A23" i="17" a="1"/>
  <c r="A23" i="17" s="1"/>
  <c r="K23" i="17" a="1"/>
  <c r="K23" i="17" s="1"/>
  <c r="I23" i="17" a="1"/>
  <c r="I23" i="17" s="1"/>
  <c r="H23" i="17" a="1"/>
  <c r="H23" i="17" s="1"/>
  <c r="J23" i="17" a="1"/>
  <c r="J23" i="17" s="1"/>
  <c r="K31" i="17" a="1"/>
  <c r="K31" i="17" s="1"/>
  <c r="A31" i="17" a="1"/>
  <c r="A31" i="17" s="1"/>
  <c r="H31" i="17" a="1"/>
  <c r="H31" i="17" s="1"/>
  <c r="I31" i="17" a="1"/>
  <c r="I31" i="17" s="1"/>
  <c r="J31" i="17" a="1"/>
  <c r="J31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6" i="17" l="1"/>
  <c r="E45" i="17"/>
  <c r="E40" i="17"/>
  <c r="E17" i="17"/>
  <c r="E18" i="17"/>
  <c r="E36" i="17"/>
  <c r="E37" i="17"/>
  <c r="E39" i="17"/>
  <c r="E3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2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0" i="17" a="1"/>
  <c r="C40" i="17" s="1"/>
  <c r="D40" i="17" s="1"/>
  <c r="C45" i="17" a="1"/>
  <c r="C45" i="17" s="1"/>
  <c r="D45" i="17" s="1"/>
  <c r="C44" i="17" a="1"/>
  <c r="C44" i="17" s="1"/>
  <c r="D44" i="17" s="1"/>
  <c r="C46" i="17" a="1"/>
  <c r="C46" i="17" s="1"/>
  <c r="D46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8" i="17" a="1"/>
  <c r="C48" i="17" s="1"/>
  <c r="D48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1" i="17" a="1"/>
  <c r="C51" i="17" s="1"/>
  <c r="D51" i="17" s="1"/>
  <c r="C50" i="17" a="1"/>
  <c r="C50" i="17" s="1"/>
  <c r="D50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49" i="17" a="1"/>
  <c r="C49" i="17" s="1"/>
  <c r="D49" i="17" s="1"/>
  <c r="C51" i="36" a="1"/>
  <c r="C51" i="36" s="1"/>
  <c r="C48" i="36" a="1"/>
  <c r="C48" i="36" s="1"/>
  <c r="C47" i="17" a="1"/>
  <c r="C47" i="17" s="1"/>
  <c r="D47" i="17" s="1"/>
  <c r="C34" i="17" a="1"/>
  <c r="C34" i="17" s="1"/>
  <c r="C23" i="17" a="1"/>
  <c r="C23" i="17" s="1"/>
  <c r="C24" i="17" a="1"/>
  <c r="C24" i="17" s="1"/>
  <c r="C12" i="17" a="1"/>
  <c r="C12" i="17" s="1"/>
  <c r="C30" i="17" a="1"/>
  <c r="C30" i="17" s="1"/>
  <c r="C5" i="17" a="1"/>
  <c r="C5" i="17" s="1"/>
  <c r="C4" i="17" a="1"/>
  <c r="C4" i="17" s="1"/>
  <c r="C22" i="17" a="1"/>
  <c r="C22" i="17" s="1"/>
  <c r="C18" i="17" a="1"/>
  <c r="C18" i="17" s="1"/>
  <c r="C3" i="17" a="1"/>
  <c r="C3" i="17" s="1"/>
  <c r="C10" i="17" a="1"/>
  <c r="C10" i="17" s="1"/>
  <c r="C29" i="17" a="1"/>
  <c r="C29" i="17" s="1"/>
  <c r="C11" i="17" a="1"/>
  <c r="C11" i="17" s="1"/>
  <c r="C36" i="17" a="1"/>
  <c r="C36" i="17" s="1"/>
  <c r="D36" i="17" s="1"/>
  <c r="C42" i="17" a="1"/>
  <c r="C42" i="17" s="1"/>
  <c r="D42" i="17" s="1"/>
  <c r="C8" i="17" a="1"/>
  <c r="C8" i="17" s="1"/>
  <c r="C13" i="17" a="1"/>
  <c r="C13" i="17" s="1"/>
  <c r="C33" i="17" a="1"/>
  <c r="C33" i="17" s="1"/>
  <c r="C27" i="17" a="1"/>
  <c r="C27" i="17" s="1"/>
  <c r="C14" i="17" a="1"/>
  <c r="C14" i="17" s="1"/>
  <c r="C25" i="17" a="1"/>
  <c r="C25" i="17" s="1"/>
  <c r="C39" i="17" a="1"/>
  <c r="C39" i="17" s="1"/>
  <c r="D39" i="17" s="1"/>
  <c r="C38" i="17" a="1"/>
  <c r="C38" i="17" s="1"/>
  <c r="C17" i="17" a="1"/>
  <c r="C17" i="17" s="1"/>
  <c r="D17" i="17" s="1"/>
  <c r="C31" i="17" a="1"/>
  <c r="C31" i="17" s="1"/>
  <c r="C19" i="17" a="1"/>
  <c r="C19" i="17" s="1"/>
  <c r="C28" i="17" a="1"/>
  <c r="C28" i="17" s="1"/>
  <c r="C26" i="17" a="1"/>
  <c r="C26" i="17" s="1"/>
  <c r="C35" i="17" a="1"/>
  <c r="C35" i="17" s="1"/>
  <c r="D35" i="17" s="1"/>
  <c r="C20" i="17" a="1"/>
  <c r="C20" i="17" s="1"/>
  <c r="C9" i="17" a="1"/>
  <c r="C9" i="17" s="1"/>
  <c r="C15" i="17" a="1"/>
  <c r="C15" i="17" s="1"/>
  <c r="C16" i="17" a="1"/>
  <c r="C16" i="17" s="1"/>
  <c r="C32" i="17" a="1"/>
  <c r="C32" i="17" s="1"/>
  <c r="C21" i="17" a="1"/>
  <c r="C21" i="17" s="1"/>
  <c r="AP11" i="17"/>
  <c r="AP12" i="17"/>
  <c r="AP13" i="17"/>
  <c r="AP9" i="17"/>
  <c r="AP10" i="17"/>
  <c r="C37" i="17" a="1"/>
  <c r="C37" i="17" s="1"/>
  <c r="Q56" i="17" s="1"/>
  <c r="M56" i="17" s="1"/>
  <c r="N56" i="17" s="1" a="1"/>
  <c r="N56" i="17" s="1"/>
  <c r="C6" i="17" a="1"/>
  <c r="C6" i="17" s="1"/>
  <c r="C43" i="17" a="1"/>
  <c r="C43" i="17" s="1"/>
  <c r="D43" i="17" s="1"/>
  <c r="E35" i="17"/>
  <c r="E34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3" i="17"/>
  <c r="E8" i="17"/>
  <c r="E32" i="17"/>
  <c r="E3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2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8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7" i="17"/>
  <c r="Q47" i="17"/>
  <c r="M47" i="17" s="1"/>
  <c r="N47" i="17" s="1" a="1"/>
  <c r="N47" i="17" s="1"/>
  <c r="Q45" i="17"/>
  <c r="M45" i="17" s="1"/>
  <c r="N45" i="17" s="1" a="1"/>
  <c r="N45" i="17" s="1"/>
  <c r="D38" i="17"/>
  <c r="D34" i="17"/>
  <c r="Q43" i="17"/>
  <c r="M43" i="17" s="1"/>
  <c r="N43" i="17" s="1" a="1"/>
  <c r="N43" i="17" s="1"/>
  <c r="E30" i="17"/>
  <c r="D30" i="17"/>
  <c r="E16" i="17"/>
  <c r="D16" i="17"/>
  <c r="E25" i="17"/>
  <c r="D25" i="17"/>
  <c r="E20" i="17"/>
  <c r="D20" i="17"/>
  <c r="E29" i="17"/>
  <c r="D29" i="17"/>
  <c r="E27" i="17"/>
  <c r="D27" i="17"/>
  <c r="E19" i="17"/>
  <c r="D19" i="17"/>
  <c r="E26" i="17"/>
  <c r="D26" i="17"/>
  <c r="E22" i="17"/>
  <c r="E21" i="17"/>
  <c r="D21" i="17"/>
  <c r="E28" i="17"/>
  <c r="D28" i="17"/>
  <c r="E14" i="17"/>
  <c r="D14" i="17"/>
  <c r="E23" i="17"/>
  <c r="D23" i="17"/>
  <c r="E15" i="17"/>
  <c r="D15" i="17"/>
  <c r="E11" i="17"/>
  <c r="D11" i="17"/>
  <c r="E13" i="17"/>
  <c r="D13" i="17"/>
  <c r="E12" i="17"/>
  <c r="D12" i="17"/>
  <c r="E24" i="17"/>
  <c r="D24" i="17"/>
  <c r="D8" i="17"/>
  <c r="D10" i="17"/>
  <c r="D9" i="17"/>
  <c r="D3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56" i="17" l="1"/>
  <c r="O49" i="17"/>
  <c r="O55" i="17"/>
  <c r="O38" i="17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2" i="17"/>
  <c r="D31" i="17"/>
  <c r="D32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<sst xmlns="http://schemas.openxmlformats.org/spreadsheetml/2006/main" count="16155" uniqueCount="638">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</sst>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DATA_MAYO_2026[[#This Row],[RECUPERO]]/DATA_MAYO_2026[[#This Row],[META]]</calculatedColumnFormula>
    </tableColumn>
    <tableColumn id="2" xr3:uid="{6F4F1AB6-BBA7-498F-8826-77193C5F7DE1}" name="CLASIFICACIÓN" dataDxfId="135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IFERROR(VLOOKUP(DATA_MAYO_2026[[#This Row],[ASER_]],$B:$G,4,0),"")</calculatedColumnFormula>
    </tableColumn>
    <tableColumn id="1" xr3:uid="{9CEE94D1-F610-44F2-BECC-051BA76BFF42}" name="RECUPERO" dataDxfId="1352">
      <calculatedColumnFormula>VLOOKUP(DATA_MAYO_2026[[#This Row],[ASER_]],D1_MAYO_2026[[ASESOR_CRR]:[RECUPERO]],6,0)</calculatedColumnFormula>
    </tableColumn>
    <tableColumn id="6" xr3:uid="{3562AB11-2CE4-4155-B81B-115DFB69AAAB}" name="META" dataDxfId="1351">
      <calculatedColumnFormula>VLOOKUP(DATA_MAYO_2026[[#This Row],[ASER_]],D1_MAYO_2026[[ASESOR_CRR]:[META]],2,0)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6" totalsRowShown="0" headerRowDxfId="1327">
  <autoFilter ref="A2:K56" xr:uid="{AB1967BC-98FE-49B9-B96E-7F91454A75DF}"/>
  <tableColumns count="11">
    <tableColumn id="1" xr3:uid="{E8C9BFA3-A821-4545-B3F0-1D85338E10F0}" name="SUPER" dataDxfId="132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32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32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32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10">
      <calculatedColumnFormula>MAX(DITE_MAYO_2026[[#This Row],[SUPER]:[CARTERA]])</calculatedColumnFormula>
    </tableColumn>
    <tableColumn id="4" xr3:uid="{F9F9E33D-CF47-4A7B-B383-5185C72E6DBF}" name="ALCANCE SUPERVISOR" dataDxfId="130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G18" sqref="G18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38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15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50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t="e" cm="1">
        <f t="array" ref="C7">_xlfn.XLOOKUP(1,(TablaMeta[CONCAT]=$M$3&amp;$N$3&amp;D1_MAYO_2026[[#This Row],[SUPER]])*(TablaMeta[SEGG]=D1_MAYO_2026[[#This Row],[SEGMENTO]]),TablaMeta[Meta_Asesor])</f>
        <v>#N/A</v>
      </c>
      <c r="D7" s="63" t="str">
        <f>IF(D1_MAYO_2026[[#This Row],[RECUPERO]]="VACACIONES","VACACIONES",IFERROR(D1_MAYO_2026[[#This Row],[RECUPERO]]/D1_MAYO_2026[[#This Row],[META]],""))</f>
        <v/>
      </c>
      <c r="E7" s="67" t="str">
        <f>D1_MAYO_2026[[#This Row],[SUPER]]</f>
        <v>LICENCIA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8" s="66" t="e" cm="1">
        <f t="array" ref="C8">_xlfn.XLOOKUP(1,(TablaMeta[CONCAT]=$M$3&amp;$N$3&amp;D1_MAYO_2026[[#This Row],[SUPER]])*(TablaMeta[SEGG]=D1_MAYO_2026[[#This Row],[SEGMENTO]]),TablaMeta[Meta_Asesor])</f>
        <v>#N/A</v>
      </c>
      <c r="D8" s="67" t="str">
        <f>IF(D1_MAYO_2026[[#This Row],[RECUPERO]]="VACACIONES","VACACIONES",IFERROR(D1_MAYO_2026[[#This Row],[RECUPERO]]/D1_MAYO_2026[[#This Row],[META]],""))</f>
        <v/>
      </c>
      <c r="E8" s="67" t="str">
        <f>D1_MAYO_2026[[#This Row],[SUPER]]</f>
        <v>VACACIONES</v>
      </c>
      <c r="F8" s="66" t="s">
        <v>73</v>
      </c>
      <c r="G8" s="73"/>
      <c r="H8" s="66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9" s="34" cm="1">
        <f t="array" ref="C9">_xlfn.XLOOKUP(1,(TablaMeta[CONCAT]=$M$3&amp;$N$3&amp;D1_MAYO_2026[[#This Row],[SUPER]])*(TablaMeta[SEGG]=D1_MAYO_2026[[#This Row],[SEGMENTO]]),TablaMeta[Meta_Asesor])</f>
        <v>61300</v>
      </c>
      <c r="D9" s="35">
        <f>IF(D1_MAYO_2026[[#This Row],[RECUPERO]]="VACACIONES","VACACIONES",IFERROR(D1_MAYO_2026[[#This Row],[RECUPERO]]/D1_MAYO_2026[[#This Row],[META]],""))</f>
        <v>0.84748776508972268</v>
      </c>
      <c r="E9" s="35" t="str">
        <f>D1_MAYO_2026[[#This Row],[SUPER]]</f>
        <v>KENNETH</v>
      </c>
      <c r="F9" s="34" t="s">
        <v>11</v>
      </c>
      <c r="G9" s="36">
        <v>51951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DATA_MAYO_2026[[#This Row],[RECUPERO]]/DATA_MAYO_2026[[#This Row],[META]]</f>
        <v>0.1360178970917226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6080</v>
      </c>
      <c r="Q9" s="6">
        <f>VLOOKUP(DATA_MAYO_2026[[#This Row],[ASER_]],D1_MAYO_2026[[ASESOR_CRR]:[META]],2,0)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N9" s="55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SUMIFS(TablaMeta[Meta_Equipo],TablaMeta[CONCAT],$M$3&amp;$N$3&amp;DITE_MAYO_2026[[#This Row],[SUPER]])</f>
        <v>384414</v>
      </c>
      <c r="AQ9" s="10">
        <f>MAX(DITE_MAYO_2026[[#This Row],[SUPER]:[CARTERA]])</f>
        <v>300837</v>
      </c>
      <c r="AR9" s="16">
        <f>IFERROR(DITE_MAYO_2026[[#This Row],[RECUPERO SUPERVISOR]]/DITE_MAYO_2026[[#This Row],[META SUPER]],"")</f>
        <v>0.78258596200970831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0" s="34" cm="1">
        <f t="array" ref="C10">_xlfn.XLOOKUP(1,(TablaMeta[CONCAT]=$M$3&amp;$N$3&amp;D1_MAYO_2026[[#This Row],[SUPER]])*(TablaMeta[SEGG]=D1_MAYO_2026[[#This Row],[SEGMENTO]]),TablaMeta[Meta_Asesor])</f>
        <v>61300</v>
      </c>
      <c r="D10" s="35">
        <f>IF(D1_MAYO_2026[[#This Row],[RECUPERO]]="VACACIONES","VACACIONES",IFERROR(D1_MAYO_2026[[#This Row],[RECUPERO]]/D1_MAYO_2026[[#This Row],[META]],""))</f>
        <v>0.84414632952691682</v>
      </c>
      <c r="E10" s="35" t="str">
        <f>D1_MAYO_2026[[#This Row],[SUPER]]</f>
        <v>KENNETH</v>
      </c>
      <c r="F10" s="34" t="s">
        <v>97</v>
      </c>
      <c r="G10" s="36">
        <v>51746.17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DATA_MAYO_2026[[#This Row],[RECUPERO]]/DATA_MAYO_2026[[#This Row],[META]]</f>
        <v>0.67449664429530198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30150</v>
      </c>
      <c r="Q10" s="6">
        <f>VLOOKUP(DATA_MAYO_2026[[#This Row],[ASER_]],D1_MAYO_2026[[ASESOR_CRR]:[META]],2,0)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N10" s="55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SUMIFS(TablaMeta[Meta_Equipo],TablaMeta[CONCAT],$M$3&amp;$N$3&amp;DITE_MAYO_2026[[#This Row],[SUPER]])</f>
        <v>429088</v>
      </c>
      <c r="AQ10" s="11">
        <f>MAX(DITE_MAYO_2026[[#This Row],[SUPER]:[CARTERA]])</f>
        <v>262130.17</v>
      </c>
      <c r="AR10" s="17">
        <f>IFERROR(DITE_MAYO_2026[[#This Row],[RECUPERO SUPERVISOR]]/DITE_MAYO_2026[[#This Row],[META SUPER]],"")</f>
        <v>0.61090072432694464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1" s="34" cm="1">
        <f t="array" ref="C11">_xlfn.XLOOKUP(1,(TablaMeta[CONCAT]=$M$3&amp;$N$3&amp;D1_MAYO_2026[[#This Row],[SUPER]])*(TablaMeta[SEGG]=D1_MAYO_2026[[#This Row],[SEGMENTO]]),TablaMeta[Meta_Asesor])</f>
        <v>61300</v>
      </c>
      <c r="D11" s="35">
        <f>IF(D1_MAYO_2026[[#This Row],[RECUPERO]]="VACACIONES","VACACIONES",IFERROR(D1_MAYO_2026[[#This Row],[RECUPERO]]/D1_MAYO_2026[[#This Row],[META]],""))</f>
        <v>0.77357259380097876</v>
      </c>
      <c r="E11" s="35" t="str">
        <f>D1_MAYO_2026[[#This Row],[SUPER]]</f>
        <v>KENNETH</v>
      </c>
      <c r="F11" s="34" t="s">
        <v>34</v>
      </c>
      <c r="G11" s="36">
        <v>47420</v>
      </c>
      <c r="H11" s="34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1" s="61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1" s="61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DATA_MAYO_2026[[#This Row],[RECUPERO]]/DATA_MAYO_2026[[#This Row],[META]]</f>
        <v>0.42008948545861297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18778</v>
      </c>
      <c r="Q11" s="6">
        <f>VLOOKUP(DATA_MAYO_2026[[#This Row],[ASER_]],D1_MAYO_2026[[ASESOR_CRR]:[META]],2,0)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N11" s="55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SUMIFS(TablaMeta[Meta_Equipo],TablaMeta[CONCAT],$M$3&amp;$N$3&amp;DITE_MAYO_2026[[#This Row],[SUPER]])</f>
        <v>446424</v>
      </c>
      <c r="AQ11" s="10">
        <f>MAX(DITE_MAYO_2026[[#This Row],[SUPER]:[CARTERA]])</f>
        <v>305264.87</v>
      </c>
      <c r="AR11" s="16">
        <f>IFERROR(DITE_MAYO_2026[[#This Row],[RECUPERO SUPERVISOR]]/DITE_MAYO_2026[[#This Row],[META SUPER]],"")</f>
        <v>0.68380031091518378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2" s="34" cm="1">
        <f t="array" ref="C12">_xlfn.XLOOKUP(1,(TablaMeta[CONCAT]=$M$3&amp;$N$3&amp;D1_MAYO_2026[[#This Row],[SUPER]])*(TablaMeta[SEGG]=D1_MAYO_2026[[#This Row],[SEGMENTO]]),TablaMeta[Meta_Asesor])</f>
        <v>61300</v>
      </c>
      <c r="D12" s="35">
        <f>IF(D1_MAYO_2026[[#This Row],[RECUPERO]]="VACACIONES","VACACIONES",IFERROR(D1_MAYO_2026[[#This Row],[RECUPERO]]/D1_MAYO_2026[[#This Row],[META]],""))</f>
        <v>0.6150081566068516</v>
      </c>
      <c r="E12" s="35" t="str">
        <f>D1_MAYO_2026[[#This Row],[SUPER]]</f>
        <v>KENNETH</v>
      </c>
      <c r="F12" t="s">
        <v>105</v>
      </c>
      <c r="G12" s="3">
        <v>37700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DATA_MAYO_2026[[#This Row],[RECUPERO]]/DATA_MAYO_2026[[#This Row],[META]]</f>
        <v>0.53221476510067112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23790</v>
      </c>
      <c r="Q12" s="6">
        <f>VLOOKUP(DATA_MAYO_2026[[#This Row],[ASER_]],D1_MAYO_2026[[ASESOR_CRR]:[META]],2,0)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N12" s="55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SUMIFS(TablaMeta[Meta_Equipo],TablaMeta[CONCAT],$M$3&amp;$N$3&amp;DITE_MAYO_2026[[#This Row],[SUPER]])</f>
        <v>290167</v>
      </c>
      <c r="AQ12" s="11">
        <f>MAX(DITE_MAYO_2026[[#This Row],[SUPER]:[CARTERA]])</f>
        <v>221047</v>
      </c>
      <c r="AR12" s="17">
        <f>IFERROR(DITE_MAYO_2026[[#This Row],[RECUPERO SUPERVISOR]]/DITE_MAYO_2026[[#This Row],[META SUPER]],"")</f>
        <v>0.76179234716559774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/>
      <c r="BN12" s="46"/>
      <c r="BO12" s="11" t="str" cm="1">
        <f t="array" ref="BO12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3" s="34" cm="1">
        <f t="array" ref="C13">_xlfn.XLOOKUP(1,(TablaMeta[CONCAT]=$M$3&amp;$N$3&amp;D1_MAYO_2026[[#This Row],[SUPER]])*(TablaMeta[SEGG]=D1_MAYO_2026[[#This Row],[SEGMENTO]]),TablaMeta[Meta_Asesor])</f>
        <v>61300</v>
      </c>
      <c r="D13" s="35">
        <f>IF(D1_MAYO_2026[[#This Row],[RECUPERO]]="VACACIONES","VACACIONES",IFERROR(D1_MAYO_2026[[#This Row],[RECUPERO]]/D1_MAYO_2026[[#This Row],[META]],""))</f>
        <v>0.55040783034257745</v>
      </c>
      <c r="E13" s="35" t="str">
        <f>D1_MAYO_2026[[#This Row],[SUPER]]</f>
        <v>KENNETH</v>
      </c>
      <c r="F13" t="s">
        <v>19</v>
      </c>
      <c r="G13" s="3">
        <v>33740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DATA_MAYO_2026[[#This Row],[RECUPERO]]/DATA_MAYO_2026[[#This Row],[META]]</f>
        <v>0.31208053691275167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13950</v>
      </c>
      <c r="Q13" s="6">
        <f>VLOOKUP(DATA_MAYO_2026[[#This Row],[ASER_]],D1_MAYO_2026[[ASESOR_CRR]:[META]],2,0)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N13" s="55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SUMIFS(TablaMeta[Meta_Equipo],TablaMeta[CONCAT],$M$3&amp;$N$3&amp;DITE_MAYO_2026[[#This Row],[SUPER]])</f>
        <v>446424</v>
      </c>
      <c r="AQ13" s="10">
        <f>MAX(DITE_MAYO_2026[[#This Row],[SUPER]:[CARTERA]])</f>
        <v>253583</v>
      </c>
      <c r="AR13" s="16">
        <f>IFERROR(DITE_MAYO_2026[[#This Row],[RECUPERO SUPERVISOR]]/DITE_MAYO_2026[[#This Row],[META SUPER]],"")</f>
        <v>0.5680317366449833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4" s="34" cm="1">
        <f t="array" ref="C14">_xlfn.XLOOKUP(1,(TablaMeta[CONCAT]=$M$3&amp;$N$3&amp;D1_MAYO_2026[[#This Row],[SUPER]])*(TablaMeta[SEGG]=D1_MAYO_2026[[#This Row],[SEGMENTO]]),TablaMeta[Meta_Asesor])</f>
        <v>61300</v>
      </c>
      <c r="D14" s="35">
        <f>IF(D1_MAYO_2026[[#This Row],[RECUPERO]]="VACACIONES","VACACIONES",IFERROR(D1_MAYO_2026[[#This Row],[RECUPERO]]/D1_MAYO_2026[[#This Row],[META]],""))</f>
        <v>0.50373572593800975</v>
      </c>
      <c r="E14" s="35" t="str">
        <f>D1_MAYO_2026[[#This Row],[SUPER]]</f>
        <v>KENNETH</v>
      </c>
      <c r="F14" t="s">
        <v>35</v>
      </c>
      <c r="G14" s="3">
        <v>30879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DATA_MAYO_2026[[#This Row],[RECUPERO]]/DATA_MAYO_2026[[#This Row],[META]]</f>
        <v>0.93704697986577179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41886</v>
      </c>
      <c r="Q14" s="6">
        <f>VLOOKUP(DATA_MAYO_2026[[#This Row],[ASER_]],D1_MAYO_2026[[ASESOR_CRR]:[META]],2,0)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N14" s="55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5" s="34" cm="1">
        <f t="array" ref="C15">_xlfn.XLOOKUP(1,(TablaMeta[CONCAT]=$M$3&amp;$N$3&amp;D1_MAYO_2026[[#This Row],[SUPER]])*(TablaMeta[SEGG]=D1_MAYO_2026[[#This Row],[SEGMENTO]]),TablaMeta[Meta_Asesor])</f>
        <v>61300</v>
      </c>
      <c r="D15" s="35">
        <f>IF(D1_MAYO_2026[[#This Row],[RECUPERO]]="VACACIONES","VACACIONES",IFERROR(D1_MAYO_2026[[#This Row],[RECUPERO]]/D1_MAYO_2026[[#This Row],[META]],""))</f>
        <v>0.14182707993474714</v>
      </c>
      <c r="E15" s="35" t="str">
        <f>D1_MAYO_2026[[#This Row],[SUPER]]</f>
        <v>KENNETH</v>
      </c>
      <c r="F15" t="s">
        <v>76</v>
      </c>
      <c r="G15" s="3">
        <v>8694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DATA_MAYO_2026[[#This Row],[RECUPERO]]/DATA_MAYO_2026[[#This Row],[META]]</f>
        <v>1.2066666666666668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53938</v>
      </c>
      <c r="Q15" s="6">
        <f>VLOOKUP(DATA_MAYO_2026[[#This Row],[ASER_]],D1_MAYO_2026[[ASESOR_CRR]:[META]],2,0)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N15" s="55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16" s="34" cm="1">
        <f t="array" ref="C16">_xlfn.XLOOKUP(1,(TablaMeta[CONCAT]=$M$3&amp;$N$3&amp;D1_MAYO_2026[[#This Row],[SUPER]])*(TablaMeta[SEGG]=D1_MAYO_2026[[#This Row],[SEGMENTO]]),TablaMeta[Meta_Asesor])</f>
        <v>38500</v>
      </c>
      <c r="D16" s="35">
        <f>IF(D1_MAYO_2026[[#This Row],[RECUPERO]]="VACACIONES","VACACIONES",IFERROR(D1_MAYO_2026[[#This Row],[RECUPERO]]/D1_MAYO_2026[[#This Row],[META]],""))</f>
        <v>1.2446753246753246</v>
      </c>
      <c r="E16" s="35" t="str">
        <f>D1_MAYO_2026[[#This Row],[SUPER]]</f>
        <v>SANDY</v>
      </c>
      <c r="F16" t="s">
        <v>79</v>
      </c>
      <c r="G16" s="3">
        <v>47920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DATA_MAYO_2026[[#This Row],[RECUPERO]]/DATA_MAYO_2026[[#This Row],[META]]</f>
        <v>0.33170022371364655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14827</v>
      </c>
      <c r="Q16" s="6">
        <f>VLOOKUP(DATA_MAYO_2026[[#This Row],[ASER_]],D1_MAYO_2026[[ASESOR_CRR]:[META]],2,0)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N16" s="55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17" s="34" cm="1">
        <f t="array" ref="C17">_xlfn.XLOOKUP(1,(TablaMeta[CONCAT]=$M$3&amp;$N$3&amp;D1_MAYO_2026[[#This Row],[SUPER]])*(TablaMeta[SEGG]=D1_MAYO_2026[[#This Row],[SEGMENTO]]),TablaMeta[Meta_Asesor])</f>
        <v>38500</v>
      </c>
      <c r="D17" s="35">
        <f>IF(D1_MAYO_2026[[#This Row],[RECUPERO]]="VACACIONES","VACACIONES",IFERROR(D1_MAYO_2026[[#This Row],[RECUPERO]]/D1_MAYO_2026[[#This Row],[META]],""))</f>
        <v>0.93550649350649351</v>
      </c>
      <c r="E17" s="35" t="str">
        <f>D1_MAYO_2026[[#This Row],[SUPER]]</f>
        <v>SANDY</v>
      </c>
      <c r="F17" t="s">
        <v>627</v>
      </c>
      <c r="G17" s="3">
        <v>36017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DATA_MAYO_2026[[#This Row],[RECUPERO]]/DATA_MAYO_2026[[#This Row],[META]]</f>
        <v>0.58885906040268454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26322</v>
      </c>
      <c r="Q17" s="6">
        <f>VLOOKUP(DATA_MAYO_2026[[#This Row],[ASER_]],D1_MAYO_2026[[ASESOR_CRR]:[META]],2,0)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N17" s="55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18" s="34" cm="1">
        <f t="array" ref="C18">_xlfn.XLOOKUP(1,(TablaMeta[CONCAT]=$M$3&amp;$N$3&amp;D1_MAYO_2026[[#This Row],[SUPER]])*(TablaMeta[SEGG]=D1_MAYO_2026[[#This Row],[SEGMENTO]]),TablaMeta[Meta_Asesor])</f>
        <v>38500</v>
      </c>
      <c r="D18" s="35">
        <f>IF(D1_MAYO_2026[[#This Row],[RECUPERO]]="VACACIONES","VACACIONES",IFERROR(D1_MAYO_2026[[#This Row],[RECUPERO]]/D1_MAYO_2026[[#This Row],[META]],""))</f>
        <v>0.90683116883116888</v>
      </c>
      <c r="E18" s="35" t="str">
        <f>D1_MAYO_2026[[#This Row],[SUPER]]</f>
        <v>SANDY</v>
      </c>
      <c r="F18" t="s">
        <v>29</v>
      </c>
      <c r="G18" s="3">
        <v>34913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0.32129753914988812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14362</v>
      </c>
      <c r="Q18" s="6">
        <f>VLOOKUP(DATA_MAYO_2026[[#This Row],[ASER_]],D1_MAYO_2026[[ASESOR_CRR]:[META]],2,0)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N18" s="55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19" s="34" cm="1">
        <f t="array" ref="C19">_xlfn.XLOOKUP(1,(TablaMeta[CONCAT]=$M$3&amp;$N$3&amp;D1_MAYO_2026[[#This Row],[SUPER]])*(TablaMeta[SEGG]=D1_MAYO_2026[[#This Row],[SEGMENTO]]),TablaMeta[Meta_Asesor])</f>
        <v>38500</v>
      </c>
      <c r="D19" s="35">
        <f>IF(D1_MAYO_2026[[#This Row],[RECUPERO]]="VACACIONES","VACACIONES",IFERROR(D1_MAYO_2026[[#This Row],[RECUPERO]]/D1_MAYO_2026[[#This Row],[META]],""))</f>
        <v>0.76612987012987011</v>
      </c>
      <c r="E19" s="35" t="str">
        <f>D1_MAYO_2026[[#This Row],[SUPER]]</f>
        <v>SANDY</v>
      </c>
      <c r="F19" t="s">
        <v>96</v>
      </c>
      <c r="G19" s="3">
        <v>29496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0.14182707993474714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8694</v>
      </c>
      <c r="Q19" s="6">
        <f>VLOOKUP(DATA_MAYO_2026[[#This Row],[ASER_]],D1_MAYO_2026[[ASESOR_CRR]:[META]],2,0)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N19" s="55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20" s="34" cm="1">
        <f t="array" ref="C20">_xlfn.XLOOKUP(1,(TablaMeta[CONCAT]=$M$3&amp;$N$3&amp;D1_MAYO_2026[[#This Row],[SUPER]])*(TablaMeta[SEGG]=D1_MAYO_2026[[#This Row],[SEGMENTO]]),TablaMeta[Meta_Asesor])</f>
        <v>38500</v>
      </c>
      <c r="D20" s="35">
        <f>IF(D1_MAYO_2026[[#This Row],[RECUPERO]]="VACACIONES","VACACIONES",IFERROR(D1_MAYO_2026[[#This Row],[RECUPERO]]/D1_MAYO_2026[[#This Row],[META]],""))</f>
        <v>0.75072727272727269</v>
      </c>
      <c r="E20" s="35" t="str">
        <f>D1_MAYO_2026[[#This Row],[SUPER]]</f>
        <v>SANDY</v>
      </c>
      <c r="F20" t="s">
        <v>58</v>
      </c>
      <c r="G20" s="3">
        <v>28903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0.50373572593800975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30879</v>
      </c>
      <c r="Q20" s="6">
        <f>VLOOKUP(DATA_MAYO_2026[[#This Row],[ASER_]],D1_MAYO_2026[[ASESOR_CRR]:[META]],2,0)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N20" s="55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21" s="34" cm="1">
        <f t="array" ref="C21">_xlfn.XLOOKUP(1,(TablaMeta[CONCAT]=$M$3&amp;$N$3&amp;D1_MAYO_2026[[#This Row],[SUPER]])*(TablaMeta[SEGG]=D1_MAYO_2026[[#This Row],[SEGMENTO]]),TablaMeta[Meta_Asesor])</f>
        <v>38500</v>
      </c>
      <c r="D21" s="35">
        <f>IF(D1_MAYO_2026[[#This Row],[RECUPERO]]="VACACIONES","VACACIONES",IFERROR(D1_MAYO_2026[[#This Row],[RECUPERO]]/D1_MAYO_2026[[#This Row],[META]],""))</f>
        <v>0.69966233766233765</v>
      </c>
      <c r="E21" s="35" t="str">
        <f>D1_MAYO_2026[[#This Row],[SUPER]]</f>
        <v>SANDY</v>
      </c>
      <c r="F21" t="s">
        <v>68</v>
      </c>
      <c r="G21" s="3">
        <v>26937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0.84414632952691682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51746.17</v>
      </c>
      <c r="Q21" s="6">
        <f>VLOOKUP(DATA_MAYO_2026[[#This Row],[ASER_]],D1_MAYO_2026[[ASESOR_CRR]:[META]],2,0)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N21" s="55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22" s="34" cm="1">
        <f t="array" ref="C22">_xlfn.XLOOKUP(1,(TablaMeta[CONCAT]=$M$3&amp;$N$3&amp;D1_MAYO_2026[[#This Row],[SUPER]])*(TablaMeta[SEGG]=D1_MAYO_2026[[#This Row],[SEGMENTO]]),TablaMeta[Meta_Asesor])</f>
        <v>38500</v>
      </c>
      <c r="D22" s="35">
        <f>IF(D1_MAYO_2026[[#This Row],[RECUPERO]]="VACACIONES","VACACIONES",IFERROR(D1_MAYO_2026[[#This Row],[RECUPERO]]/D1_MAYO_2026[[#This Row],[META]],""))</f>
        <v>0.6652467532467532</v>
      </c>
      <c r="E22" s="35" t="str">
        <f>D1_MAYO_2026[[#This Row],[SUPER]]</f>
        <v>SANDY</v>
      </c>
      <c r="F22" t="s">
        <v>32</v>
      </c>
      <c r="G22" s="3">
        <v>25612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0.6150081566068516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37700</v>
      </c>
      <c r="Q22" s="6">
        <f>VLOOKUP(DATA_MAYO_2026[[#This Row],[ASER_]],D1_MAYO_2026[[ASESOR_CRR]:[META]],2,0)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N22" s="55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23" s="34" cm="1">
        <f t="array" ref="C23">_xlfn.XLOOKUP(1,(TablaMeta[CONCAT]=$M$3&amp;$N$3&amp;D1_MAYO_2026[[#This Row],[SUPER]])*(TablaMeta[SEGG]=D1_MAYO_2026[[#This Row],[SEGMENTO]]),TablaMeta[Meta_Asesor])</f>
        <v>38500</v>
      </c>
      <c r="D23" s="35">
        <f>IF(D1_MAYO_2026[[#This Row],[RECUPERO]]="VACACIONES","VACACIONES",IFERROR(D1_MAYO_2026[[#This Row],[RECUPERO]]/D1_MAYO_2026[[#This Row],[META]],""))</f>
        <v>0.65514285714285714</v>
      </c>
      <c r="E23" s="35" t="str">
        <f>D1_MAYO_2026[[#This Row],[SUPER]]</f>
        <v>SANDY</v>
      </c>
      <c r="F23" t="s">
        <v>493</v>
      </c>
      <c r="G23" s="3">
        <v>25223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DATA_MAYO_2026[[#This Row],[RECUPERO]]/DATA_MAYO_2026[[#This Row],[META]]</f>
        <v>0.84748776508972268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51951</v>
      </c>
      <c r="Q23" s="6">
        <f>VLOOKUP(DATA_MAYO_2026[[#This Row],[ASER_]],D1_MAYO_2026[[ASESOR_CRR]:[META]],2,0)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N23" s="55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24" s="34" cm="1">
        <f t="array" ref="C24">_xlfn.XLOOKUP(1,(TablaMeta[CONCAT]=$M$3&amp;$N$3&amp;D1_MAYO_2026[[#This Row],[SUPER]])*(TablaMeta[SEGG]=D1_MAYO_2026[[#This Row],[SEGMENTO]]),TablaMeta[Meta_Asesor])</f>
        <v>38500</v>
      </c>
      <c r="D24" s="35">
        <f>IF(D1_MAYO_2026[[#This Row],[RECUPERO]]="VACACIONES","VACACIONES",IFERROR(D1_MAYO_2026[[#This Row],[RECUPERO]]/D1_MAYO_2026[[#This Row],[META]],""))</f>
        <v>0.44423376623376626</v>
      </c>
      <c r="E24" s="35" t="str">
        <f>D1_MAYO_2026[[#This Row],[SUPER]]</f>
        <v>SANDY</v>
      </c>
      <c r="F24" t="s">
        <v>85</v>
      </c>
      <c r="G24" s="3">
        <v>17103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DATA_MAYO_2026[[#This Row],[RECUPERO]]/DATA_MAYO_2026[[#This Row],[META]]</f>
        <v>0.55040783034257745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33740</v>
      </c>
      <c r="Q24" s="6">
        <f>VLOOKUP(DATA_MAYO_2026[[#This Row],[ASER_]],D1_MAYO_2026[[ASESOR_CRR]:[META]],2,0)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N24" s="55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5" s="34" cm="1">
        <f t="array" ref="C25">_xlfn.XLOOKUP(1,(TablaMeta[CONCAT]=$M$3&amp;$N$3&amp;D1_MAYO_2026[[#This Row],[SUPER]])*(TablaMeta[SEGG]=D1_MAYO_2026[[#This Row],[SEGMENTO]]),TablaMeta[Meta_Asesor])</f>
        <v>18100</v>
      </c>
      <c r="D25" s="35">
        <f>IF(D1_MAYO_2026[[#This Row],[RECUPERO]]="VACACIONES","VACACIONES",IFERROR(D1_MAYO_2026[[#This Row],[RECUPERO]]/D1_MAYO_2026[[#This Row],[META]],""))</f>
        <v>1.0166298342541435</v>
      </c>
      <c r="E25" s="35" t="str">
        <f>D1_MAYO_2026[[#This Row],[SUPER]]</f>
        <v>LISELY</v>
      </c>
      <c r="F25" t="s">
        <v>41</v>
      </c>
      <c r="G25" s="3">
        <v>18401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5" s="56"/>
      <c r="M25" s="5">
        <f>DATA_MAYO_2026[[#This Row],[RECUPERO]]/DATA_MAYO_2026[[#This Row],[META]]</f>
        <v>0.77357259380097876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47420</v>
      </c>
      <c r="Q25" s="6">
        <f>VLOOKUP(DATA_MAYO_2026[[#This Row],[ASER_]],D1_MAYO_2026[[ASESOR_CRR]:[META]],2,0)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N25" s="55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26" s="34" cm="1">
        <f t="array" ref="C26">_xlfn.XLOOKUP(1,(TablaMeta[CONCAT]=$M$3&amp;$N$3&amp;D1_MAYO_2026[[#This Row],[SUPER]])*(TablaMeta[SEGG]=D1_MAYO_2026[[#This Row],[SEGMENTO]]),TablaMeta[Meta_Asesor])</f>
        <v>18100</v>
      </c>
      <c r="D26" s="35">
        <f>IF(D1_MAYO_2026[[#This Row],[RECUPERO]]="VACACIONES","VACACIONES",IFERROR(D1_MAYO_2026[[#This Row],[RECUPERO]]/D1_MAYO_2026[[#This Row],[META]],""))</f>
        <v>0.72563535911602206</v>
      </c>
      <c r="E26" s="35" t="str">
        <f>D1_MAYO_2026[[#This Row],[SUPER]]</f>
        <v>LISELY</v>
      </c>
      <c r="F26" t="s">
        <v>549</v>
      </c>
      <c r="G26" s="3">
        <v>13134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6" s="56"/>
      <c r="M26" s="5">
        <f>DATA_MAYO_2026[[#This Row],[RECUPERO]]/DATA_MAYO_2026[[#This Row],[META]]</f>
        <v>0.75072727272727269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28903</v>
      </c>
      <c r="Q26" s="6">
        <f>VLOOKUP(DATA_MAYO_2026[[#This Row],[ASER_]],D1_MAYO_2026[[ASESOR_CRR]:[META]],2,0)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N26" s="55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7" s="34" cm="1">
        <f t="array" ref="C27">_xlfn.XLOOKUP(1,(TablaMeta[CONCAT]=$M$3&amp;$N$3&amp;D1_MAYO_2026[[#This Row],[SUPER]])*(TablaMeta[SEGG]=D1_MAYO_2026[[#This Row],[SEGMENTO]]),TablaMeta[Meta_Asesor])</f>
        <v>18100</v>
      </c>
      <c r="D27" s="35">
        <f>IF(D1_MAYO_2026[[#This Row],[RECUPERO]]="VACACIONES","VACACIONES",IFERROR(D1_MAYO_2026[[#This Row],[RECUPERO]]/D1_MAYO_2026[[#This Row],[META]],""))</f>
        <v>0.45674033149171273</v>
      </c>
      <c r="E27" s="35" t="str">
        <f>D1_MAYO_2026[[#This Row],[SUPER]]</f>
        <v>LISELY</v>
      </c>
      <c r="F27" t="s">
        <v>55</v>
      </c>
      <c r="G27" s="3">
        <v>8267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DATA_MAYO_2026[[#This Row],[RECUPERO]]/DATA_MAYO_2026[[#This Row],[META]]</f>
        <v>0.69966233766233765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26937</v>
      </c>
      <c r="Q27" s="6">
        <f>VLOOKUP(DATA_MAYO_2026[[#This Row],[ASER_]],D1_MAYO_2026[[ASESOR_CRR]:[META]],2,0)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N27" s="55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ZAYDA CORTEZ</v>
      </c>
      <c r="C28" s="34" cm="1">
        <f t="array" ref="C28">_xlfn.XLOOKUP(1,(TablaMeta[CONCAT]=$M$3&amp;$N$3&amp;D1_MAYO_2026[[#This Row],[SUPER]])*(TablaMeta[SEGG]=D1_MAYO_2026[[#This Row],[SEGMENTO]]),TablaMeta[Meta_Asesor])</f>
        <v>18100</v>
      </c>
      <c r="D28" s="35">
        <f>IF(D1_MAYO_2026[[#This Row],[RECUPERO]]="VACACIONES","VACACIONES",IFERROR(D1_MAYO_2026[[#This Row],[RECUPERO]]/D1_MAYO_2026[[#This Row],[META]],""))</f>
        <v>0.16850828729281769</v>
      </c>
      <c r="E28" s="35" t="str">
        <f>D1_MAYO_2026[[#This Row],[SUPER]]</f>
        <v>LISELY</v>
      </c>
      <c r="F28" t="s">
        <v>601</v>
      </c>
      <c r="G28" s="3">
        <v>3050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DATA_MAYO_2026[[#This Row],[RECUPERO]]/DATA_MAYO_2026[[#This Row],[META]]</f>
        <v>0.65514285714285714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IFERROR(VLOOKUP(DATA_MAYO_2026[[#This Row],[ASER_]],$B:$G,4,0),"")</f>
        <v>SANDY</v>
      </c>
      <c r="P28" s="6">
        <f>VLOOKUP(DATA_MAYO_2026[[#This Row],[ASER_]],D1_MAYO_2026[[ASESOR_CRR]:[RECUPERO]],6,0)</f>
        <v>25223</v>
      </c>
      <c r="Q28" s="6">
        <f>VLOOKUP(DATA_MAYO_2026[[#This Row],[ASER_]],D1_MAYO_2026[[ASESOR_CRR]:[META]],2,0)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N28" s="55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9" s="34" cm="1">
        <f t="array" ref="C29">_xlfn.XLOOKUP(1,(TablaMeta[CONCAT]=$M$3&amp;$N$3&amp;D1_MAYO_2026[[#This Row],[SUPER]])*(TablaMeta[SEGG]=D1_MAYO_2026[[#This Row],[SEGMENTO]]),TablaMeta[Meta_Asesor])</f>
        <v>18100</v>
      </c>
      <c r="D29" s="35">
        <f>IF(D1_MAYO_2026[[#This Row],[RECUPERO]]="VACACIONES","VACACIONES",IFERROR(D1_MAYO_2026[[#This Row],[RECUPERO]]/D1_MAYO_2026[[#This Row],[META]],""))</f>
        <v>0.14392265193370166</v>
      </c>
      <c r="E29" s="35" t="str">
        <f>D1_MAYO_2026[[#This Row],[SUPER]]</f>
        <v>LISELY</v>
      </c>
      <c r="F29" t="s">
        <v>599</v>
      </c>
      <c r="G29" s="3">
        <v>2605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DATA_MAYO_2026[[#This Row],[RECUPERO]]/DATA_MAYO_2026[[#This Row],[META]]</f>
        <v>0.90683116883116888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IFERROR(VLOOKUP(DATA_MAYO_2026[[#This Row],[ASER_]],$B:$G,4,0),"")</f>
        <v>SANDY</v>
      </c>
      <c r="P29" s="6">
        <f>VLOOKUP(DATA_MAYO_2026[[#This Row],[ASER_]],D1_MAYO_2026[[ASESOR_CRR]:[RECUPERO]],6,0)</f>
        <v>34913</v>
      </c>
      <c r="Q29" s="6">
        <f>VLOOKUP(DATA_MAYO_2026[[#This Row],[ASER_]],D1_MAYO_2026[[ASESOR_CRR]:[META]],2,0)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N29" s="55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NICOLE CAURURO</v>
      </c>
      <c r="C30" s="34" cm="1">
        <f t="array" ref="C30">_xlfn.XLOOKUP(1,(TablaMeta[CONCAT]=$M$3&amp;$N$3&amp;D1_MAYO_2026[[#This Row],[SUPER]])*(TablaMeta[SEGG]=D1_MAYO_2026[[#This Row],[SEGMENTO]]),TablaMeta[Meta_Asesor])</f>
        <v>18100</v>
      </c>
      <c r="D30" s="35">
        <f>IF(D1_MAYO_2026[[#This Row],[RECUPERO]]="VACACIONES","VACACIONES",IFERROR(D1_MAYO_2026[[#This Row],[RECUPERO]]/D1_MAYO_2026[[#This Row],[META]],""))</f>
        <v>0.10911602209944751</v>
      </c>
      <c r="E30" s="35" t="str">
        <f>D1_MAYO_2026[[#This Row],[SUPER]]</f>
        <v>LISELY</v>
      </c>
      <c r="F30" t="s">
        <v>566</v>
      </c>
      <c r="G30" s="3">
        <v>1975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DATA_MAYO_2026[[#This Row],[RECUPERO]]/DATA_MAYO_2026[[#This Row],[META]]</f>
        <v>0.44423376623376626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IFERROR(VLOOKUP(DATA_MAYO_2026[[#This Row],[ASER_]],$B:$G,4,0),"")</f>
        <v>SANDY</v>
      </c>
      <c r="P30" s="6">
        <f>VLOOKUP(DATA_MAYO_2026[[#This Row],[ASER_]],D1_MAYO_2026[[ASESOR_CRR]:[RECUPERO]],6,0)</f>
        <v>17103</v>
      </c>
      <c r="Q30" s="6">
        <f>VLOOKUP(DATA_MAYO_2026[[#This Row],[ASER_]],D1_MAYO_2026[[ASESOR_CRR]:[META]],2,0)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N30" s="55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31" s="34" cm="1">
        <f t="array" ref="C31">_xlfn.XLOOKUP(1,(TablaMeta[CONCAT]=$M$3&amp;$N$3&amp;D1_MAYO_2026[[#This Row],[SUPER]])*(TablaMeta[SEGG]=D1_MAYO_2026[[#This Row],[SEGMENTO]]),TablaMeta[Meta_Asesor])</f>
        <v>22800</v>
      </c>
      <c r="D31" s="35">
        <f>IF(D1_MAYO_2026[[#This Row],[RECUPERO]]="VACACIONES","VACACIONES",IFERROR(D1_MAYO_2026[[#This Row],[RECUPERO]]/D1_MAYO_2026[[#This Row],[META]],""))</f>
        <v>1.0745614035087718</v>
      </c>
      <c r="E31" s="35" t="str">
        <f>D1_MAYO_2026[[#This Row],[SUPER]]</f>
        <v>LISELY</v>
      </c>
      <c r="F31" t="s">
        <v>48</v>
      </c>
      <c r="G31" s="3">
        <v>24500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1" s="56"/>
      <c r="M31" s="5">
        <f>DATA_MAYO_2026[[#This Row],[RECUPERO]]/DATA_MAYO_2026[[#This Row],[META]]</f>
        <v>1.2446753246753246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IFERROR(VLOOKUP(DATA_MAYO_2026[[#This Row],[ASER_]],$B:$G,4,0),"")</f>
        <v>SANDY</v>
      </c>
      <c r="P31" s="6">
        <f>VLOOKUP(DATA_MAYO_2026[[#This Row],[ASER_]],D1_MAYO_2026[[ASESOR_CRR]:[RECUPERO]],6,0)</f>
        <v>47920</v>
      </c>
      <c r="Q31" s="6">
        <f>VLOOKUP(DATA_MAYO_2026[[#This Row],[ASER_]],D1_MAYO_2026[[ASESOR_CRR]:[META]],2,0)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N31" s="55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2" s="34" cm="1">
        <f t="array" ref="C32">_xlfn.XLOOKUP(1,(TablaMeta[CONCAT]=$M$3&amp;$N$3&amp;D1_MAYO_2026[[#This Row],[SUPER]])*(TablaMeta[SEGG]=D1_MAYO_2026[[#This Row],[SEGMENTO]]),TablaMeta[Meta_Asesor])</f>
        <v>22800</v>
      </c>
      <c r="D32" s="35">
        <f>IF(D1_MAYO_2026[[#This Row],[RECUPERO]]="VACACIONES","VACACIONES",IFERROR(D1_MAYO_2026[[#This Row],[RECUPERO]]/D1_MAYO_2026[[#This Row],[META]],""))</f>
        <v>1.061622807017544</v>
      </c>
      <c r="E32" s="35" t="str">
        <f>D1_MAYO_2026[[#This Row],[SUPER]]</f>
        <v>LISELY</v>
      </c>
      <c r="F32" t="s">
        <v>626</v>
      </c>
      <c r="G32" s="3">
        <v>24205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2" s="56"/>
      <c r="M32" s="5">
        <f>DATA_MAYO_2026[[#This Row],[RECUPERO]]/DATA_MAYO_2026[[#This Row],[META]]</f>
        <v>0.76612987012987011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IFERROR(VLOOKUP(DATA_MAYO_2026[[#This Row],[ASER_]],$B:$G,4,0),"")</f>
        <v>SANDY</v>
      </c>
      <c r="P32" s="6">
        <f>VLOOKUP(DATA_MAYO_2026[[#This Row],[ASER_]],D1_MAYO_2026[[ASESOR_CRR]:[RECUPERO]],6,0)</f>
        <v>29496</v>
      </c>
      <c r="Q32" s="6">
        <f>VLOOKUP(DATA_MAYO_2026[[#This Row],[ASER_]],D1_MAYO_2026[[ASESOR_CRR]:[META]],2,0)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N32" s="55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33" s="34" cm="1">
        <f t="array" ref="C33">_xlfn.XLOOKUP(1,(TablaMeta[CONCAT]=$M$3&amp;$N$3&amp;D1_MAYO_2026[[#This Row],[SUPER]])*(TablaMeta[SEGG]=D1_MAYO_2026[[#This Row],[SEGMENTO]]),TablaMeta[Meta_Asesor])</f>
        <v>22800</v>
      </c>
      <c r="D33" s="35">
        <f>IF(D1_MAYO_2026[[#This Row],[RECUPERO]]="VACACIONES","VACACIONES",IFERROR(D1_MAYO_2026[[#This Row],[RECUPERO]]/D1_MAYO_2026[[#This Row],[META]],""))</f>
        <v>0.94657894736842108</v>
      </c>
      <c r="E33" s="35" t="str">
        <f>D1_MAYO_2026[[#This Row],[SUPER]]</f>
        <v>LISELY</v>
      </c>
      <c r="F33" t="s">
        <v>109</v>
      </c>
      <c r="G33" s="3">
        <v>21582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DATA_MAYO_2026[[#This Row],[RECUPERO]]/DATA_MAYO_2026[[#This Row],[META]]</f>
        <v>0.6652467532467532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IFERROR(VLOOKUP(DATA_MAYO_2026[[#This Row],[ASER_]],$B:$G,4,0),"")</f>
        <v>SANDY</v>
      </c>
      <c r="P33" s="6">
        <f>VLOOKUP(DATA_MAYO_2026[[#This Row],[ASER_]],D1_MAYO_2026[[ASESOR_CRR]:[RECUPERO]],6,0)</f>
        <v>25612</v>
      </c>
      <c r="Q33" s="6">
        <f>VLOOKUP(DATA_MAYO_2026[[#This Row],[ASER_]],D1_MAYO_2026[[ASESOR_CRR]:[META]],2,0)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N33" s="55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34" s="34" cm="1">
        <f t="array" ref="C34">_xlfn.XLOOKUP(1,(TablaMeta[CONCAT]=$M$3&amp;$N$3&amp;D1_MAYO_2026[[#This Row],[SUPER]])*(TablaMeta[SEGG]=D1_MAYO_2026[[#This Row],[SEGMENTO]]),TablaMeta[Meta_Asesor])</f>
        <v>22800</v>
      </c>
      <c r="D34" s="35">
        <f>IF(D1_MAYO_2026[[#This Row],[RECUPERO]]="VACACIONES","VACACIONES",IFERROR(D1_MAYO_2026[[#This Row],[RECUPERO]]/D1_MAYO_2026[[#This Row],[META]],""))</f>
        <v>0.90175438596491231</v>
      </c>
      <c r="E34" s="35" t="str">
        <f>D1_MAYO_2026[[#This Row],[SUPER]]</f>
        <v>LISELY</v>
      </c>
      <c r="F34" t="s">
        <v>495</v>
      </c>
      <c r="G34" s="3">
        <v>20560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DATA_MAYO_2026[[#This Row],[RECUPERO]]/DATA_MAYO_2026[[#This Row],[META]]</f>
        <v>0.93550649350649351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IFERROR(VLOOKUP(DATA_MAYO_2026[[#This Row],[ASER_]],$B:$G,4,0),"")</f>
        <v>SANDY</v>
      </c>
      <c r="P34" s="6">
        <f>VLOOKUP(DATA_MAYO_2026[[#This Row],[ASER_]],D1_MAYO_2026[[ASESOR_CRR]:[RECUPERO]],6,0)</f>
        <v>36017</v>
      </c>
      <c r="Q34" s="6">
        <f>VLOOKUP(DATA_MAYO_2026[[#This Row],[ASER_]],D1_MAYO_2026[[ASESOR_CRR]:[META]],2,0)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N34" s="55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35" s="34" cm="1">
        <f t="array" ref="C35">_xlfn.XLOOKUP(1,(TablaMeta[CONCAT]=$M$3&amp;$N$3&amp;D1_MAYO_2026[[#This Row],[SUPER]])*(TablaMeta[SEGG]=D1_MAYO_2026[[#This Row],[SEGMENTO]]),TablaMeta[Meta_Asesor])</f>
        <v>22800</v>
      </c>
      <c r="D35" s="35">
        <f>IF(D1_MAYO_2026[[#This Row],[RECUPERO]]="VACACIONES","VACACIONES",IFERROR(D1_MAYO_2026[[#This Row],[RECUPERO]]/D1_MAYO_2026[[#This Row],[META]],""))</f>
        <v>0.70429824561403509</v>
      </c>
      <c r="E35" s="35" t="str">
        <f>D1_MAYO_2026[[#This Row],[SUPER]]</f>
        <v>LISELY</v>
      </c>
      <c r="F35" t="s">
        <v>49</v>
      </c>
      <c r="G35" s="3">
        <v>16058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DATA_MAYO_2026[[#This Row],[RECUPERO]]/DATA_MAYO_2026[[#This Row],[META]]</f>
        <v>0.56196868008948542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IFERROR(VLOOKUP(DATA_MAYO_2026[[#This Row],[ASER_]],$B:$G,4,0),"")</f>
        <v>JORGE</v>
      </c>
      <c r="P35" s="6">
        <f>VLOOKUP(DATA_MAYO_2026[[#This Row],[ASER_]],D1_MAYO_2026[[ASESOR_CRR]:[RECUPERO]],6,0)</f>
        <v>25120</v>
      </c>
      <c r="Q35" s="6">
        <f>VLOOKUP(DATA_MAYO_2026[[#This Row],[ASER_]],D1_MAYO_2026[[ASESOR_CRR]:[META]],2,0)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/>
      <c r="AM35" s="6"/>
      <c r="AN35" s="55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36" s="34" cm="1">
        <f t="array" ref="C36">_xlfn.XLOOKUP(1,(TablaMeta[CONCAT]=$M$3&amp;$N$3&amp;D1_MAYO_2026[[#This Row],[SUPER]])*(TablaMeta[SEGG]=D1_MAYO_2026[[#This Row],[SEGMENTO]]),TablaMeta[Meta_Asesor])</f>
        <v>22800</v>
      </c>
      <c r="D36" s="35">
        <f>IF(D1_MAYO_2026[[#This Row],[RECUPERO]]="VACACIONES","VACACIONES",IFERROR(D1_MAYO_2026[[#This Row],[RECUPERO]]/D1_MAYO_2026[[#This Row],[META]],""))</f>
        <v>0.512280701754386</v>
      </c>
      <c r="E36" s="35" t="str">
        <f>D1_MAYO_2026[[#This Row],[SUPER]]</f>
        <v>LISELY</v>
      </c>
      <c r="F36" t="s">
        <v>78</v>
      </c>
      <c r="G36" s="3">
        <v>11680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DATA_MAYO_2026[[#This Row],[RECUPERO]]/DATA_MAYO_2026[[#This Row],[META]]</f>
        <v>0.71973154362416103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IFERROR(VLOOKUP(DATA_MAYO_2026[[#This Row],[ASER_]],$B:$G,4,0),"")</f>
        <v>JORGE</v>
      </c>
      <c r="P36" s="6">
        <f>VLOOKUP(DATA_MAYO_2026[[#This Row],[ASER_]],D1_MAYO_2026[[ASESOR_CRR]:[RECUPERO]],6,0)</f>
        <v>32172</v>
      </c>
      <c r="Q36" s="6">
        <f>VLOOKUP(DATA_MAYO_2026[[#This Row],[ASER_]],D1_MAYO_2026[[ASESOR_CRR]:[META]],2,0)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/>
      <c r="AM36" s="6"/>
      <c r="AN36" s="55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7" s="34" cm="1">
        <f t="array" ref="C37">_xlfn.XLOOKUP(1,(TablaMeta[CONCAT]=$M$3&amp;$N$3&amp;D1_MAYO_2026[[#This Row],[SUPER]])*(TablaMeta[SEGG]=D1_MAYO_2026[[#This Row],[SEGMENTO]]),TablaMeta[Meta_Asesor])</f>
        <v>22800</v>
      </c>
      <c r="D37" s="35">
        <f>IF(D1_MAYO_2026[[#This Row],[RECUPERO]]="VACACIONES","VACACIONES",IFERROR(D1_MAYO_2026[[#This Row],[RECUPERO]]/D1_MAYO_2026[[#This Row],[META]],""))</f>
        <v>0.30833333333333335</v>
      </c>
      <c r="E37" s="35" t="str">
        <f>D1_MAYO_2026[[#This Row],[SUPER]]</f>
        <v>LISELY</v>
      </c>
      <c r="F37" t="s">
        <v>600</v>
      </c>
      <c r="G37" s="3">
        <v>7030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DATA_MAYO_2026[[#This Row],[RECUPERO]]/DATA_MAYO_2026[[#This Row],[META]]</f>
        <v>0.80087248322147653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IFERROR(VLOOKUP(DATA_MAYO_2026[[#This Row],[ASER_]],$B:$G,4,0),"")</f>
        <v>JORGE</v>
      </c>
      <c r="P37" s="6">
        <f>VLOOKUP(DATA_MAYO_2026[[#This Row],[ASER_]],D1_MAYO_2026[[ASESOR_CRR]:[RECUPERO]],6,0)</f>
        <v>35799</v>
      </c>
      <c r="Q37" s="6">
        <f>VLOOKUP(DATA_MAYO_2026[[#This Row],[ASER_]],D1_MAYO_2026[[ASESOR_CRR]:[META]],2,0)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/>
      <c r="AM37" s="6"/>
      <c r="AN37" s="55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38" s="34" cm="1">
        <f t="array" ref="C38">_xlfn.XLOOKUP(1,(TablaMeta[CONCAT]=$M$3&amp;$N$3&amp;D1_MAYO_2026[[#This Row],[SUPER]])*(TablaMeta[SEGG]=D1_MAYO_2026[[#This Row],[SEGMENTO]]),TablaMeta[Meta_Asesor])</f>
        <v>44700</v>
      </c>
      <c r="D38" s="35">
        <f>IF(D1_MAYO_2026[[#This Row],[RECUPERO]]="VACACIONES","VACACIONES",IFERROR(D1_MAYO_2026[[#This Row],[RECUPERO]]/D1_MAYO_2026[[#This Row],[META]],""))</f>
        <v>1.2066666666666668</v>
      </c>
      <c r="E38" s="35" t="str">
        <f>D1_MAYO_2026[[#This Row],[SUPER]]</f>
        <v>LEONOR</v>
      </c>
      <c r="F38" t="s">
        <v>628</v>
      </c>
      <c r="G38" s="3">
        <v>53938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DATA_MAYO_2026[[#This Row],[RECUPERO]]/DATA_MAYO_2026[[#This Row],[META]]</f>
        <v>0.62337807606263984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IFERROR(VLOOKUP(DATA_MAYO_2026[[#This Row],[ASER_]],$B:$G,4,0),"")</f>
        <v>JORGE</v>
      </c>
      <c r="P38" s="6">
        <f>VLOOKUP(DATA_MAYO_2026[[#This Row],[ASER_]],D1_MAYO_2026[[ASESOR_CRR]:[RECUPERO]],6,0)</f>
        <v>27865</v>
      </c>
      <c r="Q38" s="6">
        <f>VLOOKUP(DATA_MAYO_2026[[#This Row],[ASER_]],D1_MAYO_2026[[ASESOR_CRR]:[META]],2,0)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/>
      <c r="AM38" s="6"/>
      <c r="AN38" s="55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39" s="34" cm="1">
        <f t="array" ref="C39">_xlfn.XLOOKUP(1,(TablaMeta[CONCAT]=$M$3&amp;$N$3&amp;D1_MAYO_2026[[#This Row],[SUPER]])*(TablaMeta[SEGG]=D1_MAYO_2026[[#This Row],[SEGMENTO]]),TablaMeta[Meta_Asesor])</f>
        <v>44700</v>
      </c>
      <c r="D39" s="35">
        <f>IF(D1_MAYO_2026[[#This Row],[RECUPERO]]="VACACIONES","VACACIONES",IFERROR(D1_MAYO_2026[[#This Row],[RECUPERO]]/D1_MAYO_2026[[#This Row],[META]],""))</f>
        <v>0.93704697986577179</v>
      </c>
      <c r="E39" s="35" t="str">
        <f>D1_MAYO_2026[[#This Row],[SUPER]]</f>
        <v>LEONOR</v>
      </c>
      <c r="F39" t="s">
        <v>61</v>
      </c>
      <c r="G39" s="3">
        <v>41886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DATA_MAYO_2026[[#This Row],[RECUPERO]]/DATA_MAYO_2026[[#This Row],[META]]</f>
        <v>0.87058165548098432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IFERROR(VLOOKUP(DATA_MAYO_2026[[#This Row],[ASER_]],$B:$G,4,0),"")</f>
        <v>JORGE</v>
      </c>
      <c r="P39" s="6">
        <f>VLOOKUP(DATA_MAYO_2026[[#This Row],[ASER_]],D1_MAYO_2026[[ASESOR_CRR]:[RECUPERO]],6,0)</f>
        <v>38915</v>
      </c>
      <c r="Q39" s="6">
        <f>VLOOKUP(DATA_MAYO_2026[[#This Row],[ASER_]],D1_MAYO_2026[[ASESOR_CRR]:[META]],2,0)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/>
      <c r="AM39" s="6"/>
      <c r="AN39" s="55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40" s="34" cm="1">
        <f t="array" ref="C40">_xlfn.XLOOKUP(1,(TablaMeta[CONCAT]=$M$3&amp;$N$3&amp;D1_MAYO_2026[[#This Row],[SUPER]])*(TablaMeta[SEGG]=D1_MAYO_2026[[#This Row],[SEGMENTO]]),TablaMeta[Meta_Asesor])</f>
        <v>44700</v>
      </c>
      <c r="D40" s="35">
        <f>IF(D1_MAYO_2026[[#This Row],[RECUPERO]]="VACACIONES","VACACIONES",IFERROR(D1_MAYO_2026[[#This Row],[RECUPERO]]/D1_MAYO_2026[[#This Row],[META]],""))</f>
        <v>0.67449664429530198</v>
      </c>
      <c r="E40" s="35" t="str">
        <f>D1_MAYO_2026[[#This Row],[SUPER]]</f>
        <v>LEONOR</v>
      </c>
      <c r="F40" t="s">
        <v>18</v>
      </c>
      <c r="G40" s="3">
        <v>30150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DATA_MAYO_2026[[#This Row],[RECUPERO]]/DATA_MAYO_2026[[#This Row],[META]]</f>
        <v>1.0604250559284116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IFERROR(VLOOKUP(DATA_MAYO_2026[[#This Row],[ASER_]],$B:$G,4,0),"")</f>
        <v>JORGE</v>
      </c>
      <c r="P40" s="6">
        <f>VLOOKUP(DATA_MAYO_2026[[#This Row],[ASER_]],D1_MAYO_2026[[ASESOR_CRR]:[RECUPERO]],6,0)</f>
        <v>47401</v>
      </c>
      <c r="Q40" s="6">
        <f>VLOOKUP(DATA_MAYO_2026[[#This Row],[ASER_]],D1_MAYO_2026[[ASESOR_CRR]:[META]],2,0)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/>
      <c r="AM40" s="6"/>
      <c r="AN40" s="55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1" s="34" cm="1">
        <f t="array" ref="C41">_xlfn.XLOOKUP(1,(TablaMeta[CONCAT]=$M$3&amp;$N$3&amp;D1_MAYO_2026[[#This Row],[SUPER]])*(TablaMeta[SEGG]=D1_MAYO_2026[[#This Row],[SEGMENTO]]),TablaMeta[Meta_Asesor])</f>
        <v>44700</v>
      </c>
      <c r="D41" s="35">
        <f>IF(D1_MAYO_2026[[#This Row],[RECUPERO]]="VACACIONES","VACACIONES",IFERROR(D1_MAYO_2026[[#This Row],[RECUPERO]]/D1_MAYO_2026[[#This Row],[META]],""))</f>
        <v>0.58885906040268454</v>
      </c>
      <c r="E41" s="35" t="str">
        <f>D1_MAYO_2026[[#This Row],[SUPER]]</f>
        <v>LEONOR</v>
      </c>
      <c r="F41" t="s">
        <v>631</v>
      </c>
      <c r="G41" s="3">
        <v>26322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DATA_MAYO_2026[[#This Row],[RECUPERO]]/DATA_MAYO_2026[[#This Row],[META]]</f>
        <v>0.75463087248322147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IFERROR(VLOOKUP(DATA_MAYO_2026[[#This Row],[ASER_]],$B:$G,4,0),"")</f>
        <v>JORGE</v>
      </c>
      <c r="P41" s="6">
        <f>VLOOKUP(DATA_MAYO_2026[[#This Row],[ASER_]],D1_MAYO_2026[[ASESOR_CRR]:[RECUPERO]],6,0)</f>
        <v>33732</v>
      </c>
      <c r="Q41" s="6">
        <f>VLOOKUP(DATA_MAYO_2026[[#This Row],[ASER_]],D1_MAYO_2026[[ASESOR_CRR]:[META]],2,0)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/>
      <c r="AM41" s="6"/>
      <c r="AN41" s="55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2" s="34" cm="1">
        <f t="array" ref="C42">_xlfn.XLOOKUP(1,(TablaMeta[CONCAT]=$M$3&amp;$N$3&amp;D1_MAYO_2026[[#This Row],[SUPER]])*(TablaMeta[SEGG]=D1_MAYO_2026[[#This Row],[SEGMENTO]]),TablaMeta[Meta_Asesor])</f>
        <v>44700</v>
      </c>
      <c r="D42" s="35">
        <f>IF(D1_MAYO_2026[[#This Row],[RECUPERO]]="VACACIONES","VACACIONES",IFERROR(D1_MAYO_2026[[#This Row],[RECUPERO]]/D1_MAYO_2026[[#This Row],[META]],""))</f>
        <v>0.53221476510067112</v>
      </c>
      <c r="E42" s="35" t="str">
        <f>D1_MAYO_2026[[#This Row],[SUPER]]</f>
        <v>LEONOR</v>
      </c>
      <c r="F42" t="s">
        <v>630</v>
      </c>
      <c r="G42" s="3">
        <v>23790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DATA_MAYO_2026[[#This Row],[RECUPERO]]/DATA_MAYO_2026[[#This Row],[META]]</f>
        <v>0.64013131991051453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IFERROR(VLOOKUP(DATA_MAYO_2026[[#This Row],[ASER_]],$B:$G,4,0),"")</f>
        <v>JORGE</v>
      </c>
      <c r="P42" s="6">
        <f>VLOOKUP(DATA_MAYO_2026[[#This Row],[ASER_]],D1_MAYO_2026[[ASESOR_CRR]:[RECUPERO]],6,0)</f>
        <v>28613.87</v>
      </c>
      <c r="Q42" s="6">
        <f>VLOOKUP(DATA_MAYO_2026[[#This Row],[ASER_]],D1_MAYO_2026[[ASESOR_CRR]:[META]],2,0)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/>
      <c r="AM42" s="6"/>
      <c r="AN42" s="55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43" s="34" cm="1">
        <f t="array" ref="C43">_xlfn.XLOOKUP(1,(TablaMeta[CONCAT]=$M$3&amp;$N$3&amp;D1_MAYO_2026[[#This Row],[SUPER]])*(TablaMeta[SEGG]=D1_MAYO_2026[[#This Row],[SEGMENTO]]),TablaMeta[Meta_Asesor])</f>
        <v>44700</v>
      </c>
      <c r="D43" s="35">
        <f>IF(D1_MAYO_2026[[#This Row],[RECUPERO]]="VACACIONES","VACACIONES",IFERROR(D1_MAYO_2026[[#This Row],[RECUPERO]]/D1_MAYO_2026[[#This Row],[META]],""))</f>
        <v>0.42008948545861297</v>
      </c>
      <c r="E43" s="35" t="str">
        <f>D1_MAYO_2026[[#This Row],[SUPER]]</f>
        <v>LEONOR</v>
      </c>
      <c r="F43" t="s">
        <v>632</v>
      </c>
      <c r="G43" s="3">
        <v>18778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DATA_MAYO_2026[[#This Row],[RECUPERO]]/DATA_MAYO_2026[[#This Row],[META]]</f>
        <v>0.53747203579418346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IFERROR(VLOOKUP(DATA_MAYO_2026[[#This Row],[ASER_]],$B:$G,4,0),"")</f>
        <v>JORGE</v>
      </c>
      <c r="P43" s="6">
        <f>VLOOKUP(DATA_MAYO_2026[[#This Row],[ASER_]],D1_MAYO_2026[[ASESOR_CRR]:[RECUPERO]],6,0)</f>
        <v>24025</v>
      </c>
      <c r="Q43" s="6">
        <f>VLOOKUP(DATA_MAYO_2026[[#This Row],[ASER_]],D1_MAYO_2026[[ASESOR_CRR]:[META]],2,0)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/>
      <c r="AM43" s="6"/>
      <c r="AN43" s="55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44" s="34" cm="1">
        <f t="array" ref="C44">_xlfn.XLOOKUP(1,(TablaMeta[CONCAT]=$M$3&amp;$N$3&amp;D1_MAYO_2026[[#This Row],[SUPER]])*(TablaMeta[SEGG]=D1_MAYO_2026[[#This Row],[SEGMENTO]]),TablaMeta[Meta_Asesor])</f>
        <v>44700</v>
      </c>
      <c r="D44" s="35">
        <f>IF(D1_MAYO_2026[[#This Row],[RECUPERO]]="VACACIONES","VACACIONES",IFERROR(D1_MAYO_2026[[#This Row],[RECUPERO]]/D1_MAYO_2026[[#This Row],[META]],""))</f>
        <v>0.33170022371364655</v>
      </c>
      <c r="E44" s="35" t="str">
        <f>D1_MAYO_2026[[#This Row],[SUPER]]</f>
        <v>LEONOR</v>
      </c>
      <c r="F44" t="s">
        <v>629</v>
      </c>
      <c r="G44" s="3">
        <v>14827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DATA_MAYO_2026[[#This Row],[RECUPERO]]/DATA_MAYO_2026[[#This Row],[META]]</f>
        <v>0.90175438596491231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IFERROR(VLOOKUP(DATA_MAYO_2026[[#This Row],[ASER_]],$B:$G,4,0),"")</f>
        <v>LISELY</v>
      </c>
      <c r="P44" s="6">
        <f>VLOOKUP(DATA_MAYO_2026[[#This Row],[ASER_]],D1_MAYO_2026[[ASESOR_CRR]:[RECUPERO]],6,0)</f>
        <v>20560</v>
      </c>
      <c r="Q44" s="6">
        <f>VLOOKUP(DATA_MAYO_2026[[#This Row],[ASER_]],D1_MAYO_2026[[ASESOR_CRR]:[META]],2,0)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/>
      <c r="AM44" s="6"/>
      <c r="AN44" s="55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5" s="34" cm="1">
        <f t="array" ref="C45">_xlfn.XLOOKUP(1,(TablaMeta[CONCAT]=$M$3&amp;$N$3&amp;D1_MAYO_2026[[#This Row],[SUPER]])*(TablaMeta[SEGG]=D1_MAYO_2026[[#This Row],[SEGMENTO]]),TablaMeta[Meta_Asesor])</f>
        <v>44700</v>
      </c>
      <c r="D45" s="35">
        <f>IF(D1_MAYO_2026[[#This Row],[RECUPERO]]="VACACIONES","VACACIONES",IFERROR(D1_MAYO_2026[[#This Row],[RECUPERO]]/D1_MAYO_2026[[#This Row],[META]],""))</f>
        <v>0.32129753914988812</v>
      </c>
      <c r="E45" s="35" t="str">
        <f>D1_MAYO_2026[[#This Row],[SUPER]]</f>
        <v>LEONOR</v>
      </c>
      <c r="F45" t="s">
        <v>634</v>
      </c>
      <c r="G45" s="3">
        <v>14362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DATA_MAYO_2026[[#This Row],[RECUPERO]]/DATA_MAYO_2026[[#This Row],[META]]</f>
        <v>0.94657894736842108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IFERROR(VLOOKUP(DATA_MAYO_2026[[#This Row],[ASER_]],$B:$G,4,0),"")</f>
        <v>LISELY</v>
      </c>
      <c r="P45" s="6">
        <f>VLOOKUP(DATA_MAYO_2026[[#This Row],[ASER_]],D1_MAYO_2026[[ASESOR_CRR]:[RECUPERO]],6,0)</f>
        <v>21582</v>
      </c>
      <c r="Q45" s="6">
        <f>VLOOKUP(DATA_MAYO_2026[[#This Row],[ASER_]],D1_MAYO_2026[[ASESOR_CRR]:[META]],2,0)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/>
      <c r="AM45" s="6"/>
      <c r="AN45" s="55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6" s="34" cm="1">
        <f t="array" ref="C46">_xlfn.XLOOKUP(1,(TablaMeta[CONCAT]=$M$3&amp;$N$3&amp;D1_MAYO_2026[[#This Row],[SUPER]])*(TablaMeta[SEGG]=D1_MAYO_2026[[#This Row],[SEGMENTO]]),TablaMeta[Meta_Asesor])</f>
        <v>44700</v>
      </c>
      <c r="D46" s="35">
        <f>IF(D1_MAYO_2026[[#This Row],[RECUPERO]]="VACACIONES","VACACIONES",IFERROR(D1_MAYO_2026[[#This Row],[RECUPERO]]/D1_MAYO_2026[[#This Row],[META]],""))</f>
        <v>0.31208053691275167</v>
      </c>
      <c r="E46" s="35" t="str">
        <f>D1_MAYO_2026[[#This Row],[SUPER]]</f>
        <v>LEONOR</v>
      </c>
      <c r="F46" t="s">
        <v>633</v>
      </c>
      <c r="G46" s="3">
        <v>13950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DATA_MAYO_2026[[#This Row],[RECUPERO]]/DATA_MAYO_2026[[#This Row],[META]]</f>
        <v>0.70429824561403509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IFERROR(VLOOKUP(DATA_MAYO_2026[[#This Row],[ASER_]],$B:$G,4,0),"")</f>
        <v>LISELY</v>
      </c>
      <c r="P46" s="6">
        <f>VLOOKUP(DATA_MAYO_2026[[#This Row],[ASER_]],D1_MAYO_2026[[ASESOR_CRR]:[RECUPERO]],6,0)</f>
        <v>16058</v>
      </c>
      <c r="Q46" s="6">
        <f>VLOOKUP(DATA_MAYO_2026[[#This Row],[ASER_]],D1_MAYO_2026[[ASESOR_CRR]:[META]],2,0)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/>
      <c r="AM46" s="6"/>
      <c r="AN46" s="55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7" s="34" cm="1">
        <f t="array" ref="C47">_xlfn.XLOOKUP(1,(TablaMeta[CONCAT]=$M$3&amp;$N$3&amp;D1_MAYO_2026[[#This Row],[SUPER]])*(TablaMeta[SEGG]=D1_MAYO_2026[[#This Row],[SEGMENTO]]),TablaMeta[Meta_Asesor])</f>
        <v>44700</v>
      </c>
      <c r="D47" s="35">
        <f>IF(D1_MAYO_2026[[#This Row],[RECUPERO]]="VACACIONES","VACACIONES",IFERROR(D1_MAYO_2026[[#This Row],[RECUPERO]]/D1_MAYO_2026[[#This Row],[META]],""))</f>
        <v>0.1360178970917226</v>
      </c>
      <c r="E47" s="35" t="str">
        <f>D1_MAYO_2026[[#This Row],[SUPER]]</f>
        <v>LEONOR</v>
      </c>
      <c r="F47" t="s">
        <v>635</v>
      </c>
      <c r="G47" s="3">
        <v>6080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DATA_MAYO_2026[[#This Row],[RECUPERO]]/DATA_MAYO_2026[[#This Row],[META]]</f>
        <v>1.061622807017544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IFERROR(VLOOKUP(DATA_MAYO_2026[[#This Row],[ASER_]],$B:$G,4,0),"")</f>
        <v>LISELY</v>
      </c>
      <c r="P47" s="6">
        <f>VLOOKUP(DATA_MAYO_2026[[#This Row],[ASER_]],D1_MAYO_2026[[ASESOR_CRR]:[RECUPERO]],6,0)</f>
        <v>24205</v>
      </c>
      <c r="Q47" s="6">
        <f>VLOOKUP(DATA_MAYO_2026[[#This Row],[ASER_]],D1_MAYO_2026[[ASESOR_CRR]:[META]],2,0)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/>
      <c r="AM47" s="6"/>
      <c r="AN47" s="55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48" s="34" cm="1">
        <f t="array" ref="C48">_xlfn.XLOOKUP(1,(TablaMeta[CONCAT]=$M$3&amp;$N$3&amp;D1_MAYO_2026[[#This Row],[SUPER]])*(TablaMeta[SEGG]=D1_MAYO_2026[[#This Row],[SEGMENTO]]),TablaMeta[Meta_Asesor])</f>
        <v>44700</v>
      </c>
      <c r="D48" s="35">
        <f>IF(D1_MAYO_2026[[#This Row],[RECUPERO]]="VACACIONES","VACACIONES",IFERROR(D1_MAYO_2026[[#This Row],[RECUPERO]]/D1_MAYO_2026[[#This Row],[META]],""))</f>
        <v>1.0604250559284116</v>
      </c>
      <c r="E48" s="35" t="str">
        <f>D1_MAYO_2026[[#This Row],[SUPER]]</f>
        <v>JORGE</v>
      </c>
      <c r="F48" t="s">
        <v>13</v>
      </c>
      <c r="G48" s="3">
        <v>47401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DATA_MAYO_2026[[#This Row],[RECUPERO]]/DATA_MAYO_2026[[#This Row],[META]]</f>
        <v>0.30833333333333335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LISELY</v>
      </c>
      <c r="P48" s="6">
        <f>VLOOKUP(DATA_MAYO_2026[[#This Row],[ASER_]],D1_MAYO_2026[[ASESOR_CRR]:[RECUPERO]],6,0)</f>
        <v>7030</v>
      </c>
      <c r="Q48" s="6">
        <f>VLOOKUP(DATA_MAYO_2026[[#This Row],[ASER_]],D1_MAYO_2026[[ASESOR_CRR]:[META]],2,0)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/>
      <c r="AM48" s="6"/>
      <c r="AN48" s="55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49" s="34" cm="1">
        <f t="array" ref="C49">_xlfn.XLOOKUP(1,(TablaMeta[CONCAT]=$M$3&amp;$N$3&amp;D1_MAYO_2026[[#This Row],[SUPER]])*(TablaMeta[SEGG]=D1_MAYO_2026[[#This Row],[SEGMENTO]]),TablaMeta[Meta_Asesor])</f>
        <v>44700</v>
      </c>
      <c r="D49" s="35">
        <f>IF(D1_MAYO_2026[[#This Row],[RECUPERO]]="VACACIONES","VACACIONES",IFERROR(D1_MAYO_2026[[#This Row],[RECUPERO]]/D1_MAYO_2026[[#This Row],[META]],""))</f>
        <v>0.87058165548098432</v>
      </c>
      <c r="E49" s="35" t="str">
        <f>D1_MAYO_2026[[#This Row],[SUPER]]</f>
        <v>JORGE</v>
      </c>
      <c r="F49" t="s">
        <v>24</v>
      </c>
      <c r="G49" s="3">
        <v>38915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DATA_MAYO_2026[[#This Row],[RECUPERO]]/DATA_MAYO_2026[[#This Row],[META]]</f>
        <v>1.0745614035087718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IFERROR(VLOOKUP(DATA_MAYO_2026[[#This Row],[ASER_]],$B:$G,4,0),"")</f>
        <v>LISELY</v>
      </c>
      <c r="P49" s="6">
        <f>VLOOKUP(DATA_MAYO_2026[[#This Row],[ASER_]],D1_MAYO_2026[[ASESOR_CRR]:[RECUPERO]],6,0)</f>
        <v>24500</v>
      </c>
      <c r="Q49" s="6">
        <f>VLOOKUP(DATA_MAYO_2026[[#This Row],[ASER_]],D1_MAYO_2026[[ASESOR_CRR]:[META]],2,0)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/>
      <c r="AM49" s="6"/>
      <c r="AN49" s="55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50" s="34" cm="1">
        <f t="array" ref="C50">_xlfn.XLOOKUP(1,(TablaMeta[CONCAT]=$M$3&amp;$N$3&amp;D1_MAYO_2026[[#This Row],[SUPER]])*(TablaMeta[SEGG]=D1_MAYO_2026[[#This Row],[SEGMENTO]]),TablaMeta[Meta_Asesor])</f>
        <v>44700</v>
      </c>
      <c r="D50" s="35">
        <f>IF(D1_MAYO_2026[[#This Row],[RECUPERO]]="VACACIONES","VACACIONES",IFERROR(D1_MAYO_2026[[#This Row],[RECUPERO]]/D1_MAYO_2026[[#This Row],[META]],""))</f>
        <v>0.80087248322147653</v>
      </c>
      <c r="E50" s="35" t="str">
        <f>D1_MAYO_2026[[#This Row],[SUPER]]</f>
        <v>JORGE</v>
      </c>
      <c r="F50" t="s">
        <v>10</v>
      </c>
      <c r="G50" s="3">
        <v>35799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DATA_MAYO_2026[[#This Row],[RECUPERO]]/DATA_MAYO_2026[[#This Row],[META]]</f>
        <v>0.512280701754386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IFERROR(VLOOKUP(DATA_MAYO_2026[[#This Row],[ASER_]],$B:$G,4,0),"")</f>
        <v>LISELY</v>
      </c>
      <c r="P50" s="6">
        <f>VLOOKUP(DATA_MAYO_2026[[#This Row],[ASER_]],D1_MAYO_2026[[ASESOR_CRR]:[RECUPERO]],6,0)</f>
        <v>11680</v>
      </c>
      <c r="Q50" s="6">
        <f>VLOOKUP(DATA_MAYO_2026[[#This Row],[ASER_]],D1_MAYO_2026[[ASESOR_CRR]:[META]],2,0)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/>
      <c r="AM50" s="6"/>
      <c r="AN50" s="55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51" s="34" cm="1">
        <f t="array" ref="C51">_xlfn.XLOOKUP(1,(TablaMeta[CONCAT]=$M$3&amp;$N$3&amp;D1_MAYO_2026[[#This Row],[SUPER]])*(TablaMeta[SEGG]=D1_MAYO_2026[[#This Row],[SEGMENTO]]),TablaMeta[Meta_Asesor])</f>
        <v>44700</v>
      </c>
      <c r="D51" s="35">
        <f>IF(D1_MAYO_2026[[#This Row],[RECUPERO]]="VACACIONES","VACACIONES",IFERROR(D1_MAYO_2026[[#This Row],[RECUPERO]]/D1_MAYO_2026[[#This Row],[META]],""))</f>
        <v>0.75463087248322147</v>
      </c>
      <c r="E51" s="35" t="str">
        <f>D1_MAYO_2026[[#This Row],[SUPER]]</f>
        <v>JORGE</v>
      </c>
      <c r="F51" t="s">
        <v>25</v>
      </c>
      <c r="G51" s="3">
        <v>33732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DATA_MAYO_2026[[#This Row],[RECUPERO]]/DATA_MAYO_2026[[#This Row],[META]]</f>
        <v>0.72563535911602206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IFERROR(VLOOKUP(DATA_MAYO_2026[[#This Row],[ASER_]],$B:$G,4,0),"")</f>
        <v>LISELY</v>
      </c>
      <c r="P51" s="6">
        <f>VLOOKUP(DATA_MAYO_2026[[#This Row],[ASER_]],D1_MAYO_2026[[ASESOR_CRR]:[RECUPERO]],6,0)</f>
        <v>13134</v>
      </c>
      <c r="Q51" s="6">
        <f>VLOOKUP(DATA_MAYO_2026[[#This Row],[ASER_]],D1_MAYO_2026[[ASESOR_CRR]:[META]],2,0)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/>
      <c r="AM51" s="6"/>
      <c r="AN51" s="55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52" s="34" cm="1">
        <f t="array" ref="C52">_xlfn.XLOOKUP(1,(TablaMeta[CONCAT]=$M$3&amp;$N$3&amp;D1_MAYO_2026[[#This Row],[SUPER]])*(TablaMeta[SEGG]=D1_MAYO_2026[[#This Row],[SEGMENTO]]),TablaMeta[Meta_Asesor])</f>
        <v>44700</v>
      </c>
      <c r="D52" s="35">
        <f>IF(D1_MAYO_2026[[#This Row],[RECUPERO]]="VACACIONES","VACACIONES",IFERROR(D1_MAYO_2026[[#This Row],[RECUPERO]]/D1_MAYO_2026[[#This Row],[META]],""))</f>
        <v>0.71973154362416103</v>
      </c>
      <c r="E52" s="35" t="str">
        <f>D1_MAYO_2026[[#This Row],[SUPER]]</f>
        <v>JORGE</v>
      </c>
      <c r="F52" t="s">
        <v>65</v>
      </c>
      <c r="G52" s="3">
        <v>32172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DATA_MAYO_2026[[#This Row],[RECUPERO]]/DATA_MAYO_2026[[#This Row],[META]]</f>
        <v>0.14392265193370166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LISELY</v>
      </c>
      <c r="P52" s="6">
        <f>VLOOKUP(DATA_MAYO_2026[[#This Row],[ASER_]],D1_MAYO_2026[[ASESOR_CRR]:[RECUPERO]],6,0)</f>
        <v>2605</v>
      </c>
      <c r="Q52" s="6">
        <f>VLOOKUP(DATA_MAYO_2026[[#This Row],[ASER_]],D1_MAYO_2026[[ASESOR_CRR]:[META]],2,0)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/>
      <c r="AM52" s="6"/>
      <c r="AN52" s="55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53" s="34" cm="1">
        <f t="array" ref="C53">_xlfn.XLOOKUP(1,(TablaMeta[CONCAT]=$M$3&amp;$N$3&amp;D1_MAYO_2026[[#This Row],[SUPER]])*(TablaMeta[SEGG]=D1_MAYO_2026[[#This Row],[SEGMENTO]]),TablaMeta[Meta_Asesor])</f>
        <v>44700</v>
      </c>
      <c r="D53" s="35">
        <f>IF(D1_MAYO_2026[[#This Row],[RECUPERO]]="VACACIONES","VACACIONES",IFERROR(D1_MAYO_2026[[#This Row],[RECUPERO]]/D1_MAYO_2026[[#This Row],[META]],""))</f>
        <v>0.64013131991051453</v>
      </c>
      <c r="E53" s="35" t="str">
        <f>D1_MAYO_2026[[#This Row],[SUPER]]</f>
        <v>JORGE</v>
      </c>
      <c r="F53" t="s">
        <v>22</v>
      </c>
      <c r="G53" s="3">
        <v>28613.87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DATA_MAYO_2026[[#This Row],[RECUPERO]]/DATA_MAYO_2026[[#This Row],[META]]</f>
        <v>1.0166298342541435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IFERROR(VLOOKUP(DATA_MAYO_2026[[#This Row],[ASER_]],$B:$G,4,0),"")</f>
        <v>LISELY</v>
      </c>
      <c r="P53" s="6">
        <f>VLOOKUP(DATA_MAYO_2026[[#This Row],[ASER_]],D1_MAYO_2026[[ASESOR_CRR]:[RECUPERO]],6,0)</f>
        <v>18401</v>
      </c>
      <c r="Q53" s="6">
        <f>VLOOKUP(DATA_MAYO_2026[[#This Row],[ASER_]],D1_MAYO_2026[[ASESOR_CRR]:[META]],2,0)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/>
      <c r="AM53" s="6"/>
      <c r="AN53" s="55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54" s="34" cm="1">
        <f t="array" ref="C54">_xlfn.XLOOKUP(1,(TablaMeta[CONCAT]=$M$3&amp;$N$3&amp;D1_MAYO_2026[[#This Row],[SUPER]])*(TablaMeta[SEGG]=D1_MAYO_2026[[#This Row],[SEGMENTO]]),TablaMeta[Meta_Asesor])</f>
        <v>44700</v>
      </c>
      <c r="D54" s="35">
        <f>IF(D1_MAYO_2026[[#This Row],[RECUPERO]]="VACACIONES","VACACIONES",IFERROR(D1_MAYO_2026[[#This Row],[RECUPERO]]/D1_MAYO_2026[[#This Row],[META]],""))</f>
        <v>0.62337807606263984</v>
      </c>
      <c r="E54" s="35" t="str">
        <f>D1_MAYO_2026[[#This Row],[SUPER]]</f>
        <v>JORGE</v>
      </c>
      <c r="F54" t="s">
        <v>37</v>
      </c>
      <c r="G54" s="3">
        <v>27865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0.10911602209944751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LISELY</v>
      </c>
      <c r="P54" s="6">
        <f>VLOOKUP(DATA_MAYO_2026[[#This Row],[ASER_]],D1_MAYO_2026[[ASESOR_CRR]:[RECUPERO]],6,0)</f>
        <v>1975</v>
      </c>
      <c r="Q54" s="6">
        <f>VLOOKUP(DATA_MAYO_2026[[#This Row],[ASER_]],D1_MAYO_2026[[ASESOR_CRR]:[META]],2,0)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/>
      <c r="AM54" s="6"/>
      <c r="AN54" s="55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55" s="34" cm="1">
        <f t="array" ref="C55">_xlfn.XLOOKUP(1,(TablaMeta[CONCAT]=$M$3&amp;$N$3&amp;D1_MAYO_2026[[#This Row],[SUPER]])*(TablaMeta[SEGG]=D1_MAYO_2026[[#This Row],[SEGMENTO]]),TablaMeta[Meta_Asesor])</f>
        <v>44700</v>
      </c>
      <c r="D55" s="35">
        <f>IF(D1_MAYO_2026[[#This Row],[RECUPERO]]="VACACIONES","VACACIONES",IFERROR(D1_MAYO_2026[[#This Row],[RECUPERO]]/D1_MAYO_2026[[#This Row],[META]],""))</f>
        <v>0.56196868008948542</v>
      </c>
      <c r="E55" s="35" t="str">
        <f>D1_MAYO_2026[[#This Row],[SUPER]]</f>
        <v>JORGE</v>
      </c>
      <c r="F55" t="s">
        <v>42</v>
      </c>
      <c r="G55" s="3">
        <v>25120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0.45674033149171273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IFERROR(VLOOKUP(DATA_MAYO_2026[[#This Row],[ASER_]],$B:$G,4,0),"")</f>
        <v>LISELY</v>
      </c>
      <c r="P55" s="6">
        <f>VLOOKUP(DATA_MAYO_2026[[#This Row],[ASER_]],D1_MAYO_2026[[ASESOR_CRR]:[RECUPERO]],6,0)</f>
        <v>8267</v>
      </c>
      <c r="Q55" s="6">
        <f>VLOOKUP(DATA_MAYO_2026[[#This Row],[ASER_]],D1_MAYO_2026[[ASESOR_CRR]:[META]],2,0)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/>
      <c r="AM55" s="6"/>
      <c r="AN55" s="55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56" s="34" cm="1">
        <f t="array" ref="C56">_xlfn.XLOOKUP(1,(TablaMeta[CONCAT]=$M$3&amp;$N$3&amp;D1_MAYO_2026[[#This Row],[SUPER]])*(TablaMeta[SEGG]=D1_MAYO_2026[[#This Row],[SEGMENTO]]),TablaMeta[Meta_Asesor])</f>
        <v>44700</v>
      </c>
      <c r="D56" s="35">
        <f>IF(D1_MAYO_2026[[#This Row],[RECUPERO]]="VACACIONES","VACACIONES",IFERROR(D1_MAYO_2026[[#This Row],[RECUPERO]]/D1_MAYO_2026[[#This Row],[META]],""))</f>
        <v>0.53747203579418346</v>
      </c>
      <c r="E56" s="35" t="str">
        <f>D1_MAYO_2026[[#This Row],[SUPER]]</f>
        <v>JORGE</v>
      </c>
      <c r="F56" t="s">
        <v>31</v>
      </c>
      <c r="G56" s="3">
        <v>24025</v>
      </c>
      <c r="H56" cm="1">
        <f t="array" ref="H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56" s="56" cm="1">
        <f t="array" ref="I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56" s="56" t="str" cm="1">
        <f t="array" ref="J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DATA_MAYO_2026[[#This Row],[RECUPERO]]/DATA_MAYO_2026[[#This Row],[META]]</f>
        <v>0.16850828729281769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LISELY</v>
      </c>
      <c r="P56" s="6">
        <f>VLOOKUP(DATA_MAYO_2026[[#This Row],[ASER_]],D1_MAYO_2026[[ASESOR_CRR]:[RECUPERO]],6,0)</f>
        <v>3050</v>
      </c>
      <c r="Q56" s="6">
        <f>VLOOKUP(DATA_MAYO_2026[[#This Row],[ASER_]],D1_MAYO_2026[[ASESOR_CRR]:[META]],2,0)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/>
      <c r="AM56" s="6"/>
      <c r="AN56" s="55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2026-05-29T12:35:58Z</dcterms:modified>
</cp:coreProperties>
</file>