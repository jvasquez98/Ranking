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3CB2266-C444-4F14-8334-C8B23B5A0DBD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 s="1"/>
  <c r="B58" i="17" a="1"/>
  <c r="B58" i="17" s="1"/>
  <c r="B57" i="17" a="1"/>
  <c r="B57" i="17" s="1"/>
  <c r="K57" i="17" s="1" a="1"/>
  <c r="K57" i="17" s="1"/>
  <c r="B56" i="17" a="1"/>
  <c r="B56" i="17" s="1"/>
  <c r="A59" i="17" l="1" a="1"/>
  <c r="A59" i="17" s="1"/>
  <c r="J59" i="17" a="1"/>
  <c r="J59" i="17" s="1"/>
  <c r="K59" i="17" a="1"/>
  <c r="K59" i="17" s="1"/>
  <c r="H59" i="17" a="1"/>
  <c r="H59" i="17" s="1"/>
  <c r="I59" i="17" a="1"/>
  <c r="I59" i="17" s="1"/>
  <c r="K58" i="17" a="1"/>
  <c r="K58" i="17" s="1"/>
  <c r="H58" i="17" a="1"/>
  <c r="H58" i="17" s="1"/>
  <c r="J58" i="17" a="1"/>
  <c r="J58" i="17" s="1"/>
  <c r="I58" i="17" a="1"/>
  <c r="I58" i="17" s="1"/>
  <c r="A58" i="17" a="1"/>
  <c r="A58" i="17" s="1"/>
  <c r="A57" i="17" a="1"/>
  <c r="A57" i="17" s="1"/>
  <c r="C57" i="17" s="1" a="1"/>
  <c r="C57" i="17" s="1"/>
  <c r="D57" i="17" s="1"/>
  <c r="J57" i="17" a="1"/>
  <c r="J57" i="17" s="1"/>
  <c r="I57" i="17" a="1"/>
  <c r="I57" i="17" s="1"/>
  <c r="H57" i="17" a="1"/>
  <c r="H57" i="17" s="1"/>
  <c r="K56" i="17" a="1"/>
  <c r="K56" i="17" s="1"/>
  <c r="A56" i="17" a="1"/>
  <c r="A56" i="17" s="1"/>
  <c r="H56" i="17" a="1"/>
  <c r="H56" i="17" s="1"/>
  <c r="I56" i="17" a="1"/>
  <c r="I56" i="17" s="1"/>
  <c r="J56" i="17" a="1"/>
  <c r="J56" i="17" s="1"/>
  <c r="C59" i="17" l="1" a="1"/>
  <c r="C59" i="17" s="1"/>
  <c r="D59" i="17" s="1"/>
  <c r="E59" i="17"/>
  <c r="C58" i="17" a="1"/>
  <c r="C58" i="17" s="1"/>
  <c r="D58" i="17" s="1"/>
  <c r="E58" i="17"/>
  <c r="E57" i="17"/>
  <c r="C56" i="17" a="1"/>
  <c r="C56" i="17" s="1"/>
  <c r="D56" i="17" s="1"/>
  <c r="E56" i="17"/>
  <c r="B55" i="17" l="1" a="1"/>
  <c r="B55" i="17" s="1"/>
  <c r="A55" i="17" l="1" a="1"/>
  <c r="A55" i="17" s="1"/>
  <c r="E55" i="17" s="1"/>
  <c r="H55" i="17" a="1"/>
  <c r="H55" i="17" s="1"/>
  <c r="I55" i="17" a="1"/>
  <c r="I55" i="17" s="1"/>
  <c r="J55" i="17" a="1"/>
  <c r="J55" i="17" s="1"/>
  <c r="K55" i="17" a="1"/>
  <c r="K55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1" i="17" l="1"/>
  <c r="P60" i="17"/>
  <c r="K48" i="17" a="1"/>
  <c r="K48" i="17" s="1"/>
  <c r="J48" i="17" a="1"/>
  <c r="J48" i="17" s="1"/>
  <c r="H48" i="17" a="1"/>
  <c r="H48" i="17" s="1"/>
  <c r="I48" i="17" a="1"/>
  <c r="I48" i="17" s="1"/>
  <c r="K47" i="17" a="1"/>
  <c r="K47" i="17" s="1"/>
  <c r="H47" i="17" a="1"/>
  <c r="H47" i="17" s="1"/>
  <c r="I47" i="17" a="1"/>
  <c r="I47" i="17" s="1"/>
  <c r="J47" i="17" a="1"/>
  <c r="J47" i="17" s="1"/>
  <c r="I44" i="17" a="1"/>
  <c r="I44" i="17" s="1"/>
  <c r="H44" i="17" a="1"/>
  <c r="H44" i="17" s="1"/>
  <c r="J44" i="17" a="1"/>
  <c r="J44" i="17" s="1"/>
  <c r="K44" i="17" a="1"/>
  <c r="K44" i="17" s="1"/>
  <c r="J43" i="17" a="1"/>
  <c r="J43" i="17" s="1"/>
  <c r="I43" i="17" a="1"/>
  <c r="I43" i="17" s="1"/>
  <c r="K43" i="17" a="1"/>
  <c r="K43" i="17" s="1"/>
  <c r="H43" i="17" a="1"/>
  <c r="H43" i="17" s="1"/>
  <c r="K42" i="17" a="1"/>
  <c r="K42" i="17" s="1"/>
  <c r="J42" i="17" a="1"/>
  <c r="J42" i="17" s="1"/>
  <c r="H42" i="17" a="1"/>
  <c r="H42" i="17" s="1"/>
  <c r="I42" i="17" a="1"/>
  <c r="I42" i="17" s="1"/>
  <c r="H41" i="17" a="1"/>
  <c r="H41" i="17" s="1"/>
  <c r="I41" i="17" a="1"/>
  <c r="I41" i="17" s="1"/>
  <c r="J41" i="17" a="1"/>
  <c r="J41" i="17" s="1"/>
  <c r="K41" i="17" a="1"/>
  <c r="K41" i="17" s="1"/>
  <c r="H40" i="17" a="1"/>
  <c r="H40" i="17" s="1"/>
  <c r="I40" i="17" a="1"/>
  <c r="I40" i="17" s="1"/>
  <c r="J40" i="17" a="1"/>
  <c r="J40" i="17" s="1"/>
  <c r="K40" i="17" a="1"/>
  <c r="K40" i="17" s="1"/>
  <c r="P39" i="17"/>
  <c r="P45" i="17"/>
  <c r="P44" i="17"/>
  <c r="P40" i="17"/>
  <c r="P46" i="17"/>
  <c r="P41" i="17"/>
  <c r="P47" i="17"/>
  <c r="P42" i="17"/>
  <c r="P48" i="17"/>
  <c r="P43" i="17"/>
  <c r="H46" i="17" a="1"/>
  <c r="H46" i="17" s="1"/>
  <c r="I46" i="17" a="1"/>
  <c r="I46" i="17" s="1"/>
  <c r="J46" i="17" a="1"/>
  <c r="J46" i="17" s="1"/>
  <c r="K46" i="17" a="1"/>
  <c r="K46" i="17" s="1"/>
  <c r="H45" i="17" a="1"/>
  <c r="H45" i="17" s="1"/>
  <c r="I45" i="17" a="1"/>
  <c r="I45" i="17" s="1"/>
  <c r="J45" i="17" a="1"/>
  <c r="J45" i="17" s="1"/>
  <c r="K45" i="17" a="1"/>
  <c r="K45" i="17" s="1"/>
  <c r="P59" i="17"/>
  <c r="P58" i="17"/>
  <c r="C55" i="17" a="1"/>
  <c r="C55" i="17" s="1"/>
  <c r="D55" i="17" s="1"/>
  <c r="P57" i="17"/>
  <c r="P56" i="17"/>
  <c r="A54" i="17" a="1"/>
  <c r="A54" i="17" s="1"/>
  <c r="J54" i="17" a="1"/>
  <c r="J54" i="17" s="1"/>
  <c r="H54" i="17" a="1"/>
  <c r="H54" i="17" s="1"/>
  <c r="I54" i="17" a="1"/>
  <c r="I54" i="17" s="1"/>
  <c r="K54" i="17" a="1"/>
  <c r="K54" i="17" s="1"/>
  <c r="H53" i="17" a="1"/>
  <c r="H53" i="17" s="1"/>
  <c r="P55" i="17"/>
  <c r="K53" i="17" a="1"/>
  <c r="K53" i="17" s="1"/>
  <c r="J53" i="17" a="1"/>
  <c r="J53" i="17" s="1"/>
  <c r="A53" i="17" a="1"/>
  <c r="A53" i="17" s="1"/>
  <c r="I53" i="17" a="1"/>
  <c r="I53" i="17" s="1"/>
  <c r="A52" i="17" a="1"/>
  <c r="A52" i="17" s="1"/>
  <c r="E52" i="17" s="1"/>
  <c r="H52" i="17" a="1"/>
  <c r="H52" i="17" s="1"/>
  <c r="I52" i="17" a="1"/>
  <c r="I52" i="17" s="1"/>
  <c r="K52" i="17" a="1"/>
  <c r="K52" i="17" s="1"/>
  <c r="J52" i="17" a="1"/>
  <c r="J52" i="17" s="1"/>
  <c r="P54" i="17"/>
  <c r="A51" i="17" a="1"/>
  <c r="A51" i="17" s="1"/>
  <c r="J51" i="17" a="1"/>
  <c r="J51" i="17" s="1"/>
  <c r="H51" i="17" a="1"/>
  <c r="H51" i="17" s="1"/>
  <c r="I51" i="17" a="1"/>
  <c r="I51" i="17" s="1"/>
  <c r="K51" i="17" a="1"/>
  <c r="K51" i="17" s="1"/>
  <c r="P53" i="17"/>
  <c r="P52" i="17"/>
  <c r="A50" i="17" a="1"/>
  <c r="A50" i="17" s="1"/>
  <c r="E50" i="17" s="1"/>
  <c r="H50" i="17" a="1"/>
  <c r="H50" i="17" s="1"/>
  <c r="I50" i="17" a="1"/>
  <c r="I50" i="17" s="1"/>
  <c r="K50" i="17" a="1"/>
  <c r="K50" i="17" s="1"/>
  <c r="J50" i="17" a="1"/>
  <c r="J50" i="17" s="1"/>
  <c r="A49" i="17" a="1"/>
  <c r="A49" i="17" s="1"/>
  <c r="E49" i="17" s="1"/>
  <c r="H49" i="17" a="1"/>
  <c r="H49" i="17" s="1"/>
  <c r="I49" i="17" a="1"/>
  <c r="I49" i="17" s="1"/>
  <c r="P51" i="17"/>
  <c r="K49" i="17" a="1"/>
  <c r="K49" i="17" s="1"/>
  <c r="J49" i="17" a="1"/>
  <c r="J49" i="17" s="1"/>
  <c r="P50" i="17"/>
  <c r="A48" i="17" a="1"/>
  <c r="A48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5" i="17" a="1"/>
  <c r="A45" i="17" s="1"/>
  <c r="H34" i="17" a="1"/>
  <c r="H34" i="17" s="1"/>
  <c r="K34" i="17" a="1"/>
  <c r="K34" i="17" s="1"/>
  <c r="A34" i="17" a="1"/>
  <c r="A34" i="17" s="1"/>
  <c r="I34" i="17" a="1"/>
  <c r="I34" i="17" s="1"/>
  <c r="J34" i="17" a="1"/>
  <c r="J34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4" i="17" a="1"/>
  <c r="A44" i="17" s="1"/>
  <c r="A33" i="17" a="1"/>
  <c r="A33" i="17" s="1"/>
  <c r="H33" i="17" a="1"/>
  <c r="H33" i="17" s="1"/>
  <c r="I33" i="17" a="1"/>
  <c r="I33" i="17" s="1"/>
  <c r="J33" i="17" a="1"/>
  <c r="J33" i="17" s="1"/>
  <c r="K33" i="17" a="1"/>
  <c r="K33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43" i="17" a="1"/>
  <c r="A43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42" i="17" a="1"/>
  <c r="A42" i="17" s="1"/>
  <c r="K32" i="17" a="1"/>
  <c r="K32" i="17" s="1"/>
  <c r="J32" i="17" a="1"/>
  <c r="J32" i="17" s="1"/>
  <c r="A32" i="17" a="1"/>
  <c r="A32" i="17" s="1"/>
  <c r="H32" i="17" a="1"/>
  <c r="H32" i="17" s="1"/>
  <c r="I32" i="17" a="1"/>
  <c r="I32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41" i="17" a="1"/>
  <c r="A41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40" i="17" a="1"/>
  <c r="A40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I39" i="17" a="1"/>
  <c r="I39" i="17" s="1"/>
  <c r="J39" i="17" a="1"/>
  <c r="J39" i="17" s="1"/>
  <c r="A39" i="17" a="1"/>
  <c r="A39" i="17" s="1"/>
  <c r="K39" i="17" a="1"/>
  <c r="K39" i="17" s="1"/>
  <c r="H39" i="17" a="1"/>
  <c r="H3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I38" i="17" a="1"/>
  <c r="I38" i="17" s="1"/>
  <c r="J38" i="17" a="1"/>
  <c r="J38" i="17" s="1"/>
  <c r="A38" i="17" a="1"/>
  <c r="A38" i="17" s="1"/>
  <c r="K38" i="17" a="1"/>
  <c r="K38" i="17" s="1"/>
  <c r="H38" i="17" a="1"/>
  <c r="H3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7" i="17" a="1"/>
  <c r="A47" i="17" s="1"/>
  <c r="A37" i="17" a="1"/>
  <c r="A37" i="17" s="1"/>
  <c r="J37" i="17" a="1"/>
  <c r="J37" i="17" s="1"/>
  <c r="K37" i="17" a="1"/>
  <c r="K37" i="17" s="1"/>
  <c r="I37" i="17" a="1"/>
  <c r="I37" i="17" s="1"/>
  <c r="H37" i="17" a="1"/>
  <c r="H37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6" i="17" a="1"/>
  <c r="A46" i="17" s="1"/>
  <c r="A36" i="17" a="1"/>
  <c r="A36" i="17" s="1"/>
  <c r="K36" i="17" a="1"/>
  <c r="K36" i="17" s="1"/>
  <c r="J36" i="17" a="1"/>
  <c r="J36" i="17" s="1"/>
  <c r="I36" i="17" a="1"/>
  <c r="I36" i="17" s="1"/>
  <c r="H36" i="17" a="1"/>
  <c r="H36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5" i="17" a="1"/>
  <c r="K35" i="17" s="1"/>
  <c r="A35" i="17" a="1"/>
  <c r="A35" i="17" s="1"/>
  <c r="H35" i="17" a="1"/>
  <c r="H35" i="17" s="1"/>
  <c r="I35" i="17" a="1"/>
  <c r="I35" i="17" s="1"/>
  <c r="J35" i="17" a="1"/>
  <c r="J35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9" i="17"/>
  <c r="P26" i="17"/>
  <c r="P25" i="17"/>
  <c r="P24" i="17"/>
  <c r="P17" i="17"/>
  <c r="P35" i="17"/>
  <c r="P34" i="17"/>
  <c r="P16" i="17"/>
  <c r="P15" i="17"/>
  <c r="P31" i="17"/>
  <c r="P21" i="17"/>
  <c r="P12" i="17"/>
  <c r="P20" i="17"/>
  <c r="P10" i="17"/>
  <c r="P28" i="17"/>
  <c r="P19" i="17"/>
  <c r="P9" i="17"/>
  <c r="P38" i="17"/>
  <c r="P18" i="17"/>
  <c r="P37" i="17"/>
  <c r="P27" i="17"/>
  <c r="P33" i="17"/>
  <c r="P23" i="17"/>
  <c r="P14" i="17"/>
  <c r="P32" i="17"/>
  <c r="P22" i="17"/>
  <c r="P13" i="17"/>
  <c r="P30" i="17"/>
  <c r="P11" i="17"/>
  <c r="P29" i="17"/>
  <c r="P36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4" i="17" l="1" a="1"/>
  <c r="C54" i="17" s="1"/>
  <c r="D54" i="17" s="1"/>
  <c r="E54" i="17"/>
  <c r="C53" i="17" a="1"/>
  <c r="C53" i="17" s="1"/>
  <c r="E53" i="17"/>
  <c r="C52" i="17" a="1"/>
  <c r="C52" i="17" s="1"/>
  <c r="D52" i="17" s="1"/>
  <c r="E51" i="17"/>
  <c r="C51" i="17" a="1"/>
  <c r="C51" i="17" s="1"/>
  <c r="D51" i="17" s="1"/>
  <c r="E18" i="17"/>
  <c r="E48" i="17"/>
  <c r="E17" i="17"/>
  <c r="E19" i="17"/>
  <c r="E43" i="17"/>
  <c r="E45" i="17"/>
  <c r="E47" i="17"/>
  <c r="E46" i="17"/>
  <c r="E44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48" i="17" s="1" a="1"/>
  <c r="C48" i="17" s="1"/>
  <c r="A6" i="22"/>
  <c r="A5" i="22"/>
  <c r="A4" i="22"/>
  <c r="A3" i="22"/>
  <c r="A2" i="22"/>
  <c r="C24" i="17" s="1" a="1"/>
  <c r="C24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3" i="17" l="1"/>
  <c r="C41" i="17" a="1"/>
  <c r="C41" i="17" s="1"/>
  <c r="C38" i="17" a="1"/>
  <c r="C38" i="17" s="1"/>
  <c r="C25" i="17" a="1"/>
  <c r="C25" i="17" s="1"/>
  <c r="Q42" i="17" s="1"/>
  <c r="M42" i="17" s="1"/>
  <c r="N42" i="17" s="1" a="1"/>
  <c r="N42" i="17" s="1"/>
  <c r="C26" i="17" a="1"/>
  <c r="C26" i="17" s="1"/>
  <c r="C11" i="17" a="1"/>
  <c r="C11" i="17" s="1"/>
  <c r="C34" i="17" a="1"/>
  <c r="C34" i="17" s="1"/>
  <c r="C5" i="17" a="1"/>
  <c r="C5" i="17" s="1"/>
  <c r="C4" i="17" a="1"/>
  <c r="C4" i="17" s="1"/>
  <c r="C44" i="17" a="1"/>
  <c r="C44" i="17" s="1"/>
  <c r="C23" i="17" a="1"/>
  <c r="C23" i="17" s="1"/>
  <c r="Q47" i="17" s="1"/>
  <c r="M47" i="17" s="1"/>
  <c r="N47" i="17" s="1" a="1"/>
  <c r="N47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43" i="17" a="1"/>
  <c r="C43" i="17" s="1"/>
  <c r="D43" i="17" s="1"/>
  <c r="C49" i="17" a="1"/>
  <c r="C49" i="17" s="1"/>
  <c r="D49" i="17" s="1"/>
  <c r="C32" i="17" a="1"/>
  <c r="C32" i="17" s="1"/>
  <c r="C7" i="17" a="1"/>
  <c r="C7" i="17" s="1"/>
  <c r="C12" i="17" a="1"/>
  <c r="C12" i="17" s="1"/>
  <c r="Q59" i="17" s="1"/>
  <c r="M59" i="17" s="1"/>
  <c r="N59" i="17" s="1" a="1"/>
  <c r="N59" i="17" s="1"/>
  <c r="C18" i="17" a="1"/>
  <c r="C18" i="17" s="1"/>
  <c r="C37" i="17" a="1"/>
  <c r="C37" i="17" s="1"/>
  <c r="C29" i="17" a="1"/>
  <c r="C29" i="17" s="1"/>
  <c r="C13" i="17" a="1"/>
  <c r="C13" i="17" s="1"/>
  <c r="C27" i="17" a="1"/>
  <c r="C27" i="17" s="1"/>
  <c r="C47" i="17" a="1"/>
  <c r="C47" i="17" s="1"/>
  <c r="D47" i="17" s="1"/>
  <c r="C40" i="17" a="1"/>
  <c r="C40" i="17" s="1"/>
  <c r="D40" i="17" s="1"/>
  <c r="C46" i="17" a="1"/>
  <c r="C46" i="17" s="1"/>
  <c r="C17" i="17" a="1"/>
  <c r="C17" i="17" s="1"/>
  <c r="D17" i="17" s="1"/>
  <c r="C35" i="17" a="1"/>
  <c r="C35" i="17" s="1"/>
  <c r="C20" i="17" a="1"/>
  <c r="C20" i="17" s="1"/>
  <c r="Q46" i="17" s="1"/>
  <c r="M46" i="17" s="1"/>
  <c r="N46" i="17" s="1" a="1"/>
  <c r="N46" i="17" s="1"/>
  <c r="C30" i="17" a="1"/>
  <c r="C30" i="17" s="1"/>
  <c r="C28" i="17" a="1"/>
  <c r="C28" i="17" s="1"/>
  <c r="Q44" i="17" s="1"/>
  <c r="M44" i="17" s="1"/>
  <c r="N44" i="17" s="1" a="1"/>
  <c r="N44" i="17" s="1"/>
  <c r="C42" i="17" a="1"/>
  <c r="C42" i="17" s="1"/>
  <c r="D42" i="17" s="1"/>
  <c r="C21" i="17" a="1"/>
  <c r="C21" i="17" s="1"/>
  <c r="C8" i="17" a="1"/>
  <c r="C8" i="17" s="1"/>
  <c r="C14" i="17" a="1"/>
  <c r="C14" i="17" s="1"/>
  <c r="C15" i="17" a="1"/>
  <c r="C15" i="17" s="1"/>
  <c r="Q61" i="17" s="1"/>
  <c r="M61" i="17" s="1"/>
  <c r="N61" i="17" s="1" a="1"/>
  <c r="N61" i="17" s="1"/>
  <c r="C36" i="17" a="1"/>
  <c r="C36" i="17" s="1"/>
  <c r="C22" i="17" a="1"/>
  <c r="C22" i="17" s="1"/>
  <c r="Q43" i="17" s="1"/>
  <c r="M43" i="17" s="1"/>
  <c r="N43" i="17" s="1" a="1"/>
  <c r="N43" i="17" s="1"/>
  <c r="C39" i="17" a="1"/>
  <c r="C39" i="17" s="1"/>
  <c r="AQ11" i="17"/>
  <c r="AQ12" i="17"/>
  <c r="AQ13" i="17"/>
  <c r="AQ9" i="17"/>
  <c r="AQ10" i="17"/>
  <c r="C45" i="17" a="1"/>
  <c r="C45" i="17" s="1"/>
  <c r="C6" i="17" a="1"/>
  <c r="C6" i="17" s="1"/>
  <c r="C33" i="17" a="1"/>
  <c r="C33" i="17" s="1"/>
  <c r="C16" i="17" a="1"/>
  <c r="C16" i="17" s="1"/>
  <c r="C50" i="17" a="1"/>
  <c r="C50" i="17" s="1"/>
  <c r="D50" i="17" s="1"/>
  <c r="D48" i="17"/>
  <c r="E42" i="17"/>
  <c r="E40" i="17"/>
  <c r="E41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38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7" i="17"/>
  <c r="E7" i="17"/>
  <c r="E36" i="17"/>
  <c r="E35" i="17"/>
  <c r="E39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39" i="17" l="1"/>
  <c r="M39" i="17" s="1"/>
  <c r="N39" i="17" s="1" a="1"/>
  <c r="N39" i="17" s="1"/>
  <c r="Q45" i="17"/>
  <c r="M45" i="17" s="1"/>
  <c r="N45" i="17" s="1" a="1"/>
  <c r="N45" i="17" s="1"/>
  <c r="Q40" i="17"/>
  <c r="M40" i="17" s="1"/>
  <c r="N40" i="17" s="1" a="1"/>
  <c r="N40" i="17" s="1"/>
  <c r="D19" i="17"/>
  <c r="Q48" i="17"/>
  <c r="M48" i="17" s="1"/>
  <c r="N48" i="17" s="1" a="1"/>
  <c r="N48" i="17" s="1"/>
  <c r="O60" i="17"/>
  <c r="AO60" i="17" s="1"/>
  <c r="Q58" i="17"/>
  <c r="M58" i="17" s="1"/>
  <c r="N58" i="17" s="1" a="1"/>
  <c r="N58" i="17" s="1"/>
  <c r="Q60" i="17"/>
  <c r="M60" i="17" s="1"/>
  <c r="N60" i="17" s="1" a="1"/>
  <c r="N60" i="17" s="1"/>
  <c r="D18" i="17"/>
  <c r="Q41" i="17"/>
  <c r="M41" i="17" s="1"/>
  <c r="N41" i="17" s="1" a="1"/>
  <c r="N41" i="17" s="1"/>
  <c r="O54" i="17"/>
  <c r="AO54" i="17" s="1"/>
  <c r="Q56" i="17"/>
  <c r="M56" i="17" s="1"/>
  <c r="N56" i="17" s="1" a="1"/>
  <c r="N56" i="17" s="1"/>
  <c r="D44" i="17"/>
  <c r="Q57" i="17"/>
  <c r="M57" i="17" s="1"/>
  <c r="N57" i="17" s="1" a="1"/>
  <c r="N57" i="17" s="1"/>
  <c r="Q55" i="17"/>
  <c r="M55" i="17" s="1"/>
  <c r="N55" i="17" s="1" a="1"/>
  <c r="N55" i="17" s="1"/>
  <c r="Q53" i="17"/>
  <c r="M53" i="17" s="1"/>
  <c r="N53" i="17" s="1" a="1"/>
  <c r="N53" i="17" s="1"/>
  <c r="D45" i="17"/>
  <c r="Q54" i="17"/>
  <c r="M54" i="17" s="1"/>
  <c r="N54" i="17" s="1" a="1"/>
  <c r="N54" i="17" s="1"/>
  <c r="Q52" i="17"/>
  <c r="M52" i="17" s="1"/>
  <c r="N52" i="17" s="1" a="1"/>
  <c r="N52" i="17" s="1"/>
  <c r="D46" i="17"/>
  <c r="D41" i="17"/>
  <c r="Q50" i="17"/>
  <c r="M50" i="17" s="1"/>
  <c r="N50" i="17" s="1" a="1"/>
  <c r="N50" i="17" s="1"/>
  <c r="E34" i="17"/>
  <c r="D34" i="17"/>
  <c r="E15" i="17"/>
  <c r="O61" i="17" s="1"/>
  <c r="AO61" i="17" s="1"/>
  <c r="D15" i="17"/>
  <c r="E27" i="17"/>
  <c r="O39" i="17" s="1"/>
  <c r="D27" i="17"/>
  <c r="E16" i="17"/>
  <c r="D16" i="17"/>
  <c r="E21" i="17"/>
  <c r="O45" i="17" s="1"/>
  <c r="D21" i="17"/>
  <c r="E31" i="17"/>
  <c r="D31" i="17"/>
  <c r="E24" i="17"/>
  <c r="O47" i="17" s="1"/>
  <c r="D24" i="17"/>
  <c r="E29" i="17"/>
  <c r="D29" i="17"/>
  <c r="E20" i="17"/>
  <c r="D20" i="17"/>
  <c r="E28" i="17"/>
  <c r="O44" i="17" s="1"/>
  <c r="D28" i="17"/>
  <c r="E23" i="17"/>
  <c r="O40" i="17" s="1"/>
  <c r="E22" i="17"/>
  <c r="O43" i="17" s="1"/>
  <c r="D22" i="17"/>
  <c r="E30" i="17"/>
  <c r="D30" i="17"/>
  <c r="E13" i="17"/>
  <c r="O49" i="17" s="1"/>
  <c r="AO49" i="17" s="1"/>
  <c r="D13" i="17"/>
  <c r="E25" i="17"/>
  <c r="D25" i="17"/>
  <c r="E33" i="17"/>
  <c r="E14" i="17"/>
  <c r="D14" i="17"/>
  <c r="E10" i="17"/>
  <c r="D10" i="17"/>
  <c r="E12" i="17"/>
  <c r="O59" i="17" s="1"/>
  <c r="AO59" i="17" s="1"/>
  <c r="D12" i="17"/>
  <c r="E11" i="17"/>
  <c r="O57" i="17" s="1"/>
  <c r="AO57" i="17" s="1"/>
  <c r="D11" i="17"/>
  <c r="E26" i="17"/>
  <c r="D26" i="17"/>
  <c r="E32" i="17"/>
  <c r="D32" i="17"/>
  <c r="O56" i="17"/>
  <c r="AO56" i="17" s="1"/>
  <c r="D7" i="17"/>
  <c r="D9" i="17"/>
  <c r="D8" i="17"/>
  <c r="D38" i="17"/>
  <c r="D37" i="17"/>
  <c r="D39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55" i="17" l="1"/>
  <c r="AO55" i="17" s="1"/>
  <c r="O46" i="17"/>
  <c r="O41" i="17"/>
  <c r="O52" i="17"/>
  <c r="AO52" i="17" s="1"/>
  <c r="O42" i="17"/>
  <c r="AO42" i="17" s="1"/>
  <c r="O48" i="17"/>
  <c r="AO48" i="17" s="1"/>
  <c r="O53" i="17"/>
  <c r="AO53" i="17" s="1"/>
  <c r="O58" i="17"/>
  <c r="AO58" i="17" s="1"/>
  <c r="O18" i="17"/>
  <c r="AO18" i="17" s="1"/>
  <c r="O10" i="17"/>
  <c r="AO10" i="17" s="1"/>
  <c r="O37" i="17"/>
  <c r="AO37" i="17" s="1"/>
  <c r="O36" i="17"/>
  <c r="AO36" i="17" s="1"/>
  <c r="AO47" i="17"/>
  <c r="AO41" i="17"/>
  <c r="O38" i="17"/>
  <c r="AO38" i="17" s="1"/>
  <c r="O16" i="17"/>
  <c r="AO16" i="17" s="1"/>
  <c r="O50" i="17"/>
  <c r="AO50" i="17" s="1"/>
  <c r="O14" i="17"/>
  <c r="AO14" i="17" s="1"/>
  <c r="O11" i="17"/>
  <c r="AO11" i="17" s="1"/>
  <c r="AO45" i="17"/>
  <c r="O31" i="17"/>
  <c r="AO31" i="17" s="1"/>
  <c r="AO40" i="17"/>
  <c r="O51" i="17"/>
  <c r="AO51" i="17" s="1"/>
  <c r="O34" i="17"/>
  <c r="AO34" i="17" s="1"/>
  <c r="Q51" i="17"/>
  <c r="M51" i="17" s="1"/>
  <c r="N51" i="17" s="1" a="1"/>
  <c r="N51" i="17" s="1"/>
  <c r="O15" i="17"/>
  <c r="AO15" i="17" s="1"/>
  <c r="O20" i="17"/>
  <c r="AO20" i="17" s="1"/>
  <c r="AO46" i="17"/>
  <c r="O13" i="17"/>
  <c r="AO13" i="17" s="1"/>
  <c r="O24" i="17"/>
  <c r="AO24" i="17" s="1"/>
  <c r="O21" i="17"/>
  <c r="AO21" i="17" s="1"/>
  <c r="O19" i="17"/>
  <c r="AO19" i="17" s="1"/>
  <c r="O12" i="17"/>
  <c r="AO12" i="17" s="1"/>
  <c r="O23" i="17"/>
  <c r="AO23" i="17" s="1"/>
  <c r="O33" i="17"/>
  <c r="AO33" i="17" s="1"/>
  <c r="O35" i="17"/>
  <c r="AO35" i="17" s="1"/>
  <c r="O17" i="17"/>
  <c r="AO17" i="17" s="1"/>
  <c r="O22" i="17"/>
  <c r="AO22" i="17" s="1"/>
  <c r="AO44" i="17"/>
  <c r="O25" i="17"/>
  <c r="AO25" i="17" s="1"/>
  <c r="AO43" i="17"/>
  <c r="O32" i="17"/>
  <c r="AO32" i="17" s="1"/>
  <c r="O27" i="17"/>
  <c r="AO27" i="17" s="1"/>
  <c r="O29" i="17"/>
  <c r="AO29" i="17" s="1"/>
  <c r="O26" i="17"/>
  <c r="AO26" i="17" s="1"/>
  <c r="O28" i="17"/>
  <c r="AO28" i="17" s="1"/>
  <c r="O9" i="17"/>
  <c r="AO9" i="17" s="1"/>
  <c r="O30" i="17"/>
  <c r="AO30" i="17" s="1"/>
  <c r="AO39" i="17"/>
  <c r="Q49" i="17"/>
  <c r="M49" i="17" s="1"/>
  <c r="N49" i="17" s="1" a="1"/>
  <c r="N49" i="17" s="1"/>
  <c r="Q38" i="17"/>
  <c r="M38" i="17" s="1"/>
  <c r="N38" i="17" s="1" a="1"/>
  <c r="N38" i="17" s="1"/>
  <c r="D23" i="17"/>
  <c r="D33" i="17"/>
  <c r="D35" i="17"/>
  <c r="D36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7" i="17"/>
  <c r="M37" i="17" s="1"/>
  <c r="N37" i="17" s="1" a="1"/>
  <c r="N37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30" i="17"/>
  <c r="M30" i="17" s="1"/>
  <c r="N30" i="17" s="1" a="1"/>
  <c r="N30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5" i="17"/>
  <c r="M35" i="17" s="1"/>
  <c r="N35" i="17" s="1" a="1"/>
  <c r="N35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1" i="17"/>
  <c r="M31" i="17" s="1"/>
  <c r="N31" i="17" s="1" a="1"/>
  <c r="N31" i="17" s="1"/>
  <c r="Q34" i="17"/>
  <c r="M34" i="17" s="1"/>
  <c r="N34" i="17" s="1" a="1"/>
  <c r="N34" i="17" s="1"/>
  <c r="Q36" i="17"/>
  <c r="M36" i="17" s="1"/>
  <c r="N36" i="17" s="1" a="1"/>
  <c r="N36" i="17" s="1"/>
  <c r="Q32" i="17"/>
  <c r="M32" i="17" s="1"/>
  <c r="N32" i="17" s="1" a="1"/>
  <c r="N32" i="17" s="1"/>
  <c r="Q19" i="17"/>
  <c r="M19" i="17" s="1"/>
  <c r="N19" i="17" s="1" a="1"/>
  <c r="N19" i="17" s="1"/>
  <c r="Q18" i="17"/>
  <c r="M18" i="17" s="1"/>
  <c r="N18" i="17" s="1" a="1"/>
  <c r="N18" i="17" s="1"/>
  <c r="Q33" i="17"/>
  <c r="M33" i="17" s="1"/>
  <c r="N33" i="17" s="1" a="1"/>
  <c r="N33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<sst xmlns="http://schemas.openxmlformats.org/spreadsheetml/2006/main" count="14325" uniqueCount="615">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</sst>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C13" sqref="C13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hidden="1" customWidth="1"/>
    <col min="25" max="33" width="13" hidden="1" customWidth="1"/>
    <col min="34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7" s="34" cm="1">
        <f t="array" ref="C7">_xlfn.XLOOKUP(1,(TablaMeta[CONCAT]=$M$3&amp;$N$3&amp;D1_MARZO_2026[[#This Row],[SUPER]])*(TablaMeta[SEGG]=D1_MARZO_2026[[#This Row],[SEGMENTO]]),TablaMeta[Meta_Asesor])</f>
        <v>56000</v>
      </c>
      <c r="D7" s="35">
        <f>IF(D1_MARZO_2026[[#This Row],[RECUPERO]]="VACACIONES","VACACIONES",IFERROR(D1_MARZO_2026[[#This Row],[RECUPERO]]/D1_MARZO_2026[[#This Row],[META]],""))</f>
        <v>1.1769705357142859</v>
      </c>
      <c r="E7" s="35" t="str">
        <f>D1_MARZO_2026[[#This Row],[SUPER]]</f>
        <v>JORGE</v>
      </c>
      <c r="F7" s="34" t="s">
        <v>23</v>
      </c>
      <c r="G7" s="36">
        <v>65910.350000000006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8" s="34" cm="1">
        <f t="array" ref="C8">_xlfn.XLOOKUP(1,(TablaMeta[CONCAT]=$M$3&amp;$N$3&amp;D1_MARZO_2026[[#This Row],[SUPER]])*(TablaMeta[SEGG]=D1_MARZO_2026[[#This Row],[SEGMENTO]]),TablaMeta[Meta_Asesor])</f>
        <v>56000</v>
      </c>
      <c r="D8" s="35">
        <f>IF(D1_MARZO_2026[[#This Row],[RECUPERO]]="VACACIONES","VACACIONES",IFERROR(D1_MARZO_2026[[#This Row],[RECUPERO]]/D1_MARZO_2026[[#This Row],[META]],""))</f>
        <v>1.0630357142857143</v>
      </c>
      <c r="E8" s="35" t="str">
        <f>D1_MARZO_2026[[#This Row],[SUPER]]</f>
        <v>JORGE</v>
      </c>
      <c r="F8" s="34" t="s">
        <v>22</v>
      </c>
      <c r="G8" s="36">
        <v>59530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9" s="34" cm="1">
        <f t="array" ref="C9">_xlfn.XLOOKUP(1,(TablaMeta[CONCAT]=$M$3&amp;$N$3&amp;D1_MARZO_2026[[#This Row],[SUPER]])*(TablaMeta[SEGG]=D1_MARZO_2026[[#This Row],[SEGMENTO]]),TablaMeta[Meta_Asesor])</f>
        <v>56000</v>
      </c>
      <c r="D9" s="35">
        <f>IF(D1_MARZO_2026[[#This Row],[RECUPERO]]="VACACIONES","VACACIONES",IFERROR(D1_MARZO_2026[[#This Row],[RECUPERO]]/D1_MARZO_2026[[#This Row],[META]],""))</f>
        <v>0.73875000000000002</v>
      </c>
      <c r="E9" s="35" t="str">
        <f>D1_MARZO_2026[[#This Row],[SUPER]]</f>
        <v>JORGE</v>
      </c>
      <c r="F9" s="34" t="s">
        <v>13</v>
      </c>
      <c r="G9" s="36">
        <v>41370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0.88339285714285709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IFERROR(VLOOKUP(DATA_MARZO_2026[[#This Row],[ASER_]],$B:$G,4,0),"")</f>
        <v>JOHAN</v>
      </c>
      <c r="P9" s="6">
        <f>VLOOKUP(DATA_MARZO_2026[[#This Row],[ASER_]],D1_MARZO_2026[[ASESOR_CRR]:[RECUPERO]],6,0)</f>
        <v>49470</v>
      </c>
      <c r="Q9" s="6">
        <f>VLOOKUP(DATA_MARZO_2026[[#This Row],[ASER_]],D1_MARZO_2026[[ASESOR_CRR]:[META]],2,0)</f>
        <v>56000</v>
      </c>
      <c r="R9" t="s">
        <v>59</v>
      </c>
      <c r="S9">
        <v>3500</v>
      </c>
      <c r="T9">
        <v>0</v>
      </c>
      <c r="U9">
        <v>1000</v>
      </c>
      <c r="V9">
        <v>0</v>
      </c>
      <c r="W9">
        <v>0</v>
      </c>
      <c r="X9">
        <v>5500</v>
      </c>
      <c r="Y9">
        <v>0</v>
      </c>
      <c r="Z9">
        <v>0</v>
      </c>
      <c r="AA9">
        <v>4500</v>
      </c>
      <c r="AB9">
        <v>0</v>
      </c>
      <c r="AC9">
        <v>200</v>
      </c>
      <c r="AD9">
        <v>2200</v>
      </c>
      <c r="AE9">
        <v>8000</v>
      </c>
      <c r="AF9">
        <v>1860</v>
      </c>
      <c r="AG9">
        <v>3600</v>
      </c>
      <c r="AH9">
        <v>5470</v>
      </c>
      <c r="AI9">
        <v>2140</v>
      </c>
      <c r="AJ9">
        <v>0</v>
      </c>
      <c r="AK9">
        <v>1500</v>
      </c>
      <c r="AL9">
        <v>10000</v>
      </c>
      <c r="AO9" s="55" t="str">
        <f>VLOOKUP($M$3&amp;$N$3&amp;DATA_MARZO_2026[[#This Row],[SUPERVISOR]],TablaMeta[],7,0)</f>
        <v>S1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574383</v>
      </c>
      <c r="AS9" s="16">
        <f>IFERROR(DITE_MARZO_2026[[#This Row],[RECUPERO SUPERVISOR]]/DITE_MARZO_2026[[#This Row],[META SUPER]],"")</f>
        <v>1.1387427859976487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10" s="34" cm="1">
        <f t="array" ref="C10">_xlfn.XLOOKUP(1,(TablaMeta[CONCAT]=$M$3&amp;$N$3&amp;D1_MARZO_2026[[#This Row],[SUPER]])*(TablaMeta[SEGG]=D1_MARZO_2026[[#This Row],[SEGMENTO]]),TablaMeta[Meta_Asesor])</f>
        <v>56000</v>
      </c>
      <c r="D10" s="35">
        <f>IF(D1_MARZO_2026[[#This Row],[RECUPERO]]="VACACIONES","VACACIONES",IFERROR(D1_MARZO_2026[[#This Row],[RECUPERO]]/D1_MARZO_2026[[#This Row],[META]],""))</f>
        <v>0.58153571428571427</v>
      </c>
      <c r="E10" s="35" t="str">
        <f>D1_MARZO_2026[[#This Row],[SUPER]]</f>
        <v>JORGE</v>
      </c>
      <c r="F10" s="34" t="s">
        <v>24</v>
      </c>
      <c r="G10" s="36">
        <v>32566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0.93398214285714287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IFERROR(VLOOKUP(DATA_MARZO_2026[[#This Row],[ASER_]],$B:$G,4,0),"")</f>
        <v>JOHAN</v>
      </c>
      <c r="P10" s="6">
        <f>VLOOKUP(DATA_MARZO_2026[[#This Row],[ASER_]],D1_MARZO_2026[[ASESOR_CRR]:[RECUPERO]],6,0)</f>
        <v>52303</v>
      </c>
      <c r="Q10" s="6">
        <f>VLOOKUP(DATA_MARZO_2026[[#This Row],[ASER_]],D1_MARZO_2026[[ASESOR_CRR]:[META]],2,0)</f>
        <v>56000</v>
      </c>
      <c r="R10" t="s">
        <v>60</v>
      </c>
      <c r="S10">
        <v>1377</v>
      </c>
      <c r="T10">
        <v>1370</v>
      </c>
      <c r="U10">
        <v>0</v>
      </c>
      <c r="V10">
        <v>1900</v>
      </c>
      <c r="W10">
        <v>3200</v>
      </c>
      <c r="X10">
        <v>0</v>
      </c>
      <c r="Y10">
        <v>3600</v>
      </c>
      <c r="Z10">
        <v>0</v>
      </c>
      <c r="AA10">
        <v>0</v>
      </c>
      <c r="AB10">
        <v>3300</v>
      </c>
      <c r="AC10">
        <v>0</v>
      </c>
      <c r="AD10">
        <v>7400</v>
      </c>
      <c r="AE10">
        <v>4800</v>
      </c>
      <c r="AF10">
        <v>0</v>
      </c>
      <c r="AG10">
        <v>21426</v>
      </c>
      <c r="AH10">
        <v>0</v>
      </c>
      <c r="AI10">
        <v>0</v>
      </c>
      <c r="AJ10">
        <v>700</v>
      </c>
      <c r="AK10">
        <v>0</v>
      </c>
      <c r="AL10">
        <v>3230</v>
      </c>
      <c r="AO10" s="55" t="str">
        <f>VLOOKUP($M$3&amp;$N$3&amp;DATA_MARZO_2026[[#This Row],[SUPERVISOR]],TablaMeta[],7,0)</f>
        <v>S1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390805</v>
      </c>
      <c r="AS10" s="17">
        <f>IFERROR(DITE_MARZO_2026[[#This Row],[RECUPERO SUPERVISOR]]/DITE_MARZO_2026[[#This Row],[META SUPER]],"")</f>
        <v>0.83723416334426637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11" s="34" cm="1">
        <f t="array" ref="C11">_xlfn.XLOOKUP(1,(TablaMeta[CONCAT]=$M$3&amp;$N$3&amp;D1_MARZO_2026[[#This Row],[SUPER]])*(TablaMeta[SEGG]=D1_MARZO_2026[[#This Row],[SEGMENTO]]),TablaMeta[Meta_Asesor])</f>
        <v>56000</v>
      </c>
      <c r="D11" s="35">
        <f>IF(D1_MARZO_2026[[#This Row],[RECUPERO]]="VACACIONES","VACACIONES",IFERROR(D1_MARZO_2026[[#This Row],[RECUPERO]]/D1_MARZO_2026[[#This Row],[META]],""))</f>
        <v>0.56508928571428574</v>
      </c>
      <c r="E11" s="35" t="str">
        <f>D1_MARZO_2026[[#This Row],[SUPER]]</f>
        <v>JORGE</v>
      </c>
      <c r="F11" t="s">
        <v>15</v>
      </c>
      <c r="G11" s="3">
        <v>31645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0.83887500000000004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IFERROR(VLOOKUP(DATA_MARZO_2026[[#This Row],[ASER_]],$B:$G,4,0),"")</f>
        <v>JOHAN</v>
      </c>
      <c r="P11" s="6">
        <f>VLOOKUP(DATA_MARZO_2026[[#This Row],[ASER_]],D1_MARZO_2026[[ASESOR_CRR]:[RECUPERO]],6,0)</f>
        <v>46977</v>
      </c>
      <c r="Q11" s="6">
        <f>VLOOKUP(DATA_MARZO_2026[[#This Row],[ASER_]],D1_MARZO_2026[[ASESOR_CRR]:[META]],2,0)</f>
        <v>56000</v>
      </c>
      <c r="R11" t="s">
        <v>75</v>
      </c>
      <c r="S11">
        <v>0</v>
      </c>
      <c r="T11">
        <v>2000</v>
      </c>
      <c r="U11">
        <v>0</v>
      </c>
      <c r="V11">
        <v>0</v>
      </c>
      <c r="W11">
        <v>500</v>
      </c>
      <c r="X11">
        <v>4200</v>
      </c>
      <c r="Y11">
        <v>0</v>
      </c>
      <c r="Z11">
        <v>0</v>
      </c>
      <c r="AA11">
        <v>115</v>
      </c>
      <c r="AB11">
        <v>12000</v>
      </c>
      <c r="AC11">
        <v>11750</v>
      </c>
      <c r="AD11">
        <v>2140</v>
      </c>
      <c r="AE11">
        <v>0</v>
      </c>
      <c r="AF11">
        <v>0</v>
      </c>
      <c r="AG11">
        <v>1750</v>
      </c>
      <c r="AH11">
        <v>0</v>
      </c>
      <c r="AI11">
        <v>281</v>
      </c>
      <c r="AJ11">
        <v>0</v>
      </c>
      <c r="AK11">
        <v>2562</v>
      </c>
      <c r="AL11">
        <v>9679</v>
      </c>
      <c r="AO11" s="55" t="str">
        <f>VLOOKUP($M$3&amp;$N$3&amp;DATA_MARZO_2026[[#This Row],[SUPERVISOR]],TablaMeta[],7,0)</f>
        <v>S1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335624.5</v>
      </c>
      <c r="AS11" s="16">
        <f>IFERROR(DITE_MARZO_2026[[#This Row],[RECUPERO SUPERVISOR]]/DITE_MARZO_2026[[#This Row],[META SUPER]],"")</f>
        <v>0.55035296432641612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12" s="34" cm="1">
        <f t="array" ref="C12">_xlfn.XLOOKUP(1,(TablaMeta[CONCAT]=$M$3&amp;$N$3&amp;D1_MARZO_2026[[#This Row],[SUPER]])*(TablaMeta[SEGG]=D1_MARZO_2026[[#This Row],[SEGMENTO]]),TablaMeta[Meta_Asesor])</f>
        <v>56000</v>
      </c>
      <c r="D12" s="35">
        <f>IF(D1_MARZO_2026[[#This Row],[RECUPERO]]="VACACIONES","VACACIONES",IFERROR(D1_MARZO_2026[[#This Row],[RECUPERO]]/D1_MARZO_2026[[#This Row],[META]],""))</f>
        <v>0.52053571428571432</v>
      </c>
      <c r="E12" s="35" t="str">
        <f>D1_MARZO_2026[[#This Row],[SUPER]]</f>
        <v>JORGE</v>
      </c>
      <c r="F12" t="s">
        <v>25</v>
      </c>
      <c r="G12" s="3">
        <v>29150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0.67121428571428576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JOHAN</v>
      </c>
      <c r="P12" s="6">
        <f>VLOOKUP(DATA_MARZO_2026[[#This Row],[ASER_]],D1_MARZO_2026[[ASESOR_CRR]:[RECUPERO]],6,0)</f>
        <v>37588</v>
      </c>
      <c r="Q12" s="6">
        <f>VLOOKUP(DATA_MARZO_2026[[#This Row],[ASER_]],D1_MARZO_2026[[ASESOR_CRR]:[META]],2,0)</f>
        <v>56000</v>
      </c>
      <c r="R12" t="s">
        <v>72</v>
      </c>
      <c r="S12">
        <v>0</v>
      </c>
      <c r="T12">
        <v>3000</v>
      </c>
      <c r="U12">
        <v>1000</v>
      </c>
      <c r="V12">
        <v>0</v>
      </c>
      <c r="W12">
        <v>0</v>
      </c>
      <c r="X12">
        <v>0</v>
      </c>
      <c r="Y12">
        <v>0</v>
      </c>
      <c r="Z12">
        <v>300</v>
      </c>
      <c r="AA12">
        <v>2600</v>
      </c>
      <c r="AB12">
        <v>1000</v>
      </c>
      <c r="AC12">
        <v>12000</v>
      </c>
      <c r="AD12">
        <v>5000</v>
      </c>
      <c r="AE12">
        <v>0</v>
      </c>
      <c r="AF12">
        <v>6000</v>
      </c>
      <c r="AG12">
        <v>0</v>
      </c>
      <c r="AH12">
        <v>0</v>
      </c>
      <c r="AI12">
        <v>2688</v>
      </c>
      <c r="AJ12">
        <v>0</v>
      </c>
      <c r="AK12">
        <v>3000</v>
      </c>
      <c r="AL12">
        <v>1000</v>
      </c>
      <c r="AO12" s="55" t="str">
        <f>VLOOKUP($M$3&amp;$N$3&amp;DATA_MARZO_2026[[#This Row],[SUPERVISOR]],TablaMeta[],7,0)</f>
        <v>S1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403955</v>
      </c>
      <c r="AS12" s="17">
        <f>IFERROR(DITE_MARZO_2026[[#This Row],[RECUPERO SUPERVISOR]]/DITE_MARZO_2026[[#This Row],[META SUPER]],"")</f>
        <v>0.66240048537719221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13" s="34" cm="1">
        <f t="array" ref="C13">_xlfn.XLOOKUP(1,(TablaMeta[CONCAT]=$M$3&amp;$N$3&amp;D1_MARZO_2026[[#This Row],[SUPER]])*(TablaMeta[SEGG]=D1_MARZO_2026[[#This Row],[SEGMENTO]]),TablaMeta[Meta_Asesor])</f>
        <v>56000</v>
      </c>
      <c r="D13" s="35">
        <f>IF(D1_MARZO_2026[[#This Row],[RECUPERO]]="VACACIONES","VACACIONES",IFERROR(D1_MARZO_2026[[#This Row],[RECUPERO]]/D1_MARZO_2026[[#This Row],[META]],""))</f>
        <v>0.43576785714285715</v>
      </c>
      <c r="E13" s="35" t="str">
        <f>D1_MARZO_2026[[#This Row],[SUPER]]</f>
        <v>JORGE</v>
      </c>
      <c r="F13" t="s">
        <v>392</v>
      </c>
      <c r="G13" s="3">
        <v>24403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0.46567857142857144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JOHAN</v>
      </c>
      <c r="P13" s="6">
        <f>VLOOKUP(DATA_MARZO_2026[[#This Row],[ASER_]],D1_MARZO_2026[[ASESOR_CRR]:[RECUPERO]],6,0)</f>
        <v>26078</v>
      </c>
      <c r="Q13" s="6">
        <f>VLOOKUP(DATA_MARZO_2026[[#This Row],[ASER_]],D1_MARZO_2026[[ASESOR_CRR]:[META]],2,0)</f>
        <v>56000</v>
      </c>
      <c r="R13" t="s">
        <v>12</v>
      </c>
      <c r="S13" s="47">
        <v>0</v>
      </c>
      <c r="T13">
        <v>0</v>
      </c>
      <c r="U13">
        <v>3800</v>
      </c>
      <c r="V13">
        <v>0</v>
      </c>
      <c r="W13">
        <v>3500</v>
      </c>
      <c r="X13">
        <v>0</v>
      </c>
      <c r="Y13">
        <v>0</v>
      </c>
      <c r="Z13">
        <v>1500</v>
      </c>
      <c r="AA13">
        <v>0</v>
      </c>
      <c r="AB13">
        <v>0</v>
      </c>
      <c r="AC13">
        <v>3000</v>
      </c>
      <c r="AD13">
        <v>3078</v>
      </c>
      <c r="AE13">
        <v>1850</v>
      </c>
      <c r="AF13">
        <v>500</v>
      </c>
      <c r="AG13">
        <v>350</v>
      </c>
      <c r="AH13">
        <v>0</v>
      </c>
      <c r="AI13">
        <v>0</v>
      </c>
      <c r="AJ13">
        <v>3500</v>
      </c>
      <c r="AK13">
        <v>2500</v>
      </c>
      <c r="AL13">
        <v>2500</v>
      </c>
      <c r="AO13" s="55" t="str">
        <f>VLOOKUP($M$3&amp;$N$3&amp;DATA_MARZO_2026[[#This Row],[SUPERVISOR]],TablaMeta[],7,0)</f>
        <v>S1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205662</v>
      </c>
      <c r="AS13" s="16">
        <f>IFERROR(DITE_MARZO_2026[[#This Row],[RECUPERO SUPERVISOR]]/DITE_MARZO_2026[[#This Row],[META SUPER]],"")</f>
        <v>0.76657174379770987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14" s="34" cm="1">
        <f t="array" ref="C14">_xlfn.XLOOKUP(1,(TablaMeta[CONCAT]=$M$3&amp;$N$3&amp;D1_MARZO_2026[[#This Row],[SUPER]])*(TablaMeta[SEGG]=D1_MARZO_2026[[#This Row],[SEGMENTO]]),TablaMeta[Meta_Asesor])</f>
        <v>56000</v>
      </c>
      <c r="D14" s="35">
        <f>IF(D1_MARZO_2026[[#This Row],[RECUPERO]]="VACACIONES","VACACIONES",IFERROR(D1_MARZO_2026[[#This Row],[RECUPERO]]/D1_MARZO_2026[[#This Row],[META]],""))</f>
        <v>0.41357142857142859</v>
      </c>
      <c r="E14" s="35" t="str">
        <f>D1_MARZO_2026[[#This Row],[SUPER]]</f>
        <v>JORGE</v>
      </c>
      <c r="F14" t="s">
        <v>65</v>
      </c>
      <c r="G14" s="3">
        <v>23160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0.6875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JOHAN</v>
      </c>
      <c r="P14" s="6">
        <f>VLOOKUP(DATA_MARZO_2026[[#This Row],[ASER_]],D1_MARZO_2026[[ASESOR_CRR]:[RECUPERO]],6,0)</f>
        <v>38500</v>
      </c>
      <c r="Q14" s="6">
        <f>VLOOKUP(DATA_MARZO_2026[[#This Row],[ASER_]],D1_MARZO_2026[[ASESOR_CRR]:[META]],2,0)</f>
        <v>56000</v>
      </c>
      <c r="R14" t="s">
        <v>18</v>
      </c>
      <c r="S14" s="47">
        <v>0</v>
      </c>
      <c r="T14">
        <v>0</v>
      </c>
      <c r="U14">
        <v>0</v>
      </c>
      <c r="V14">
        <v>4900</v>
      </c>
      <c r="W14">
        <v>0</v>
      </c>
      <c r="X14">
        <v>0</v>
      </c>
      <c r="Y14">
        <v>8000</v>
      </c>
      <c r="Z14">
        <v>0</v>
      </c>
      <c r="AA14">
        <v>0</v>
      </c>
      <c r="AB14">
        <v>2000</v>
      </c>
      <c r="AC14">
        <v>0</v>
      </c>
      <c r="AD14">
        <v>0</v>
      </c>
      <c r="AE14">
        <v>0</v>
      </c>
      <c r="AF14">
        <v>0</v>
      </c>
      <c r="AG14">
        <v>16600</v>
      </c>
      <c r="AH14">
        <v>3000</v>
      </c>
      <c r="AI14">
        <v>4000</v>
      </c>
      <c r="AJ14">
        <v>0</v>
      </c>
      <c r="AK14">
        <v>0</v>
      </c>
      <c r="AL14">
        <v>0</v>
      </c>
      <c r="AO14" s="55" t="str">
        <f>VLOOKUP($M$3&amp;$N$3&amp;DATA_MARZO_2026[[#This Row],[SUPERVISOR]],TablaMeta[],7,0)</f>
        <v>S1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15" s="34" cm="1">
        <f t="array" ref="C15">_xlfn.XLOOKUP(1,(TablaMeta[CONCAT]=$M$3&amp;$N$3&amp;D1_MARZO_2026[[#This Row],[SUPER]])*(TablaMeta[SEGG]=D1_MARZO_2026[[#This Row],[SEGMENTO]]),TablaMeta[Meta_Asesor])</f>
        <v>56000</v>
      </c>
      <c r="D15" s="35">
        <f>IF(D1_MARZO_2026[[#This Row],[RECUPERO]]="VACACIONES","VACACIONES",IFERROR(D1_MARZO_2026[[#This Row],[RECUPERO]]/D1_MARZO_2026[[#This Row],[META]],""))</f>
        <v>0.26885089285714286</v>
      </c>
      <c r="E15" s="35" t="str">
        <f>D1_MARZO_2026[[#This Row],[SUPER]]</f>
        <v>JORGE</v>
      </c>
      <c r="F15" t="s">
        <v>580</v>
      </c>
      <c r="G15" s="3">
        <v>15055.65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0.65589285714285717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JOHAN</v>
      </c>
      <c r="P15" s="6">
        <f>VLOOKUP(DATA_MARZO_2026[[#This Row],[ASER_]],D1_MARZO_2026[[ASESOR_CRR]:[RECUPERO]],6,0)</f>
        <v>36730</v>
      </c>
      <c r="Q15" s="6">
        <f>VLOOKUP(DATA_MARZO_2026[[#This Row],[ASER_]],D1_MARZO_2026[[ASESOR_CRR]:[META]],2,0)</f>
        <v>56000</v>
      </c>
      <c r="R15" t="s">
        <v>122</v>
      </c>
      <c r="S15" s="47">
        <v>0</v>
      </c>
      <c r="T15">
        <v>630</v>
      </c>
      <c r="U15">
        <v>0</v>
      </c>
      <c r="V15">
        <v>0</v>
      </c>
      <c r="W15">
        <v>0</v>
      </c>
      <c r="X15">
        <v>0</v>
      </c>
      <c r="Y15">
        <v>0</v>
      </c>
      <c r="Z15">
        <v>4500</v>
      </c>
      <c r="AA15">
        <v>6500</v>
      </c>
      <c r="AB15">
        <v>0</v>
      </c>
      <c r="AC15">
        <v>8000</v>
      </c>
      <c r="AD15">
        <v>0</v>
      </c>
      <c r="AE15">
        <v>2300</v>
      </c>
      <c r="AF15">
        <v>0</v>
      </c>
      <c r="AG15">
        <v>5600</v>
      </c>
      <c r="AH15">
        <v>9200</v>
      </c>
      <c r="AI15">
        <v>0</v>
      </c>
      <c r="AJ15">
        <v>0</v>
      </c>
      <c r="AK15">
        <v>0</v>
      </c>
      <c r="AL15">
        <v>0</v>
      </c>
      <c r="AO15" s="55" t="str">
        <f>VLOOKUP($M$3&amp;$N$3&amp;DATA_MARZO_2026[[#This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16" s="34" cm="1">
        <f t="array" ref="C16">_xlfn.XLOOKUP(1,(TablaMeta[CONCAT]=$M$3&amp;$N$3&amp;D1_MARZO_2026[[#This Row],[SUPER]])*(TablaMeta[SEGG]=D1_MARZO_2026[[#This Row],[SEGMENTO]]),TablaMeta[Meta_Asesor])</f>
        <v>56000</v>
      </c>
      <c r="D16" s="35">
        <f>IF(D1_MARZO_2026[[#This Row],[RECUPERO]]="VACACIONES","VACACIONES",IFERROR(D1_MARZO_2026[[#This Row],[RECUPERO]]/D1_MARZO_2026[[#This Row],[META]],""))</f>
        <v>0.16071428571428573</v>
      </c>
      <c r="E16" s="35" t="str">
        <f>D1_MARZO_2026[[#This Row],[SUPER]]</f>
        <v>JORGE</v>
      </c>
      <c r="F16" t="s">
        <v>207</v>
      </c>
      <c r="G16" s="3">
        <v>9000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0.34046428571428572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JOHAN</v>
      </c>
      <c r="P16" s="6">
        <f>VLOOKUP(DATA_MARZO_2026[[#This Row],[ASER_]],D1_MARZO_2026[[ASESOR_CRR]:[RECUPERO]],6,0)</f>
        <v>19066</v>
      </c>
      <c r="Q16" s="6">
        <f>VLOOKUP(DATA_MARZO_2026[[#This Row],[ASER_]],D1_MARZO_2026[[ASESOR_CRR]:[META]],2,0)</f>
        <v>56000</v>
      </c>
      <c r="R16" t="s">
        <v>206</v>
      </c>
      <c r="S16">
        <v>6000</v>
      </c>
      <c r="T16">
        <v>0</v>
      </c>
      <c r="U16">
        <v>0</v>
      </c>
      <c r="V16">
        <v>470</v>
      </c>
      <c r="W16">
        <v>5800</v>
      </c>
      <c r="X16">
        <v>0</v>
      </c>
      <c r="Y16">
        <v>0</v>
      </c>
      <c r="Z16">
        <v>0</v>
      </c>
      <c r="AA16">
        <v>0</v>
      </c>
      <c r="AB16">
        <v>0</v>
      </c>
      <c r="AC16">
        <v>3050</v>
      </c>
      <c r="AD16">
        <v>0</v>
      </c>
      <c r="AE16">
        <v>2527</v>
      </c>
      <c r="AF16">
        <v>0</v>
      </c>
      <c r="AG16">
        <v>219</v>
      </c>
      <c r="AH16">
        <v>550</v>
      </c>
      <c r="AI16">
        <v>0</v>
      </c>
      <c r="AJ16">
        <v>200</v>
      </c>
      <c r="AK16">
        <v>0</v>
      </c>
      <c r="AL16">
        <v>250</v>
      </c>
      <c r="AO16" s="55" t="str">
        <f>VLOOKUP($M$3&amp;$N$3&amp;DATA_MARZO_2026[[#This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17" s="34" cm="1">
        <f t="array" ref="C17">_xlfn.XLOOKUP(1,(TablaMeta[CONCAT]=$M$3&amp;$N$3&amp;D1_MARZO_2026[[#This Row],[SUPER]])*(TablaMeta[SEGG]=D1_MARZO_2026[[#This Row],[SEGMENTO]]),TablaMeta[Meta_Asesor])</f>
        <v>56000</v>
      </c>
      <c r="D17" s="35">
        <f>IF(D1_MARZO_2026[[#This Row],[RECUPERO]]="VACACIONES","VACACIONES",IFERROR(D1_MARZO_2026[[#This Row],[RECUPERO]]/D1_MARZO_2026[[#This Row],[META]],""))</f>
        <v>6.3116071428571424E-2</v>
      </c>
      <c r="E17" s="35" t="str">
        <f>D1_MARZO_2026[[#This Row],[SUPER]]</f>
        <v>JORGE</v>
      </c>
      <c r="F17" t="s">
        <v>17</v>
      </c>
      <c r="G17" s="3">
        <v>3534.5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0.22517857142857142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JOHAN</v>
      </c>
      <c r="P17" s="6">
        <f>VLOOKUP(DATA_MARZO_2026[[#This Row],[ASER_]],D1_MARZO_2026[[ASESOR_CRR]:[RECUPERO]],6,0)</f>
        <v>12610</v>
      </c>
      <c r="Q17" s="6">
        <f>VLOOKUP(DATA_MARZO_2026[[#This Row],[ASER_]],D1_MARZO_2026[[ASESOR_CRR]:[META]],2,0)</f>
        <v>56000</v>
      </c>
      <c r="R17" t="s">
        <v>109</v>
      </c>
      <c r="S17" s="45">
        <v>0</v>
      </c>
      <c r="T17">
        <v>1000</v>
      </c>
      <c r="U17">
        <v>0</v>
      </c>
      <c r="V17">
        <v>0</v>
      </c>
      <c r="W17">
        <v>0</v>
      </c>
      <c r="X17">
        <v>0</v>
      </c>
      <c r="Y17">
        <v>610</v>
      </c>
      <c r="Z17">
        <v>0</v>
      </c>
      <c r="AA17">
        <v>0</v>
      </c>
      <c r="AB17">
        <v>0</v>
      </c>
      <c r="AC17">
        <v>375</v>
      </c>
      <c r="AD17">
        <v>8000</v>
      </c>
      <c r="AE17">
        <v>0</v>
      </c>
      <c r="AF17">
        <v>0</v>
      </c>
      <c r="AG17">
        <v>1400</v>
      </c>
      <c r="AH17">
        <v>0</v>
      </c>
      <c r="AI17">
        <v>0</v>
      </c>
      <c r="AJ17">
        <v>375</v>
      </c>
      <c r="AK17">
        <v>850</v>
      </c>
      <c r="AL17">
        <v>0</v>
      </c>
      <c r="AO17" s="55" t="str">
        <f>VLOOKUP($M$3&amp;$N$3&amp;DATA_MARZO_2026[[#This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18" s="34" cm="1">
        <f t="array" ref="C18">_xlfn.XLOOKUP(1,(TablaMeta[CONCAT]=$M$3&amp;$N$3&amp;D1_MARZO_2026[[#This Row],[SUPER]])*(TablaMeta[SEGG]=D1_MARZO_2026[[#This Row],[SEGMENTO]]),TablaMeta[Meta_Asesor])</f>
        <v>86000</v>
      </c>
      <c r="D18" s="35">
        <f>IF(D1_MARZO_2026[[#This Row],[RECUPERO]]="VACACIONES","VACACIONES",IFERROR(D1_MARZO_2026[[#This Row],[RECUPERO]]/D1_MARZO_2026[[#This Row],[META]],""))</f>
        <v>1.1751162790697673</v>
      </c>
      <c r="E18" s="35" t="str">
        <f>D1_MARZO_2026[[#This Row],[SUPER]]</f>
        <v>KENNETH</v>
      </c>
      <c r="F18" t="s">
        <v>97</v>
      </c>
      <c r="G18" s="3">
        <v>101060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18" s="56"/>
      <c r="M18" s="5">
        <f>DATA_MARZO_2026[[#This Row],[RECUPERO]]/DATA_MARZO_2026[[#This Row],[META]]</f>
        <v>1.2259464285714285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IFERROR(VLOOKUP(DATA_MARZO_2026[[#This Row],[ASER_]],$B:$G,4,0),"")</f>
        <v>JOHAN</v>
      </c>
      <c r="P18" s="6">
        <f>VLOOKUP(DATA_MARZO_2026[[#This Row],[ASER_]],D1_MARZO_2026[[ASESOR_CRR]:[RECUPERO]],6,0)</f>
        <v>68653</v>
      </c>
      <c r="Q18" s="6">
        <f>VLOOKUP(DATA_MARZO_2026[[#This Row],[ASER_]],D1_MARZO_2026[[ASESOR_CRR]:[META]],2,0)</f>
        <v>56000</v>
      </c>
      <c r="R18" t="s">
        <v>61</v>
      </c>
      <c r="S18">
        <v>6550</v>
      </c>
      <c r="T18">
        <v>438</v>
      </c>
      <c r="U18">
        <v>0</v>
      </c>
      <c r="V18">
        <v>1065</v>
      </c>
      <c r="W18">
        <v>0</v>
      </c>
      <c r="X18">
        <v>600</v>
      </c>
      <c r="Y18">
        <v>5800</v>
      </c>
      <c r="Z18">
        <v>1900</v>
      </c>
      <c r="AA18">
        <v>3500</v>
      </c>
      <c r="AB18">
        <v>2000</v>
      </c>
      <c r="AC18">
        <v>0</v>
      </c>
      <c r="AD18">
        <v>0</v>
      </c>
      <c r="AE18">
        <v>18200</v>
      </c>
      <c r="AF18">
        <v>700</v>
      </c>
      <c r="AG18">
        <v>22500</v>
      </c>
      <c r="AH18">
        <v>0</v>
      </c>
      <c r="AI18">
        <v>0</v>
      </c>
      <c r="AJ18">
        <v>0</v>
      </c>
      <c r="AK18">
        <v>0</v>
      </c>
      <c r="AL18">
        <v>5400</v>
      </c>
      <c r="AO18" s="55" t="str">
        <f>VLOOKUP($M$3&amp;$N$3&amp;DATA_MARZO_2026[[#This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19" s="34" cm="1">
        <f t="array" ref="C19">_xlfn.XLOOKUP(1,(TablaMeta[CONCAT]=$M$3&amp;$N$3&amp;D1_MARZO_2026[[#This Row],[SUPER]])*(TablaMeta[SEGG]=D1_MARZO_2026[[#This Row],[SEGMENTO]]),TablaMeta[Meta_Asesor])</f>
        <v>86000</v>
      </c>
      <c r="D19" s="35">
        <f>IF(D1_MARZO_2026[[#This Row],[RECUPERO]]="VACACIONES","VACACIONES",IFERROR(D1_MARZO_2026[[#This Row],[RECUPERO]]/D1_MARZO_2026[[#This Row],[META]],""))</f>
        <v>0.57447674418604655</v>
      </c>
      <c r="E19" s="35" t="str">
        <f>D1_MARZO_2026[[#This Row],[SUPER]]</f>
        <v>KENNETH</v>
      </c>
      <c r="F19" t="s">
        <v>35</v>
      </c>
      <c r="G19" s="3">
        <v>49405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19" s="56"/>
      <c r="M19" s="5">
        <f>DATA_MARZO_2026[[#This Row],[RECUPERO]]/DATA_MARZO_2026[[#This Row],[META]]</f>
        <v>0.27892857142857141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JOHAN</v>
      </c>
      <c r="P19" s="6">
        <f>VLOOKUP(DATA_MARZO_2026[[#This Row],[ASER_]],D1_MARZO_2026[[ASESOR_CRR]:[RECUPERO]],6,0)</f>
        <v>15620</v>
      </c>
      <c r="Q19" s="6">
        <f>VLOOKUP(DATA_MARZO_2026[[#This Row],[ASER_]],D1_MARZO_2026[[ASESOR_CRR]:[META]],2,0)</f>
        <v>56000</v>
      </c>
      <c r="R19" t="s">
        <v>85</v>
      </c>
      <c r="S19">
        <v>4000</v>
      </c>
      <c r="T19">
        <v>0</v>
      </c>
      <c r="U19">
        <v>0</v>
      </c>
      <c r="V19">
        <v>315</v>
      </c>
      <c r="W19">
        <v>1000</v>
      </c>
      <c r="X19">
        <v>1135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320</v>
      </c>
      <c r="AF19">
        <v>0</v>
      </c>
      <c r="AG19">
        <v>0</v>
      </c>
      <c r="AH19">
        <v>0</v>
      </c>
      <c r="AI19">
        <v>8500</v>
      </c>
      <c r="AJ19">
        <v>350</v>
      </c>
      <c r="AK19">
        <v>0</v>
      </c>
      <c r="AL19">
        <v>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20" s="34" cm="1">
        <f t="array" ref="C20">_xlfn.XLOOKUP(1,(TablaMeta[CONCAT]=$M$3&amp;$N$3&amp;D1_MARZO_2026[[#This Row],[SUPER]])*(TablaMeta[SEGG]=D1_MARZO_2026[[#This Row],[SEGMENTO]]),TablaMeta[Meta_Asesor])</f>
        <v>86000</v>
      </c>
      <c r="D20" s="35">
        <f>IF(D1_MARZO_2026[[#This Row],[RECUPERO]]="VACACIONES","VACACIONES",IFERROR(D1_MARZO_2026[[#This Row],[RECUPERO]]/D1_MARZO_2026[[#This Row],[META]],""))</f>
        <v>0.3049825581395349</v>
      </c>
      <c r="E20" s="35" t="str">
        <f>D1_MARZO_2026[[#This Row],[SUPER]]</f>
        <v>KENNETH</v>
      </c>
      <c r="F20" t="s">
        <v>37</v>
      </c>
      <c r="G20" s="3">
        <v>26228.5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0" s="56"/>
      <c r="M20" s="5">
        <f>DATA_MARZO_2026[[#This Row],[RECUPERO]]/DATA_MARZO_2026[[#This Row],[META]]</f>
        <v>0.70294285714285709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IFERROR(VLOOKUP(DATA_MARZO_2026[[#This Row],[ASER_]],$B:$G,4,0),"")</f>
        <v>LEONOR</v>
      </c>
      <c r="P20" s="6">
        <f>VLOOKUP(DATA_MARZO_2026[[#This Row],[ASER_]],D1_MARZO_2026[[ASESOR_CRR]:[RECUPERO]],6,0)</f>
        <v>24603</v>
      </c>
      <c r="Q20" s="6">
        <f>VLOOKUP(DATA_MARZO_2026[[#This Row],[ASER_]],D1_MARZO_2026[[ASESOR_CRR]:[META]],2,0)</f>
        <v>35000</v>
      </c>
      <c r="R20" t="s">
        <v>77</v>
      </c>
      <c r="S20">
        <v>0</v>
      </c>
      <c r="T20">
        <v>0</v>
      </c>
      <c r="U20">
        <v>0</v>
      </c>
      <c r="V20">
        <v>265</v>
      </c>
      <c r="W20">
        <v>1034</v>
      </c>
      <c r="X20">
        <v>231</v>
      </c>
      <c r="Y20">
        <v>5954</v>
      </c>
      <c r="Z20">
        <v>0</v>
      </c>
      <c r="AA20">
        <v>0</v>
      </c>
      <c r="AB20">
        <v>1800</v>
      </c>
      <c r="AC20">
        <v>800</v>
      </c>
      <c r="AD20">
        <v>0</v>
      </c>
      <c r="AE20">
        <v>3657.13</v>
      </c>
      <c r="AF20">
        <v>5168</v>
      </c>
      <c r="AG20">
        <v>330</v>
      </c>
      <c r="AH20">
        <v>0</v>
      </c>
      <c r="AI20">
        <v>364</v>
      </c>
      <c r="AJ20">
        <v>3000</v>
      </c>
      <c r="AK20">
        <v>2000</v>
      </c>
      <c r="AL20">
        <v>0</v>
      </c>
      <c r="AO20" s="55" t="str">
        <f>VLOOKUP($M$3&amp;$N$3&amp;DATA_MARZO_2026[[#This Row],[SUPERVISOR]],TablaMeta[],7,0)</f>
        <v>S2-3-4 BANCO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21" s="34" cm="1">
        <f t="array" ref="C21">_xlfn.XLOOKUP(1,(TablaMeta[CONCAT]=$M$3&amp;$N$3&amp;D1_MARZO_2026[[#This Row],[SUPER]])*(TablaMeta[SEGG]=D1_MARZO_2026[[#This Row],[SEGMENTO]]),TablaMeta[Meta_Asesor])</f>
        <v>30500</v>
      </c>
      <c r="D21" s="35">
        <f>IF(D1_MARZO_2026[[#This Row],[RECUPERO]]="VACACIONES","VACACIONES",IFERROR(D1_MARZO_2026[[#This Row],[RECUPERO]]/D1_MARZO_2026[[#This Row],[META]],""))</f>
        <v>1.8463934426229509</v>
      </c>
      <c r="E21" s="35" t="str">
        <f>D1_MARZO_2026[[#This Row],[SUPER]]</f>
        <v>KENNETH</v>
      </c>
      <c r="F21" t="s">
        <v>34</v>
      </c>
      <c r="G21" s="3">
        <v>56315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0.62771428571428567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LEONOR</v>
      </c>
      <c r="P21" s="6">
        <f>VLOOKUP(DATA_MARZO_2026[[#This Row],[ASER_]],D1_MARZO_2026[[ASESOR_CRR]:[RECUPERO]],6,0)</f>
        <v>21970</v>
      </c>
      <c r="Q21" s="6">
        <f>VLOOKUP(DATA_MARZO_2026[[#This Row],[ASER_]],D1_MARZO_2026[[ASESOR_CRR]:[META]],2,0)</f>
        <v>35000</v>
      </c>
      <c r="R21" t="s">
        <v>73</v>
      </c>
      <c r="S21">
        <v>0</v>
      </c>
      <c r="T21">
        <v>0</v>
      </c>
      <c r="U21">
        <v>0</v>
      </c>
      <c r="V21">
        <v>1530</v>
      </c>
      <c r="W21">
        <v>820</v>
      </c>
      <c r="X21">
        <v>663</v>
      </c>
      <c r="Y21">
        <v>1850</v>
      </c>
      <c r="Z21">
        <v>0</v>
      </c>
      <c r="AA21">
        <v>1150</v>
      </c>
      <c r="AB21">
        <v>0</v>
      </c>
      <c r="AC21">
        <v>1850</v>
      </c>
      <c r="AD21">
        <v>0</v>
      </c>
      <c r="AE21">
        <v>0</v>
      </c>
      <c r="AF21">
        <v>3500</v>
      </c>
      <c r="AG21">
        <v>2830</v>
      </c>
      <c r="AH21">
        <v>277</v>
      </c>
      <c r="AI21">
        <v>2500</v>
      </c>
      <c r="AJ21">
        <v>1500</v>
      </c>
      <c r="AK21">
        <v>0</v>
      </c>
      <c r="AL21">
        <v>3500</v>
      </c>
      <c r="AO21" s="55" t="str">
        <f>VLOOKUP($M$3&amp;$N$3&amp;DATA_MARZO_2026[[#This Row],[SUPERVISOR]],TablaMeta[],7,0)</f>
        <v>S2-3-4 BANCO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22" s="34" cm="1">
        <f t="array" ref="C22">_xlfn.XLOOKUP(1,(TablaMeta[CONCAT]=$M$3&amp;$N$3&amp;D1_MARZO_2026[[#This Row],[SUPER]])*(TablaMeta[SEGG]=D1_MARZO_2026[[#This Row],[SEGMENTO]]),TablaMeta[Meta_Asesor])</f>
        <v>30500</v>
      </c>
      <c r="D22" s="35">
        <f>IF(D1_MARZO_2026[[#This Row],[RECUPERO]]="VACACIONES","VACACIONES",IFERROR(D1_MARZO_2026[[#This Row],[RECUPERO]]/D1_MARZO_2026[[#This Row],[META]],""))</f>
        <v>1.391967213114754</v>
      </c>
      <c r="E22" s="35" t="str">
        <f>D1_MARZO_2026[[#This Row],[SUPER]]</f>
        <v>KENNETH</v>
      </c>
      <c r="F22" t="s">
        <v>19</v>
      </c>
      <c r="G22" s="3">
        <v>42455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0.57371428571428573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LEONOR</v>
      </c>
      <c r="P22" s="6">
        <f>VLOOKUP(DATA_MARZO_2026[[#This Row],[ASER_]],D1_MARZO_2026[[ASESOR_CRR]:[RECUPERO]],6,0)</f>
        <v>20080</v>
      </c>
      <c r="Q22" s="6">
        <f>VLOOKUP(DATA_MARZO_2026[[#This Row],[ASER_]],D1_MARZO_2026[[ASESOR_CRR]:[META]],2,0)</f>
        <v>35000</v>
      </c>
      <c r="R22" t="s">
        <v>48</v>
      </c>
      <c r="S22">
        <v>0</v>
      </c>
      <c r="T22">
        <v>0</v>
      </c>
      <c r="U22">
        <v>550</v>
      </c>
      <c r="V22">
        <v>0</v>
      </c>
      <c r="W22">
        <v>3700</v>
      </c>
      <c r="X22">
        <v>1000</v>
      </c>
      <c r="Y22">
        <v>0</v>
      </c>
      <c r="Z22">
        <v>770</v>
      </c>
      <c r="AA22">
        <v>4800</v>
      </c>
      <c r="AB22">
        <v>1500</v>
      </c>
      <c r="AC22">
        <v>0</v>
      </c>
      <c r="AD22">
        <v>1300</v>
      </c>
      <c r="AE22">
        <v>660</v>
      </c>
      <c r="AF22">
        <v>0</v>
      </c>
      <c r="AG22">
        <v>1300</v>
      </c>
      <c r="AH22">
        <v>0</v>
      </c>
      <c r="AI22">
        <v>1000</v>
      </c>
      <c r="AJ22">
        <v>800</v>
      </c>
      <c r="AK22">
        <v>0</v>
      </c>
      <c r="AL22">
        <v>2700</v>
      </c>
      <c r="AO22" s="55" t="str">
        <f>VLOOKUP($M$3&amp;$N$3&amp;DATA_MARZO_2026[[#This Row],[SUPERVISOR]],TablaMeta[],7,0)</f>
        <v>S2-3-4 BANCO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23" s="34" cm="1">
        <f t="array" ref="C23">_xlfn.XLOOKUP(1,(TablaMeta[CONCAT]=$M$3&amp;$N$3&amp;D1_MARZO_2026[[#This Row],[SUPER]])*(TablaMeta[SEGG]=D1_MARZO_2026[[#This Row],[SEGMENTO]]),TablaMeta[Meta_Asesor])</f>
        <v>30500</v>
      </c>
      <c r="D23" s="35">
        <f>IF(D1_MARZO_2026[[#This Row],[RECUPERO]]="VACACIONES","VACACIONES",IFERROR(D1_MARZO_2026[[#This Row],[RECUPERO]]/D1_MARZO_2026[[#This Row],[META]],""))</f>
        <v>0.93265573770491805</v>
      </c>
      <c r="E23" s="35" t="str">
        <f>D1_MARZO_2026[[#This Row],[SUPER]]</f>
        <v>KENNETH</v>
      </c>
      <c r="F23" t="s">
        <v>50</v>
      </c>
      <c r="G23" s="3">
        <v>28446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0.91594285714285717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IFERROR(VLOOKUP(DATA_MARZO_2026[[#This Row],[ASER_]],$B:$G,4,0),"")</f>
        <v>LEONOR</v>
      </c>
      <c r="P23" s="6">
        <f>VLOOKUP(DATA_MARZO_2026[[#This Row],[ASER_]],D1_MARZO_2026[[ASESOR_CRR]:[RECUPERO]],6,0)</f>
        <v>32058</v>
      </c>
      <c r="Q23" s="6">
        <f>VLOOKUP(DATA_MARZO_2026[[#This Row],[ASER_]],D1_MARZO_2026[[ASESOR_CRR]:[META]],2,0)</f>
        <v>35000</v>
      </c>
      <c r="R23" t="s">
        <v>51</v>
      </c>
      <c r="S23">
        <v>0</v>
      </c>
      <c r="T23">
        <v>0</v>
      </c>
      <c r="U23">
        <v>0</v>
      </c>
      <c r="V23">
        <v>600</v>
      </c>
      <c r="W23">
        <v>1000</v>
      </c>
      <c r="X23">
        <v>13500</v>
      </c>
      <c r="Y23">
        <v>0</v>
      </c>
      <c r="Z23">
        <v>750</v>
      </c>
      <c r="AA23">
        <v>200</v>
      </c>
      <c r="AB23">
        <v>600</v>
      </c>
      <c r="AC23">
        <v>4773</v>
      </c>
      <c r="AD23">
        <v>4550</v>
      </c>
      <c r="AE23">
        <v>0</v>
      </c>
      <c r="AF23">
        <v>0</v>
      </c>
      <c r="AG23">
        <v>500</v>
      </c>
      <c r="AH23">
        <v>0</v>
      </c>
      <c r="AI23">
        <v>3850</v>
      </c>
      <c r="AJ23">
        <v>1300</v>
      </c>
      <c r="AK23">
        <v>135</v>
      </c>
      <c r="AL23">
        <v>300</v>
      </c>
      <c r="AO23" s="55" t="str">
        <f>VLOOKUP($M$3&amp;$N$3&amp;DATA_MARZO_2026[[#This Row],[SUPERVISOR]],TablaMeta[],7,0)</f>
        <v>S2-3-4 BANCO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24" s="34" cm="1">
        <f t="array" ref="C24">_xlfn.XLOOKUP(1,(TablaMeta[CONCAT]=$M$3&amp;$N$3&amp;D1_MARZO_2026[[#This Row],[SUPER]])*(TablaMeta[SEGG]=D1_MARZO_2026[[#This Row],[SEGMENTO]]),TablaMeta[Meta_Asesor])</f>
        <v>30500</v>
      </c>
      <c r="D24" s="35">
        <f>IF(D1_MARZO_2026[[#This Row],[RECUPERO]]="VACACIONES","VACACIONES",IFERROR(D1_MARZO_2026[[#This Row],[RECUPERO]]/D1_MARZO_2026[[#This Row],[META]],""))</f>
        <v>0.73593442622950822</v>
      </c>
      <c r="E24" s="35" t="str">
        <f>D1_MARZO_2026[[#This Row],[SUPER]]</f>
        <v>KENNETH</v>
      </c>
      <c r="F24" t="s">
        <v>80</v>
      </c>
      <c r="G24" s="3">
        <v>22446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0.60442857142857143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IFERROR(VLOOKUP(DATA_MARZO_2026[[#This Row],[ASER_]],$B:$G,4,0),"")</f>
        <v>LEONOR</v>
      </c>
      <c r="P24" s="6">
        <f>VLOOKUP(DATA_MARZO_2026[[#This Row],[ASER_]],D1_MARZO_2026[[ASESOR_CRR]:[RECUPERO]],6,0)</f>
        <v>21155</v>
      </c>
      <c r="Q24" s="6">
        <f>VLOOKUP(DATA_MARZO_2026[[#This Row],[ASER_]],D1_MARZO_2026[[ASESOR_CRR]:[META]],2,0)</f>
        <v>35000</v>
      </c>
      <c r="R24" t="s">
        <v>49</v>
      </c>
      <c r="S24">
        <v>0</v>
      </c>
      <c r="T24">
        <v>2500</v>
      </c>
      <c r="U24">
        <v>300</v>
      </c>
      <c r="V24">
        <v>0</v>
      </c>
      <c r="W24">
        <v>700</v>
      </c>
      <c r="X24">
        <v>2882</v>
      </c>
      <c r="Y24">
        <v>230</v>
      </c>
      <c r="Z24">
        <v>0</v>
      </c>
      <c r="AA24">
        <v>0</v>
      </c>
      <c r="AB24">
        <v>500</v>
      </c>
      <c r="AC24">
        <v>600</v>
      </c>
      <c r="AD24">
        <v>400</v>
      </c>
      <c r="AE24">
        <v>238</v>
      </c>
      <c r="AF24">
        <v>1105</v>
      </c>
      <c r="AG24">
        <v>5500</v>
      </c>
      <c r="AH24">
        <v>2000</v>
      </c>
      <c r="AI24">
        <v>0</v>
      </c>
      <c r="AJ24">
        <v>0</v>
      </c>
      <c r="AK24">
        <v>1500</v>
      </c>
      <c r="AL24">
        <v>2700</v>
      </c>
      <c r="AO24" s="55" t="str">
        <f>VLOOKUP($M$3&amp;$N$3&amp;DATA_MARZO_2026[[#This Row],[SUPERVISOR]],TablaMeta[],7,0)</f>
        <v>S2-3-4 BANCO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25" s="34" cm="1">
        <f t="array" ref="C25">_xlfn.XLOOKUP(1,(TablaMeta[CONCAT]=$M$3&amp;$N$3&amp;D1_MARZO_2026[[#This Row],[SUPER]])*(TablaMeta[SEGG]=D1_MARZO_2026[[#This Row],[SEGMENTO]]),TablaMeta[Meta_Asesor])</f>
        <v>30500</v>
      </c>
      <c r="D25" s="35">
        <f>IF(D1_MARZO_2026[[#This Row],[RECUPERO]]="VACACIONES","VACACIONES",IFERROR(D1_MARZO_2026[[#This Row],[RECUPERO]]/D1_MARZO_2026[[#This Row],[META]],""))</f>
        <v>0.57924590163934431</v>
      </c>
      <c r="E25" s="35" t="str">
        <f>D1_MARZO_2026[[#This Row],[SUPER]]</f>
        <v>KENNETH</v>
      </c>
      <c r="F25" t="s">
        <v>11</v>
      </c>
      <c r="G25" s="3">
        <v>17667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5" s="56"/>
      <c r="M25" s="5">
        <f>DATA_MARZO_2026[[#This Row],[RECUPERO]]/DATA_MARZO_2026[[#This Row],[META]]</f>
        <v>1.0962499999999999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IFERROR(VLOOKUP(DATA_MARZO_2026[[#This Row],[ASER_]],$B:$G,4,0),"")</f>
        <v>LEONOR</v>
      </c>
      <c r="P25" s="6">
        <f>VLOOKUP(DATA_MARZO_2026[[#This Row],[ASER_]],D1_MARZO_2026[[ASESOR_CRR]:[RECUPERO]],6,0)</f>
        <v>17540</v>
      </c>
      <c r="Q25" s="6">
        <f>VLOOKUP(DATA_MARZO_2026[[#This Row],[ASER_]],D1_MARZO_2026[[ASESOR_CRR]:[META]],2,0)</f>
        <v>16000</v>
      </c>
      <c r="R25" t="s">
        <v>511</v>
      </c>
      <c r="S25" s="45">
        <v>4500</v>
      </c>
      <c r="T25">
        <v>200</v>
      </c>
      <c r="U25">
        <v>661</v>
      </c>
      <c r="V25">
        <v>1511</v>
      </c>
      <c r="W25">
        <v>500</v>
      </c>
      <c r="X25">
        <v>0</v>
      </c>
      <c r="Y25">
        <v>750</v>
      </c>
      <c r="Z25">
        <v>1903</v>
      </c>
      <c r="AA25">
        <v>0</v>
      </c>
      <c r="AB25">
        <v>700</v>
      </c>
      <c r="AC25">
        <v>680</v>
      </c>
      <c r="AD25">
        <v>300</v>
      </c>
      <c r="AE25">
        <v>0</v>
      </c>
      <c r="AF25">
        <v>0</v>
      </c>
      <c r="AG25">
        <v>350</v>
      </c>
      <c r="AH25">
        <v>400</v>
      </c>
      <c r="AI25">
        <v>0</v>
      </c>
      <c r="AJ25">
        <v>200</v>
      </c>
      <c r="AK25">
        <v>1715</v>
      </c>
      <c r="AL25">
        <v>3170</v>
      </c>
      <c r="AO25" s="55" t="str">
        <f>VLOOKUP($M$3&amp;$N$3&amp;DATA_MARZO_2026[[#This Row],[SUPERVISOR]],TablaMeta[],7,0)</f>
        <v>S2-3-4 BANCO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26" s="34" cm="1">
        <f t="array" ref="C26">_xlfn.XLOOKUP(1,(TablaMeta[CONCAT]=$M$3&amp;$N$3&amp;D1_MARZO_2026[[#This Row],[SUPER]])*(TablaMeta[SEGG]=D1_MARZO_2026[[#This Row],[SEGMENTO]]),TablaMeta[Meta_Asesor])</f>
        <v>30500</v>
      </c>
      <c r="D26" s="35">
        <f>IF(D1_MARZO_2026[[#This Row],[RECUPERO]]="VACACIONES","VACACIONES",IFERROR(D1_MARZO_2026[[#This Row],[RECUPERO]]/D1_MARZO_2026[[#This Row],[META]],""))</f>
        <v>0.56393442622950818</v>
      </c>
      <c r="E26" s="35" t="str">
        <f>D1_MARZO_2026[[#This Row],[SUPER]]</f>
        <v>KENNETH</v>
      </c>
      <c r="F26" t="s">
        <v>81</v>
      </c>
      <c r="G26" s="3">
        <v>17200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6" s="56"/>
      <c r="M26" s="5">
        <f>DATA_MARZO_2026[[#This Row],[RECUPERO]]/DATA_MARZO_2026[[#This Row],[META]]</f>
        <v>0.75593750000000004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IFERROR(VLOOKUP(DATA_MARZO_2026[[#This Row],[ASER_]],$B:$G,4,0),"")</f>
        <v>LEONOR</v>
      </c>
      <c r="P26" s="6">
        <f>VLOOKUP(DATA_MARZO_2026[[#This Row],[ASER_]],D1_MARZO_2026[[ASESOR_CRR]:[RECUPERO]],6,0)</f>
        <v>12095</v>
      </c>
      <c r="Q26" s="6">
        <f>VLOOKUP(DATA_MARZO_2026[[#This Row],[ASER_]],D1_MARZO_2026[[ASESOR_CRR]:[META]],2,0)</f>
        <v>16000</v>
      </c>
      <c r="R26" t="s">
        <v>41</v>
      </c>
      <c r="S26" s="45">
        <v>0</v>
      </c>
      <c r="T26">
        <v>1386</v>
      </c>
      <c r="U26">
        <v>0</v>
      </c>
      <c r="V26">
        <v>0</v>
      </c>
      <c r="W26">
        <v>458</v>
      </c>
      <c r="X26">
        <v>3844</v>
      </c>
      <c r="Y26">
        <v>0</v>
      </c>
      <c r="Z26">
        <v>857</v>
      </c>
      <c r="AA26">
        <v>500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250</v>
      </c>
      <c r="AI26">
        <v>2800</v>
      </c>
      <c r="AJ26">
        <v>2000</v>
      </c>
      <c r="AK26">
        <v>0</v>
      </c>
      <c r="AL26">
        <v>0</v>
      </c>
      <c r="AO26" s="55" t="str">
        <f>VLOOKUP($M$3&amp;$N$3&amp;DATA_MARZO_2026[[#This Row],[SUPERVISOR]],TablaMeta[],7,0)</f>
        <v>S2-3-4 BANCO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27" s="34" cm="1">
        <f t="array" ref="C27">_xlfn.XLOOKUP(1,(TablaMeta[CONCAT]=$M$3&amp;$N$3&amp;D1_MARZO_2026[[#This Row],[SUPER]])*(TablaMeta[SEGG]=D1_MARZO_2026[[#This Row],[SEGMENTO]]),TablaMeta[Meta_Asesor])</f>
        <v>30500</v>
      </c>
      <c r="D27" s="35">
        <f>IF(D1_MARZO_2026[[#This Row],[RECUPERO]]="VACACIONES","VACACIONES",IFERROR(D1_MARZO_2026[[#This Row],[RECUPERO]]/D1_MARZO_2026[[#This Row],[META]],""))</f>
        <v>0.43040983606557376</v>
      </c>
      <c r="E27" s="35" t="str">
        <f>D1_MARZO_2026[[#This Row],[SUPER]]</f>
        <v>KENNETH</v>
      </c>
      <c r="F27" t="s">
        <v>105</v>
      </c>
      <c r="G27" s="3">
        <v>13127.5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7" s="56"/>
      <c r="M27" s="5">
        <f>DATA_MARZO_2026[[#This Row],[RECUPERO]]/DATA_MARZO_2026[[#This Row],[META]]</f>
        <v>0.62124999999999997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LEONOR</v>
      </c>
      <c r="P27" s="6">
        <f>VLOOKUP(DATA_MARZO_2026[[#This Row],[ASER_]],D1_MARZO_2026[[ASESOR_CRR]:[RECUPERO]],6,0)</f>
        <v>9940</v>
      </c>
      <c r="Q27" s="6">
        <f>VLOOKUP(DATA_MARZO_2026[[#This Row],[ASER_]],D1_MARZO_2026[[ASESOR_CRR]:[META]],2,0)</f>
        <v>16000</v>
      </c>
      <c r="R27" t="s">
        <v>565</v>
      </c>
      <c r="S27">
        <v>350</v>
      </c>
      <c r="T27">
        <v>970</v>
      </c>
      <c r="U27">
        <v>0</v>
      </c>
      <c r="V27">
        <v>250</v>
      </c>
      <c r="W27">
        <v>50</v>
      </c>
      <c r="X27">
        <v>0</v>
      </c>
      <c r="Y27">
        <v>300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3000</v>
      </c>
      <c r="AG27">
        <v>0</v>
      </c>
      <c r="AH27">
        <v>0</v>
      </c>
      <c r="AI27">
        <v>0</v>
      </c>
      <c r="AJ27">
        <v>200</v>
      </c>
      <c r="AK27">
        <v>1500</v>
      </c>
      <c r="AL27">
        <v>3320</v>
      </c>
      <c r="AO27" s="55" t="str">
        <f>VLOOKUP($M$3&amp;$N$3&amp;DATA_MARZO_2026[[#This Row],[SUPERVISOR]],TablaMeta[],7,0)</f>
        <v>S2-3-4 BANCO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28" s="34" cm="1">
        <f t="array" ref="C28">_xlfn.XLOOKUP(1,(TablaMeta[CONCAT]=$M$3&amp;$N$3&amp;D1_MARZO_2026[[#This Row],[SUPER]])*(TablaMeta[SEGG]=D1_MARZO_2026[[#This Row],[SEGMENTO]]),TablaMeta[Meta_Asesor])</f>
        <v>32500</v>
      </c>
      <c r="D28" s="35">
        <f>IF(D1_MARZO_2026[[#This Row],[RECUPERO]]="VACACIONES","VACACIONES",IFERROR(D1_MARZO_2026[[#This Row],[RECUPERO]]/D1_MARZO_2026[[#This Row],[META]],""))</f>
        <v>2.391230769230769</v>
      </c>
      <c r="E28" s="35" t="str">
        <f>D1_MARZO_2026[[#This Row],[SUPER]]</f>
        <v>SANDY</v>
      </c>
      <c r="F28" t="s">
        <v>79</v>
      </c>
      <c r="G28" s="3">
        <v>77715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8" s="56"/>
      <c r="M28" s="5">
        <f>DATA_MARZO_2026[[#This Row],[RECUPERO]]/DATA_MARZO_2026[[#This Row],[META]]</f>
        <v>0.18287500000000001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LEONOR</v>
      </c>
      <c r="P28" s="6">
        <f>VLOOKUP(DATA_MARZO_2026[[#This Row],[ASER_]],D1_MARZO_2026[[ASESOR_CRR]:[RECUPERO]],6,0)</f>
        <v>2926</v>
      </c>
      <c r="Q28" s="6">
        <f>VLOOKUP(DATA_MARZO_2026[[#This Row],[ASER_]],D1_MARZO_2026[[ASESOR_CRR]:[META]],2,0)</f>
        <v>16000</v>
      </c>
      <c r="R28" t="s">
        <v>573</v>
      </c>
      <c r="S28">
        <v>0</v>
      </c>
      <c r="T28">
        <v>0</v>
      </c>
      <c r="U28">
        <v>0</v>
      </c>
      <c r="V28">
        <v>0</v>
      </c>
      <c r="W28">
        <v>326</v>
      </c>
      <c r="X28">
        <v>0</v>
      </c>
      <c r="Y28">
        <v>0</v>
      </c>
      <c r="Z28">
        <v>1200</v>
      </c>
      <c r="AA28">
        <v>200</v>
      </c>
      <c r="AB28">
        <v>300</v>
      </c>
      <c r="AC28">
        <v>500</v>
      </c>
      <c r="AD28">
        <v>0</v>
      </c>
      <c r="AE28">
        <v>0</v>
      </c>
      <c r="AF28">
        <v>50</v>
      </c>
      <c r="AG28">
        <v>0</v>
      </c>
      <c r="AH28">
        <v>0</v>
      </c>
      <c r="AI28">
        <v>0</v>
      </c>
      <c r="AJ28">
        <v>350</v>
      </c>
      <c r="AK28">
        <v>0</v>
      </c>
      <c r="AL28">
        <v>0</v>
      </c>
      <c r="AO28" s="55" t="str">
        <f>VLOOKUP($M$3&amp;$N$3&amp;DATA_MARZO_2026[[#This Row],[SUPERVISOR]],TablaMeta[],7,0)</f>
        <v>S2-3-4 BANCO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29" s="34" cm="1">
        <f t="array" ref="C29">_xlfn.XLOOKUP(1,(TablaMeta[CONCAT]=$M$3&amp;$N$3&amp;D1_MARZO_2026[[#This Row],[SUPER]])*(TablaMeta[SEGG]=D1_MARZO_2026[[#This Row],[SEGMENTO]]),TablaMeta[Meta_Asesor])</f>
        <v>32500</v>
      </c>
      <c r="D29" s="35">
        <f>IF(D1_MARZO_2026[[#This Row],[RECUPERO]]="VACACIONES","VACACIONES",IFERROR(D1_MARZO_2026[[#This Row],[RECUPERO]]/D1_MARZO_2026[[#This Row],[META]],""))</f>
        <v>1.7195076923076924</v>
      </c>
      <c r="E29" s="35" t="str">
        <f>D1_MARZO_2026[[#This Row],[SUPER]]</f>
        <v>SANDY</v>
      </c>
      <c r="F29" t="s">
        <v>32</v>
      </c>
      <c r="G29" s="3">
        <v>55884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9" s="56"/>
      <c r="M29" s="5">
        <f>DATA_MARZO_2026[[#This Row],[RECUPERO]]/DATA_MARZO_2026[[#This Row],[META]]</f>
        <v>0.14531250000000001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LEONOR</v>
      </c>
      <c r="P29" s="6">
        <f>VLOOKUP(DATA_MARZO_2026[[#This Row],[ASER_]],D1_MARZO_2026[[ASESOR_CRR]:[RECUPERO]],6,0)</f>
        <v>2325</v>
      </c>
      <c r="Q29" s="6">
        <f>VLOOKUP(DATA_MARZO_2026[[#This Row],[ASER_]],D1_MARZO_2026[[ASESOR_CRR]:[META]],2,0)</f>
        <v>16000</v>
      </c>
      <c r="R29" t="s">
        <v>582</v>
      </c>
      <c r="S29">
        <v>0</v>
      </c>
      <c r="T29">
        <v>0</v>
      </c>
      <c r="U29" s="45">
        <v>0</v>
      </c>
      <c r="V29">
        <v>0</v>
      </c>
      <c r="W29">
        <v>0</v>
      </c>
      <c r="X29">
        <v>300</v>
      </c>
      <c r="Y29">
        <v>715</v>
      </c>
      <c r="Z29">
        <v>0</v>
      </c>
      <c r="AA29">
        <v>350</v>
      </c>
      <c r="AB29">
        <v>0</v>
      </c>
      <c r="AC29">
        <v>0</v>
      </c>
      <c r="AD29">
        <v>0</v>
      </c>
      <c r="AE29">
        <v>0</v>
      </c>
      <c r="AF29">
        <v>600</v>
      </c>
      <c r="AG29">
        <v>0</v>
      </c>
      <c r="AH29">
        <v>230</v>
      </c>
      <c r="AI29">
        <v>130</v>
      </c>
      <c r="AJ29">
        <v>0</v>
      </c>
      <c r="AK29">
        <v>0</v>
      </c>
      <c r="AL29">
        <v>0</v>
      </c>
      <c r="AO29" s="55" t="str">
        <f>VLOOKUP($M$3&amp;$N$3&amp;DATA_MARZO_2026[[#This Row],[SUPERVISOR]],TablaMeta[],7,0)</f>
        <v>S2-3-4 BANCO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30" s="34" cm="1">
        <f t="array" ref="C30">_xlfn.XLOOKUP(1,(TablaMeta[CONCAT]=$M$3&amp;$N$3&amp;D1_MARZO_2026[[#This Row],[SUPER]])*(TablaMeta[SEGG]=D1_MARZO_2026[[#This Row],[SEGMENTO]]),TablaMeta[Meta_Asesor])</f>
        <v>32500</v>
      </c>
      <c r="D30" s="35">
        <f>IF(D1_MARZO_2026[[#This Row],[RECUPERO]]="VACACIONES","VACACIONES",IFERROR(D1_MARZO_2026[[#This Row],[RECUPERO]]/D1_MARZO_2026[[#This Row],[META]],""))</f>
        <v>1.3852726153846153</v>
      </c>
      <c r="E30" s="35" t="str">
        <f>D1_MARZO_2026[[#This Row],[SUPER]]</f>
        <v>SANDY</v>
      </c>
      <c r="F30" t="s">
        <v>68</v>
      </c>
      <c r="G30" s="3">
        <v>45021.36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0" s="56"/>
      <c r="M30" s="5">
        <f>DATA_MARZO_2026[[#This Row],[RECUPERO]]/DATA_MARZO_2026[[#This Row],[META]]</f>
        <v>0.75437500000000002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IFERROR(VLOOKUP(DATA_MARZO_2026[[#This Row],[ASER_]],$B:$G,4,0),"")</f>
        <v>LEONOR</v>
      </c>
      <c r="P30" s="6">
        <f>VLOOKUP(DATA_MARZO_2026[[#This Row],[ASER_]],D1_MARZO_2026[[ASESOR_CRR]:[RECUPERO]],6,0)</f>
        <v>12070</v>
      </c>
      <c r="Q30" s="6">
        <f>VLOOKUP(DATA_MARZO_2026[[#This Row],[ASER_]],D1_MARZO_2026[[ASESOR_CRR]:[META]],2,0)</f>
        <v>16000</v>
      </c>
      <c r="R30" t="s">
        <v>581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2000</v>
      </c>
      <c r="Z30">
        <v>120</v>
      </c>
      <c r="AA30">
        <v>300</v>
      </c>
      <c r="AB30">
        <v>450</v>
      </c>
      <c r="AC30">
        <v>0</v>
      </c>
      <c r="AD30">
        <v>3000</v>
      </c>
      <c r="AE30">
        <v>0</v>
      </c>
      <c r="AF30">
        <v>400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5800</v>
      </c>
      <c r="AO30" s="55" t="str">
        <f>VLOOKUP($M$3&amp;$N$3&amp;DATA_MARZO_2026[[#This Row],[SUPERVISOR]],TablaMeta[],7,0)</f>
        <v>S2-3-4 BANCO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31" s="34" cm="1">
        <f t="array" ref="C31">_xlfn.XLOOKUP(1,(TablaMeta[CONCAT]=$M$3&amp;$N$3&amp;D1_MARZO_2026[[#This Row],[SUPER]])*(TablaMeta[SEGG]=D1_MARZO_2026[[#This Row],[SEGMENTO]]),TablaMeta[Meta_Asesor])</f>
        <v>32500</v>
      </c>
      <c r="D31" s="35">
        <f>IF(D1_MARZO_2026[[#This Row],[RECUPERO]]="VACACIONES","VACACIONES",IFERROR(D1_MARZO_2026[[#This Row],[RECUPERO]]/D1_MARZO_2026[[#This Row],[META]],""))</f>
        <v>1.1995384615384614</v>
      </c>
      <c r="E31" s="35" t="str">
        <f>D1_MARZO_2026[[#This Row],[SUPER]]</f>
        <v>SANDY</v>
      </c>
      <c r="F31" t="s">
        <v>96</v>
      </c>
      <c r="G31" s="3">
        <v>38985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1" s="56"/>
      <c r="M31" s="5">
        <f>DATA_MARZO_2026[[#This Row],[RECUPERO]]/DATA_MARZO_2026[[#This Row],[META]]</f>
        <v>1.1995384615384614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IFERROR(VLOOKUP(DATA_MARZO_2026[[#This Row],[ASER_]],$B:$G,4,0),"")</f>
        <v>SANDY</v>
      </c>
      <c r="P31" s="6">
        <f>VLOOKUP(DATA_MARZO_2026[[#This Row],[ASER_]],D1_MARZO_2026[[ASESOR_CRR]:[RECUPERO]],6,0)</f>
        <v>38985</v>
      </c>
      <c r="Q31" s="6">
        <f>VLOOKUP(DATA_MARZO_2026[[#This Row],[ASER_]],D1_MARZO_2026[[ASESOR_CRR]:[META]],2,0)</f>
        <v>32500</v>
      </c>
      <c r="R31" t="s">
        <v>96</v>
      </c>
      <c r="S31">
        <v>4400</v>
      </c>
      <c r="T31">
        <v>1970</v>
      </c>
      <c r="U31">
        <v>0</v>
      </c>
      <c r="V31">
        <v>0</v>
      </c>
      <c r="W31">
        <v>1480</v>
      </c>
      <c r="X31">
        <v>19000</v>
      </c>
      <c r="Y31">
        <v>0</v>
      </c>
      <c r="Z31">
        <v>1000</v>
      </c>
      <c r="AA31">
        <v>0</v>
      </c>
      <c r="AB31">
        <v>0</v>
      </c>
      <c r="AC31">
        <v>0</v>
      </c>
      <c r="AD31">
        <v>0</v>
      </c>
      <c r="AE31">
        <v>1500</v>
      </c>
      <c r="AF31">
        <v>0</v>
      </c>
      <c r="AG31">
        <v>1285</v>
      </c>
      <c r="AH31">
        <v>4200</v>
      </c>
      <c r="AI31">
        <v>1200</v>
      </c>
      <c r="AJ31">
        <v>0</v>
      </c>
      <c r="AK31">
        <v>0</v>
      </c>
      <c r="AL31">
        <v>2950</v>
      </c>
      <c r="AO31" s="55" t="str">
        <f>VLOOKUP($M$3&amp;$N$3&amp;DATA_MARZO_2026[[#This Row],[SUPERVISOR]],TablaMeta[],7,0)</f>
        <v>S0 - IBK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32" s="34" cm="1">
        <f t="array" ref="C32">_xlfn.XLOOKUP(1,(TablaMeta[CONCAT]=$M$3&amp;$N$3&amp;D1_MARZO_2026[[#This Row],[SUPER]])*(TablaMeta[SEGG]=D1_MARZO_2026[[#This Row],[SEGMENTO]]),TablaMeta[Meta_Asesor])</f>
        <v>32500</v>
      </c>
      <c r="D32" s="35">
        <f>IF(D1_MARZO_2026[[#This Row],[RECUPERO]]="VACACIONES","VACACIONES",IFERROR(D1_MARZO_2026[[#This Row],[RECUPERO]]/D1_MARZO_2026[[#This Row],[META]],""))</f>
        <v>1.1979815384615384</v>
      </c>
      <c r="E32" s="35" t="str">
        <f>D1_MARZO_2026[[#This Row],[SUPER]]</f>
        <v>SANDY</v>
      </c>
      <c r="F32" t="s">
        <v>29</v>
      </c>
      <c r="G32" s="3">
        <v>38934.400000000001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2" s="56"/>
      <c r="M32" s="5">
        <f>DATA_MARZO_2026[[#This Row],[RECUPERO]]/DATA_MARZO_2026[[#This Row],[META]]</f>
        <v>2.391230769230769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IFERROR(VLOOKUP(DATA_MARZO_2026[[#This Row],[ASER_]],$B:$G,4,0),"")</f>
        <v>SANDY</v>
      </c>
      <c r="P32" s="6">
        <f>VLOOKUP(DATA_MARZO_2026[[#This Row],[ASER_]],D1_MARZO_2026[[ASESOR_CRR]:[RECUPERO]],6,0)</f>
        <v>77715</v>
      </c>
      <c r="Q32" s="6">
        <f>VLOOKUP(DATA_MARZO_2026[[#This Row],[ASER_]],D1_MARZO_2026[[ASESOR_CRR]:[META]],2,0)</f>
        <v>32500</v>
      </c>
      <c r="R32" t="s">
        <v>79</v>
      </c>
      <c r="S32">
        <v>1100</v>
      </c>
      <c r="T32">
        <v>270</v>
      </c>
      <c r="U32">
        <v>1100</v>
      </c>
      <c r="V32">
        <v>12000</v>
      </c>
      <c r="W32">
        <v>0</v>
      </c>
      <c r="X32">
        <v>5000</v>
      </c>
      <c r="Y32">
        <v>0</v>
      </c>
      <c r="Z32">
        <v>0</v>
      </c>
      <c r="AA32">
        <v>0</v>
      </c>
      <c r="AB32">
        <v>9100</v>
      </c>
      <c r="AC32">
        <v>12105</v>
      </c>
      <c r="AD32">
        <v>1200</v>
      </c>
      <c r="AE32">
        <v>9000</v>
      </c>
      <c r="AF32">
        <v>170</v>
      </c>
      <c r="AG32">
        <v>10970</v>
      </c>
      <c r="AH32">
        <v>0</v>
      </c>
      <c r="AI32">
        <v>0</v>
      </c>
      <c r="AJ32">
        <v>13000</v>
      </c>
      <c r="AK32">
        <v>2700</v>
      </c>
      <c r="AL32">
        <v>0</v>
      </c>
      <c r="AO32" s="55" t="str">
        <f>VLOOKUP($M$3&amp;$N$3&amp;DATA_MARZO_2026[[#This Row],[SUPERVISOR]],TablaMeta[],7,0)</f>
        <v>S0 - IBK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33" s="34" cm="1">
        <f t="array" ref="C33">_xlfn.XLOOKUP(1,(TablaMeta[CONCAT]=$M$3&amp;$N$3&amp;D1_MARZO_2026[[#This Row],[SUPER]])*(TablaMeta[SEGG]=D1_MARZO_2026[[#This Row],[SEGMENTO]]),TablaMeta[Meta_Asesor])</f>
        <v>32500</v>
      </c>
      <c r="D33" s="35">
        <f>IF(D1_MARZO_2026[[#This Row],[RECUPERO]]="VACACIONES","VACACIONES",IFERROR(D1_MARZO_2026[[#This Row],[RECUPERO]]/D1_MARZO_2026[[#This Row],[META]],""))</f>
        <v>0.7781538461538462</v>
      </c>
      <c r="E33" s="35" t="str">
        <f>D1_MARZO_2026[[#This Row],[SUPER]]</f>
        <v>SANDY</v>
      </c>
      <c r="F33" t="s">
        <v>174</v>
      </c>
      <c r="G33" s="3">
        <v>25290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3" s="56"/>
      <c r="M33" s="5">
        <f>DATA_MARZO_2026[[#This Row],[RECUPERO]]/DATA_MARZO_2026[[#This Row],[META]]</f>
        <v>1.1979815384615384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IFERROR(VLOOKUP(DATA_MARZO_2026[[#This Row],[ASER_]],$B:$G,4,0),"")</f>
        <v>SANDY</v>
      </c>
      <c r="P33" s="6">
        <f>VLOOKUP(DATA_MARZO_2026[[#This Row],[ASER_]],D1_MARZO_2026[[ASESOR_CRR]:[RECUPERO]],6,0)</f>
        <v>38934.400000000001</v>
      </c>
      <c r="Q33" s="6">
        <f>VLOOKUP(DATA_MARZO_2026[[#This Row],[ASER_]],D1_MARZO_2026[[ASESOR_CRR]:[META]],2,0)</f>
        <v>32500</v>
      </c>
      <c r="R33" t="s">
        <v>29</v>
      </c>
      <c r="S33">
        <v>383.4</v>
      </c>
      <c r="T33">
        <v>500</v>
      </c>
      <c r="U33">
        <v>0</v>
      </c>
      <c r="V33">
        <v>1778</v>
      </c>
      <c r="W33">
        <v>1220</v>
      </c>
      <c r="X33">
        <v>0</v>
      </c>
      <c r="Y33">
        <v>0</v>
      </c>
      <c r="Z33">
        <v>200</v>
      </c>
      <c r="AA33">
        <v>23145</v>
      </c>
      <c r="AB33">
        <v>0</v>
      </c>
      <c r="AC33">
        <v>2848</v>
      </c>
      <c r="AD33">
        <v>0</v>
      </c>
      <c r="AE33">
        <v>310</v>
      </c>
      <c r="AF33">
        <v>0</v>
      </c>
      <c r="AG33">
        <v>1102</v>
      </c>
      <c r="AH33">
        <v>1800</v>
      </c>
      <c r="AI33">
        <v>845</v>
      </c>
      <c r="AJ33">
        <v>1050</v>
      </c>
      <c r="AK33">
        <v>453</v>
      </c>
      <c r="AL33">
        <v>3300</v>
      </c>
      <c r="AO33" s="55" t="str">
        <f>VLOOKUP($M$3&amp;$N$3&amp;DATA_MARZO_2026[[#This Row],[SUPERVISOR]],TablaMeta[],7,0)</f>
        <v>S0 - IBK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34" s="34" cm="1">
        <f t="array" ref="C34">_xlfn.XLOOKUP(1,(TablaMeta[CONCAT]=$M$3&amp;$N$3&amp;D1_MARZO_2026[[#This Row],[SUPER]])*(TablaMeta[SEGG]=D1_MARZO_2026[[#This Row],[SEGMENTO]]),TablaMeta[Meta_Asesor])</f>
        <v>32500</v>
      </c>
      <c r="D34" s="35">
        <f>IF(D1_MARZO_2026[[#This Row],[RECUPERO]]="VACACIONES","VACACIONES",IFERROR(D1_MARZO_2026[[#This Row],[RECUPERO]]/D1_MARZO_2026[[#This Row],[META]],""))</f>
        <v>0.73713846153846152</v>
      </c>
      <c r="E34" s="35" t="str">
        <f>D1_MARZO_2026[[#This Row],[SUPER]]</f>
        <v>SANDY</v>
      </c>
      <c r="F34" t="s">
        <v>509</v>
      </c>
      <c r="G34" s="3">
        <v>23957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4" s="56"/>
      <c r="M34" s="5">
        <f>DATA_MARZO_2026[[#This Row],[RECUPERO]]/DATA_MARZO_2026[[#This Row],[META]]</f>
        <v>1.3852726153846153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IFERROR(VLOOKUP(DATA_MARZO_2026[[#This Row],[ASER_]],$B:$G,4,0),"")</f>
        <v>SANDY</v>
      </c>
      <c r="P34" s="6">
        <f>VLOOKUP(DATA_MARZO_2026[[#This Row],[ASER_]],D1_MARZO_2026[[ASESOR_CRR]:[RECUPERO]],6,0)</f>
        <v>45021.36</v>
      </c>
      <c r="Q34" s="6">
        <f>VLOOKUP(DATA_MARZO_2026[[#This Row],[ASER_]],D1_MARZO_2026[[ASESOR_CRR]:[META]],2,0)</f>
        <v>32500</v>
      </c>
      <c r="R34" t="s">
        <v>68</v>
      </c>
      <c r="S34">
        <v>0</v>
      </c>
      <c r="T34">
        <v>1200</v>
      </c>
      <c r="U34">
        <v>5000</v>
      </c>
      <c r="V34">
        <v>8783.36</v>
      </c>
      <c r="W34">
        <v>0</v>
      </c>
      <c r="X34">
        <v>0</v>
      </c>
      <c r="Y34">
        <v>0</v>
      </c>
      <c r="Z34">
        <v>2010</v>
      </c>
      <c r="AA34">
        <v>0</v>
      </c>
      <c r="AB34">
        <v>2628</v>
      </c>
      <c r="AC34">
        <v>0</v>
      </c>
      <c r="AD34">
        <v>0</v>
      </c>
      <c r="AE34">
        <v>0</v>
      </c>
      <c r="AF34">
        <v>0</v>
      </c>
      <c r="AG34">
        <v>300</v>
      </c>
      <c r="AH34">
        <v>0</v>
      </c>
      <c r="AI34">
        <v>647.36</v>
      </c>
      <c r="AJ34">
        <v>12450</v>
      </c>
      <c r="AK34">
        <v>10000.36</v>
      </c>
      <c r="AL34">
        <v>2000</v>
      </c>
      <c r="AO34" s="55" t="str">
        <f>VLOOKUP($M$3&amp;$N$3&amp;DATA_MARZO_2026[[#This Row],[SUPERVISOR]],TablaMeta[],7,0)</f>
        <v>S0 - IBK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35" s="34" cm="1">
        <f t="array" ref="C35">_xlfn.XLOOKUP(1,(TablaMeta[CONCAT]=$M$3&amp;$N$3&amp;D1_MARZO_2026[[#This Row],[SUPER]])*(TablaMeta[SEGG]=D1_MARZO_2026[[#This Row],[SEGMENTO]]),TablaMeta[Meta_Asesor])</f>
        <v>94000</v>
      </c>
      <c r="D35" s="35">
        <f>IF(D1_MARZO_2026[[#This Row],[RECUPERO]]="VACACIONES","VACACIONES",IFERROR(D1_MARZO_2026[[#This Row],[RECUPERO]]/D1_MARZO_2026[[#This Row],[META]],""))</f>
        <v>1.0562553191489361</v>
      </c>
      <c r="E35" s="35" t="str">
        <f>D1_MARZO_2026[[#This Row],[SUPER]]</f>
        <v>SANDY</v>
      </c>
      <c r="F35" t="s">
        <v>76</v>
      </c>
      <c r="G35" s="3">
        <v>99288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5" s="56"/>
      <c r="M35" s="5">
        <f>DATA_MARZO_2026[[#This Row],[RECUPERO]]/DATA_MARZO_2026[[#This Row],[META]]</f>
        <v>0.7781538461538462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IFERROR(VLOOKUP(DATA_MARZO_2026[[#This Row],[ASER_]],$B:$G,4,0),"")</f>
        <v>SANDY</v>
      </c>
      <c r="P35" s="6">
        <f>VLOOKUP(DATA_MARZO_2026[[#This Row],[ASER_]],D1_MARZO_2026[[ASESOR_CRR]:[RECUPERO]],6,0)</f>
        <v>25290</v>
      </c>
      <c r="Q35" s="6">
        <f>VLOOKUP(DATA_MARZO_2026[[#This Row],[ASER_]],D1_MARZO_2026[[ASESOR_CRR]:[META]],2,0)</f>
        <v>32500</v>
      </c>
      <c r="R35" t="s">
        <v>174</v>
      </c>
      <c r="S35">
        <v>0</v>
      </c>
      <c r="T35">
        <v>0</v>
      </c>
      <c r="U35">
        <v>0</v>
      </c>
      <c r="V35">
        <v>200</v>
      </c>
      <c r="W35">
        <v>0</v>
      </c>
      <c r="X35">
        <v>350</v>
      </c>
      <c r="Y35">
        <v>4000</v>
      </c>
      <c r="Z35">
        <v>110</v>
      </c>
      <c r="AA35">
        <v>380</v>
      </c>
      <c r="AB35">
        <v>200</v>
      </c>
      <c r="AC35">
        <v>5000</v>
      </c>
      <c r="AD35">
        <v>6800</v>
      </c>
      <c r="AE35">
        <v>0</v>
      </c>
      <c r="AF35">
        <v>0</v>
      </c>
      <c r="AG35">
        <v>3450</v>
      </c>
      <c r="AH35">
        <v>0</v>
      </c>
      <c r="AI35">
        <v>0</v>
      </c>
      <c r="AJ35">
        <v>1200</v>
      </c>
      <c r="AK35">
        <v>0</v>
      </c>
      <c r="AL35">
        <v>3600</v>
      </c>
      <c r="AO35" s="55" t="str">
        <f>VLOOKUP($M$3&amp;$N$3&amp;DATA_MARZO_2026[[#This Row],[SUPERVISOR]],TablaMeta[],7,0)</f>
        <v>S0 - IBK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36" s="34" cm="1">
        <f t="array" ref="C36">_xlfn.XLOOKUP(1,(TablaMeta[CONCAT]=$M$3&amp;$N$3&amp;D1_MARZO_2026[[#This Row],[SUPER]])*(TablaMeta[SEGG]=D1_MARZO_2026[[#This Row],[SEGMENTO]]),TablaMeta[Meta_Asesor])</f>
        <v>94000</v>
      </c>
      <c r="D36" s="35">
        <f>IF(D1_MARZO_2026[[#This Row],[RECUPERO]]="VACACIONES","VACACIONES",IFERROR(D1_MARZO_2026[[#This Row],[RECUPERO]]/D1_MARZO_2026[[#This Row],[META]],""))</f>
        <v>1.0489044680851065</v>
      </c>
      <c r="E36" s="35" t="str">
        <f>D1_MARZO_2026[[#This Row],[SUPER]]</f>
        <v>SANDY</v>
      </c>
      <c r="F36" t="s">
        <v>38</v>
      </c>
      <c r="G36" s="3">
        <v>98597.02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6" s="56"/>
      <c r="M36" s="5">
        <f>DATA_MARZO_2026[[#This Row],[RECUPERO]]/DATA_MARZO_2026[[#This Row],[META]]</f>
        <v>1.7195076923076924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IFERROR(VLOOKUP(DATA_MARZO_2026[[#This Row],[ASER_]],$B:$G,4,0),"")</f>
        <v>SANDY</v>
      </c>
      <c r="P36" s="6">
        <f>VLOOKUP(DATA_MARZO_2026[[#This Row],[ASER_]],D1_MARZO_2026[[ASESOR_CRR]:[RECUPERO]],6,0)</f>
        <v>55884</v>
      </c>
      <c r="Q36" s="6">
        <f>VLOOKUP(DATA_MARZO_2026[[#This Row],[ASER_]],D1_MARZO_2026[[ASESOR_CRR]:[META]],2,0)</f>
        <v>32500</v>
      </c>
      <c r="R36" t="s">
        <v>32</v>
      </c>
      <c r="S36">
        <v>0</v>
      </c>
      <c r="T36">
        <v>7500</v>
      </c>
      <c r="U36">
        <v>0</v>
      </c>
      <c r="V36">
        <v>0</v>
      </c>
      <c r="W36">
        <v>2912</v>
      </c>
      <c r="X36">
        <v>1542</v>
      </c>
      <c r="Y36">
        <v>0</v>
      </c>
      <c r="Z36">
        <v>750</v>
      </c>
      <c r="AA36">
        <v>11150</v>
      </c>
      <c r="AB36">
        <v>210</v>
      </c>
      <c r="AC36">
        <v>210</v>
      </c>
      <c r="AD36">
        <v>0</v>
      </c>
      <c r="AE36">
        <v>15450</v>
      </c>
      <c r="AF36">
        <v>0</v>
      </c>
      <c r="AG36">
        <v>3280</v>
      </c>
      <c r="AH36">
        <v>0</v>
      </c>
      <c r="AI36">
        <v>3000</v>
      </c>
      <c r="AJ36">
        <v>1880</v>
      </c>
      <c r="AK36">
        <v>0</v>
      </c>
      <c r="AL36">
        <v>8000</v>
      </c>
      <c r="AO36" s="55" t="str">
        <f>VLOOKUP($M$3&amp;$N$3&amp;DATA_MARZO_2026[[#This Row],[SUPERVISOR]],TablaMeta[],7,0)</f>
        <v>S0 - IBK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37" s="34" cm="1">
        <f t="array" ref="C37">_xlfn.XLOOKUP(1,(TablaMeta[CONCAT]=$M$3&amp;$N$3&amp;D1_MARZO_2026[[#This Row],[SUPER]])*(TablaMeta[SEGG]=D1_MARZO_2026[[#This Row],[SEGMENTO]]),TablaMeta[Meta_Asesor])</f>
        <v>94000</v>
      </c>
      <c r="D37" s="35">
        <f>IF(D1_MARZO_2026[[#This Row],[RECUPERO]]="VACACIONES","VACACIONES",IFERROR(D1_MARZO_2026[[#This Row],[RECUPERO]]/D1_MARZO_2026[[#This Row],[META]],""))</f>
        <v>0.75224478723404253</v>
      </c>
      <c r="E37" s="35" t="str">
        <f>D1_MARZO_2026[[#This Row],[SUPER]]</f>
        <v>SANDY</v>
      </c>
      <c r="F37" t="s">
        <v>78</v>
      </c>
      <c r="G37" s="3">
        <v>70711.009999999995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7" s="56"/>
      <c r="M37" s="5">
        <f>DATA_MARZO_2026[[#This Row],[RECUPERO]]/DATA_MARZO_2026[[#This Row],[META]]</f>
        <v>0.73713846153846152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IFERROR(VLOOKUP(DATA_MARZO_2026[[#This Row],[ASER_]],$B:$G,4,0),"")</f>
        <v>SANDY</v>
      </c>
      <c r="P37" s="6">
        <f>VLOOKUP(DATA_MARZO_2026[[#This Row],[ASER_]],D1_MARZO_2026[[ASESOR_CRR]:[RECUPERO]],6,0)</f>
        <v>23957</v>
      </c>
      <c r="Q37" s="6">
        <f>VLOOKUP(DATA_MARZO_2026[[#This Row],[ASER_]],D1_MARZO_2026[[ASESOR_CRR]:[META]],2,0)</f>
        <v>32500</v>
      </c>
      <c r="R37" t="s">
        <v>509</v>
      </c>
      <c r="S37">
        <v>0</v>
      </c>
      <c r="T37">
        <v>0</v>
      </c>
      <c r="U37">
        <v>10300</v>
      </c>
      <c r="V37">
        <v>0</v>
      </c>
      <c r="W37">
        <v>0</v>
      </c>
      <c r="X37">
        <v>0</v>
      </c>
      <c r="Y37">
        <v>900</v>
      </c>
      <c r="Z37">
        <v>2000</v>
      </c>
      <c r="AA37">
        <v>0</v>
      </c>
      <c r="AB37">
        <v>0</v>
      </c>
      <c r="AC37">
        <v>0</v>
      </c>
      <c r="AD37">
        <v>1000</v>
      </c>
      <c r="AE37">
        <v>0</v>
      </c>
      <c r="AF37">
        <v>300</v>
      </c>
      <c r="AG37">
        <v>500</v>
      </c>
      <c r="AH37">
        <v>0</v>
      </c>
      <c r="AI37">
        <v>0</v>
      </c>
      <c r="AJ37">
        <v>400</v>
      </c>
      <c r="AK37">
        <v>597</v>
      </c>
      <c r="AL37">
        <v>7960</v>
      </c>
      <c r="AO37" s="55" t="str">
        <f>VLOOKUP($M$3&amp;$N$3&amp;DATA_MARZO_2026[[#This Row],[SUPERVISOR]],TablaMeta[],7,0)</f>
        <v>S0 - IBK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38" s="34" cm="1">
        <f t="array" ref="C38">_xlfn.XLOOKUP(1,(TablaMeta[CONCAT]=$M$3&amp;$N$3&amp;D1_MARZO_2026[[#This Row],[SUPER]])*(TablaMeta[SEGG]=D1_MARZO_2026[[#This Row],[SEGMENTO]]),TablaMeta[Meta_Asesor])</f>
        <v>16000</v>
      </c>
      <c r="D38" s="35">
        <f>IF(D1_MARZO_2026[[#This Row],[RECUPERO]]="VACACIONES","VACACIONES",IFERROR(D1_MARZO_2026[[#This Row],[RECUPERO]]/D1_MARZO_2026[[#This Row],[META]],""))</f>
        <v>1.0962499999999999</v>
      </c>
      <c r="E38" s="35" t="str">
        <f>D1_MARZO_2026[[#This Row],[SUPER]]</f>
        <v>LEONOR</v>
      </c>
      <c r="F38" t="s">
        <v>511</v>
      </c>
      <c r="G38" s="3">
        <v>17540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DATA_MARZO_2026[[#This Row],[RECUPERO]]/DATA_MARZO_2026[[#This Row],[META]]</f>
        <v>1.0489044680851065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IFERROR(VLOOKUP(DATA_MARZO_2026[[#This Row],[ASER_]],$B:$G,4,0),"")</f>
        <v>SANDY</v>
      </c>
      <c r="P38" s="6">
        <f>VLOOKUP(DATA_MARZO_2026[[#This Row],[ASER_]],D1_MARZO_2026[[ASESOR_CRR]:[RECUPERO]],6,0)</f>
        <v>98597.02</v>
      </c>
      <c r="Q38" s="6">
        <f>VLOOKUP(DATA_MARZO_2026[[#This Row],[ASER_]],D1_MARZO_2026[[ASESOR_CRR]:[META]],2,0)</f>
        <v>94000</v>
      </c>
      <c r="R38" t="s">
        <v>38</v>
      </c>
      <c r="S38">
        <v>200</v>
      </c>
      <c r="T38">
        <v>6484.86</v>
      </c>
      <c r="U38">
        <v>7300</v>
      </c>
      <c r="V38">
        <v>10150</v>
      </c>
      <c r="W38">
        <v>6377</v>
      </c>
      <c r="X38">
        <v>11957.74</v>
      </c>
      <c r="Y38">
        <v>1030</v>
      </c>
      <c r="Z38">
        <v>2100</v>
      </c>
      <c r="AA38">
        <v>2500</v>
      </c>
      <c r="AB38" s="6">
        <v>537.76</v>
      </c>
      <c r="AC38" s="6">
        <v>1300</v>
      </c>
      <c r="AD38" s="6">
        <v>3700</v>
      </c>
      <c r="AE38" s="6">
        <v>5780</v>
      </c>
      <c r="AF38" s="6">
        <v>13000</v>
      </c>
      <c r="AG38" s="6">
        <v>8450</v>
      </c>
      <c r="AH38" s="6">
        <v>4300</v>
      </c>
      <c r="AI38">
        <v>6400</v>
      </c>
      <c r="AJ38">
        <v>750</v>
      </c>
      <c r="AK38">
        <v>2500</v>
      </c>
      <c r="AL38">
        <v>4080</v>
      </c>
      <c r="AO38" s="55" t="str">
        <f>VLOOKUP($M$3&amp;$N$3&amp;DATA_MARZO_2026[[#This Row],[SUPERVISOR]],TablaMeta[],7,0)</f>
        <v>S0 - IBK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39" s="34" cm="1">
        <f t="array" ref="C39">_xlfn.XLOOKUP(1,(TablaMeta[CONCAT]=$M$3&amp;$N$3&amp;D1_MARZO_2026[[#This Row],[SUPER]])*(TablaMeta[SEGG]=D1_MARZO_2026[[#This Row],[SEGMENTO]]),TablaMeta[Meta_Asesor])</f>
        <v>16000</v>
      </c>
      <c r="D39" s="35">
        <f>IF(D1_MARZO_2026[[#This Row],[RECUPERO]]="VACACIONES","VACACIONES",IFERROR(D1_MARZO_2026[[#This Row],[RECUPERO]]/D1_MARZO_2026[[#This Row],[META]],""))</f>
        <v>0.75593750000000004</v>
      </c>
      <c r="E39" s="35" t="str">
        <f>D1_MARZO_2026[[#This Row],[SUPER]]</f>
        <v>LEONOR</v>
      </c>
      <c r="F39" t="s">
        <v>41</v>
      </c>
      <c r="G39" s="3">
        <v>12095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1.0562553191489361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&gt;100%</v>
      </c>
      <c r="O39" s="55" t="str">
        <f>IFERROR(VLOOKUP(DATA_MARZO_2026[[#This Row],[ASER_]],$B:$G,4,0),"")</f>
        <v>SANDY</v>
      </c>
      <c r="P39" s="6">
        <f>VLOOKUP(DATA_MARZO_2026[[#This Row],[ASER_]],D1_MARZO_2026[[ASESOR_CRR]:[RECUPERO]],6,0)</f>
        <v>99288</v>
      </c>
      <c r="Q39" s="6">
        <f>VLOOKUP(DATA_MARZO_2026[[#This Row],[ASER_]],D1_MARZO_2026[[ASESOR_CRR]:[META]],2,0)</f>
        <v>94000</v>
      </c>
      <c r="R39" t="s">
        <v>76</v>
      </c>
      <c r="S39">
        <v>0</v>
      </c>
      <c r="T39">
        <v>3450</v>
      </c>
      <c r="U39">
        <v>8660.16</v>
      </c>
      <c r="V39">
        <v>16000</v>
      </c>
      <c r="W39">
        <v>0</v>
      </c>
      <c r="X39">
        <v>20000</v>
      </c>
      <c r="Y39">
        <v>4463</v>
      </c>
      <c r="Z39">
        <v>3500</v>
      </c>
      <c r="AA39">
        <v>0</v>
      </c>
      <c r="AB39" s="6">
        <v>0</v>
      </c>
      <c r="AC39" s="6">
        <v>1000</v>
      </c>
      <c r="AD39" s="6">
        <v>8515</v>
      </c>
      <c r="AE39" s="6">
        <v>0</v>
      </c>
      <c r="AF39" s="6">
        <v>4000</v>
      </c>
      <c r="AG39" s="6">
        <v>400</v>
      </c>
      <c r="AH39" s="6">
        <v>8500</v>
      </c>
      <c r="AI39">
        <v>1000</v>
      </c>
      <c r="AJ39">
        <v>8999.82</v>
      </c>
      <c r="AK39">
        <v>8800</v>
      </c>
      <c r="AL39">
        <v>2000</v>
      </c>
      <c r="AO39" s="55" t="str">
        <f>VLOOKUP($M$3&amp;$N$3&amp;DATA_MARZO_2026[[#This Row],[SUPERVISOR]],TablaMeta[],7,0)</f>
        <v>S0 - IBK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40" s="34" cm="1">
        <f t="array" ref="C40">_xlfn.XLOOKUP(1,(TablaMeta[CONCAT]=$M$3&amp;$N$3&amp;D1_MARZO_2026[[#This Row],[SUPER]])*(TablaMeta[SEGG]=D1_MARZO_2026[[#This Row],[SEGMENTO]]),TablaMeta[Meta_Asesor])</f>
        <v>16000</v>
      </c>
      <c r="D40" s="35">
        <f>IF(D1_MARZO_2026[[#This Row],[RECUPERO]]="VACACIONES","VACACIONES",IFERROR(D1_MARZO_2026[[#This Row],[RECUPERO]]/D1_MARZO_2026[[#This Row],[META]],""))</f>
        <v>0.75437500000000002</v>
      </c>
      <c r="E40" s="35" t="str">
        <f>D1_MARZO_2026[[#This Row],[SUPER]]</f>
        <v>LEONOR</v>
      </c>
      <c r="F40" t="s">
        <v>581</v>
      </c>
      <c r="G40" s="3">
        <v>12070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0" s="56"/>
      <c r="M40" s="5">
        <f>DATA_MARZO_2026[[#This Row],[RECUPERO]]/DATA_MARZO_2026[[#This Row],[META]]</f>
        <v>0.75224478723404253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IFERROR(VLOOKUP(DATA_MARZO_2026[[#This Row],[ASER_]],$B:$G,4,0),"")</f>
        <v>SANDY</v>
      </c>
      <c r="P40" s="6">
        <f>VLOOKUP(DATA_MARZO_2026[[#This Row],[ASER_]],D1_MARZO_2026[[ASESOR_CRR]:[RECUPERO]],6,0)</f>
        <v>70711.009999999995</v>
      </c>
      <c r="Q40" s="6">
        <f>VLOOKUP(DATA_MARZO_2026[[#This Row],[ASER_]],D1_MARZO_2026[[ASESOR_CRR]:[META]],2,0)</f>
        <v>94000</v>
      </c>
      <c r="R40" t="s">
        <v>78</v>
      </c>
      <c r="S40">
        <v>0</v>
      </c>
      <c r="T40">
        <v>6000</v>
      </c>
      <c r="U40">
        <v>8600</v>
      </c>
      <c r="V40">
        <v>0</v>
      </c>
      <c r="W40">
        <v>2495</v>
      </c>
      <c r="X40">
        <v>10750</v>
      </c>
      <c r="Y40">
        <v>0</v>
      </c>
      <c r="Z40">
        <v>496</v>
      </c>
      <c r="AA40">
        <v>1800</v>
      </c>
      <c r="AB40" s="6">
        <v>0</v>
      </c>
      <c r="AC40" s="6">
        <v>2800</v>
      </c>
      <c r="AD40" s="6">
        <v>17350.099999999999</v>
      </c>
      <c r="AE40" s="6">
        <v>9000</v>
      </c>
      <c r="AF40" s="6">
        <v>0</v>
      </c>
      <c r="AG40" s="6">
        <v>800</v>
      </c>
      <c r="AH40" s="6">
        <v>1820</v>
      </c>
      <c r="AI40">
        <v>500</v>
      </c>
      <c r="AJ40">
        <v>4000</v>
      </c>
      <c r="AK40">
        <v>0</v>
      </c>
      <c r="AL40">
        <v>4000</v>
      </c>
      <c r="AO40" s="55" t="str">
        <f>VLOOKUP($M$3&amp;$N$3&amp;DATA_MARZO_2026[[#This Row],[SUPERVISOR]],TablaMeta[],7,0)</f>
        <v>S0 - IBK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41" s="34" cm="1">
        <f t="array" ref="C41">_xlfn.XLOOKUP(1,(TablaMeta[CONCAT]=$M$3&amp;$N$3&amp;D1_MARZO_2026[[#This Row],[SUPER]])*(TablaMeta[SEGG]=D1_MARZO_2026[[#This Row],[SEGMENTO]]),TablaMeta[Meta_Asesor])</f>
        <v>16000</v>
      </c>
      <c r="D41" s="35">
        <f>IF(D1_MARZO_2026[[#This Row],[RECUPERO]]="VACACIONES","VACACIONES",IFERROR(D1_MARZO_2026[[#This Row],[RECUPERO]]/D1_MARZO_2026[[#This Row],[META]],""))</f>
        <v>0.62124999999999997</v>
      </c>
      <c r="E41" s="35" t="str">
        <f>D1_MARZO_2026[[#This Row],[SUPER]]</f>
        <v>LEONOR</v>
      </c>
      <c r="F41" t="s">
        <v>565</v>
      </c>
      <c r="G41" s="3">
        <v>9940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1" s="56"/>
      <c r="M41" s="5">
        <f>DATA_MARZO_2026[[#This Row],[RECUPERO]]/DATA_MARZO_2026[[#This Row],[META]]</f>
        <v>0.3049825581395349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KENNETH</v>
      </c>
      <c r="P41" s="6">
        <f>VLOOKUP(DATA_MARZO_2026[[#This Row],[ASER_]],D1_MARZO_2026[[ASESOR_CRR]:[RECUPERO]],6,0)</f>
        <v>26228.5</v>
      </c>
      <c r="Q41" s="6">
        <f>VLOOKUP(DATA_MARZO_2026[[#This Row],[ASER_]],D1_MARZO_2026[[ASESOR_CRR]:[META]],2,0)</f>
        <v>86000</v>
      </c>
      <c r="R41" t="s">
        <v>37</v>
      </c>
      <c r="S41">
        <v>266.5</v>
      </c>
      <c r="T41">
        <v>1000</v>
      </c>
      <c r="U41">
        <v>150</v>
      </c>
      <c r="V41">
        <v>3300</v>
      </c>
      <c r="W41" s="5">
        <v>0</v>
      </c>
      <c r="X41" s="6">
        <v>200</v>
      </c>
      <c r="Y41" s="6">
        <v>100</v>
      </c>
      <c r="Z41" s="6">
        <v>0</v>
      </c>
      <c r="AA41" s="6">
        <v>3800</v>
      </c>
      <c r="AB41" s="6">
        <v>500</v>
      </c>
      <c r="AC41" s="6">
        <v>2300</v>
      </c>
      <c r="AD41" s="6">
        <v>5150</v>
      </c>
      <c r="AE41" s="6">
        <v>0</v>
      </c>
      <c r="AF41" s="6">
        <v>0</v>
      </c>
      <c r="AG41" s="6">
        <v>3022</v>
      </c>
      <c r="AH41" s="6">
        <v>0</v>
      </c>
      <c r="AI41" s="6">
        <v>0</v>
      </c>
      <c r="AJ41" s="6">
        <v>3440</v>
      </c>
      <c r="AK41" s="6">
        <v>3000</v>
      </c>
      <c r="AL41" s="6">
        <v>0</v>
      </c>
      <c r="AM41" s="6"/>
      <c r="AN41" s="6"/>
      <c r="AO41" s="55" t="str">
        <f>VLOOKUP($M$3&amp;$N$3&amp;DATA_MARZO_2026[[#This Row],[SUPERVISOR]],TablaMeta[],7,0)</f>
        <v>S0 - IBK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42" s="34" cm="1">
        <f t="array" ref="C42">_xlfn.XLOOKUP(1,(TablaMeta[CONCAT]=$M$3&amp;$N$3&amp;D1_MARZO_2026[[#This Row],[SUPER]])*(TablaMeta[SEGG]=D1_MARZO_2026[[#This Row],[SEGMENTO]]),TablaMeta[Meta_Asesor])</f>
        <v>16000</v>
      </c>
      <c r="D42" s="35">
        <f>IF(D1_MARZO_2026[[#This Row],[RECUPERO]]="VACACIONES","VACACIONES",IFERROR(D1_MARZO_2026[[#This Row],[RECUPERO]]/D1_MARZO_2026[[#This Row],[META]],""))</f>
        <v>0.18287500000000001</v>
      </c>
      <c r="E42" s="35" t="str">
        <f>D1_MARZO_2026[[#This Row],[SUPER]]</f>
        <v>LEONOR</v>
      </c>
      <c r="F42" t="s">
        <v>573</v>
      </c>
      <c r="G42" s="3">
        <v>2926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2" s="56"/>
      <c r="M42" s="5">
        <f>DATA_MARZO_2026[[#This Row],[RECUPERO]]/DATA_MARZO_2026[[#This Row],[META]]</f>
        <v>0.57447674418604655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49405</v>
      </c>
      <c r="Q42" s="6">
        <f>VLOOKUP(DATA_MARZO_2026[[#This Row],[ASER_]],D1_MARZO_2026[[ASESOR_CRR]:[META]],2,0)</f>
        <v>86000</v>
      </c>
      <c r="R42" t="s">
        <v>35</v>
      </c>
      <c r="S42">
        <v>1500</v>
      </c>
      <c r="T42">
        <v>2950</v>
      </c>
      <c r="U42">
        <v>500</v>
      </c>
      <c r="V42">
        <v>1350</v>
      </c>
      <c r="W42" s="5">
        <v>325</v>
      </c>
      <c r="X42" s="6">
        <v>4000</v>
      </c>
      <c r="Y42" s="6">
        <v>8600</v>
      </c>
      <c r="Z42" s="6">
        <v>350</v>
      </c>
      <c r="AA42" s="6">
        <v>0</v>
      </c>
      <c r="AB42" s="6">
        <v>960</v>
      </c>
      <c r="AC42" s="6">
        <v>10100</v>
      </c>
      <c r="AD42" s="6">
        <v>10000</v>
      </c>
      <c r="AE42" s="6">
        <v>0</v>
      </c>
      <c r="AF42" s="6">
        <v>2500</v>
      </c>
      <c r="AG42" s="6">
        <v>1500</v>
      </c>
      <c r="AH42" s="6">
        <v>1820</v>
      </c>
      <c r="AI42" s="6">
        <v>0</v>
      </c>
      <c r="AJ42" s="6">
        <v>500</v>
      </c>
      <c r="AK42" s="6">
        <v>0</v>
      </c>
      <c r="AL42" s="6">
        <v>2450</v>
      </c>
      <c r="AM42" s="6"/>
      <c r="AN42" s="6"/>
      <c r="AO42" s="55" t="str">
        <f>VLOOKUP($M$3&amp;$N$3&amp;DATA_MARZO_2026[[#This Row],[SUPERVISOR]],TablaMeta[],7,0)</f>
        <v>S0 - IBK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43" s="34" cm="1">
        <f t="array" ref="C43">_xlfn.XLOOKUP(1,(TablaMeta[CONCAT]=$M$3&amp;$N$3&amp;D1_MARZO_2026[[#This Row],[SUPER]])*(TablaMeta[SEGG]=D1_MARZO_2026[[#This Row],[SEGMENTO]]),TablaMeta[Meta_Asesor])</f>
        <v>16000</v>
      </c>
      <c r="D43" s="35">
        <f>IF(D1_MARZO_2026[[#This Row],[RECUPERO]]="VACACIONES","VACACIONES",IFERROR(D1_MARZO_2026[[#This Row],[RECUPERO]]/D1_MARZO_2026[[#This Row],[META]],""))</f>
        <v>0.14531250000000001</v>
      </c>
      <c r="E43" s="35" t="str">
        <f>D1_MARZO_2026[[#This Row],[SUPER]]</f>
        <v>LEONOR</v>
      </c>
      <c r="F43" t="s">
        <v>582</v>
      </c>
      <c r="G43" s="3">
        <v>2325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3" s="56"/>
      <c r="M43" s="5">
        <f>DATA_MARZO_2026[[#This Row],[RECUPERO]]/DATA_MARZO_2026[[#This Row],[META]]</f>
        <v>1.1751162790697673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101060</v>
      </c>
      <c r="Q43" s="6">
        <f>VLOOKUP(DATA_MARZO_2026[[#This Row],[ASER_]],D1_MARZO_2026[[ASESOR_CRR]:[META]],2,0)</f>
        <v>86000</v>
      </c>
      <c r="R43" t="s">
        <v>97</v>
      </c>
      <c r="S43">
        <v>300</v>
      </c>
      <c r="T43">
        <v>450</v>
      </c>
      <c r="U43">
        <v>895</v>
      </c>
      <c r="V43">
        <v>4500</v>
      </c>
      <c r="W43" s="5">
        <v>4800</v>
      </c>
      <c r="X43" s="6">
        <v>0</v>
      </c>
      <c r="Y43" s="6">
        <v>420</v>
      </c>
      <c r="Z43" s="6">
        <v>0</v>
      </c>
      <c r="AA43" s="6">
        <v>5500</v>
      </c>
      <c r="AB43" s="6">
        <v>295</v>
      </c>
      <c r="AC43" s="6">
        <v>800</v>
      </c>
      <c r="AD43" s="6">
        <v>14760</v>
      </c>
      <c r="AE43" s="6">
        <v>14700</v>
      </c>
      <c r="AF43" s="6">
        <v>5270</v>
      </c>
      <c r="AG43" s="6">
        <v>18855</v>
      </c>
      <c r="AH43" s="6">
        <v>1000</v>
      </c>
      <c r="AI43" s="6">
        <v>5350</v>
      </c>
      <c r="AJ43" s="6">
        <v>805</v>
      </c>
      <c r="AK43" s="6">
        <v>4200</v>
      </c>
      <c r="AL43" s="6">
        <v>18160</v>
      </c>
      <c r="AM43" s="6"/>
      <c r="AN43" s="6"/>
      <c r="AO43" s="55" t="str">
        <f>VLOOKUP($M$3&amp;$N$3&amp;DATA_MARZO_2026[[#This Row],[SUPERVISOR]],TablaMeta[],7,0)</f>
        <v>S0 - IBK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44" s="34" cm="1">
        <f t="array" ref="C44">_xlfn.XLOOKUP(1,(TablaMeta[CONCAT]=$M$3&amp;$N$3&amp;D1_MARZO_2026[[#This Row],[SUPER]])*(TablaMeta[SEGG]=D1_MARZO_2026[[#This Row],[SEGMENTO]]),TablaMeta[Meta_Asesor])</f>
        <v>35000</v>
      </c>
      <c r="D44" s="35">
        <f>IF(D1_MARZO_2026[[#This Row],[RECUPERO]]="VACACIONES","VACACIONES",IFERROR(D1_MARZO_2026[[#This Row],[RECUPERO]]/D1_MARZO_2026[[#This Row],[META]],""))</f>
        <v>0.91594285714285717</v>
      </c>
      <c r="E44" s="35" t="str">
        <f>D1_MARZO_2026[[#This Row],[SUPER]]</f>
        <v>LEONOR</v>
      </c>
      <c r="F44" t="s">
        <v>51</v>
      </c>
      <c r="G44" s="3">
        <v>32058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DATA_MARZO_2026[[#This Row],[RECUPERO]]/DATA_MARZO_2026[[#This Row],[META]]</f>
        <v>0.43040983606557376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13127.5</v>
      </c>
      <c r="Q44" s="6">
        <f>VLOOKUP(DATA_MARZO_2026[[#This Row],[ASER_]],D1_MARZO_2026[[ASESOR_CRR]:[META]],2,0)</f>
        <v>30500</v>
      </c>
      <c r="R44" t="s">
        <v>105</v>
      </c>
      <c r="S44">
        <v>0</v>
      </c>
      <c r="T44">
        <v>0</v>
      </c>
      <c r="U44">
        <v>1200</v>
      </c>
      <c r="V44">
        <v>252.5</v>
      </c>
      <c r="W44" s="5">
        <v>0</v>
      </c>
      <c r="X44" s="6">
        <v>0</v>
      </c>
      <c r="Y44" s="6">
        <v>0</v>
      </c>
      <c r="Z44" s="6">
        <v>0</v>
      </c>
      <c r="AA44" s="6">
        <v>605</v>
      </c>
      <c r="AB44" s="6">
        <v>550</v>
      </c>
      <c r="AC44" s="6">
        <v>420</v>
      </c>
      <c r="AD44" s="6">
        <v>0</v>
      </c>
      <c r="AE44" s="6">
        <v>6500</v>
      </c>
      <c r="AF44" s="6">
        <v>0</v>
      </c>
      <c r="AG44" s="6">
        <v>1000</v>
      </c>
      <c r="AH44" s="6">
        <v>2600</v>
      </c>
      <c r="AI44" s="6">
        <v>0</v>
      </c>
      <c r="AJ44" s="6">
        <v>0</v>
      </c>
      <c r="AK44" s="6">
        <v>0</v>
      </c>
      <c r="AL44" s="6">
        <v>0</v>
      </c>
      <c r="AM44" s="6"/>
      <c r="AN44" s="6"/>
      <c r="AO44" s="55" t="str">
        <f>VLOOKUP($M$3&amp;$N$3&amp;DATA_MARZO_2026[[#This Row],[SUPERVISOR]],TablaMeta[],7,0)</f>
        <v>S0 - IBK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45" s="34" cm="1">
        <f t="array" ref="C45">_xlfn.XLOOKUP(1,(TablaMeta[CONCAT]=$M$3&amp;$N$3&amp;D1_MARZO_2026[[#This Row],[SUPER]])*(TablaMeta[SEGG]=D1_MARZO_2026[[#This Row],[SEGMENTO]]),TablaMeta[Meta_Asesor])</f>
        <v>35000</v>
      </c>
      <c r="D45" s="35">
        <f>IF(D1_MARZO_2026[[#This Row],[RECUPERO]]="VACACIONES","VACACIONES",IFERROR(D1_MARZO_2026[[#This Row],[RECUPERO]]/D1_MARZO_2026[[#This Row],[META]],""))</f>
        <v>0.70294285714285709</v>
      </c>
      <c r="E45" s="35" t="str">
        <f>D1_MARZO_2026[[#This Row],[SUPER]]</f>
        <v>LEONOR</v>
      </c>
      <c r="F45" t="s">
        <v>77</v>
      </c>
      <c r="G45" s="3">
        <v>24603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0.56393442622950818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17200</v>
      </c>
      <c r="Q45" s="6">
        <f>VLOOKUP(DATA_MARZO_2026[[#This Row],[ASER_]],D1_MARZO_2026[[ASESOR_CRR]:[META]],2,0)</f>
        <v>30500</v>
      </c>
      <c r="R45" t="s">
        <v>81</v>
      </c>
      <c r="S45">
        <v>509</v>
      </c>
      <c r="T45">
        <v>0</v>
      </c>
      <c r="U45">
        <v>345</v>
      </c>
      <c r="V45">
        <v>1100</v>
      </c>
      <c r="W45" s="5">
        <v>3650</v>
      </c>
      <c r="X45" s="6">
        <v>0</v>
      </c>
      <c r="Y45" s="6">
        <v>0</v>
      </c>
      <c r="Z45" s="6">
        <v>2200</v>
      </c>
      <c r="AA45" s="6">
        <v>526</v>
      </c>
      <c r="AB45" s="6">
        <v>180</v>
      </c>
      <c r="AC45" s="6">
        <v>210</v>
      </c>
      <c r="AD45" s="6">
        <v>0</v>
      </c>
      <c r="AE45" s="6">
        <v>645</v>
      </c>
      <c r="AF45" s="6">
        <v>100</v>
      </c>
      <c r="AG45" s="6">
        <v>200</v>
      </c>
      <c r="AH45" s="6">
        <v>0</v>
      </c>
      <c r="AI45" s="6">
        <v>4500</v>
      </c>
      <c r="AJ45" s="6">
        <v>2000</v>
      </c>
      <c r="AK45" s="6">
        <v>0</v>
      </c>
      <c r="AL45" s="6">
        <v>1035</v>
      </c>
      <c r="AM45" s="6"/>
      <c r="AN45" s="6"/>
      <c r="AO45" s="55" t="str">
        <f>VLOOKUP($M$3&amp;$N$3&amp;DATA_MARZO_2026[[#This Row],[SUPERVISOR]],TablaMeta[],7,0)</f>
        <v>S0 - IBK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46" s="34" cm="1">
        <f t="array" ref="C46">_xlfn.XLOOKUP(1,(TablaMeta[CONCAT]=$M$3&amp;$N$3&amp;D1_MARZO_2026[[#This Row],[SUPER]])*(TablaMeta[SEGG]=D1_MARZO_2026[[#This Row],[SEGMENTO]]),TablaMeta[Meta_Asesor])</f>
        <v>35000</v>
      </c>
      <c r="D46" s="35">
        <f>IF(D1_MARZO_2026[[#This Row],[RECUPERO]]="VACACIONES","VACACIONES",IFERROR(D1_MARZO_2026[[#This Row],[RECUPERO]]/D1_MARZO_2026[[#This Row],[META]],""))</f>
        <v>0.62771428571428567</v>
      </c>
      <c r="E46" s="35" t="str">
        <f>D1_MARZO_2026[[#This Row],[SUPER]]</f>
        <v>LEONOR</v>
      </c>
      <c r="F46" t="s">
        <v>73</v>
      </c>
      <c r="G46" s="3">
        <v>21970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1.391967213114754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&gt;100%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42455</v>
      </c>
      <c r="Q46" s="6">
        <f>VLOOKUP(DATA_MARZO_2026[[#This Row],[ASER_]],D1_MARZO_2026[[ASESOR_CRR]:[META]],2,0)</f>
        <v>30500</v>
      </c>
      <c r="R46" t="s">
        <v>19</v>
      </c>
      <c r="S46">
        <v>0</v>
      </c>
      <c r="T46">
        <v>0</v>
      </c>
      <c r="U46">
        <v>0</v>
      </c>
      <c r="V46">
        <v>200</v>
      </c>
      <c r="W46" s="5">
        <v>0</v>
      </c>
      <c r="X46" s="6">
        <v>0</v>
      </c>
      <c r="Y46" s="6">
        <v>0</v>
      </c>
      <c r="Z46" s="6">
        <v>1000</v>
      </c>
      <c r="AA46" s="6">
        <v>4000</v>
      </c>
      <c r="AB46" s="6">
        <v>10400</v>
      </c>
      <c r="AC46" s="6">
        <v>0</v>
      </c>
      <c r="AD46" s="6">
        <v>3800</v>
      </c>
      <c r="AE46" s="6">
        <v>0</v>
      </c>
      <c r="AF46" s="6">
        <v>3000</v>
      </c>
      <c r="AG46" s="6">
        <v>1875</v>
      </c>
      <c r="AH46" s="6">
        <v>2500</v>
      </c>
      <c r="AI46" s="6">
        <v>380</v>
      </c>
      <c r="AJ46" s="6">
        <v>9500</v>
      </c>
      <c r="AK46" s="6">
        <v>4300</v>
      </c>
      <c r="AL46" s="6">
        <v>1500</v>
      </c>
      <c r="AM46" s="6"/>
      <c r="AN46" s="6"/>
      <c r="AO46" s="55" t="str">
        <f>VLOOKUP($M$3&amp;$N$3&amp;DATA_MARZO_2026[[#This Row],[SUPERVISOR]],TablaMeta[],7,0)</f>
        <v>S0 - IBK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47" s="34" cm="1">
        <f t="array" ref="C47">_xlfn.XLOOKUP(1,(TablaMeta[CONCAT]=$M$3&amp;$N$3&amp;D1_MARZO_2026[[#This Row],[SUPER]])*(TablaMeta[SEGG]=D1_MARZO_2026[[#This Row],[SEGMENTO]]),TablaMeta[Meta_Asesor])</f>
        <v>35000</v>
      </c>
      <c r="D47" s="35">
        <f>IF(D1_MARZO_2026[[#This Row],[RECUPERO]]="VACACIONES","VACACIONES",IFERROR(D1_MARZO_2026[[#This Row],[RECUPERO]]/D1_MARZO_2026[[#This Row],[META]],""))</f>
        <v>0.60442857142857143</v>
      </c>
      <c r="E47" s="35" t="str">
        <f>D1_MARZO_2026[[#This Row],[SUPER]]</f>
        <v>LEONOR</v>
      </c>
      <c r="F47" t="s">
        <v>49</v>
      </c>
      <c r="G47" s="3">
        <v>21155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7" s="56"/>
      <c r="M47" s="5">
        <f>DATA_MARZO_2026[[#This Row],[RECUPERO]]/DATA_MARZO_2026[[#This Row],[META]]</f>
        <v>0.93265573770491805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&gt;70%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28446</v>
      </c>
      <c r="Q47" s="6">
        <f>VLOOKUP(DATA_MARZO_2026[[#This Row],[ASER_]],D1_MARZO_2026[[ASESOR_CRR]:[META]],2,0)</f>
        <v>30500</v>
      </c>
      <c r="R47" t="s">
        <v>50</v>
      </c>
      <c r="S47">
        <v>0</v>
      </c>
      <c r="T47">
        <v>0</v>
      </c>
      <c r="U47">
        <v>300</v>
      </c>
      <c r="V47">
        <v>0</v>
      </c>
      <c r="W47" s="5">
        <v>120</v>
      </c>
      <c r="X47" s="6">
        <v>6700</v>
      </c>
      <c r="Y47" s="6">
        <v>2601</v>
      </c>
      <c r="Z47" s="6">
        <v>7600</v>
      </c>
      <c r="AA47" s="6">
        <v>0</v>
      </c>
      <c r="AB47" s="6">
        <v>0</v>
      </c>
      <c r="AC47" s="6">
        <v>1345</v>
      </c>
      <c r="AD47" s="6">
        <v>0</v>
      </c>
      <c r="AE47" s="6">
        <v>900</v>
      </c>
      <c r="AF47" s="6">
        <v>3500</v>
      </c>
      <c r="AG47" s="6">
        <v>0</v>
      </c>
      <c r="AH47" s="6">
        <v>360</v>
      </c>
      <c r="AI47" s="6">
        <v>2820</v>
      </c>
      <c r="AJ47" s="6">
        <v>500</v>
      </c>
      <c r="AK47" s="6">
        <v>0</v>
      </c>
      <c r="AL47" s="6">
        <v>1700</v>
      </c>
      <c r="AM47" s="6"/>
      <c r="AN47" s="6"/>
      <c r="AO47" s="55" t="str">
        <f>VLOOKUP($M$3&amp;$N$3&amp;DATA_MARZO_2026[[#This Row],[SUPERVISOR]],TablaMeta[],7,0)</f>
        <v>S0 - IBK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48" s="34" cm="1">
        <f t="array" ref="C48">_xlfn.XLOOKUP(1,(TablaMeta[CONCAT]=$M$3&amp;$N$3&amp;D1_MARZO_2026[[#This Row],[SUPER]])*(TablaMeta[SEGG]=D1_MARZO_2026[[#This Row],[SEGMENTO]]),TablaMeta[Meta_Asesor])</f>
        <v>35000</v>
      </c>
      <c r="D48" s="35">
        <f>IF(D1_MARZO_2026[[#This Row],[RECUPERO]]="VACACIONES","VACACIONES",IFERROR(D1_MARZO_2026[[#This Row],[RECUPERO]]/D1_MARZO_2026[[#This Row],[META]],""))</f>
        <v>0.57371428571428573</v>
      </c>
      <c r="E48" s="35" t="str">
        <f>D1_MARZO_2026[[#This Row],[SUPER]]</f>
        <v>LEONOR</v>
      </c>
      <c r="F48" t="s">
        <v>48</v>
      </c>
      <c r="G48" s="3">
        <v>20080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8" s="56"/>
      <c r="M48" s="5">
        <f>DATA_MARZO_2026[[#This Row],[RECUPERO]]/DATA_MARZO_2026[[#This Row],[META]]</f>
        <v>0.57924590163934431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17667</v>
      </c>
      <c r="Q48" s="6">
        <f>VLOOKUP(DATA_MARZO_2026[[#This Row],[ASER_]],D1_MARZO_2026[[ASESOR_CRR]:[META]],2,0)</f>
        <v>30500</v>
      </c>
      <c r="R48" t="s">
        <v>11</v>
      </c>
      <c r="S48">
        <v>0</v>
      </c>
      <c r="T48">
        <v>150</v>
      </c>
      <c r="U48">
        <v>0</v>
      </c>
      <c r="V48">
        <v>300</v>
      </c>
      <c r="W48">
        <v>246</v>
      </c>
      <c r="X48" s="5">
        <v>5578</v>
      </c>
      <c r="Y48" s="6">
        <v>250</v>
      </c>
      <c r="Z48" s="6">
        <v>1000</v>
      </c>
      <c r="AA48" s="6">
        <v>0</v>
      </c>
      <c r="AB48" s="6">
        <v>0</v>
      </c>
      <c r="AC48" s="6">
        <v>113</v>
      </c>
      <c r="AD48" s="6">
        <v>700</v>
      </c>
      <c r="AE48" s="6">
        <v>1200</v>
      </c>
      <c r="AF48" s="6">
        <v>0</v>
      </c>
      <c r="AG48" s="6">
        <v>230</v>
      </c>
      <c r="AH48" s="6">
        <v>950</v>
      </c>
      <c r="AI48" s="6">
        <v>1250</v>
      </c>
      <c r="AJ48" s="6">
        <v>1500</v>
      </c>
      <c r="AK48" s="6">
        <v>4200</v>
      </c>
      <c r="AL48" s="6">
        <v>0</v>
      </c>
      <c r="AM48" s="6"/>
      <c r="AN48" s="6"/>
      <c r="AO48" s="55" t="str">
        <f>VLOOKUP($M$3&amp;$N$3&amp;DATA_MARZO_2026[[#This Row],[SUPERVISOR]],TablaMeta[],7,0)</f>
        <v>S0 - IBK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1.2259464285714285</v>
      </c>
      <c r="E49" s="35" t="str">
        <f>D1_MARZO_2026[[#This Row],[SUPER]]</f>
        <v>JOHAN</v>
      </c>
      <c r="F49" t="s">
        <v>61</v>
      </c>
      <c r="G49" s="3">
        <v>68653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0.73593442622950822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IFERROR(VLOOKUP(DATA_MARZO_2026[[#This Row],[ASER_]],$B:$G,4,0),"")</f>
        <v>KENNETH</v>
      </c>
      <c r="P49" s="6">
        <f>VLOOKUP(DATA_MARZO_2026[[#This Row],[ASER_]],D1_MARZO_2026[[ASESOR_CRR]:[RECUPERO]],6,0)</f>
        <v>22446</v>
      </c>
      <c r="Q49" s="6">
        <f>VLOOKUP(DATA_MARZO_2026[[#This Row],[ASER_]],D1_MARZO_2026[[ASESOR_CRR]:[META]],2,0)</f>
        <v>30500</v>
      </c>
      <c r="R49" t="s">
        <v>80</v>
      </c>
      <c r="S49">
        <v>0</v>
      </c>
      <c r="T49">
        <v>1000</v>
      </c>
      <c r="U49">
        <v>0</v>
      </c>
      <c r="V49">
        <v>860</v>
      </c>
      <c r="W49">
        <v>5000</v>
      </c>
      <c r="X49" s="5">
        <v>550</v>
      </c>
      <c r="Y49" s="6">
        <v>5000</v>
      </c>
      <c r="Z49" s="6">
        <v>0</v>
      </c>
      <c r="AA49" s="6">
        <v>0</v>
      </c>
      <c r="AB49" s="6">
        <v>4000</v>
      </c>
      <c r="AC49" s="6">
        <v>400</v>
      </c>
      <c r="AD49" s="6">
        <v>0</v>
      </c>
      <c r="AE49" s="6">
        <v>550</v>
      </c>
      <c r="AF49" s="6">
        <v>0</v>
      </c>
      <c r="AG49" s="6">
        <v>932</v>
      </c>
      <c r="AH49" s="6">
        <v>2500</v>
      </c>
      <c r="AI49" s="6">
        <v>0</v>
      </c>
      <c r="AJ49" s="6">
        <v>1000</v>
      </c>
      <c r="AK49" s="6">
        <v>0</v>
      </c>
      <c r="AL49" s="6">
        <v>654</v>
      </c>
      <c r="AM49" s="6"/>
      <c r="AN49" s="6"/>
      <c r="AO49" s="55" t="str">
        <f>VLOOKUP($M$3&amp;$N$3&amp;DATA_MARZO_2026[[#This Row],[SUPERVISOR]],TablaMeta[],7,0)</f>
        <v>S0 - IBK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50" s="34" cm="1">
        <f t="array" ref="C50">_xlfn.XLOOKUP(1,(TablaMeta[CONCAT]=$M$3&amp;$N$3&amp;D1_MARZO_2026[[#This Row],[SUPER]])*(TablaMeta[SEGG]=D1_MARZO_2026[[#This Row],[SEGMENTO]]),TablaMeta[Meta_Asesor])</f>
        <v>56000</v>
      </c>
      <c r="D50" s="35">
        <f>IF(D1_MARZO_2026[[#This Row],[RECUPERO]]="VACACIONES","VACACIONES",IFERROR(D1_MARZO_2026[[#This Row],[RECUPERO]]/D1_MARZO_2026[[#This Row],[META]],""))</f>
        <v>0.93398214285714287</v>
      </c>
      <c r="E50" s="35" t="str">
        <f>D1_MARZO_2026[[#This Row],[SUPER]]</f>
        <v>JOHAN</v>
      </c>
      <c r="F50" t="s">
        <v>60</v>
      </c>
      <c r="G50" s="3">
        <v>52303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1.8463934426229509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IFERROR(VLOOKUP(DATA_MARZO_2026[[#This Row],[ASER_]],$B:$G,4,0),"")</f>
        <v>KENNETH</v>
      </c>
      <c r="P50" s="6">
        <f>VLOOKUP(DATA_MARZO_2026[[#This Row],[ASER_]],D1_MARZO_2026[[ASESOR_CRR]:[RECUPERO]],6,0)</f>
        <v>56315</v>
      </c>
      <c r="Q50" s="6">
        <f>VLOOKUP(DATA_MARZO_2026[[#This Row],[ASER_]],D1_MARZO_2026[[ASESOR_CRR]:[META]],2,0)</f>
        <v>30500</v>
      </c>
      <c r="R50" t="s">
        <v>34</v>
      </c>
      <c r="S50">
        <v>0</v>
      </c>
      <c r="T50">
        <v>1250</v>
      </c>
      <c r="U50">
        <v>1450</v>
      </c>
      <c r="V50">
        <v>0</v>
      </c>
      <c r="W50">
        <v>500</v>
      </c>
      <c r="X50" s="5">
        <v>1500</v>
      </c>
      <c r="Y50" s="6">
        <v>1100</v>
      </c>
      <c r="Z50" s="6">
        <v>8000</v>
      </c>
      <c r="AA50" s="6">
        <v>500</v>
      </c>
      <c r="AB50" s="6">
        <v>2625</v>
      </c>
      <c r="AC50" s="6">
        <v>0</v>
      </c>
      <c r="AD50" s="6">
        <v>4100</v>
      </c>
      <c r="AE50" s="6">
        <v>140</v>
      </c>
      <c r="AF50" s="6">
        <v>0</v>
      </c>
      <c r="AG50" s="6">
        <v>900</v>
      </c>
      <c r="AH50" s="6">
        <v>4500</v>
      </c>
      <c r="AI50" s="6">
        <v>0</v>
      </c>
      <c r="AJ50" s="6">
        <v>2500</v>
      </c>
      <c r="AK50" s="6">
        <v>2500</v>
      </c>
      <c r="AL50" s="6">
        <v>24750</v>
      </c>
      <c r="AM50" s="6"/>
      <c r="AN50" s="6"/>
      <c r="AO50" s="55" t="str">
        <f>VLOOKUP($M$3&amp;$N$3&amp;DATA_MARZO_2026[[#This Row],[SUPERVISOR]],TablaMeta[],7,0)</f>
        <v>S0 - IBK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51" s="34" cm="1">
        <f t="array" ref="C51">_xlfn.XLOOKUP(1,(TablaMeta[CONCAT]=$M$3&amp;$N$3&amp;D1_MARZO_2026[[#This Row],[SUPER]])*(TablaMeta[SEGG]=D1_MARZO_2026[[#This Row],[SEGMENTO]]),TablaMeta[Meta_Asesor])</f>
        <v>56000</v>
      </c>
      <c r="D51" s="35">
        <f>IF(D1_MARZO_2026[[#This Row],[RECUPERO]]="VACACIONES","VACACIONES",IFERROR(D1_MARZO_2026[[#This Row],[RECUPERO]]/D1_MARZO_2026[[#This Row],[META]],""))</f>
        <v>0.88339285714285709</v>
      </c>
      <c r="E51" s="35" t="str">
        <f>D1_MARZO_2026[[#This Row],[SUPER]]</f>
        <v>JOHAN</v>
      </c>
      <c r="F51" t="s">
        <v>59</v>
      </c>
      <c r="G51" s="3">
        <v>49470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0.16071428571428573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9000</v>
      </c>
      <c r="Q51" s="6">
        <f>VLOOKUP(DATA_MARZO_2026[[#This Row],[ASER_]],D1_MARZO_2026[[ASESOR_CRR]:[META]],2,0)</f>
        <v>56000</v>
      </c>
      <c r="R51" t="s">
        <v>207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7000</v>
      </c>
      <c r="Y51" s="6">
        <v>0</v>
      </c>
      <c r="Z51" s="6">
        <v>0</v>
      </c>
      <c r="AA51" s="6">
        <v>950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/>
      <c r="AN51" s="6"/>
      <c r="AO51" s="55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52" s="34" cm="1">
        <f t="array" ref="C52">_xlfn.XLOOKUP(1,(TablaMeta[CONCAT]=$M$3&amp;$N$3&amp;D1_MARZO_2026[[#This Row],[SUPER]])*(TablaMeta[SEGG]=D1_MARZO_2026[[#This Row],[SEGMENTO]]),TablaMeta[Meta_Asesor])</f>
        <v>56000</v>
      </c>
      <c r="D52" s="35">
        <f>IF(D1_MARZO_2026[[#This Row],[RECUPERO]]="VACACIONES","VACACIONES",IFERROR(D1_MARZO_2026[[#This Row],[RECUPERO]]/D1_MARZO_2026[[#This Row],[META]],""))</f>
        <v>0.83887500000000004</v>
      </c>
      <c r="E52" s="35" t="str">
        <f>D1_MARZO_2026[[#This Row],[SUPER]]</f>
        <v>JOHAN</v>
      </c>
      <c r="F52" t="s">
        <v>75</v>
      </c>
      <c r="G52" s="3">
        <v>46977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0.43576785714285715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24403</v>
      </c>
      <c r="Q52" s="6">
        <f>VLOOKUP(DATA_MARZO_2026[[#This Row],[ASER_]],D1_MARZO_2026[[ASESOR_CRR]:[META]],2,0)</f>
        <v>56000</v>
      </c>
      <c r="R52" t="s">
        <v>392</v>
      </c>
      <c r="S52">
        <v>0</v>
      </c>
      <c r="T52">
        <v>0</v>
      </c>
      <c r="U52">
        <v>2708</v>
      </c>
      <c r="V52">
        <v>0</v>
      </c>
      <c r="W52">
        <v>600</v>
      </c>
      <c r="X52" s="5">
        <v>0</v>
      </c>
      <c r="Y52" s="6">
        <v>600</v>
      </c>
      <c r="Z52" s="6">
        <v>0</v>
      </c>
      <c r="AA52" s="6">
        <v>4000</v>
      </c>
      <c r="AB52" s="6">
        <v>2300</v>
      </c>
      <c r="AC52" s="6">
        <v>220</v>
      </c>
      <c r="AD52" s="6">
        <v>0</v>
      </c>
      <c r="AE52" s="6">
        <v>6700</v>
      </c>
      <c r="AF52" s="6">
        <v>0</v>
      </c>
      <c r="AG52" s="6">
        <v>3500</v>
      </c>
      <c r="AH52" s="6">
        <v>0</v>
      </c>
      <c r="AI52" s="6">
        <v>0</v>
      </c>
      <c r="AJ52" s="6">
        <v>0</v>
      </c>
      <c r="AK52" s="6">
        <v>2000</v>
      </c>
      <c r="AL52" s="6">
        <v>1434</v>
      </c>
      <c r="AM52" s="6"/>
      <c r="AN52" s="6"/>
      <c r="AO52" s="55" t="str">
        <f>VLOOKUP($M$3&amp;$N$3&amp;DATA_MARZO_2026[[#This Row],[SUPERVISOR]],TablaMeta[],7,0)</f>
        <v>S1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53" s="34" cm="1">
        <f t="array" ref="C53">_xlfn.XLOOKUP(1,(TablaMeta[CONCAT]=$M$3&amp;$N$3&amp;D1_MARZO_2026[[#This Row],[SUPER]])*(TablaMeta[SEGG]=D1_MARZO_2026[[#This Row],[SEGMENTO]]),TablaMeta[Meta_Asesor])</f>
        <v>56000</v>
      </c>
      <c r="D53" s="35">
        <f>IF(D1_MARZO_2026[[#This Row],[RECUPERO]]="VACACIONES","VACACIONES",IFERROR(D1_MARZO_2026[[#This Row],[RECUPERO]]/D1_MARZO_2026[[#This Row],[META]],""))</f>
        <v>0.6875</v>
      </c>
      <c r="E53" s="35" t="str">
        <f>D1_MARZO_2026[[#This Row],[SUPER]]</f>
        <v>JOHAN</v>
      </c>
      <c r="F53" t="s">
        <v>18</v>
      </c>
      <c r="G53" s="3">
        <v>38500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1.1769705357142859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65910.350000000006</v>
      </c>
      <c r="Q53" s="6">
        <f>VLOOKUP(DATA_MARZO_2026[[#This Row],[ASER_]],D1_MARZO_2026[[ASESOR_CRR]:[META]],2,0)</f>
        <v>56000</v>
      </c>
      <c r="R53" t="s">
        <v>23</v>
      </c>
      <c r="S53">
        <v>420</v>
      </c>
      <c r="T53">
        <v>3105</v>
      </c>
      <c r="U53">
        <v>4500</v>
      </c>
      <c r="V53">
        <v>20933</v>
      </c>
      <c r="W53">
        <v>200</v>
      </c>
      <c r="X53" s="5">
        <v>3290</v>
      </c>
      <c r="Y53" s="6">
        <v>268</v>
      </c>
      <c r="Z53" s="6">
        <v>7800</v>
      </c>
      <c r="AA53" s="6">
        <v>500</v>
      </c>
      <c r="AB53" s="6">
        <v>0</v>
      </c>
      <c r="AC53" s="6">
        <v>950</v>
      </c>
      <c r="AD53" s="6">
        <v>2700</v>
      </c>
      <c r="AE53" s="6">
        <v>650</v>
      </c>
      <c r="AF53" s="6">
        <v>5000</v>
      </c>
      <c r="AG53" s="6">
        <v>2475</v>
      </c>
      <c r="AH53" s="6">
        <v>3053</v>
      </c>
      <c r="AI53" s="6">
        <v>7000</v>
      </c>
      <c r="AJ53" s="6">
        <v>0</v>
      </c>
      <c r="AK53" s="6">
        <v>500</v>
      </c>
      <c r="AL53" s="6">
        <v>2400</v>
      </c>
      <c r="AM53" s="6"/>
      <c r="AN53" s="6"/>
      <c r="AO53" s="55" t="str">
        <f>VLOOKUP($M$3&amp;$N$3&amp;DATA_MARZO_2026[[#This Row],[SUPERVISOR]],TablaMeta[],7,0)</f>
        <v>S1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54" s="34" cm="1">
        <f t="array" ref="C54">_xlfn.XLOOKUP(1,(TablaMeta[CONCAT]=$M$3&amp;$N$3&amp;D1_MARZO_2026[[#This Row],[SUPER]])*(TablaMeta[SEGG]=D1_MARZO_2026[[#This Row],[SEGMENTO]]),TablaMeta[Meta_Asesor])</f>
        <v>56000</v>
      </c>
      <c r="D54" s="35">
        <f>IF(D1_MARZO_2026[[#This Row],[RECUPERO]]="VACACIONES","VACACIONES",IFERROR(D1_MARZO_2026[[#This Row],[RECUPERO]]/D1_MARZO_2026[[#This Row],[META]],""))</f>
        <v>0.67121428571428576</v>
      </c>
      <c r="E54" s="35" t="str">
        <f>D1_MARZO_2026[[#This Row],[SUPER]]</f>
        <v>JOHAN</v>
      </c>
      <c r="F54" t="s">
        <v>72</v>
      </c>
      <c r="G54" s="3">
        <v>37588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0.41357142857142859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23160</v>
      </c>
      <c r="Q54" s="6">
        <f>VLOOKUP(DATA_MARZO_2026[[#This Row],[ASER_]],D1_MARZO_2026[[ASESOR_CRR]:[META]],2,0)</f>
        <v>56000</v>
      </c>
      <c r="R54" t="s">
        <v>65</v>
      </c>
      <c r="S54">
        <v>700</v>
      </c>
      <c r="T54">
        <v>0</v>
      </c>
      <c r="U54">
        <v>0</v>
      </c>
      <c r="V54">
        <v>1000</v>
      </c>
      <c r="W54">
        <v>0</v>
      </c>
      <c r="X54" s="5">
        <v>0</v>
      </c>
      <c r="Y54" s="6">
        <v>2308</v>
      </c>
      <c r="Z54" s="6">
        <v>0</v>
      </c>
      <c r="AA54" s="6">
        <v>0</v>
      </c>
      <c r="AB54" s="6">
        <v>0</v>
      </c>
      <c r="AC54" s="6">
        <v>0</v>
      </c>
      <c r="AD54" s="6">
        <v>2500</v>
      </c>
      <c r="AE54" s="6">
        <v>0</v>
      </c>
      <c r="AF54" s="6">
        <v>0</v>
      </c>
      <c r="AG54" s="6">
        <v>2750</v>
      </c>
      <c r="AH54" s="6">
        <v>7000</v>
      </c>
      <c r="AI54" s="6">
        <v>0</v>
      </c>
      <c r="AJ54" s="6">
        <v>350</v>
      </c>
      <c r="AK54" s="6">
        <v>800</v>
      </c>
      <c r="AL54" s="6">
        <v>5402</v>
      </c>
      <c r="AM54" s="6"/>
      <c r="AN54" s="6"/>
      <c r="AO54" s="55" t="str">
        <f>VLOOKUP($M$3&amp;$N$3&amp;DATA_MARZO_2026[[#This Row],[SUPERVISOR]],TablaMeta[],7,0)</f>
        <v>S1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55" s="34" cm="1">
        <f t="array" ref="C55">_xlfn.XLOOKUP(1,(TablaMeta[CONCAT]=$M$3&amp;$N$3&amp;D1_MARZO_2026[[#This Row],[SUPER]])*(TablaMeta[SEGG]=D1_MARZO_2026[[#This Row],[SEGMENTO]]),TablaMeta[Meta_Asesor])</f>
        <v>56000</v>
      </c>
      <c r="D55" s="35">
        <f>IF(D1_MARZO_2026[[#This Row],[RECUPERO]]="VACACIONES","VACACIONES",IFERROR(D1_MARZO_2026[[#This Row],[RECUPERO]]/D1_MARZO_2026[[#This Row],[META]],""))</f>
        <v>0.65589285714285717</v>
      </c>
      <c r="E55" s="35" t="str">
        <f>D1_MARZO_2026[[#This Row],[SUPER]]</f>
        <v>JOHAN</v>
      </c>
      <c r="F55" t="s">
        <v>122</v>
      </c>
      <c r="G55" s="3">
        <v>36730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0.56508928571428574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31645</v>
      </c>
      <c r="Q55" s="6">
        <f>VLOOKUP(DATA_MARZO_2026[[#This Row],[ASER_]],D1_MARZO_2026[[ASESOR_CRR]:[META]],2,0)</f>
        <v>56000</v>
      </c>
      <c r="R55" t="s">
        <v>15</v>
      </c>
      <c r="S55">
        <v>3400</v>
      </c>
      <c r="T55">
        <v>5600</v>
      </c>
      <c r="U55">
        <v>0</v>
      </c>
      <c r="V55">
        <v>0</v>
      </c>
      <c r="W55">
        <v>0</v>
      </c>
      <c r="X55" s="5">
        <v>720</v>
      </c>
      <c r="Y55" s="6">
        <v>0</v>
      </c>
      <c r="Z55" s="6">
        <v>0</v>
      </c>
      <c r="AA55" s="6">
        <v>0</v>
      </c>
      <c r="AB55" s="6">
        <v>500</v>
      </c>
      <c r="AC55" s="6">
        <v>15600</v>
      </c>
      <c r="AD55" s="6">
        <v>0</v>
      </c>
      <c r="AE55" s="6">
        <v>0</v>
      </c>
      <c r="AF55" s="6">
        <v>325</v>
      </c>
      <c r="AG55" s="6">
        <v>0</v>
      </c>
      <c r="AH55" s="6">
        <v>5500</v>
      </c>
      <c r="AI55" s="6">
        <v>0</v>
      </c>
      <c r="AJ55" s="6">
        <v>0</v>
      </c>
      <c r="AK55" s="6">
        <v>0</v>
      </c>
      <c r="AL55" s="6">
        <v>0</v>
      </c>
      <c r="AM55" s="6"/>
      <c r="AN55" s="6"/>
      <c r="AO55" s="55" t="str">
        <f>VLOOKUP($M$3&amp;$N$3&amp;DATA_MARZO_2026[[#This Row],[SUPERVISOR]],TablaMeta[],7,0)</f>
        <v>S1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56" s="34" cm="1">
        <f t="array" ref="C56">_xlfn.XLOOKUP(1,(TablaMeta[CONCAT]=$M$3&amp;$N$3&amp;D1_MARZO_2026[[#This Row],[SUPER]])*(TablaMeta[SEGG]=D1_MARZO_2026[[#This Row],[SEGMENTO]]),TablaMeta[Meta_Asesor])</f>
        <v>56000</v>
      </c>
      <c r="D56" s="35">
        <f>IF(D1_MARZO_2026[[#This Row],[RECUPERO]]="VACACIONES","VACACIONES",IFERROR(D1_MARZO_2026[[#This Row],[RECUPERO]]/D1_MARZO_2026[[#This Row],[META]],""))</f>
        <v>0.46567857142857144</v>
      </c>
      <c r="E56" s="35" t="str">
        <f>D1_MARZO_2026[[#This Row],[SUPER]]</f>
        <v>JOHAN</v>
      </c>
      <c r="F56" t="s">
        <v>12</v>
      </c>
      <c r="G56" s="3">
        <v>26078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6.3116071428571424E-2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3534.5</v>
      </c>
      <c r="Q56" s="6">
        <f>VLOOKUP(DATA_MARZO_2026[[#This Row],[ASER_]],D1_MARZO_2026[[ASESOR_CRR]:[META]],2,0)</f>
        <v>56000</v>
      </c>
      <c r="R56" t="s">
        <v>17</v>
      </c>
      <c r="S56">
        <v>636</v>
      </c>
      <c r="T56">
        <v>0</v>
      </c>
      <c r="U56">
        <v>0</v>
      </c>
      <c r="V56">
        <v>0</v>
      </c>
      <c r="W56">
        <v>0</v>
      </c>
      <c r="X56" s="5">
        <v>0</v>
      </c>
      <c r="Y56" s="6">
        <v>0</v>
      </c>
      <c r="Z56" s="6">
        <v>0</v>
      </c>
      <c r="AA56" s="6">
        <v>0</v>
      </c>
      <c r="AB56" s="6">
        <v>1156</v>
      </c>
      <c r="AC56" s="6">
        <v>0</v>
      </c>
      <c r="AD56" s="6">
        <v>0</v>
      </c>
      <c r="AE56" s="6">
        <v>0</v>
      </c>
      <c r="AF56" s="6">
        <v>1142.5</v>
      </c>
      <c r="AG56" s="6">
        <v>0</v>
      </c>
      <c r="AH56" s="6">
        <v>0</v>
      </c>
      <c r="AI56" s="6">
        <v>0</v>
      </c>
      <c r="AJ56" s="6">
        <v>600</v>
      </c>
      <c r="AK56" s="6">
        <v>0</v>
      </c>
      <c r="AL56" s="6">
        <v>0</v>
      </c>
      <c r="AM56" s="6"/>
      <c r="AN56" s="6"/>
      <c r="AO56" s="55" t="str">
        <f>VLOOKUP($M$3&amp;$N$3&amp;DATA_MARZO_2026[[#This Row],[SUPERVISOR]],TablaMeta[],7,0)</f>
        <v>S1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57" s="34" cm="1">
        <f t="array" ref="C57">_xlfn.XLOOKUP(1,(TablaMeta[CONCAT]=$M$3&amp;$N$3&amp;D1_MARZO_2026[[#This Row],[SUPER]])*(TablaMeta[SEGG]=D1_MARZO_2026[[#This Row],[SEGMENTO]]),TablaMeta[Meta_Asesor])</f>
        <v>56000</v>
      </c>
      <c r="D57" s="35">
        <f>IF(D1_MARZO_2026[[#This Row],[RECUPERO]]="VACACIONES","VACACIONES",IFERROR(D1_MARZO_2026[[#This Row],[RECUPERO]]/D1_MARZO_2026[[#This Row],[META]],""))</f>
        <v>0.34046428571428572</v>
      </c>
      <c r="E57" s="35" t="str">
        <f>D1_MARZO_2026[[#This Row],[SUPER]]</f>
        <v>JOHAN</v>
      </c>
      <c r="F57" t="s">
        <v>206</v>
      </c>
      <c r="G57" s="3">
        <v>19066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DATA_MARZO_2026[[#This Row],[RECUPERO]]/DATA_MARZO_2026[[#This Row],[META]]</f>
        <v>0.58153571428571427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32566</v>
      </c>
      <c r="Q57" s="6">
        <f>VLOOKUP(DATA_MARZO_2026[[#This Row],[ASER_]],D1_MARZO_2026[[ASESOR_CRR]:[META]],2,0)</f>
        <v>56000</v>
      </c>
      <c r="R57" t="s">
        <v>24</v>
      </c>
      <c r="S57">
        <v>361</v>
      </c>
      <c r="T57">
        <v>0</v>
      </c>
      <c r="U57">
        <v>0</v>
      </c>
      <c r="V57">
        <v>400</v>
      </c>
      <c r="W57">
        <v>265</v>
      </c>
      <c r="X57" s="5">
        <v>2000</v>
      </c>
      <c r="Y57" s="6">
        <v>4200</v>
      </c>
      <c r="Z57" s="6">
        <v>0</v>
      </c>
      <c r="AA57" s="6">
        <v>0</v>
      </c>
      <c r="AB57" s="6">
        <v>210</v>
      </c>
      <c r="AC57" s="6">
        <v>4000</v>
      </c>
      <c r="AD57" s="6">
        <v>1500</v>
      </c>
      <c r="AE57" s="6">
        <v>600</v>
      </c>
      <c r="AF57" s="6">
        <v>5780</v>
      </c>
      <c r="AG57" s="6">
        <v>150</v>
      </c>
      <c r="AH57" s="6">
        <v>4700</v>
      </c>
      <c r="AI57" s="6">
        <v>7500</v>
      </c>
      <c r="AJ57" s="6">
        <v>600</v>
      </c>
      <c r="AK57" s="6">
        <v>0</v>
      </c>
      <c r="AL57" s="6">
        <v>0</v>
      </c>
      <c r="AM57" s="6"/>
      <c r="AN57" s="6"/>
      <c r="AO57" s="55" t="str">
        <f>VLOOKUP($M$3&amp;$N$3&amp;DATA_MARZO_2026[[#This Row],[SUPERVISOR]],TablaMeta[],7,0)</f>
        <v>S1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58" s="34" cm="1">
        <f t="array" ref="C58">_xlfn.XLOOKUP(1,(TablaMeta[CONCAT]=$M$3&amp;$N$3&amp;D1_MARZO_2026[[#This Row],[SUPER]])*(TablaMeta[SEGG]=D1_MARZO_2026[[#This Row],[SEGMENTO]]),TablaMeta[Meta_Asesor])</f>
        <v>56000</v>
      </c>
      <c r="D58" s="35">
        <f>IF(D1_MARZO_2026[[#This Row],[RECUPERO]]="VACACIONES","VACACIONES",IFERROR(D1_MARZO_2026[[#This Row],[RECUPERO]]/D1_MARZO_2026[[#This Row],[META]],""))</f>
        <v>0.27892857142857141</v>
      </c>
      <c r="E58" s="35" t="str">
        <f>D1_MARZO_2026[[#This Row],[SUPER]]</f>
        <v>JOHAN</v>
      </c>
      <c r="F58" t="s">
        <v>85</v>
      </c>
      <c r="G58" s="3">
        <v>15620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DATA_MARZO_2026[[#This Row],[RECUPERO]]/DATA_MARZO_2026[[#This Row],[META]]</f>
        <v>0.73875000000000002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41370</v>
      </c>
      <c r="Q58" s="6">
        <f>VLOOKUP(DATA_MARZO_2026[[#This Row],[ASER_]],D1_MARZO_2026[[ASESOR_CRR]:[META]],2,0)</f>
        <v>56000</v>
      </c>
      <c r="R58" t="s">
        <v>13</v>
      </c>
      <c r="S58">
        <v>0</v>
      </c>
      <c r="T58">
        <v>0</v>
      </c>
      <c r="U58">
        <v>10000</v>
      </c>
      <c r="V58">
        <v>270</v>
      </c>
      <c r="W58">
        <v>400</v>
      </c>
      <c r="X58" s="5">
        <v>700</v>
      </c>
      <c r="Y58" s="6">
        <v>0</v>
      </c>
      <c r="Z58" s="6">
        <v>0</v>
      </c>
      <c r="AA58" s="6">
        <v>0</v>
      </c>
      <c r="AB58" s="6">
        <v>1500</v>
      </c>
      <c r="AC58" s="6">
        <v>1000</v>
      </c>
      <c r="AD58" s="6">
        <v>5000</v>
      </c>
      <c r="AE58" s="6">
        <v>8800</v>
      </c>
      <c r="AF58" s="6">
        <v>0</v>
      </c>
      <c r="AG58" s="6">
        <v>0</v>
      </c>
      <c r="AH58" s="6">
        <v>1100</v>
      </c>
      <c r="AI58" s="6">
        <v>0</v>
      </c>
      <c r="AJ58" s="6">
        <v>9500</v>
      </c>
      <c r="AK58" s="6">
        <v>2200</v>
      </c>
      <c r="AL58" s="6">
        <v>900</v>
      </c>
      <c r="AM58" s="6"/>
      <c r="AN58" s="6"/>
      <c r="AO58" s="55" t="str">
        <f>VLOOKUP($M$3&amp;$N$3&amp;DATA_MARZO_2026[[#This Row],[SUPERVISOR]],TablaMeta[],7,0)</f>
        <v>S1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59" s="81" cm="1">
        <f t="array" ref="C59">_xlfn.XLOOKUP(1,(TablaMeta[CONCAT]=$M$3&amp;$N$3&amp;D1_MARZO_2026[[#This Row],[SUPER]])*(TablaMeta[SEGG]=D1_MARZO_2026[[#This Row],[SEGMENTO]]),TablaMeta[Meta_Asesor])</f>
        <v>56000</v>
      </c>
      <c r="D59" s="82">
        <f>IF(D1_MARZO_2026[[#This Row],[RECUPERO]]="VACACIONES","VACACIONES",IFERROR(D1_MARZO_2026[[#This Row],[RECUPERO]]/D1_MARZO_2026[[#This Row],[META]],""))</f>
        <v>0.22517857142857142</v>
      </c>
      <c r="E59" s="35" t="str">
        <f>D1_MARZO_2026[[#This Row],[SUPER]]</f>
        <v>JOHAN</v>
      </c>
      <c r="F59" t="s">
        <v>109</v>
      </c>
      <c r="G59" s="3">
        <v>12610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DATA_MARZO_2026[[#This Row],[RECUPERO]]/DATA_MARZO_2026[[#This Row],[META]]</f>
        <v>0.52053571428571432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&gt;40%</v>
      </c>
      <c r="O59" s="55" t="str">
        <f>IFERROR(VLOOKUP(DATA_MARZO_2026[[#This Row],[ASER_]],$B:$G,4,0),"")</f>
        <v>JORGE</v>
      </c>
      <c r="P59" s="6">
        <f>VLOOKUP(DATA_MARZO_2026[[#This Row],[ASER_]],D1_MARZO_2026[[ASESOR_CRR]:[RECUPERO]],6,0)</f>
        <v>29150</v>
      </c>
      <c r="Q59" s="6">
        <f>VLOOKUP(DATA_MARZO_2026[[#This Row],[ASER_]],D1_MARZO_2026[[ASESOR_CRR]:[META]],2,0)</f>
        <v>56000</v>
      </c>
      <c r="R59" t="s">
        <v>25</v>
      </c>
      <c r="S59">
        <v>0</v>
      </c>
      <c r="T59">
        <v>0</v>
      </c>
      <c r="U59">
        <v>0</v>
      </c>
      <c r="V59">
        <v>280</v>
      </c>
      <c r="W59">
        <v>0</v>
      </c>
      <c r="X59" s="5">
        <v>0</v>
      </c>
      <c r="Y59" s="6">
        <v>2500</v>
      </c>
      <c r="Z59" s="6">
        <v>0</v>
      </c>
      <c r="AA59" s="6">
        <v>0</v>
      </c>
      <c r="AB59" s="6">
        <v>9500</v>
      </c>
      <c r="AC59" s="6">
        <v>0</v>
      </c>
      <c r="AD59" s="6">
        <v>0</v>
      </c>
      <c r="AE59" s="6">
        <v>2850</v>
      </c>
      <c r="AF59" s="6">
        <v>2150</v>
      </c>
      <c r="AG59" s="6">
        <v>600</v>
      </c>
      <c r="AH59" s="6">
        <v>4200</v>
      </c>
      <c r="AI59" s="6">
        <v>0</v>
      </c>
      <c r="AJ59" s="6">
        <v>390</v>
      </c>
      <c r="AK59" s="6">
        <v>0</v>
      </c>
      <c r="AL59" s="6">
        <v>6680</v>
      </c>
      <c r="AM59" s="6"/>
      <c r="AN59" s="6"/>
      <c r="AO59" s="55" t="str">
        <f>VLOOKUP($M$3&amp;$N$3&amp;DATA_MARZO_2026[[#This Row],[SUPERVISOR]],TablaMeta[],7,0)</f>
        <v>S1</v>
      </c>
    </row>
    <row r="60" spans="1:41" x14ac:dyDescent="0.25">
      <c r="H60"/>
      <c r="M60" s="5">
        <f>DATA_MARZO_2026[[#This Row],[RECUPERO]]/DATA_MARZO_2026[[#This Row],[META]]</f>
        <v>1.0630357142857143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&gt;100%</v>
      </c>
      <c r="O60" s="55" t="str">
        <f>IFERROR(VLOOKUP(DATA_MARZO_2026[[#This Row],[ASER_]],$B:$G,4,0),"")</f>
        <v>JORGE</v>
      </c>
      <c r="P60" s="6">
        <f>VLOOKUP(DATA_MARZO_2026[[#This Row],[ASER_]],D1_MARZO_2026[[ASESOR_CRR]:[RECUPERO]],6,0)</f>
        <v>59530</v>
      </c>
      <c r="Q60" s="6">
        <f>VLOOKUP(DATA_MARZO_2026[[#This Row],[ASER_]],D1_MARZO_2026[[ASESOR_CRR]:[META]],2,0)</f>
        <v>56000</v>
      </c>
      <c r="R60" t="s">
        <v>22</v>
      </c>
      <c r="S60">
        <v>0</v>
      </c>
      <c r="T60">
        <v>12500</v>
      </c>
      <c r="U60">
        <v>0</v>
      </c>
      <c r="V60">
        <v>3000</v>
      </c>
      <c r="W60">
        <v>4750</v>
      </c>
      <c r="X60" s="5">
        <v>1000</v>
      </c>
      <c r="Y60" s="6">
        <v>1000</v>
      </c>
      <c r="Z60" s="6">
        <v>0</v>
      </c>
      <c r="AA60" s="6">
        <v>0</v>
      </c>
      <c r="AB60" s="6">
        <v>9000</v>
      </c>
      <c r="AC60" s="6">
        <v>0</v>
      </c>
      <c r="AD60" s="6">
        <v>20000</v>
      </c>
      <c r="AE60" s="6">
        <v>0</v>
      </c>
      <c r="AF60" s="6">
        <v>0</v>
      </c>
      <c r="AG60" s="6">
        <v>0</v>
      </c>
      <c r="AH60" s="6">
        <v>1000</v>
      </c>
      <c r="AI60" s="6">
        <v>5080</v>
      </c>
      <c r="AJ60" s="6">
        <v>0</v>
      </c>
      <c r="AK60" s="6">
        <v>1800</v>
      </c>
      <c r="AL60" s="6">
        <v>0</v>
      </c>
      <c r="AM60" s="6"/>
      <c r="AN60" s="6"/>
      <c r="AO60" s="55" t="str">
        <f>VLOOKUP($M$3&amp;$N$3&amp;DATA_MARZO_2026[[#This Row],[SUPERVISOR]],TablaMeta[],7,0)</f>
        <v>S1</v>
      </c>
    </row>
    <row r="61" spans="1:41" x14ac:dyDescent="0.25">
      <c r="H61"/>
      <c r="M61" s="84">
        <f>DATA_MARZO_2026[[#This Row],[RECUPERO]]/DATA_MARZO_2026[[#This Row],[META]]</f>
        <v>0.26885089285714286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5" t="str">
        <f>IFERROR(VLOOKUP(DATA_MARZO_2026[[#This Row],[ASER_]],$B:$G,4,0),"")</f>
        <v>JORGE</v>
      </c>
      <c r="P61" s="86">
        <f>VLOOKUP(DATA_MARZO_2026[[#This Row],[ASER_]],D1_MARZO_2026[[ASESOR_CRR]:[RECUPERO]],6,0)</f>
        <v>15055.65</v>
      </c>
      <c r="Q61" s="86">
        <f>VLOOKUP(DATA_MARZO_2026[[#This Row],[ASER_]],D1_MARZO_2026[[ASESOR_CRR]:[META]],2,0)</f>
        <v>56000</v>
      </c>
      <c r="R61" s="83" t="s">
        <v>580</v>
      </c>
      <c r="S61" s="83">
        <v>0</v>
      </c>
      <c r="T61" s="83">
        <v>0</v>
      </c>
      <c r="U61" s="83">
        <v>0</v>
      </c>
      <c r="V61" s="83">
        <v>0</v>
      </c>
      <c r="W61" s="83">
        <v>0</v>
      </c>
      <c r="X61" s="84">
        <v>321.64999999999998</v>
      </c>
      <c r="Y61" s="86">
        <v>0</v>
      </c>
      <c r="Z61" s="86">
        <v>2900</v>
      </c>
      <c r="AA61" s="86">
        <v>142</v>
      </c>
      <c r="AB61" s="6">
        <v>0</v>
      </c>
      <c r="AC61" s="6">
        <v>450</v>
      </c>
      <c r="AD61" s="6">
        <v>0</v>
      </c>
      <c r="AE61" s="6">
        <v>3500</v>
      </c>
      <c r="AF61" s="6">
        <v>0</v>
      </c>
      <c r="AG61" s="6">
        <v>1200</v>
      </c>
      <c r="AH61" s="6">
        <v>0</v>
      </c>
      <c r="AI61" s="6">
        <v>5500</v>
      </c>
      <c r="AJ61" s="6">
        <v>0</v>
      </c>
      <c r="AK61" s="6">
        <v>750</v>
      </c>
      <c r="AL61" s="86">
        <v>242</v>
      </c>
      <c r="AM61" s="86"/>
      <c r="AN61" s="86"/>
      <c r="AO61" s="85" t="str">
        <f>VLOOKUP($M$3&amp;$N$3&amp;DATA_MARZO_2026[[#This Row],[SUPERVISOR]],TablaMeta[],7,0)</f>
        <v>S1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AP94" s="6"/>
      <c r="AQ94" s="6"/>
    </row>
    <row r="95" spans="24:43" x14ac:dyDescent="0.25">
      <c r="AP95" s="6"/>
      <c r="AQ95" s="6"/>
    </row>
    <row r="96" spans="24:43" x14ac:dyDescent="0.25">
      <c r="AP96" s="6"/>
      <c r="AQ96" s="6"/>
    </row>
    <row r="97" spans="42:43" x14ac:dyDescent="0.25">
      <c r="AP97" s="6"/>
      <c r="AQ97" s="6"/>
    </row>
    <row r="98" spans="42:43" x14ac:dyDescent="0.25">
      <c r="AP98" s="6"/>
      <c r="AQ98" s="6"/>
    </row>
    <row r="99" spans="42:43" x14ac:dyDescent="0.25">
      <c r="AP99" s="6"/>
      <c r="AQ99" s="6"/>
    </row>
    <row r="100" spans="42:43" x14ac:dyDescent="0.25">
      <c r="AP100" s="6"/>
      <c r="AQ100" s="6"/>
    </row>
    <row r="101" spans="42:43" x14ac:dyDescent="0.25">
      <c r="AP101" s="6"/>
      <c r="AQ101" s="6"/>
    </row>
    <row r="102" spans="42:43" x14ac:dyDescent="0.25">
      <c r="AP102" s="6"/>
      <c r="AQ102" s="6"/>
    </row>
    <row r="103" spans="42:43" x14ac:dyDescent="0.25">
      <c r="AP103" s="6"/>
      <c r="AQ103" s="6"/>
    </row>
    <row r="104" spans="42:43" x14ac:dyDescent="0.25">
      <c r="AP104" s="6"/>
      <c r="AQ104" s="6"/>
    </row>
    <row r="105" spans="42:43" x14ac:dyDescent="0.25">
      <c r="AP105" s="6"/>
      <c r="AQ105" s="6"/>
    </row>
    <row r="106" spans="42:43" x14ac:dyDescent="0.25">
      <c r="AP106" s="6"/>
      <c r="AQ106" s="6"/>
    </row>
    <row r="107" spans="42:43" x14ac:dyDescent="0.25">
      <c r="AP107" s="6"/>
      <c r="AQ107" s="6"/>
    </row>
    <row r="108" spans="42:43" x14ac:dyDescent="0.25">
      <c r="AP108" s="6"/>
      <c r="AQ108" s="6"/>
    </row>
    <row r="109" spans="42:43" x14ac:dyDescent="0.25">
      <c r="AP109" s="6"/>
      <c r="AQ109" s="6"/>
    </row>
    <row r="110" spans="42:43" x14ac:dyDescent="0.25">
      <c r="AP110" s="6"/>
      <c r="AQ110" s="6"/>
    </row>
    <row r="111" spans="42:43" x14ac:dyDescent="0.25">
      <c r="AP111" s="6"/>
      <c r="AQ111" s="6"/>
    </row>
    <row r="112" spans="42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41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611</v>
      </c>
      <c r="B12" t="s">
        <v>612</v>
      </c>
      <c r="C12" s="56">
        <v>30429</v>
      </c>
      <c r="D12" t="s">
        <v>613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583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608</v>
      </c>
      <c r="B100" t="s">
        <v>609</v>
      </c>
      <c r="C100" s="56">
        <v>37729</v>
      </c>
      <c r="D100" t="s">
        <v>610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582</v>
      </c>
      <c r="B101" t="s">
        <v>355</v>
      </c>
      <c r="C101" s="56">
        <v>37743</v>
      </c>
      <c r="D101" t="s">
        <v>614</v>
      </c>
      <c r="E101" t="s">
        <v>0</v>
      </c>
      <c r="F101" t="str">
        <f>UPPER(TEXT(pbi_ListaEmpleadosExpertis[[#This Row],[FEC_NAC]],"mmmm"))</f>
        <v>MAYO</v>
      </c>
      <c r="G101">
        <f>DAY(pbi_ListaEmpleadosExpertis[[#This Row],[FEC_NAC]])</f>
        <v>2</v>
      </c>
    </row>
    <row r="102" spans="1:7" x14ac:dyDescent="0.25">
      <c r="A102" t="s">
        <v>59</v>
      </c>
      <c r="B102" t="s">
        <v>355</v>
      </c>
      <c r="C102" s="56">
        <v>38004</v>
      </c>
      <c r="D102" t="s">
        <v>283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18</v>
      </c>
    </row>
    <row r="103" spans="1:7" x14ac:dyDescent="0.25">
      <c r="A103" t="s">
        <v>329</v>
      </c>
      <c r="B103" t="s">
        <v>385</v>
      </c>
      <c r="C103" s="56">
        <v>38097</v>
      </c>
      <c r="D103" t="s">
        <v>330</v>
      </c>
      <c r="E103" t="s">
        <v>349</v>
      </c>
      <c r="F103" t="str">
        <f>UPPER(TEXT(pbi_ListaEmpleadosExpertis[[#This Row],[FEC_NAC]],"mmmm"))</f>
        <v>ABRIL</v>
      </c>
      <c r="G103">
        <f>DAY(pbi_ListaEmpleadosExpertis[[#This Row],[FEC_NAC]])</f>
        <v>20</v>
      </c>
    </row>
    <row r="104" spans="1:7" x14ac:dyDescent="0.25">
      <c r="A104" t="s">
        <v>320</v>
      </c>
      <c r="B104" t="s">
        <v>381</v>
      </c>
      <c r="C104" s="56">
        <v>38500</v>
      </c>
      <c r="D104" t="s">
        <v>321</v>
      </c>
      <c r="E104" t="s">
        <v>349</v>
      </c>
      <c r="F104" t="str">
        <f>UPPER(TEXT(pbi_ListaEmpleadosExpertis[[#This Row],[FEC_NAC]],"mmmm"))</f>
        <v>MAYO</v>
      </c>
      <c r="G104">
        <f>DAY(pbi_ListaEmpleadosExpertis[[#This Row],[FEC_NAC]])</f>
        <v>28</v>
      </c>
    </row>
    <row r="105" spans="1:7" x14ac:dyDescent="0.25">
      <c r="A105" t="s">
        <v>606</v>
      </c>
      <c r="B105" t="s">
        <v>355</v>
      </c>
      <c r="C105" s="56"/>
      <c r="D105" t="s">
        <v>607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0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585</v>
      </c>
      <c r="B1" t="s">
        <v>0</v>
      </c>
      <c r="C1" t="s">
        <v>391</v>
      </c>
      <c r="D1" t="s">
        <v>586</v>
      </c>
      <c r="E1" t="s">
        <v>587</v>
      </c>
      <c r="F1" t="s">
        <v>588</v>
      </c>
      <c r="G1" t="s">
        <v>393</v>
      </c>
      <c r="H1" t="s">
        <v>589</v>
      </c>
      <c r="I1" t="s">
        <v>584</v>
      </c>
      <c r="J1" t="s">
        <v>590</v>
      </c>
    </row>
    <row r="2" spans="1:10" x14ac:dyDescent="0.25">
      <c r="A2" t="s">
        <v>591</v>
      </c>
      <c r="B2" t="s">
        <v>219</v>
      </c>
      <c r="C2">
        <v>74122258</v>
      </c>
      <c r="D2" t="s">
        <v>6</v>
      </c>
      <c r="E2" t="s">
        <v>133</v>
      </c>
      <c r="F2" t="s">
        <v>592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591</v>
      </c>
      <c r="B3" t="s">
        <v>222</v>
      </c>
      <c r="C3">
        <v>75000131</v>
      </c>
      <c r="D3" t="s">
        <v>125</v>
      </c>
      <c r="E3" t="s">
        <v>133</v>
      </c>
      <c r="F3" t="s">
        <v>592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591</v>
      </c>
      <c r="B4" t="s">
        <v>226</v>
      </c>
      <c r="C4">
        <v>73049631</v>
      </c>
      <c r="D4" t="s">
        <v>3</v>
      </c>
      <c r="E4" t="s">
        <v>133</v>
      </c>
      <c r="F4" t="s">
        <v>592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591</v>
      </c>
      <c r="B5" t="s">
        <v>214</v>
      </c>
      <c r="C5">
        <v>46872195</v>
      </c>
      <c r="D5" t="s">
        <v>7</v>
      </c>
      <c r="E5" t="s">
        <v>133</v>
      </c>
      <c r="F5" t="s">
        <v>592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591</v>
      </c>
      <c r="B6" t="s">
        <v>224</v>
      </c>
      <c r="C6">
        <v>70984733</v>
      </c>
      <c r="D6" t="s">
        <v>4</v>
      </c>
      <c r="E6" t="s">
        <v>133</v>
      </c>
      <c r="F6" t="s">
        <v>592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591</v>
      </c>
      <c r="B7" t="s">
        <v>212</v>
      </c>
      <c r="C7">
        <v>73613568</v>
      </c>
      <c r="D7" t="s">
        <v>5</v>
      </c>
      <c r="E7" t="s">
        <v>133</v>
      </c>
      <c r="F7" t="s">
        <v>592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591</v>
      </c>
      <c r="B8" t="s">
        <v>118</v>
      </c>
      <c r="C8">
        <v>74318905</v>
      </c>
      <c r="D8" t="s">
        <v>8</v>
      </c>
      <c r="E8" t="s">
        <v>133</v>
      </c>
      <c r="F8" t="s">
        <v>592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591</v>
      </c>
      <c r="B9" t="s">
        <v>593</v>
      </c>
      <c r="C9">
        <v>46796397</v>
      </c>
      <c r="D9" t="s">
        <v>9</v>
      </c>
      <c r="E9" t="s">
        <v>133</v>
      </c>
      <c r="F9" t="s">
        <v>592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591</v>
      </c>
      <c r="B10" t="s">
        <v>58</v>
      </c>
      <c r="C10">
        <v>72519113</v>
      </c>
      <c r="D10" t="s">
        <v>7</v>
      </c>
      <c r="E10" t="s">
        <v>517</v>
      </c>
      <c r="F10" t="s">
        <v>592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591</v>
      </c>
      <c r="B11" t="s">
        <v>49</v>
      </c>
      <c r="C11">
        <v>40702064</v>
      </c>
      <c r="D11" t="s">
        <v>4</v>
      </c>
      <c r="E11" t="s">
        <v>517</v>
      </c>
      <c r="F11" t="s">
        <v>592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591</v>
      </c>
      <c r="B12" t="s">
        <v>23</v>
      </c>
      <c r="C12">
        <v>72413556</v>
      </c>
      <c r="D12" t="s">
        <v>3</v>
      </c>
      <c r="E12" t="s">
        <v>517</v>
      </c>
      <c r="F12" t="s">
        <v>592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591</v>
      </c>
      <c r="B13" t="s">
        <v>26</v>
      </c>
      <c r="C13">
        <v>41005089</v>
      </c>
      <c r="D13" t="s">
        <v>5</v>
      </c>
      <c r="E13" t="s">
        <v>517</v>
      </c>
      <c r="F13" t="s">
        <v>592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591</v>
      </c>
      <c r="B14" t="s">
        <v>69</v>
      </c>
      <c r="C14">
        <v>73930771</v>
      </c>
      <c r="D14" t="s">
        <v>7</v>
      </c>
      <c r="E14" t="s">
        <v>517</v>
      </c>
      <c r="F14" t="s">
        <v>592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591</v>
      </c>
      <c r="B15" t="s">
        <v>74</v>
      </c>
      <c r="C15">
        <v>70135127</v>
      </c>
      <c r="D15" t="s">
        <v>4</v>
      </c>
      <c r="E15" t="s">
        <v>517</v>
      </c>
      <c r="F15" t="s">
        <v>592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591</v>
      </c>
      <c r="B16" t="s">
        <v>19</v>
      </c>
      <c r="C16">
        <v>76656128</v>
      </c>
      <c r="D16" t="s">
        <v>9</v>
      </c>
      <c r="E16" t="s">
        <v>517</v>
      </c>
      <c r="F16" t="s">
        <v>592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591</v>
      </c>
      <c r="B17" t="s">
        <v>29</v>
      </c>
      <c r="C17">
        <v>72758956</v>
      </c>
      <c r="D17" t="s">
        <v>6</v>
      </c>
      <c r="E17" t="s">
        <v>517</v>
      </c>
      <c r="F17" t="s">
        <v>592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591</v>
      </c>
      <c r="B18" t="s">
        <v>10</v>
      </c>
      <c r="C18">
        <v>40980108</v>
      </c>
      <c r="D18" t="s">
        <v>8</v>
      </c>
      <c r="E18" t="s">
        <v>517</v>
      </c>
      <c r="F18" t="s">
        <v>592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591</v>
      </c>
      <c r="B19" t="s">
        <v>75</v>
      </c>
      <c r="C19">
        <v>71264767</v>
      </c>
      <c r="D19" t="s">
        <v>6</v>
      </c>
      <c r="E19" t="s">
        <v>517</v>
      </c>
      <c r="F19" t="s">
        <v>592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591</v>
      </c>
      <c r="B20" t="s">
        <v>15</v>
      </c>
      <c r="C20">
        <v>47587400</v>
      </c>
      <c r="D20" t="s">
        <v>125</v>
      </c>
      <c r="E20" t="s">
        <v>517</v>
      </c>
      <c r="F20" t="s">
        <v>592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591</v>
      </c>
      <c r="B21" t="s">
        <v>35</v>
      </c>
      <c r="C21">
        <v>10491198</v>
      </c>
      <c r="D21" t="s">
        <v>4</v>
      </c>
      <c r="E21" t="s">
        <v>517</v>
      </c>
      <c r="F21" t="s">
        <v>592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591</v>
      </c>
      <c r="B22" t="s">
        <v>48</v>
      </c>
      <c r="C22">
        <v>43307898</v>
      </c>
      <c r="D22" t="s">
        <v>3</v>
      </c>
      <c r="E22" t="s">
        <v>517</v>
      </c>
      <c r="F22" t="s">
        <v>592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591</v>
      </c>
      <c r="B23" t="s">
        <v>106</v>
      </c>
      <c r="C23">
        <v>72197469</v>
      </c>
      <c r="D23" t="s">
        <v>3</v>
      </c>
      <c r="E23" t="s">
        <v>594</v>
      </c>
      <c r="F23" t="s">
        <v>592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591</v>
      </c>
      <c r="B24" t="s">
        <v>67</v>
      </c>
      <c r="C24">
        <v>9880053</v>
      </c>
      <c r="D24" t="s">
        <v>6</v>
      </c>
      <c r="E24" t="s">
        <v>517</v>
      </c>
      <c r="F24" t="s">
        <v>592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591</v>
      </c>
      <c r="B25" t="s">
        <v>13</v>
      </c>
      <c r="C25">
        <v>72512391</v>
      </c>
      <c r="D25" t="s">
        <v>9</v>
      </c>
      <c r="E25" t="s">
        <v>517</v>
      </c>
      <c r="F25" t="s">
        <v>592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591</v>
      </c>
      <c r="B26" t="s">
        <v>76</v>
      </c>
      <c r="C26">
        <v>60914051</v>
      </c>
      <c r="D26" t="s">
        <v>8</v>
      </c>
      <c r="E26" t="s">
        <v>517</v>
      </c>
      <c r="F26" t="s">
        <v>592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591</v>
      </c>
      <c r="B27" t="s">
        <v>25</v>
      </c>
      <c r="C27">
        <v>72373931</v>
      </c>
      <c r="D27" t="s">
        <v>8</v>
      </c>
      <c r="E27" t="s">
        <v>517</v>
      </c>
      <c r="F27" t="s">
        <v>592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591</v>
      </c>
      <c r="B28" t="s">
        <v>21</v>
      </c>
      <c r="C28">
        <v>44042880</v>
      </c>
      <c r="D28" t="s">
        <v>7</v>
      </c>
      <c r="E28" t="s">
        <v>517</v>
      </c>
      <c r="F28" t="s">
        <v>592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591</v>
      </c>
      <c r="B29" t="s">
        <v>77</v>
      </c>
      <c r="C29">
        <v>42251780</v>
      </c>
      <c r="D29" t="s">
        <v>9</v>
      </c>
      <c r="E29" t="s">
        <v>517</v>
      </c>
      <c r="F29" t="s">
        <v>592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591</v>
      </c>
      <c r="B30" t="s">
        <v>33</v>
      </c>
      <c r="C30">
        <v>80689573</v>
      </c>
      <c r="D30" t="s">
        <v>3</v>
      </c>
      <c r="E30" t="s">
        <v>517</v>
      </c>
      <c r="F30" t="s">
        <v>592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591</v>
      </c>
      <c r="B31" t="s">
        <v>12</v>
      </c>
      <c r="C31">
        <v>45262585</v>
      </c>
      <c r="D31" t="s">
        <v>125</v>
      </c>
      <c r="E31" t="s">
        <v>517</v>
      </c>
      <c r="F31" t="s">
        <v>592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591</v>
      </c>
      <c r="B32" t="s">
        <v>17</v>
      </c>
      <c r="C32">
        <v>70876605</v>
      </c>
      <c r="D32" t="s">
        <v>6</v>
      </c>
      <c r="E32" t="s">
        <v>516</v>
      </c>
      <c r="F32" t="s">
        <v>592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591</v>
      </c>
      <c r="B33" t="s">
        <v>61</v>
      </c>
      <c r="C33">
        <v>44001162</v>
      </c>
      <c r="D33" t="s">
        <v>8</v>
      </c>
      <c r="E33" t="s">
        <v>517</v>
      </c>
      <c r="F33" t="s">
        <v>592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591</v>
      </c>
      <c r="B34" t="s">
        <v>36</v>
      </c>
      <c r="C34">
        <v>76917479</v>
      </c>
      <c r="D34" t="s">
        <v>6</v>
      </c>
      <c r="E34" t="s">
        <v>517</v>
      </c>
      <c r="F34" t="s">
        <v>592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591</v>
      </c>
      <c r="B35" t="s">
        <v>78</v>
      </c>
      <c r="C35">
        <v>10706451</v>
      </c>
      <c r="D35" t="s">
        <v>6</v>
      </c>
      <c r="E35" t="s">
        <v>517</v>
      </c>
      <c r="F35" t="s">
        <v>592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591</v>
      </c>
      <c r="B36" t="s">
        <v>70</v>
      </c>
      <c r="C36">
        <v>47982910</v>
      </c>
      <c r="D36" t="s">
        <v>5</v>
      </c>
      <c r="E36" t="s">
        <v>517</v>
      </c>
      <c r="F36" t="s">
        <v>592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591</v>
      </c>
      <c r="B37" t="s">
        <v>65</v>
      </c>
      <c r="C37">
        <v>47659267</v>
      </c>
      <c r="D37" t="s">
        <v>125</v>
      </c>
      <c r="E37" t="s">
        <v>517</v>
      </c>
      <c r="F37" t="s">
        <v>592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591</v>
      </c>
      <c r="B38" t="s">
        <v>37</v>
      </c>
      <c r="C38">
        <v>70988976</v>
      </c>
      <c r="D38" t="s">
        <v>9</v>
      </c>
      <c r="E38" t="s">
        <v>516</v>
      </c>
      <c r="F38" t="s">
        <v>592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591</v>
      </c>
      <c r="B39" t="s">
        <v>18</v>
      </c>
      <c r="C39">
        <v>76214436</v>
      </c>
      <c r="D39" t="s">
        <v>7</v>
      </c>
      <c r="E39" t="s">
        <v>517</v>
      </c>
      <c r="F39" t="s">
        <v>592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591</v>
      </c>
      <c r="B40" t="s">
        <v>73</v>
      </c>
      <c r="C40">
        <v>40318129</v>
      </c>
      <c r="D40" t="s">
        <v>125</v>
      </c>
      <c r="E40" t="s">
        <v>517</v>
      </c>
      <c r="F40" t="s">
        <v>592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591</v>
      </c>
      <c r="B41" t="s">
        <v>20</v>
      </c>
      <c r="C41">
        <v>48307357</v>
      </c>
      <c r="D41" t="s">
        <v>7</v>
      </c>
      <c r="E41" t="s">
        <v>517</v>
      </c>
      <c r="F41" t="s">
        <v>592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591</v>
      </c>
      <c r="B42" t="s">
        <v>79</v>
      </c>
      <c r="C42">
        <v>71262377</v>
      </c>
      <c r="D42" t="s">
        <v>5</v>
      </c>
      <c r="E42" t="s">
        <v>517</v>
      </c>
      <c r="F42" t="s">
        <v>592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591</v>
      </c>
      <c r="B43" t="s">
        <v>34</v>
      </c>
      <c r="C43">
        <v>76824571</v>
      </c>
      <c r="D43" t="s">
        <v>9</v>
      </c>
      <c r="E43" t="s">
        <v>517</v>
      </c>
      <c r="F43" t="s">
        <v>592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591</v>
      </c>
      <c r="B44" t="s">
        <v>80</v>
      </c>
      <c r="C44">
        <v>45084594</v>
      </c>
      <c r="D44" t="s">
        <v>9</v>
      </c>
      <c r="E44" t="s">
        <v>517</v>
      </c>
      <c r="F44" t="s">
        <v>592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591</v>
      </c>
      <c r="B45" t="s">
        <v>22</v>
      </c>
      <c r="C45">
        <v>70551168</v>
      </c>
      <c r="D45" t="s">
        <v>6</v>
      </c>
      <c r="E45" t="s">
        <v>517</v>
      </c>
      <c r="F45" t="s">
        <v>592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591</v>
      </c>
      <c r="B46" t="s">
        <v>41</v>
      </c>
      <c r="C46">
        <v>46461021</v>
      </c>
      <c r="D46" t="s">
        <v>125</v>
      </c>
      <c r="E46" t="s">
        <v>517</v>
      </c>
      <c r="F46" t="s">
        <v>592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591</v>
      </c>
      <c r="B47" t="s">
        <v>24</v>
      </c>
      <c r="C47">
        <v>43614775</v>
      </c>
      <c r="D47" t="s">
        <v>9</v>
      </c>
      <c r="E47" t="s">
        <v>517</v>
      </c>
      <c r="F47" t="s">
        <v>592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591</v>
      </c>
      <c r="B48" t="s">
        <v>31</v>
      </c>
      <c r="C48">
        <v>75882265</v>
      </c>
      <c r="D48" t="s">
        <v>6</v>
      </c>
      <c r="E48" t="s">
        <v>517</v>
      </c>
      <c r="F48" t="s">
        <v>592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591</v>
      </c>
      <c r="B49" t="s">
        <v>16</v>
      </c>
      <c r="C49">
        <v>47029782</v>
      </c>
      <c r="D49" t="s">
        <v>125</v>
      </c>
      <c r="E49" t="s">
        <v>517</v>
      </c>
      <c r="F49" t="s">
        <v>592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591</v>
      </c>
      <c r="B50" t="s">
        <v>59</v>
      </c>
      <c r="C50">
        <v>60870839</v>
      </c>
      <c r="D50" t="s">
        <v>8</v>
      </c>
      <c r="E50" t="s">
        <v>516</v>
      </c>
      <c r="F50" t="s">
        <v>592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591</v>
      </c>
      <c r="B51" t="s">
        <v>68</v>
      </c>
      <c r="C51">
        <v>73257316</v>
      </c>
      <c r="D51" t="s">
        <v>5</v>
      </c>
      <c r="E51" t="s">
        <v>517</v>
      </c>
      <c r="F51" t="s">
        <v>592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591</v>
      </c>
      <c r="B52" t="s">
        <v>11</v>
      </c>
      <c r="C52">
        <v>45139159</v>
      </c>
      <c r="D52" t="s">
        <v>7</v>
      </c>
      <c r="E52" t="s">
        <v>517</v>
      </c>
      <c r="F52" t="s">
        <v>592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591</v>
      </c>
      <c r="B53" t="s">
        <v>42</v>
      </c>
      <c r="C53">
        <v>73725129</v>
      </c>
      <c r="D53" t="s">
        <v>8</v>
      </c>
      <c r="E53" t="s">
        <v>517</v>
      </c>
      <c r="F53" t="s">
        <v>592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591</v>
      </c>
      <c r="B54" t="s">
        <v>71</v>
      </c>
      <c r="C54">
        <v>45596891</v>
      </c>
      <c r="D54" t="s">
        <v>4</v>
      </c>
      <c r="E54" t="s">
        <v>594</v>
      </c>
      <c r="F54" t="s">
        <v>592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591</v>
      </c>
      <c r="B55" t="s">
        <v>40</v>
      </c>
      <c r="C55">
        <v>60976055</v>
      </c>
      <c r="D55" t="s">
        <v>4</v>
      </c>
      <c r="E55" t="s">
        <v>517</v>
      </c>
      <c r="F55" t="s">
        <v>592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591</v>
      </c>
      <c r="B56" t="s">
        <v>103</v>
      </c>
      <c r="C56">
        <v>47218693</v>
      </c>
      <c r="D56" t="s">
        <v>5</v>
      </c>
      <c r="E56" t="s">
        <v>594</v>
      </c>
      <c r="F56" t="s">
        <v>592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591</v>
      </c>
      <c r="B57" t="s">
        <v>81</v>
      </c>
      <c r="C57">
        <v>72716299</v>
      </c>
      <c r="D57" t="s">
        <v>8</v>
      </c>
      <c r="E57" t="s">
        <v>517</v>
      </c>
      <c r="F57" t="s">
        <v>592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591</v>
      </c>
      <c r="B58" t="s">
        <v>32</v>
      </c>
      <c r="C58">
        <v>48584670</v>
      </c>
      <c r="D58" t="s">
        <v>3</v>
      </c>
      <c r="E58" t="s">
        <v>516</v>
      </c>
      <c r="F58" t="s">
        <v>592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591</v>
      </c>
      <c r="B59" t="s">
        <v>57</v>
      </c>
      <c r="C59">
        <v>74996029</v>
      </c>
      <c r="D59" t="s">
        <v>8</v>
      </c>
      <c r="E59" t="s">
        <v>517</v>
      </c>
      <c r="F59" t="s">
        <v>592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591</v>
      </c>
      <c r="B60" t="s">
        <v>66</v>
      </c>
      <c r="C60">
        <v>46819930</v>
      </c>
      <c r="D60" t="s">
        <v>125</v>
      </c>
      <c r="E60" t="s">
        <v>516</v>
      </c>
      <c r="F60" t="s">
        <v>592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591</v>
      </c>
      <c r="B61" t="s">
        <v>27</v>
      </c>
      <c r="C61">
        <v>73203775</v>
      </c>
      <c r="D61" t="s">
        <v>8</v>
      </c>
      <c r="E61" t="s">
        <v>517</v>
      </c>
      <c r="F61" t="s">
        <v>592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591</v>
      </c>
      <c r="B62" t="s">
        <v>51</v>
      </c>
      <c r="C62">
        <v>76089925</v>
      </c>
      <c r="D62" t="s">
        <v>9</v>
      </c>
      <c r="E62" t="s">
        <v>517</v>
      </c>
      <c r="F62" t="s">
        <v>592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591</v>
      </c>
      <c r="B63" t="s">
        <v>72</v>
      </c>
      <c r="C63">
        <v>47690367</v>
      </c>
      <c r="D63" t="s">
        <v>5</v>
      </c>
      <c r="E63" t="s">
        <v>517</v>
      </c>
      <c r="F63" t="s">
        <v>592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591</v>
      </c>
      <c r="B64" t="s">
        <v>110</v>
      </c>
      <c r="C64">
        <v>43611146</v>
      </c>
      <c r="D64" t="s">
        <v>4</v>
      </c>
      <c r="E64" t="s">
        <v>594</v>
      </c>
      <c r="F64" t="s">
        <v>592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591</v>
      </c>
      <c r="B65" t="s">
        <v>104</v>
      </c>
      <c r="C65">
        <v>72074706</v>
      </c>
      <c r="D65" t="s">
        <v>4</v>
      </c>
      <c r="E65" t="s">
        <v>594</v>
      </c>
      <c r="F65" t="s">
        <v>592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591</v>
      </c>
      <c r="B66" t="s">
        <v>53</v>
      </c>
      <c r="C66">
        <v>46587976</v>
      </c>
      <c r="D66" t="s">
        <v>3</v>
      </c>
      <c r="E66" t="s">
        <v>517</v>
      </c>
      <c r="F66" t="s">
        <v>592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591</v>
      </c>
      <c r="B67" t="s">
        <v>105</v>
      </c>
      <c r="C67">
        <v>48344037</v>
      </c>
      <c r="D67" t="s">
        <v>7</v>
      </c>
      <c r="E67" t="s">
        <v>517</v>
      </c>
      <c r="F67" t="s">
        <v>592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591</v>
      </c>
      <c r="B68" t="s">
        <v>50</v>
      </c>
      <c r="C68">
        <v>72733809</v>
      </c>
      <c r="D68" t="s">
        <v>9</v>
      </c>
      <c r="E68" t="s">
        <v>517</v>
      </c>
      <c r="F68" t="s">
        <v>592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591</v>
      </c>
      <c r="B69" t="s">
        <v>43</v>
      </c>
      <c r="C69">
        <v>74799185</v>
      </c>
      <c r="D69" t="s">
        <v>3</v>
      </c>
      <c r="E69" t="s">
        <v>517</v>
      </c>
      <c r="F69" t="s">
        <v>592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591</v>
      </c>
      <c r="B70" t="s">
        <v>44</v>
      </c>
      <c r="C70">
        <v>45468175</v>
      </c>
      <c r="D70" t="s">
        <v>3</v>
      </c>
      <c r="E70" t="s">
        <v>517</v>
      </c>
      <c r="F70" t="s">
        <v>592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591</v>
      </c>
      <c r="B71" t="s">
        <v>38</v>
      </c>
      <c r="C71">
        <v>47411966</v>
      </c>
      <c r="D71" t="s">
        <v>125</v>
      </c>
      <c r="E71" t="s">
        <v>517</v>
      </c>
      <c r="F71" t="s">
        <v>592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591</v>
      </c>
      <c r="B72" t="s">
        <v>55</v>
      </c>
      <c r="C72">
        <v>45119892</v>
      </c>
      <c r="D72" t="s">
        <v>4</v>
      </c>
      <c r="E72" t="s">
        <v>517</v>
      </c>
      <c r="F72" t="s">
        <v>592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591</v>
      </c>
      <c r="B73" t="s">
        <v>54</v>
      </c>
      <c r="C73">
        <v>70155949</v>
      </c>
      <c r="D73" t="s">
        <v>9</v>
      </c>
      <c r="E73" t="s">
        <v>517</v>
      </c>
      <c r="F73" t="s">
        <v>592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591</v>
      </c>
      <c r="B74" t="s">
        <v>28</v>
      </c>
      <c r="C74">
        <v>70951123</v>
      </c>
      <c r="D74" t="s">
        <v>5</v>
      </c>
      <c r="E74" t="s">
        <v>517</v>
      </c>
      <c r="F74" t="s">
        <v>592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591</v>
      </c>
      <c r="B75" t="s">
        <v>60</v>
      </c>
      <c r="C75">
        <v>72839865</v>
      </c>
      <c r="D75" t="s">
        <v>7</v>
      </c>
      <c r="E75" t="s">
        <v>517</v>
      </c>
      <c r="F75" t="s">
        <v>592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591</v>
      </c>
      <c r="B76" t="s">
        <v>101</v>
      </c>
      <c r="C76">
        <v>46938414</v>
      </c>
      <c r="D76" t="s">
        <v>3</v>
      </c>
      <c r="E76" t="s">
        <v>594</v>
      </c>
      <c r="F76" t="s">
        <v>592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591</v>
      </c>
      <c r="B77" t="s">
        <v>102</v>
      </c>
      <c r="C77">
        <v>9996175</v>
      </c>
      <c r="D77" t="s">
        <v>3</v>
      </c>
      <c r="E77" t="s">
        <v>594</v>
      </c>
      <c r="F77" t="s">
        <v>592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591</v>
      </c>
      <c r="B78" t="s">
        <v>91</v>
      </c>
      <c r="C78">
        <v>75346810</v>
      </c>
      <c r="D78" t="s">
        <v>125</v>
      </c>
      <c r="E78" t="s">
        <v>517</v>
      </c>
      <c r="F78" t="s">
        <v>592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591</v>
      </c>
      <c r="B79" t="s">
        <v>93</v>
      </c>
      <c r="C79">
        <v>47322258</v>
      </c>
      <c r="D79" t="s">
        <v>4</v>
      </c>
      <c r="E79" t="s">
        <v>517</v>
      </c>
      <c r="F79" t="s">
        <v>592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591</v>
      </c>
      <c r="B80" t="s">
        <v>92</v>
      </c>
      <c r="C80">
        <v>73040632</v>
      </c>
      <c r="D80" t="s">
        <v>4</v>
      </c>
      <c r="E80" t="s">
        <v>517</v>
      </c>
      <c r="F80" t="s">
        <v>592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591</v>
      </c>
      <c r="B81" t="s">
        <v>96</v>
      </c>
      <c r="C81">
        <v>46793103</v>
      </c>
      <c r="D81" t="s">
        <v>5</v>
      </c>
      <c r="E81" t="s">
        <v>517</v>
      </c>
      <c r="F81" t="s">
        <v>592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591</v>
      </c>
      <c r="B82" t="s">
        <v>97</v>
      </c>
      <c r="C82">
        <v>74602206</v>
      </c>
      <c r="D82" t="s">
        <v>3</v>
      </c>
      <c r="E82" t="s">
        <v>517</v>
      </c>
      <c r="F82" t="s">
        <v>592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591</v>
      </c>
      <c r="B83" t="s">
        <v>100</v>
      </c>
      <c r="C83">
        <v>41285428</v>
      </c>
      <c r="D83" t="s">
        <v>9</v>
      </c>
      <c r="E83" t="s">
        <v>517</v>
      </c>
      <c r="F83" t="s">
        <v>592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591</v>
      </c>
      <c r="B84" t="s">
        <v>99</v>
      </c>
      <c r="C84">
        <v>73708621</v>
      </c>
      <c r="D84" t="s">
        <v>6</v>
      </c>
      <c r="E84" t="s">
        <v>517</v>
      </c>
      <c r="F84" t="s">
        <v>592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591</v>
      </c>
      <c r="B85" t="s">
        <v>114</v>
      </c>
      <c r="C85">
        <v>47005973</v>
      </c>
      <c r="D85" t="s">
        <v>4</v>
      </c>
      <c r="E85" t="s">
        <v>517</v>
      </c>
      <c r="F85" t="s">
        <v>592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595</v>
      </c>
      <c r="B86" t="s">
        <v>219</v>
      </c>
      <c r="C86">
        <v>74122258</v>
      </c>
      <c r="D86" t="s">
        <v>6</v>
      </c>
      <c r="E86" t="s">
        <v>133</v>
      </c>
      <c r="F86" t="s">
        <v>592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595</v>
      </c>
      <c r="B87" t="s">
        <v>248</v>
      </c>
      <c r="C87">
        <v>44265602</v>
      </c>
      <c r="D87" t="s">
        <v>2</v>
      </c>
      <c r="E87" t="s">
        <v>133</v>
      </c>
      <c r="F87" t="s">
        <v>592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595</v>
      </c>
      <c r="B88" t="s">
        <v>226</v>
      </c>
      <c r="C88">
        <v>73049631</v>
      </c>
      <c r="D88" t="s">
        <v>3</v>
      </c>
      <c r="E88" t="s">
        <v>133</v>
      </c>
      <c r="F88" t="s">
        <v>592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595</v>
      </c>
      <c r="B89" t="s">
        <v>214</v>
      </c>
      <c r="C89">
        <v>46872195</v>
      </c>
      <c r="D89" t="s">
        <v>7</v>
      </c>
      <c r="E89" t="s">
        <v>133</v>
      </c>
      <c r="F89" t="s">
        <v>592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595</v>
      </c>
      <c r="B90" t="s">
        <v>224</v>
      </c>
      <c r="C90">
        <v>70984733</v>
      </c>
      <c r="D90" t="s">
        <v>4</v>
      </c>
      <c r="E90" t="s">
        <v>133</v>
      </c>
      <c r="F90" t="s">
        <v>592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595</v>
      </c>
      <c r="B91" t="s">
        <v>212</v>
      </c>
      <c r="C91">
        <v>73613568</v>
      </c>
      <c r="D91" t="s">
        <v>5</v>
      </c>
      <c r="E91" t="s">
        <v>133</v>
      </c>
      <c r="F91" t="s">
        <v>592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595</v>
      </c>
      <c r="B92" t="s">
        <v>58</v>
      </c>
      <c r="C92">
        <v>72519113</v>
      </c>
      <c r="D92" t="s">
        <v>4</v>
      </c>
      <c r="E92" t="s">
        <v>517</v>
      </c>
      <c r="F92" t="s">
        <v>592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595</v>
      </c>
      <c r="B93" t="s">
        <v>49</v>
      </c>
      <c r="C93">
        <v>40702064</v>
      </c>
      <c r="D93" t="s">
        <v>2</v>
      </c>
      <c r="E93" t="s">
        <v>517</v>
      </c>
      <c r="F93" t="s">
        <v>592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595</v>
      </c>
      <c r="B94" t="s">
        <v>23</v>
      </c>
      <c r="C94">
        <v>72413556</v>
      </c>
      <c r="D94" t="s">
        <v>3</v>
      </c>
      <c r="E94" t="s">
        <v>517</v>
      </c>
      <c r="F94" t="s">
        <v>592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595</v>
      </c>
      <c r="B95" t="s">
        <v>26</v>
      </c>
      <c r="C95">
        <v>41005089</v>
      </c>
      <c r="D95" t="s">
        <v>6</v>
      </c>
      <c r="E95" t="s">
        <v>517</v>
      </c>
      <c r="F95" t="s">
        <v>592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595</v>
      </c>
      <c r="B96" t="s">
        <v>69</v>
      </c>
      <c r="C96">
        <v>73930771</v>
      </c>
      <c r="D96" t="s">
        <v>3</v>
      </c>
      <c r="E96" t="s">
        <v>517</v>
      </c>
      <c r="F96" t="s">
        <v>592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595</v>
      </c>
      <c r="B97" t="s">
        <v>74</v>
      </c>
      <c r="C97">
        <v>70135127</v>
      </c>
      <c r="D97" t="s">
        <v>7</v>
      </c>
      <c r="E97" t="s">
        <v>594</v>
      </c>
      <c r="F97" t="s">
        <v>592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595</v>
      </c>
      <c r="B98" t="s">
        <v>19</v>
      </c>
      <c r="C98">
        <v>76656128</v>
      </c>
      <c r="D98" t="s">
        <v>6</v>
      </c>
      <c r="E98" t="s">
        <v>517</v>
      </c>
      <c r="F98" t="s">
        <v>592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595</v>
      </c>
      <c r="B99" t="s">
        <v>29</v>
      </c>
      <c r="C99">
        <v>72758956</v>
      </c>
      <c r="D99" t="s">
        <v>5</v>
      </c>
      <c r="E99" t="s">
        <v>517</v>
      </c>
      <c r="F99" t="s">
        <v>592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595</v>
      </c>
      <c r="B100" t="s">
        <v>10</v>
      </c>
      <c r="C100">
        <v>40980108</v>
      </c>
      <c r="D100" t="s">
        <v>4</v>
      </c>
      <c r="E100" t="s">
        <v>517</v>
      </c>
      <c r="F100" t="s">
        <v>592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595</v>
      </c>
      <c r="B101" t="s">
        <v>75</v>
      </c>
      <c r="C101">
        <v>71264767</v>
      </c>
      <c r="D101" t="s">
        <v>4</v>
      </c>
      <c r="E101" t="s">
        <v>517</v>
      </c>
      <c r="F101" t="s">
        <v>592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595</v>
      </c>
      <c r="B102" t="s">
        <v>15</v>
      </c>
      <c r="C102">
        <v>47587400</v>
      </c>
      <c r="D102" t="s">
        <v>2</v>
      </c>
      <c r="E102" t="s">
        <v>517</v>
      </c>
      <c r="F102" t="s">
        <v>592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595</v>
      </c>
      <c r="B103" t="s">
        <v>35</v>
      </c>
      <c r="C103">
        <v>10491198</v>
      </c>
      <c r="D103" t="s">
        <v>6</v>
      </c>
      <c r="E103" t="s">
        <v>517</v>
      </c>
      <c r="F103" t="s">
        <v>592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595</v>
      </c>
      <c r="B104" t="s">
        <v>48</v>
      </c>
      <c r="C104">
        <v>43307898</v>
      </c>
      <c r="D104" t="s">
        <v>2</v>
      </c>
      <c r="E104" t="s">
        <v>517</v>
      </c>
      <c r="F104" t="s">
        <v>592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595</v>
      </c>
      <c r="B105" t="s">
        <v>67</v>
      </c>
      <c r="C105">
        <v>9880053</v>
      </c>
      <c r="D105" t="s">
        <v>6</v>
      </c>
      <c r="E105" t="s">
        <v>594</v>
      </c>
      <c r="F105" t="s">
        <v>592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595</v>
      </c>
      <c r="B106" t="s">
        <v>13</v>
      </c>
      <c r="C106">
        <v>72512391</v>
      </c>
      <c r="D106" t="s">
        <v>3</v>
      </c>
      <c r="E106" t="s">
        <v>517</v>
      </c>
      <c r="F106" t="s">
        <v>592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595</v>
      </c>
      <c r="B107" t="s">
        <v>76</v>
      </c>
      <c r="C107">
        <v>60914051</v>
      </c>
      <c r="D107" t="s">
        <v>3</v>
      </c>
      <c r="E107" t="s">
        <v>517</v>
      </c>
      <c r="F107" t="s">
        <v>592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595</v>
      </c>
      <c r="B108" t="s">
        <v>25</v>
      </c>
      <c r="C108">
        <v>72373931</v>
      </c>
      <c r="D108" t="s">
        <v>2</v>
      </c>
      <c r="E108" t="s">
        <v>516</v>
      </c>
      <c r="F108" t="s">
        <v>592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595</v>
      </c>
      <c r="B109" t="s">
        <v>21</v>
      </c>
      <c r="C109">
        <v>44042880</v>
      </c>
      <c r="D109" t="s">
        <v>2</v>
      </c>
      <c r="E109" t="s">
        <v>517</v>
      </c>
      <c r="F109" t="s">
        <v>592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595</v>
      </c>
      <c r="B110" t="s">
        <v>77</v>
      </c>
      <c r="C110">
        <v>42251780</v>
      </c>
      <c r="D110" t="s">
        <v>5</v>
      </c>
      <c r="E110" t="s">
        <v>517</v>
      </c>
      <c r="F110" t="s">
        <v>592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595</v>
      </c>
      <c r="B111" t="s">
        <v>33</v>
      </c>
      <c r="C111">
        <v>80689573</v>
      </c>
      <c r="D111" t="s">
        <v>2</v>
      </c>
      <c r="E111" t="s">
        <v>516</v>
      </c>
      <c r="F111" t="s">
        <v>592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595</v>
      </c>
      <c r="B112" t="s">
        <v>12</v>
      </c>
      <c r="C112">
        <v>45262585</v>
      </c>
      <c r="D112" t="s">
        <v>2</v>
      </c>
      <c r="E112" t="s">
        <v>516</v>
      </c>
      <c r="F112" t="s">
        <v>592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595</v>
      </c>
      <c r="B113" t="s">
        <v>17</v>
      </c>
      <c r="C113">
        <v>70876605</v>
      </c>
      <c r="D113" t="s">
        <v>3</v>
      </c>
      <c r="E113" t="s">
        <v>517</v>
      </c>
      <c r="F113" t="s">
        <v>592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595</v>
      </c>
      <c r="B114" t="s">
        <v>61</v>
      </c>
      <c r="C114">
        <v>44001162</v>
      </c>
      <c r="D114" t="s">
        <v>6</v>
      </c>
      <c r="E114" t="s">
        <v>517</v>
      </c>
      <c r="F114" t="s">
        <v>592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595</v>
      </c>
      <c r="B115" t="s">
        <v>36</v>
      </c>
      <c r="C115">
        <v>76917479</v>
      </c>
      <c r="D115" t="s">
        <v>5</v>
      </c>
      <c r="E115" t="s">
        <v>594</v>
      </c>
      <c r="F115" t="s">
        <v>592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595</v>
      </c>
      <c r="B116" t="s">
        <v>78</v>
      </c>
      <c r="C116">
        <v>10706451</v>
      </c>
      <c r="D116" t="s">
        <v>6</v>
      </c>
      <c r="E116" t="s">
        <v>517</v>
      </c>
      <c r="F116" t="s">
        <v>592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595</v>
      </c>
      <c r="B117" t="s">
        <v>70</v>
      </c>
      <c r="C117">
        <v>47982910</v>
      </c>
      <c r="D117" t="s">
        <v>7</v>
      </c>
      <c r="E117" t="s">
        <v>594</v>
      </c>
      <c r="F117" t="s">
        <v>592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595</v>
      </c>
      <c r="B118" t="s">
        <v>65</v>
      </c>
      <c r="C118">
        <v>47659267</v>
      </c>
      <c r="D118" t="s">
        <v>6</v>
      </c>
      <c r="E118" t="s">
        <v>517</v>
      </c>
      <c r="F118" t="s">
        <v>592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595</v>
      </c>
      <c r="B119" t="s">
        <v>37</v>
      </c>
      <c r="C119">
        <v>70988976</v>
      </c>
      <c r="D119" t="s">
        <v>4</v>
      </c>
      <c r="E119" t="s">
        <v>517</v>
      </c>
      <c r="F119" t="s">
        <v>592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595</v>
      </c>
      <c r="B120" t="s">
        <v>18</v>
      </c>
      <c r="C120">
        <v>76214436</v>
      </c>
      <c r="D120" t="s">
        <v>6</v>
      </c>
      <c r="E120" t="s">
        <v>517</v>
      </c>
      <c r="F120" t="s">
        <v>592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595</v>
      </c>
      <c r="B121" t="s">
        <v>73</v>
      </c>
      <c r="C121">
        <v>40318129</v>
      </c>
      <c r="D121" t="s">
        <v>2</v>
      </c>
      <c r="E121" t="s">
        <v>517</v>
      </c>
      <c r="F121" t="s">
        <v>592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595</v>
      </c>
      <c r="B122" t="s">
        <v>20</v>
      </c>
      <c r="C122">
        <v>48307357</v>
      </c>
      <c r="D122" t="s">
        <v>7</v>
      </c>
      <c r="E122" t="s">
        <v>594</v>
      </c>
      <c r="F122" t="s">
        <v>592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595</v>
      </c>
      <c r="B123" t="s">
        <v>79</v>
      </c>
      <c r="C123">
        <v>71262377</v>
      </c>
      <c r="D123" t="s">
        <v>5</v>
      </c>
      <c r="E123" t="s">
        <v>517</v>
      </c>
      <c r="F123" t="s">
        <v>592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595</v>
      </c>
      <c r="B124" t="s">
        <v>34</v>
      </c>
      <c r="C124">
        <v>76824571</v>
      </c>
      <c r="D124" t="s">
        <v>2</v>
      </c>
      <c r="E124" t="s">
        <v>516</v>
      </c>
      <c r="F124" t="s">
        <v>592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595</v>
      </c>
      <c r="B125" t="s">
        <v>80</v>
      </c>
      <c r="C125">
        <v>45084594</v>
      </c>
      <c r="D125" t="s">
        <v>4</v>
      </c>
      <c r="E125" t="s">
        <v>517</v>
      </c>
      <c r="F125" t="s">
        <v>592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595</v>
      </c>
      <c r="B126" t="s">
        <v>22</v>
      </c>
      <c r="C126">
        <v>70551168</v>
      </c>
      <c r="D126" t="s">
        <v>3</v>
      </c>
      <c r="E126" t="s">
        <v>517</v>
      </c>
      <c r="F126" t="s">
        <v>592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595</v>
      </c>
      <c r="B127" t="s">
        <v>41</v>
      </c>
      <c r="C127">
        <v>46461021</v>
      </c>
      <c r="D127" t="s">
        <v>6</v>
      </c>
      <c r="E127" t="s">
        <v>517</v>
      </c>
      <c r="F127" t="s">
        <v>592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595</v>
      </c>
      <c r="B128" t="s">
        <v>24</v>
      </c>
      <c r="C128">
        <v>43614775</v>
      </c>
      <c r="D128" t="s">
        <v>6</v>
      </c>
      <c r="E128" t="s">
        <v>517</v>
      </c>
      <c r="F128" t="s">
        <v>592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595</v>
      </c>
      <c r="B129" t="s">
        <v>31</v>
      </c>
      <c r="C129">
        <v>75882265</v>
      </c>
      <c r="D129" t="s">
        <v>3</v>
      </c>
      <c r="E129" t="s">
        <v>517</v>
      </c>
      <c r="F129" t="s">
        <v>592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595</v>
      </c>
      <c r="B130" t="s">
        <v>16</v>
      </c>
      <c r="C130">
        <v>47029782</v>
      </c>
      <c r="D130" t="s">
        <v>3</v>
      </c>
      <c r="E130" t="s">
        <v>517</v>
      </c>
      <c r="F130" t="s">
        <v>592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595</v>
      </c>
      <c r="B131" t="s">
        <v>59</v>
      </c>
      <c r="C131">
        <v>60870839</v>
      </c>
      <c r="D131" t="s">
        <v>4</v>
      </c>
      <c r="E131" t="s">
        <v>517</v>
      </c>
      <c r="F131" t="s">
        <v>592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595</v>
      </c>
      <c r="B132" t="s">
        <v>68</v>
      </c>
      <c r="C132">
        <v>73257316</v>
      </c>
      <c r="D132" t="s">
        <v>2</v>
      </c>
      <c r="E132" t="s">
        <v>517</v>
      </c>
      <c r="F132" t="s">
        <v>592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595</v>
      </c>
      <c r="B133" t="s">
        <v>11</v>
      </c>
      <c r="C133">
        <v>45139159</v>
      </c>
      <c r="D133" t="s">
        <v>6</v>
      </c>
      <c r="E133" t="s">
        <v>517</v>
      </c>
      <c r="F133" t="s">
        <v>592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595</v>
      </c>
      <c r="B134" t="s">
        <v>42</v>
      </c>
      <c r="C134">
        <v>73725129</v>
      </c>
      <c r="D134" t="s">
        <v>2</v>
      </c>
      <c r="E134" t="s">
        <v>517</v>
      </c>
      <c r="F134" t="s">
        <v>592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595</v>
      </c>
      <c r="B135" t="s">
        <v>40</v>
      </c>
      <c r="C135">
        <v>60976055</v>
      </c>
      <c r="D135" t="s">
        <v>4</v>
      </c>
      <c r="E135" t="s">
        <v>517</v>
      </c>
      <c r="F135" t="s">
        <v>592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595</v>
      </c>
      <c r="B136" t="s">
        <v>81</v>
      </c>
      <c r="C136">
        <v>72716299</v>
      </c>
      <c r="D136" t="s">
        <v>6</v>
      </c>
      <c r="E136" t="s">
        <v>517</v>
      </c>
      <c r="F136" t="s">
        <v>592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595</v>
      </c>
      <c r="B137" t="s">
        <v>32</v>
      </c>
      <c r="C137">
        <v>48584670</v>
      </c>
      <c r="D137" t="s">
        <v>3</v>
      </c>
      <c r="E137" t="s">
        <v>517</v>
      </c>
      <c r="F137" t="s">
        <v>592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595</v>
      </c>
      <c r="B138" t="s">
        <v>57</v>
      </c>
      <c r="C138">
        <v>74996029</v>
      </c>
      <c r="D138" t="s">
        <v>4</v>
      </c>
      <c r="E138" t="s">
        <v>517</v>
      </c>
      <c r="F138" t="s">
        <v>592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595</v>
      </c>
      <c r="B139" t="s">
        <v>27</v>
      </c>
      <c r="C139">
        <v>73203775</v>
      </c>
      <c r="D139" t="s">
        <v>2</v>
      </c>
      <c r="E139" t="s">
        <v>594</v>
      </c>
      <c r="F139" t="s">
        <v>592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595</v>
      </c>
      <c r="B140" t="s">
        <v>51</v>
      </c>
      <c r="C140">
        <v>76089925</v>
      </c>
      <c r="D140" t="s">
        <v>7</v>
      </c>
      <c r="E140" t="s">
        <v>517</v>
      </c>
      <c r="F140" t="s">
        <v>592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595</v>
      </c>
      <c r="B141" t="s">
        <v>72</v>
      </c>
      <c r="C141">
        <v>47690367</v>
      </c>
      <c r="D141" t="s">
        <v>7</v>
      </c>
      <c r="E141" t="s">
        <v>517</v>
      </c>
      <c r="F141" t="s">
        <v>592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595</v>
      </c>
      <c r="B142" t="s">
        <v>53</v>
      </c>
      <c r="C142">
        <v>46587976</v>
      </c>
      <c r="D142" t="s">
        <v>7</v>
      </c>
      <c r="E142" t="s">
        <v>594</v>
      </c>
      <c r="F142" t="s">
        <v>592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595</v>
      </c>
      <c r="B143" t="s">
        <v>105</v>
      </c>
      <c r="C143">
        <v>48344037</v>
      </c>
      <c r="D143" t="s">
        <v>4</v>
      </c>
      <c r="E143" t="s">
        <v>594</v>
      </c>
      <c r="F143" t="s">
        <v>592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595</v>
      </c>
      <c r="B144" t="s">
        <v>50</v>
      </c>
      <c r="C144">
        <v>72733809</v>
      </c>
      <c r="D144" t="s">
        <v>6</v>
      </c>
      <c r="E144" t="s">
        <v>517</v>
      </c>
      <c r="F144" t="s">
        <v>592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595</v>
      </c>
      <c r="B145" t="s">
        <v>43</v>
      </c>
      <c r="C145">
        <v>74799185</v>
      </c>
      <c r="D145" t="s">
        <v>2</v>
      </c>
      <c r="E145" t="s">
        <v>594</v>
      </c>
      <c r="F145" t="s">
        <v>592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595</v>
      </c>
      <c r="B146" t="s">
        <v>44</v>
      </c>
      <c r="C146">
        <v>45468175</v>
      </c>
      <c r="D146" t="s">
        <v>3</v>
      </c>
      <c r="E146" t="s">
        <v>517</v>
      </c>
      <c r="F146" t="s">
        <v>592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595</v>
      </c>
      <c r="B147" t="s">
        <v>38</v>
      </c>
      <c r="C147">
        <v>47411966</v>
      </c>
      <c r="D147" t="s">
        <v>2</v>
      </c>
      <c r="E147" t="s">
        <v>517</v>
      </c>
      <c r="F147" t="s">
        <v>592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595</v>
      </c>
      <c r="B148" t="s">
        <v>55</v>
      </c>
      <c r="C148">
        <v>45119892</v>
      </c>
      <c r="D148" t="s">
        <v>5</v>
      </c>
      <c r="E148" t="s">
        <v>517</v>
      </c>
      <c r="F148" t="s">
        <v>592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595</v>
      </c>
      <c r="B149" t="s">
        <v>54</v>
      </c>
      <c r="C149">
        <v>70155949</v>
      </c>
      <c r="D149" t="s">
        <v>5</v>
      </c>
      <c r="E149" t="s">
        <v>594</v>
      </c>
      <c r="F149" t="s">
        <v>592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595</v>
      </c>
      <c r="B150" t="s">
        <v>60</v>
      </c>
      <c r="C150">
        <v>72839865</v>
      </c>
      <c r="D150" t="s">
        <v>4</v>
      </c>
      <c r="E150" t="s">
        <v>517</v>
      </c>
      <c r="F150" t="s">
        <v>592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595</v>
      </c>
      <c r="B151" t="s">
        <v>93</v>
      </c>
      <c r="C151">
        <v>47322258</v>
      </c>
      <c r="D151" t="s">
        <v>4</v>
      </c>
      <c r="E151" t="s">
        <v>517</v>
      </c>
      <c r="F151" t="s">
        <v>592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595</v>
      </c>
      <c r="B152" t="s">
        <v>92</v>
      </c>
      <c r="C152">
        <v>73040632</v>
      </c>
      <c r="D152" t="s">
        <v>7</v>
      </c>
      <c r="E152" t="s">
        <v>594</v>
      </c>
      <c r="F152" t="s">
        <v>592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595</v>
      </c>
      <c r="B153" t="s">
        <v>96</v>
      </c>
      <c r="C153">
        <v>46793103</v>
      </c>
      <c r="D153" t="s">
        <v>5</v>
      </c>
      <c r="E153" t="s">
        <v>517</v>
      </c>
      <c r="F153" t="s">
        <v>592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595</v>
      </c>
      <c r="B154" t="s">
        <v>97</v>
      </c>
      <c r="C154">
        <v>74602206</v>
      </c>
      <c r="D154" t="s">
        <v>3</v>
      </c>
      <c r="E154" t="s">
        <v>517</v>
      </c>
      <c r="F154" t="s">
        <v>592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595</v>
      </c>
      <c r="B155" t="s">
        <v>100</v>
      </c>
      <c r="C155">
        <v>41285428</v>
      </c>
      <c r="D155" t="s">
        <v>5</v>
      </c>
      <c r="E155" t="s">
        <v>594</v>
      </c>
      <c r="F155" t="s">
        <v>592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595</v>
      </c>
      <c r="B156" t="s">
        <v>114</v>
      </c>
      <c r="C156">
        <v>47005973</v>
      </c>
      <c r="D156" t="s">
        <v>7</v>
      </c>
      <c r="E156" t="s">
        <v>517</v>
      </c>
      <c r="F156" t="s">
        <v>592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595</v>
      </c>
      <c r="B157" t="s">
        <v>122</v>
      </c>
      <c r="C157">
        <v>76586998</v>
      </c>
      <c r="D157" t="s">
        <v>7</v>
      </c>
      <c r="E157" t="s">
        <v>517</v>
      </c>
      <c r="F157" t="s">
        <v>592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596</v>
      </c>
      <c r="B158" t="s">
        <v>219</v>
      </c>
      <c r="C158">
        <v>74122258</v>
      </c>
      <c r="D158" t="s">
        <v>6</v>
      </c>
      <c r="E158" t="s">
        <v>133</v>
      </c>
      <c r="F158" t="s">
        <v>592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596</v>
      </c>
      <c r="B159" t="s">
        <v>248</v>
      </c>
      <c r="C159">
        <v>44265602</v>
      </c>
      <c r="D159" t="s">
        <v>2</v>
      </c>
      <c r="E159" t="s">
        <v>133</v>
      </c>
      <c r="F159" t="s">
        <v>592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596</v>
      </c>
      <c r="B160" t="s">
        <v>226</v>
      </c>
      <c r="C160">
        <v>73049631</v>
      </c>
      <c r="D160" t="s">
        <v>3</v>
      </c>
      <c r="E160" t="s">
        <v>133</v>
      </c>
      <c r="F160" t="s">
        <v>592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596</v>
      </c>
      <c r="B161" t="s">
        <v>214</v>
      </c>
      <c r="C161">
        <v>46872195</v>
      </c>
      <c r="D161" t="s">
        <v>7</v>
      </c>
      <c r="E161" t="s">
        <v>133</v>
      </c>
      <c r="F161" t="s">
        <v>592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596</v>
      </c>
      <c r="B162" t="s">
        <v>224</v>
      </c>
      <c r="C162">
        <v>70984733</v>
      </c>
      <c r="D162" t="s">
        <v>4</v>
      </c>
      <c r="E162" t="s">
        <v>133</v>
      </c>
      <c r="F162" t="s">
        <v>592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596</v>
      </c>
      <c r="B163" t="s">
        <v>29</v>
      </c>
      <c r="C163">
        <v>72758956</v>
      </c>
      <c r="D163" t="s">
        <v>2</v>
      </c>
      <c r="E163" t="s">
        <v>517</v>
      </c>
      <c r="F163" t="s">
        <v>592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596</v>
      </c>
      <c r="B164" t="s">
        <v>15</v>
      </c>
      <c r="C164">
        <v>47587400</v>
      </c>
      <c r="D164" t="s">
        <v>2</v>
      </c>
      <c r="E164" t="s">
        <v>517</v>
      </c>
      <c r="F164" t="s">
        <v>592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596</v>
      </c>
      <c r="B165" t="s">
        <v>76</v>
      </c>
      <c r="C165">
        <v>60914051</v>
      </c>
      <c r="D165" t="s">
        <v>2</v>
      </c>
      <c r="E165" t="s">
        <v>517</v>
      </c>
      <c r="F165" t="s">
        <v>592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596</v>
      </c>
      <c r="B166" t="s">
        <v>25</v>
      </c>
      <c r="C166">
        <v>72373931</v>
      </c>
      <c r="D166" t="s">
        <v>2</v>
      </c>
      <c r="E166" t="s">
        <v>517</v>
      </c>
      <c r="F166" t="s">
        <v>592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596</v>
      </c>
      <c r="B167" t="s">
        <v>78</v>
      </c>
      <c r="C167">
        <v>10706451</v>
      </c>
      <c r="D167" t="s">
        <v>2</v>
      </c>
      <c r="E167" t="s">
        <v>517</v>
      </c>
      <c r="F167" t="s">
        <v>592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596</v>
      </c>
      <c r="B168" t="s">
        <v>79</v>
      </c>
      <c r="C168">
        <v>71262377</v>
      </c>
      <c r="D168" t="s">
        <v>2</v>
      </c>
      <c r="E168" t="s">
        <v>517</v>
      </c>
      <c r="F168" t="s">
        <v>592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596</v>
      </c>
      <c r="B169" t="s">
        <v>68</v>
      </c>
      <c r="C169">
        <v>73257316</v>
      </c>
      <c r="D169" t="s">
        <v>2</v>
      </c>
      <c r="E169" t="s">
        <v>517</v>
      </c>
      <c r="F169" t="s">
        <v>592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596</v>
      </c>
      <c r="B170" t="s">
        <v>42</v>
      </c>
      <c r="C170">
        <v>73725129</v>
      </c>
      <c r="D170" t="s">
        <v>2</v>
      </c>
      <c r="E170" t="s">
        <v>517</v>
      </c>
      <c r="F170" t="s">
        <v>592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596</v>
      </c>
      <c r="B171" t="s">
        <v>38</v>
      </c>
      <c r="C171">
        <v>47411966</v>
      </c>
      <c r="D171" t="s">
        <v>2</v>
      </c>
      <c r="E171" t="s">
        <v>517</v>
      </c>
      <c r="F171" t="s">
        <v>592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596</v>
      </c>
      <c r="B172" t="s">
        <v>26</v>
      </c>
      <c r="C172">
        <v>41005089</v>
      </c>
      <c r="D172" t="s">
        <v>6</v>
      </c>
      <c r="E172" t="s">
        <v>517</v>
      </c>
      <c r="F172" t="s">
        <v>592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596</v>
      </c>
      <c r="B173" t="s">
        <v>19</v>
      </c>
      <c r="C173">
        <v>76656128</v>
      </c>
      <c r="D173" t="s">
        <v>6</v>
      </c>
      <c r="E173" t="s">
        <v>517</v>
      </c>
      <c r="F173" t="s">
        <v>592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596</v>
      </c>
      <c r="B174" t="s">
        <v>35</v>
      </c>
      <c r="C174">
        <v>10491198</v>
      </c>
      <c r="D174" t="s">
        <v>6</v>
      </c>
      <c r="E174" t="s">
        <v>517</v>
      </c>
      <c r="F174" t="s">
        <v>592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596</v>
      </c>
      <c r="B175" t="s">
        <v>37</v>
      </c>
      <c r="C175">
        <v>70988976</v>
      </c>
      <c r="D175" t="s">
        <v>6</v>
      </c>
      <c r="E175" t="s">
        <v>517</v>
      </c>
      <c r="F175" t="s">
        <v>592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596</v>
      </c>
      <c r="B176" t="s">
        <v>34</v>
      </c>
      <c r="C176">
        <v>76824571</v>
      </c>
      <c r="D176" t="s">
        <v>6</v>
      </c>
      <c r="E176" t="s">
        <v>517</v>
      </c>
      <c r="F176" t="s">
        <v>592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596</v>
      </c>
      <c r="B177" t="s">
        <v>80</v>
      </c>
      <c r="C177">
        <v>45084594</v>
      </c>
      <c r="D177" t="s">
        <v>6</v>
      </c>
      <c r="E177" t="s">
        <v>517</v>
      </c>
      <c r="F177" t="s">
        <v>592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596</v>
      </c>
      <c r="B178" t="s">
        <v>11</v>
      </c>
      <c r="C178">
        <v>45139159</v>
      </c>
      <c r="D178" t="s">
        <v>6</v>
      </c>
      <c r="E178" t="s">
        <v>517</v>
      </c>
      <c r="F178" t="s">
        <v>592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596</v>
      </c>
      <c r="B179" t="s">
        <v>81</v>
      </c>
      <c r="C179">
        <v>72716299</v>
      </c>
      <c r="D179" t="s">
        <v>6</v>
      </c>
      <c r="E179" t="s">
        <v>517</v>
      </c>
      <c r="F179" t="s">
        <v>592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596</v>
      </c>
      <c r="B180" t="s">
        <v>50</v>
      </c>
      <c r="C180">
        <v>72733809</v>
      </c>
      <c r="D180" t="s">
        <v>6</v>
      </c>
      <c r="E180" t="s">
        <v>517</v>
      </c>
      <c r="F180" t="s">
        <v>592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596</v>
      </c>
      <c r="B181" t="s">
        <v>58</v>
      </c>
      <c r="C181">
        <v>72519113</v>
      </c>
      <c r="D181" t="s">
        <v>7</v>
      </c>
      <c r="E181" t="s">
        <v>517</v>
      </c>
      <c r="F181" t="s">
        <v>592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596</v>
      </c>
      <c r="B182" t="s">
        <v>49</v>
      </c>
      <c r="C182">
        <v>40702064</v>
      </c>
      <c r="D182" t="s">
        <v>7</v>
      </c>
      <c r="E182" t="s">
        <v>517</v>
      </c>
      <c r="F182" t="s">
        <v>592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596</v>
      </c>
      <c r="B183" t="s">
        <v>48</v>
      </c>
      <c r="C183">
        <v>43307898</v>
      </c>
      <c r="D183" t="s">
        <v>7</v>
      </c>
      <c r="E183" t="s">
        <v>517</v>
      </c>
      <c r="F183" t="s">
        <v>592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596</v>
      </c>
      <c r="B184" t="s">
        <v>21</v>
      </c>
      <c r="C184">
        <v>44042880</v>
      </c>
      <c r="D184" t="s">
        <v>7</v>
      </c>
      <c r="E184" t="s">
        <v>594</v>
      </c>
      <c r="F184" t="s">
        <v>592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596</v>
      </c>
      <c r="B185" t="s">
        <v>77</v>
      </c>
      <c r="C185">
        <v>42251780</v>
      </c>
      <c r="D185" t="s">
        <v>7</v>
      </c>
      <c r="E185" t="s">
        <v>517</v>
      </c>
      <c r="F185" t="s">
        <v>592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596</v>
      </c>
      <c r="B186" t="s">
        <v>12</v>
      </c>
      <c r="C186">
        <v>45262585</v>
      </c>
      <c r="D186" t="s">
        <v>7</v>
      </c>
      <c r="E186" t="s">
        <v>517</v>
      </c>
      <c r="F186" t="s">
        <v>592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596</v>
      </c>
      <c r="B187" t="s">
        <v>73</v>
      </c>
      <c r="C187">
        <v>40318129</v>
      </c>
      <c r="D187" t="s">
        <v>7</v>
      </c>
      <c r="E187" t="s">
        <v>517</v>
      </c>
      <c r="F187" t="s">
        <v>592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596</v>
      </c>
      <c r="B188" t="s">
        <v>41</v>
      </c>
      <c r="C188">
        <v>46461021</v>
      </c>
      <c r="D188" t="s">
        <v>7</v>
      </c>
      <c r="E188" t="s">
        <v>517</v>
      </c>
      <c r="F188" t="s">
        <v>592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596</v>
      </c>
      <c r="B189" t="s">
        <v>40</v>
      </c>
      <c r="C189">
        <v>60976055</v>
      </c>
      <c r="D189" t="s">
        <v>7</v>
      </c>
      <c r="E189" t="s">
        <v>517</v>
      </c>
      <c r="F189" t="s">
        <v>592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596</v>
      </c>
      <c r="B190" t="s">
        <v>51</v>
      </c>
      <c r="C190">
        <v>76089925</v>
      </c>
      <c r="D190" t="s">
        <v>7</v>
      </c>
      <c r="E190" t="s">
        <v>517</v>
      </c>
      <c r="F190" t="s">
        <v>592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596</v>
      </c>
      <c r="B191" t="s">
        <v>97</v>
      </c>
      <c r="C191">
        <v>74602206</v>
      </c>
      <c r="D191" t="s">
        <v>7</v>
      </c>
      <c r="E191" t="s">
        <v>517</v>
      </c>
      <c r="F191" t="s">
        <v>592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596</v>
      </c>
      <c r="B192" t="s">
        <v>114</v>
      </c>
      <c r="C192">
        <v>47005973</v>
      </c>
      <c r="D192" t="s">
        <v>7</v>
      </c>
      <c r="E192" t="s">
        <v>594</v>
      </c>
      <c r="F192" t="s">
        <v>592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596</v>
      </c>
      <c r="B193" t="s">
        <v>10</v>
      </c>
      <c r="C193">
        <v>40980108</v>
      </c>
      <c r="D193" t="s">
        <v>4</v>
      </c>
      <c r="E193" t="s">
        <v>517</v>
      </c>
      <c r="F193" t="s">
        <v>592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596</v>
      </c>
      <c r="B194" t="s">
        <v>75</v>
      </c>
      <c r="C194">
        <v>71264767</v>
      </c>
      <c r="D194" t="s">
        <v>4</v>
      </c>
      <c r="E194" t="s">
        <v>517</v>
      </c>
      <c r="F194" t="s">
        <v>592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596</v>
      </c>
      <c r="B195" t="s">
        <v>61</v>
      </c>
      <c r="C195">
        <v>44001162</v>
      </c>
      <c r="D195" t="s">
        <v>4</v>
      </c>
      <c r="E195" t="s">
        <v>517</v>
      </c>
      <c r="F195" t="s">
        <v>592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596</v>
      </c>
      <c r="B196" t="s">
        <v>18</v>
      </c>
      <c r="C196">
        <v>76214436</v>
      </c>
      <c r="D196" t="s">
        <v>4</v>
      </c>
      <c r="E196" t="s">
        <v>517</v>
      </c>
      <c r="F196" t="s">
        <v>592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596</v>
      </c>
      <c r="B197" t="s">
        <v>59</v>
      </c>
      <c r="C197">
        <v>60870839</v>
      </c>
      <c r="D197" t="s">
        <v>4</v>
      </c>
      <c r="E197" t="s">
        <v>517</v>
      </c>
      <c r="F197" t="s">
        <v>592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596</v>
      </c>
      <c r="B198" t="s">
        <v>57</v>
      </c>
      <c r="C198">
        <v>74996029</v>
      </c>
      <c r="D198" t="s">
        <v>4</v>
      </c>
      <c r="E198" t="s">
        <v>594</v>
      </c>
      <c r="F198" t="s">
        <v>592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596</v>
      </c>
      <c r="B199" t="s">
        <v>72</v>
      </c>
      <c r="C199">
        <v>47690367</v>
      </c>
      <c r="D199" t="s">
        <v>4</v>
      </c>
      <c r="E199" t="s">
        <v>517</v>
      </c>
      <c r="F199" t="s">
        <v>592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596</v>
      </c>
      <c r="B200" t="s">
        <v>55</v>
      </c>
      <c r="C200">
        <v>45119892</v>
      </c>
      <c r="D200" t="s">
        <v>4</v>
      </c>
      <c r="E200" t="s">
        <v>517</v>
      </c>
      <c r="F200" t="s">
        <v>592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596</v>
      </c>
      <c r="B201" t="s">
        <v>60</v>
      </c>
      <c r="C201">
        <v>72839865</v>
      </c>
      <c r="D201" t="s">
        <v>4</v>
      </c>
      <c r="E201" t="s">
        <v>517</v>
      </c>
      <c r="F201" t="s">
        <v>592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596</v>
      </c>
      <c r="B202" t="s">
        <v>122</v>
      </c>
      <c r="C202">
        <v>76586998</v>
      </c>
      <c r="D202" t="s">
        <v>4</v>
      </c>
      <c r="E202" t="s">
        <v>517</v>
      </c>
      <c r="F202" t="s">
        <v>592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596</v>
      </c>
      <c r="B203" t="s">
        <v>23</v>
      </c>
      <c r="C203">
        <v>72413556</v>
      </c>
      <c r="D203" t="s">
        <v>3</v>
      </c>
      <c r="E203" t="s">
        <v>517</v>
      </c>
      <c r="F203" t="s">
        <v>592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596</v>
      </c>
      <c r="B204" t="s">
        <v>13</v>
      </c>
      <c r="C204">
        <v>72512391</v>
      </c>
      <c r="D204" t="s">
        <v>3</v>
      </c>
      <c r="E204" t="s">
        <v>517</v>
      </c>
      <c r="F204" t="s">
        <v>592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596</v>
      </c>
      <c r="B205" t="s">
        <v>33</v>
      </c>
      <c r="C205">
        <v>80689573</v>
      </c>
      <c r="D205" t="s">
        <v>3</v>
      </c>
      <c r="E205" t="s">
        <v>517</v>
      </c>
      <c r="F205" t="s">
        <v>592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596</v>
      </c>
      <c r="B206" t="s">
        <v>17</v>
      </c>
      <c r="C206">
        <v>70876605</v>
      </c>
      <c r="D206" t="s">
        <v>3</v>
      </c>
      <c r="E206" t="s">
        <v>517</v>
      </c>
      <c r="F206" t="s">
        <v>592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596</v>
      </c>
      <c r="B207" t="s">
        <v>65</v>
      </c>
      <c r="C207">
        <v>47659267</v>
      </c>
      <c r="D207" t="s">
        <v>3</v>
      </c>
      <c r="E207" t="s">
        <v>517</v>
      </c>
      <c r="F207" t="s">
        <v>592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596</v>
      </c>
      <c r="B208" t="s">
        <v>22</v>
      </c>
      <c r="C208">
        <v>70551168</v>
      </c>
      <c r="D208" t="s">
        <v>3</v>
      </c>
      <c r="E208" t="s">
        <v>517</v>
      </c>
      <c r="F208" t="s">
        <v>592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596</v>
      </c>
      <c r="B209" t="s">
        <v>24</v>
      </c>
      <c r="C209">
        <v>43614775</v>
      </c>
      <c r="D209" t="s">
        <v>3</v>
      </c>
      <c r="E209" t="s">
        <v>517</v>
      </c>
      <c r="F209" t="s">
        <v>592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596</v>
      </c>
      <c r="B210" t="s">
        <v>31</v>
      </c>
      <c r="C210">
        <v>75882265</v>
      </c>
      <c r="D210" t="s">
        <v>3</v>
      </c>
      <c r="E210" t="s">
        <v>517</v>
      </c>
      <c r="F210" t="s">
        <v>592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596</v>
      </c>
      <c r="B211" t="s">
        <v>32</v>
      </c>
      <c r="C211">
        <v>48584670</v>
      </c>
      <c r="D211" t="s">
        <v>3</v>
      </c>
      <c r="E211" t="s">
        <v>517</v>
      </c>
      <c r="F211" t="s">
        <v>592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596</v>
      </c>
      <c r="B212" t="s">
        <v>96</v>
      </c>
      <c r="C212">
        <v>46793103</v>
      </c>
      <c r="D212" t="s">
        <v>3</v>
      </c>
      <c r="E212" t="s">
        <v>517</v>
      </c>
      <c r="F212" t="s">
        <v>592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596</v>
      </c>
      <c r="B213" t="s">
        <v>174</v>
      </c>
      <c r="C213">
        <v>46994661</v>
      </c>
      <c r="D213" t="s">
        <v>7</v>
      </c>
      <c r="E213" t="s">
        <v>517</v>
      </c>
      <c r="F213" t="s">
        <v>592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597</v>
      </c>
      <c r="B214" t="s">
        <v>219</v>
      </c>
      <c r="C214">
        <v>74122258</v>
      </c>
      <c r="D214" t="s">
        <v>6</v>
      </c>
      <c r="E214" t="s">
        <v>133</v>
      </c>
      <c r="F214" t="s">
        <v>592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597</v>
      </c>
      <c r="B215" t="s">
        <v>248</v>
      </c>
      <c r="C215">
        <v>44265602</v>
      </c>
      <c r="D215" t="s">
        <v>2</v>
      </c>
      <c r="E215" t="s">
        <v>133</v>
      </c>
      <c r="F215" t="s">
        <v>592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597</v>
      </c>
      <c r="B216" t="s">
        <v>226</v>
      </c>
      <c r="C216">
        <v>73049631</v>
      </c>
      <c r="D216" t="s">
        <v>3</v>
      </c>
      <c r="E216" t="s">
        <v>133</v>
      </c>
      <c r="F216" t="s">
        <v>592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597</v>
      </c>
      <c r="B217" t="s">
        <v>222</v>
      </c>
      <c r="C217">
        <v>75000131</v>
      </c>
      <c r="D217" t="s">
        <v>125</v>
      </c>
      <c r="E217" t="s">
        <v>133</v>
      </c>
      <c r="F217" t="s">
        <v>592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597</v>
      </c>
      <c r="B218" t="s">
        <v>224</v>
      </c>
      <c r="C218">
        <v>70984733</v>
      </c>
      <c r="D218" t="s">
        <v>4</v>
      </c>
      <c r="E218" t="s">
        <v>133</v>
      </c>
      <c r="F218" t="s">
        <v>592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597</v>
      </c>
      <c r="B219" t="s">
        <v>58</v>
      </c>
      <c r="C219">
        <v>72519113</v>
      </c>
      <c r="D219" t="s">
        <v>125</v>
      </c>
      <c r="E219" t="s">
        <v>517</v>
      </c>
      <c r="F219" t="s">
        <v>592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597</v>
      </c>
      <c r="B220" t="s">
        <v>49</v>
      </c>
      <c r="C220">
        <v>40702064</v>
      </c>
      <c r="D220" t="s">
        <v>125</v>
      </c>
      <c r="E220" t="s">
        <v>516</v>
      </c>
      <c r="F220" t="s">
        <v>592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597</v>
      </c>
      <c r="B221" t="s">
        <v>23</v>
      </c>
      <c r="C221">
        <v>72413556</v>
      </c>
      <c r="D221" t="s">
        <v>3</v>
      </c>
      <c r="E221" t="s">
        <v>517</v>
      </c>
      <c r="F221" t="s">
        <v>592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597</v>
      </c>
      <c r="B222" t="s">
        <v>26</v>
      </c>
      <c r="C222">
        <v>41005089</v>
      </c>
      <c r="D222" t="s">
        <v>6</v>
      </c>
      <c r="E222" t="s">
        <v>517</v>
      </c>
      <c r="F222" t="s">
        <v>592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597</v>
      </c>
      <c r="B223" t="s">
        <v>19</v>
      </c>
      <c r="C223">
        <v>76656128</v>
      </c>
      <c r="D223" t="s">
        <v>6</v>
      </c>
      <c r="E223" t="s">
        <v>517</v>
      </c>
      <c r="F223" t="s">
        <v>592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597</v>
      </c>
      <c r="B224" t="s">
        <v>29</v>
      </c>
      <c r="C224">
        <v>72758956</v>
      </c>
      <c r="D224" t="s">
        <v>2</v>
      </c>
      <c r="E224" t="s">
        <v>517</v>
      </c>
      <c r="F224" t="s">
        <v>592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597</v>
      </c>
      <c r="B225" t="s">
        <v>10</v>
      </c>
      <c r="C225">
        <v>40980108</v>
      </c>
      <c r="D225" t="s">
        <v>4</v>
      </c>
      <c r="E225" t="s">
        <v>517</v>
      </c>
      <c r="F225" t="s">
        <v>592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597</v>
      </c>
      <c r="B226" t="s">
        <v>75</v>
      </c>
      <c r="C226">
        <v>71264767</v>
      </c>
      <c r="D226" t="s">
        <v>4</v>
      </c>
      <c r="E226" t="s">
        <v>517</v>
      </c>
      <c r="F226" t="s">
        <v>592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597</v>
      </c>
      <c r="B227" t="s">
        <v>15</v>
      </c>
      <c r="C227">
        <v>47587400</v>
      </c>
      <c r="D227" t="s">
        <v>2</v>
      </c>
      <c r="E227" t="s">
        <v>517</v>
      </c>
      <c r="F227" t="s">
        <v>592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597</v>
      </c>
      <c r="B228" t="s">
        <v>35</v>
      </c>
      <c r="C228">
        <v>10491198</v>
      </c>
      <c r="D228" t="s">
        <v>6</v>
      </c>
      <c r="E228" t="s">
        <v>517</v>
      </c>
      <c r="F228" t="s">
        <v>592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597</v>
      </c>
      <c r="B229" t="s">
        <v>48</v>
      </c>
      <c r="C229">
        <v>43307898</v>
      </c>
      <c r="D229" t="s">
        <v>125</v>
      </c>
      <c r="E229" t="s">
        <v>517</v>
      </c>
      <c r="F229" t="s">
        <v>592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597</v>
      </c>
      <c r="B230" t="s">
        <v>13</v>
      </c>
      <c r="C230">
        <v>72512391</v>
      </c>
      <c r="D230" t="s">
        <v>3</v>
      </c>
      <c r="E230" t="s">
        <v>517</v>
      </c>
      <c r="F230" t="s">
        <v>592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597</v>
      </c>
      <c r="B231" t="s">
        <v>76</v>
      </c>
      <c r="C231">
        <v>60914051</v>
      </c>
      <c r="D231" t="s">
        <v>2</v>
      </c>
      <c r="E231" t="s">
        <v>517</v>
      </c>
      <c r="F231" t="s">
        <v>592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597</v>
      </c>
      <c r="B232" t="s">
        <v>25</v>
      </c>
      <c r="C232">
        <v>72373931</v>
      </c>
      <c r="D232" t="s">
        <v>2</v>
      </c>
      <c r="E232" t="s">
        <v>517</v>
      </c>
      <c r="F232" t="s">
        <v>592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597</v>
      </c>
      <c r="B233" t="s">
        <v>77</v>
      </c>
      <c r="C233">
        <v>42251780</v>
      </c>
      <c r="D233" t="s">
        <v>125</v>
      </c>
      <c r="E233" t="s">
        <v>517</v>
      </c>
      <c r="F233" t="s">
        <v>592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597</v>
      </c>
      <c r="B234" t="s">
        <v>33</v>
      </c>
      <c r="C234">
        <v>80689573</v>
      </c>
      <c r="D234" t="s">
        <v>3</v>
      </c>
      <c r="E234" t="s">
        <v>517</v>
      </c>
      <c r="F234" t="s">
        <v>592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597</v>
      </c>
      <c r="B235" t="s">
        <v>12</v>
      </c>
      <c r="C235">
        <v>45262585</v>
      </c>
      <c r="D235" t="s">
        <v>4</v>
      </c>
      <c r="E235" t="s">
        <v>517</v>
      </c>
      <c r="F235" t="s">
        <v>592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597</v>
      </c>
      <c r="B236" t="s">
        <v>17</v>
      </c>
      <c r="C236">
        <v>70876605</v>
      </c>
      <c r="D236" t="s">
        <v>3</v>
      </c>
      <c r="E236" t="s">
        <v>517</v>
      </c>
      <c r="F236" t="s">
        <v>592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597</v>
      </c>
      <c r="B237" t="s">
        <v>61</v>
      </c>
      <c r="C237">
        <v>44001162</v>
      </c>
      <c r="D237" t="s">
        <v>4</v>
      </c>
      <c r="E237" t="s">
        <v>516</v>
      </c>
      <c r="F237" t="s">
        <v>592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597</v>
      </c>
      <c r="B238" t="s">
        <v>78</v>
      </c>
      <c r="C238">
        <v>10706451</v>
      </c>
      <c r="D238" t="s">
        <v>2</v>
      </c>
      <c r="E238" t="s">
        <v>517</v>
      </c>
      <c r="F238" t="s">
        <v>592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597</v>
      </c>
      <c r="B239" t="s">
        <v>65</v>
      </c>
      <c r="C239">
        <v>47659267</v>
      </c>
      <c r="D239" t="s">
        <v>3</v>
      </c>
      <c r="E239" t="s">
        <v>517</v>
      </c>
      <c r="F239" t="s">
        <v>592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597</v>
      </c>
      <c r="B240" t="s">
        <v>37</v>
      </c>
      <c r="C240">
        <v>70988976</v>
      </c>
      <c r="D240" t="s">
        <v>6</v>
      </c>
      <c r="E240" t="s">
        <v>517</v>
      </c>
      <c r="F240" t="s">
        <v>592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597</v>
      </c>
      <c r="B241" t="s">
        <v>18</v>
      </c>
      <c r="C241">
        <v>76214436</v>
      </c>
      <c r="D241" t="s">
        <v>4</v>
      </c>
      <c r="E241" t="s">
        <v>517</v>
      </c>
      <c r="F241" t="s">
        <v>592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597</v>
      </c>
      <c r="B242" t="s">
        <v>73</v>
      </c>
      <c r="C242">
        <v>40318129</v>
      </c>
      <c r="D242" t="s">
        <v>125</v>
      </c>
      <c r="E242" t="s">
        <v>517</v>
      </c>
      <c r="F242" t="s">
        <v>592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597</v>
      </c>
      <c r="B243" t="s">
        <v>79</v>
      </c>
      <c r="C243">
        <v>71262377</v>
      </c>
      <c r="D243" t="s">
        <v>2</v>
      </c>
      <c r="E243" t="s">
        <v>517</v>
      </c>
      <c r="F243" t="s">
        <v>592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597</v>
      </c>
      <c r="B244" t="s">
        <v>34</v>
      </c>
      <c r="C244">
        <v>76824571</v>
      </c>
      <c r="D244" t="s">
        <v>6</v>
      </c>
      <c r="E244" t="s">
        <v>517</v>
      </c>
      <c r="F244" t="s">
        <v>592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597</v>
      </c>
      <c r="B245" t="s">
        <v>80</v>
      </c>
      <c r="C245">
        <v>45084594</v>
      </c>
      <c r="D245" t="s">
        <v>6</v>
      </c>
      <c r="E245" t="s">
        <v>517</v>
      </c>
      <c r="F245" t="s">
        <v>592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597</v>
      </c>
      <c r="B246" t="s">
        <v>22</v>
      </c>
      <c r="C246">
        <v>70551168</v>
      </c>
      <c r="D246" t="s">
        <v>3</v>
      </c>
      <c r="E246" t="s">
        <v>516</v>
      </c>
      <c r="F246" t="s">
        <v>592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597</v>
      </c>
      <c r="B247" t="s">
        <v>41</v>
      </c>
      <c r="C247">
        <v>46461021</v>
      </c>
      <c r="D247" t="s">
        <v>125</v>
      </c>
      <c r="E247" t="s">
        <v>517</v>
      </c>
      <c r="F247" t="s">
        <v>592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597</v>
      </c>
      <c r="B248" t="s">
        <v>24</v>
      </c>
      <c r="C248">
        <v>43614775</v>
      </c>
      <c r="D248" t="s">
        <v>3</v>
      </c>
      <c r="E248" t="s">
        <v>517</v>
      </c>
      <c r="F248" t="s">
        <v>592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597</v>
      </c>
      <c r="B249" t="s">
        <v>31</v>
      </c>
      <c r="C249">
        <v>75882265</v>
      </c>
      <c r="D249" t="s">
        <v>3</v>
      </c>
      <c r="E249" t="s">
        <v>517</v>
      </c>
      <c r="F249" t="s">
        <v>592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597</v>
      </c>
      <c r="B250" t="s">
        <v>59</v>
      </c>
      <c r="C250">
        <v>60870839</v>
      </c>
      <c r="D250" t="s">
        <v>4</v>
      </c>
      <c r="E250" t="s">
        <v>517</v>
      </c>
      <c r="F250" t="s">
        <v>592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597</v>
      </c>
      <c r="B251" t="s">
        <v>68</v>
      </c>
      <c r="C251">
        <v>73257316</v>
      </c>
      <c r="D251" t="s">
        <v>2</v>
      </c>
      <c r="E251" t="s">
        <v>517</v>
      </c>
      <c r="F251" t="s">
        <v>592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597</v>
      </c>
      <c r="B252" t="s">
        <v>11</v>
      </c>
      <c r="C252">
        <v>45139159</v>
      </c>
      <c r="D252" t="s">
        <v>6</v>
      </c>
      <c r="E252" t="s">
        <v>517</v>
      </c>
      <c r="F252" t="s">
        <v>592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597</v>
      </c>
      <c r="B253" t="s">
        <v>42</v>
      </c>
      <c r="C253">
        <v>73725129</v>
      </c>
      <c r="D253" t="s">
        <v>2</v>
      </c>
      <c r="E253" t="s">
        <v>517</v>
      </c>
      <c r="F253" t="s">
        <v>592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597</v>
      </c>
      <c r="B254" t="s">
        <v>40</v>
      </c>
      <c r="C254">
        <v>60976055</v>
      </c>
      <c r="D254" t="s">
        <v>125</v>
      </c>
      <c r="E254" t="s">
        <v>517</v>
      </c>
      <c r="F254" t="s">
        <v>592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597</v>
      </c>
      <c r="B255" t="s">
        <v>81</v>
      </c>
      <c r="C255">
        <v>72716299</v>
      </c>
      <c r="D255" t="s">
        <v>6</v>
      </c>
      <c r="E255" t="s">
        <v>517</v>
      </c>
      <c r="F255" t="s">
        <v>592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597</v>
      </c>
      <c r="B256" t="s">
        <v>32</v>
      </c>
      <c r="C256">
        <v>48584670</v>
      </c>
      <c r="D256" t="s">
        <v>3</v>
      </c>
      <c r="E256" t="s">
        <v>517</v>
      </c>
      <c r="F256" t="s">
        <v>592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597</v>
      </c>
      <c r="B257" t="s">
        <v>51</v>
      </c>
      <c r="C257">
        <v>76089925</v>
      </c>
      <c r="D257" t="s">
        <v>125</v>
      </c>
      <c r="E257" t="s">
        <v>517</v>
      </c>
      <c r="F257" t="s">
        <v>592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597</v>
      </c>
      <c r="B258" t="s">
        <v>72</v>
      </c>
      <c r="C258">
        <v>47690367</v>
      </c>
      <c r="D258" t="s">
        <v>4</v>
      </c>
      <c r="E258" t="s">
        <v>517</v>
      </c>
      <c r="F258" t="s">
        <v>592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597</v>
      </c>
      <c r="B259" t="s">
        <v>50</v>
      </c>
      <c r="C259">
        <v>72733809</v>
      </c>
      <c r="D259" t="s">
        <v>6</v>
      </c>
      <c r="E259" t="s">
        <v>517</v>
      </c>
      <c r="F259" t="s">
        <v>592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597</v>
      </c>
      <c r="B260" t="s">
        <v>38</v>
      </c>
      <c r="C260">
        <v>47411966</v>
      </c>
      <c r="D260" t="s">
        <v>2</v>
      </c>
      <c r="E260" t="s">
        <v>517</v>
      </c>
      <c r="F260" t="s">
        <v>592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597</v>
      </c>
      <c r="B261" t="s">
        <v>55</v>
      </c>
      <c r="C261">
        <v>45119892</v>
      </c>
      <c r="D261" t="s">
        <v>125</v>
      </c>
      <c r="E261" t="s">
        <v>517</v>
      </c>
      <c r="F261" t="s">
        <v>592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597</v>
      </c>
      <c r="B262" t="s">
        <v>60</v>
      </c>
      <c r="C262">
        <v>72839865</v>
      </c>
      <c r="D262" t="s">
        <v>4</v>
      </c>
      <c r="E262" t="s">
        <v>517</v>
      </c>
      <c r="F262" t="s">
        <v>592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597</v>
      </c>
      <c r="B263" t="s">
        <v>96</v>
      </c>
      <c r="C263">
        <v>46793103</v>
      </c>
      <c r="D263" t="s">
        <v>3</v>
      </c>
      <c r="E263" t="s">
        <v>517</v>
      </c>
      <c r="F263" t="s">
        <v>592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597</v>
      </c>
      <c r="B264" t="s">
        <v>97</v>
      </c>
      <c r="C264">
        <v>74602206</v>
      </c>
      <c r="D264" t="s">
        <v>125</v>
      </c>
      <c r="E264" t="s">
        <v>517</v>
      </c>
      <c r="F264" t="s">
        <v>592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597</v>
      </c>
      <c r="B265" t="s">
        <v>122</v>
      </c>
      <c r="C265">
        <v>76586998</v>
      </c>
      <c r="D265" t="s">
        <v>4</v>
      </c>
      <c r="E265" t="s">
        <v>517</v>
      </c>
      <c r="F265" t="s">
        <v>592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597</v>
      </c>
      <c r="B266" t="s">
        <v>174</v>
      </c>
      <c r="C266">
        <v>46994661</v>
      </c>
      <c r="D266" t="s">
        <v>125</v>
      </c>
      <c r="E266" t="s">
        <v>517</v>
      </c>
      <c r="F266" t="s">
        <v>592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597</v>
      </c>
      <c r="B267" t="s">
        <v>206</v>
      </c>
      <c r="C267">
        <v>47497410</v>
      </c>
      <c r="D267" t="s">
        <v>4</v>
      </c>
      <c r="E267" t="s">
        <v>517</v>
      </c>
      <c r="F267" t="s">
        <v>592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597</v>
      </c>
      <c r="B268" t="s">
        <v>109</v>
      </c>
      <c r="C268">
        <v>74626735</v>
      </c>
      <c r="D268" t="s">
        <v>125</v>
      </c>
      <c r="E268" t="s">
        <v>517</v>
      </c>
      <c r="F268" t="s">
        <v>592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597</v>
      </c>
      <c r="B269" t="s">
        <v>105</v>
      </c>
      <c r="C269">
        <v>48344037</v>
      </c>
      <c r="D269" t="s">
        <v>6</v>
      </c>
      <c r="E269" t="s">
        <v>517</v>
      </c>
      <c r="F269" t="s">
        <v>592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597</v>
      </c>
      <c r="B270" t="s">
        <v>207</v>
      </c>
      <c r="C270">
        <v>75069320</v>
      </c>
      <c r="D270" t="s">
        <v>125</v>
      </c>
      <c r="E270" t="s">
        <v>517</v>
      </c>
      <c r="F270" t="s">
        <v>592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597</v>
      </c>
      <c r="B271" t="s">
        <v>392</v>
      </c>
      <c r="C271">
        <v>44883074</v>
      </c>
      <c r="D271" t="s">
        <v>125</v>
      </c>
      <c r="E271" t="s">
        <v>517</v>
      </c>
      <c r="F271" t="s">
        <v>592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597</v>
      </c>
      <c r="B272" t="s">
        <v>513</v>
      </c>
      <c r="C272">
        <v>9668687</v>
      </c>
      <c r="D272" t="s">
        <v>125</v>
      </c>
      <c r="E272" t="s">
        <v>517</v>
      </c>
      <c r="F272" t="s">
        <v>592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597</v>
      </c>
      <c r="B273" t="s">
        <v>509</v>
      </c>
      <c r="C273">
        <v>75026229</v>
      </c>
      <c r="D273" t="s">
        <v>125</v>
      </c>
      <c r="E273" t="s">
        <v>517</v>
      </c>
      <c r="F273" t="s">
        <v>592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597</v>
      </c>
      <c r="B274" t="s">
        <v>511</v>
      </c>
      <c r="C274">
        <v>62792399</v>
      </c>
      <c r="D274" t="s">
        <v>125</v>
      </c>
      <c r="E274" t="s">
        <v>517</v>
      </c>
      <c r="F274" t="s">
        <v>592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598</v>
      </c>
      <c r="B275" t="s">
        <v>219</v>
      </c>
      <c r="C275">
        <v>74122258</v>
      </c>
      <c r="D275" t="s">
        <v>6</v>
      </c>
      <c r="E275" t="s">
        <v>133</v>
      </c>
      <c r="F275" t="s">
        <v>592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598</v>
      </c>
      <c r="B276" t="s">
        <v>248</v>
      </c>
      <c r="C276">
        <v>44265602</v>
      </c>
      <c r="D276" t="s">
        <v>2</v>
      </c>
      <c r="E276" t="s">
        <v>133</v>
      </c>
      <c r="F276" t="s">
        <v>592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598</v>
      </c>
      <c r="B277" t="s">
        <v>226</v>
      </c>
      <c r="C277">
        <v>73049631</v>
      </c>
      <c r="D277" t="s">
        <v>3</v>
      </c>
      <c r="E277" t="s">
        <v>133</v>
      </c>
      <c r="F277" t="s">
        <v>592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598</v>
      </c>
      <c r="B278" t="s">
        <v>222</v>
      </c>
      <c r="C278">
        <v>75000131</v>
      </c>
      <c r="D278" t="s">
        <v>125</v>
      </c>
      <c r="E278" t="s">
        <v>133</v>
      </c>
      <c r="F278" t="s">
        <v>592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598</v>
      </c>
      <c r="B279" t="s">
        <v>599</v>
      </c>
      <c r="C279">
        <v>73930771</v>
      </c>
      <c r="D279" t="s">
        <v>124</v>
      </c>
      <c r="E279" t="s">
        <v>133</v>
      </c>
      <c r="F279" t="s">
        <v>592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598</v>
      </c>
      <c r="B280" t="s">
        <v>58</v>
      </c>
      <c r="C280">
        <v>72519113</v>
      </c>
      <c r="D280" t="s">
        <v>124</v>
      </c>
      <c r="E280" t="s">
        <v>517</v>
      </c>
      <c r="F280" t="s">
        <v>592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598</v>
      </c>
      <c r="B281" t="s">
        <v>49</v>
      </c>
      <c r="C281">
        <v>40702064</v>
      </c>
      <c r="D281" t="s">
        <v>124</v>
      </c>
      <c r="E281" t="s">
        <v>517</v>
      </c>
      <c r="F281" t="s">
        <v>592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598</v>
      </c>
      <c r="B282" t="s">
        <v>48</v>
      </c>
      <c r="C282">
        <v>43307898</v>
      </c>
      <c r="D282" t="s">
        <v>124</v>
      </c>
      <c r="E282" t="s">
        <v>517</v>
      </c>
      <c r="F282" t="s">
        <v>592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598</v>
      </c>
      <c r="B283" t="s">
        <v>77</v>
      </c>
      <c r="C283">
        <v>42251780</v>
      </c>
      <c r="D283" t="s">
        <v>124</v>
      </c>
      <c r="E283" t="s">
        <v>517</v>
      </c>
      <c r="F283" t="s">
        <v>592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598</v>
      </c>
      <c r="B284" t="s">
        <v>73</v>
      </c>
      <c r="C284">
        <v>40318129</v>
      </c>
      <c r="D284" t="s">
        <v>124</v>
      </c>
      <c r="E284" t="s">
        <v>517</v>
      </c>
      <c r="F284" t="s">
        <v>592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598</v>
      </c>
      <c r="B285" t="s">
        <v>41</v>
      </c>
      <c r="C285">
        <v>46461021</v>
      </c>
      <c r="D285" t="s">
        <v>124</v>
      </c>
      <c r="E285" t="s">
        <v>516</v>
      </c>
      <c r="F285" t="s">
        <v>592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598</v>
      </c>
      <c r="B286" t="s">
        <v>51</v>
      </c>
      <c r="C286">
        <v>76089925</v>
      </c>
      <c r="D286" t="s">
        <v>124</v>
      </c>
      <c r="E286" t="s">
        <v>517</v>
      </c>
      <c r="F286" t="s">
        <v>592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598</v>
      </c>
      <c r="B287" t="s">
        <v>55</v>
      </c>
      <c r="C287">
        <v>45119892</v>
      </c>
      <c r="D287" t="s">
        <v>124</v>
      </c>
      <c r="E287" t="s">
        <v>517</v>
      </c>
      <c r="F287" t="s">
        <v>592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598</v>
      </c>
      <c r="B288" t="s">
        <v>40</v>
      </c>
      <c r="C288">
        <v>60976055</v>
      </c>
      <c r="D288" t="s">
        <v>124</v>
      </c>
      <c r="E288" t="s">
        <v>594</v>
      </c>
      <c r="F288" t="s">
        <v>592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598</v>
      </c>
      <c r="B289" t="s">
        <v>174</v>
      </c>
      <c r="C289">
        <v>46994661</v>
      </c>
      <c r="D289" t="s">
        <v>124</v>
      </c>
      <c r="E289" t="s">
        <v>517</v>
      </c>
      <c r="F289" t="s">
        <v>592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598</v>
      </c>
      <c r="B290" t="s">
        <v>509</v>
      </c>
      <c r="C290">
        <v>75026229</v>
      </c>
      <c r="D290" t="s">
        <v>124</v>
      </c>
      <c r="E290" t="s">
        <v>517</v>
      </c>
      <c r="F290" t="s">
        <v>592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598</v>
      </c>
      <c r="B291" t="s">
        <v>511</v>
      </c>
      <c r="C291">
        <v>62792399</v>
      </c>
      <c r="D291" t="s">
        <v>124</v>
      </c>
      <c r="E291" t="s">
        <v>517</v>
      </c>
      <c r="F291" t="s">
        <v>592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598</v>
      </c>
      <c r="B292" t="s">
        <v>560</v>
      </c>
      <c r="C292">
        <v>75197920</v>
      </c>
      <c r="D292" t="s">
        <v>124</v>
      </c>
      <c r="E292" t="s">
        <v>594</v>
      </c>
      <c r="F292" t="s">
        <v>592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598</v>
      </c>
      <c r="B293" t="s">
        <v>10</v>
      </c>
      <c r="C293">
        <v>40980108</v>
      </c>
      <c r="D293" t="s">
        <v>125</v>
      </c>
      <c r="E293" t="s">
        <v>517</v>
      </c>
      <c r="F293" t="s">
        <v>592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598</v>
      </c>
      <c r="B294" t="s">
        <v>75</v>
      </c>
      <c r="C294">
        <v>71264767</v>
      </c>
      <c r="D294" t="s">
        <v>125</v>
      </c>
      <c r="E294" t="s">
        <v>517</v>
      </c>
      <c r="F294" t="s">
        <v>592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598</v>
      </c>
      <c r="B295" t="s">
        <v>12</v>
      </c>
      <c r="C295">
        <v>45262585</v>
      </c>
      <c r="D295" t="s">
        <v>125</v>
      </c>
      <c r="E295" t="s">
        <v>517</v>
      </c>
      <c r="F295" t="s">
        <v>592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598</v>
      </c>
      <c r="B296" t="s">
        <v>61</v>
      </c>
      <c r="C296">
        <v>44001162</v>
      </c>
      <c r="D296" t="s">
        <v>125</v>
      </c>
      <c r="E296" t="s">
        <v>517</v>
      </c>
      <c r="F296" t="s">
        <v>592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598</v>
      </c>
      <c r="B297" t="s">
        <v>18</v>
      </c>
      <c r="C297">
        <v>76214436</v>
      </c>
      <c r="D297" t="s">
        <v>125</v>
      </c>
      <c r="E297" t="s">
        <v>517</v>
      </c>
      <c r="F297" t="s">
        <v>592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598</v>
      </c>
      <c r="B298" t="s">
        <v>59</v>
      </c>
      <c r="C298">
        <v>60870839</v>
      </c>
      <c r="D298" t="s">
        <v>125</v>
      </c>
      <c r="E298" t="s">
        <v>517</v>
      </c>
      <c r="F298" t="s">
        <v>592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598</v>
      </c>
      <c r="B299" t="s">
        <v>72</v>
      </c>
      <c r="C299">
        <v>47690367</v>
      </c>
      <c r="D299" t="s">
        <v>125</v>
      </c>
      <c r="E299" t="s">
        <v>516</v>
      </c>
      <c r="F299" t="s">
        <v>592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598</v>
      </c>
      <c r="B300" t="s">
        <v>60</v>
      </c>
      <c r="C300">
        <v>72839865</v>
      </c>
      <c r="D300" t="s">
        <v>125</v>
      </c>
      <c r="E300" t="s">
        <v>517</v>
      </c>
      <c r="F300" t="s">
        <v>592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598</v>
      </c>
      <c r="B301" t="s">
        <v>122</v>
      </c>
      <c r="C301">
        <v>76586998</v>
      </c>
      <c r="D301" t="s">
        <v>125</v>
      </c>
      <c r="E301" t="s">
        <v>517</v>
      </c>
      <c r="F301" t="s">
        <v>592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598</v>
      </c>
      <c r="B302" t="s">
        <v>109</v>
      </c>
      <c r="C302">
        <v>74626735</v>
      </c>
      <c r="D302" t="s">
        <v>125</v>
      </c>
      <c r="E302" t="s">
        <v>517</v>
      </c>
      <c r="F302" t="s">
        <v>592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598</v>
      </c>
      <c r="B303" t="s">
        <v>206</v>
      </c>
      <c r="C303">
        <v>47497410</v>
      </c>
      <c r="D303" t="s">
        <v>125</v>
      </c>
      <c r="E303" t="s">
        <v>517</v>
      </c>
      <c r="F303" t="s">
        <v>592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598</v>
      </c>
      <c r="B304" t="s">
        <v>85</v>
      </c>
      <c r="C304">
        <v>70477743</v>
      </c>
      <c r="D304" t="s">
        <v>125</v>
      </c>
      <c r="E304" t="s">
        <v>517</v>
      </c>
      <c r="F304" t="s">
        <v>592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598</v>
      </c>
      <c r="B305" t="s">
        <v>29</v>
      </c>
      <c r="C305">
        <v>72758956</v>
      </c>
      <c r="D305" t="s">
        <v>2</v>
      </c>
      <c r="E305" t="s">
        <v>517</v>
      </c>
      <c r="F305" t="s">
        <v>592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598</v>
      </c>
      <c r="B306" t="s">
        <v>15</v>
      </c>
      <c r="C306">
        <v>47587400</v>
      </c>
      <c r="D306" t="s">
        <v>2</v>
      </c>
      <c r="E306" t="s">
        <v>517</v>
      </c>
      <c r="F306" t="s">
        <v>592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598</v>
      </c>
      <c r="B307" t="s">
        <v>76</v>
      </c>
      <c r="C307">
        <v>60914051</v>
      </c>
      <c r="D307" t="s">
        <v>2</v>
      </c>
      <c r="E307" t="s">
        <v>517</v>
      </c>
      <c r="F307" t="s">
        <v>592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598</v>
      </c>
      <c r="B308" t="s">
        <v>25</v>
      </c>
      <c r="C308">
        <v>72373931</v>
      </c>
      <c r="D308" t="s">
        <v>2</v>
      </c>
      <c r="E308" t="s">
        <v>517</v>
      </c>
      <c r="F308" t="s">
        <v>592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598</v>
      </c>
      <c r="B309" t="s">
        <v>79</v>
      </c>
      <c r="C309">
        <v>71262377</v>
      </c>
      <c r="D309" t="s">
        <v>2</v>
      </c>
      <c r="E309" t="s">
        <v>517</v>
      </c>
      <c r="F309" t="s">
        <v>592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598</v>
      </c>
      <c r="B310" t="s">
        <v>68</v>
      </c>
      <c r="C310">
        <v>73257316</v>
      </c>
      <c r="D310" t="s">
        <v>2</v>
      </c>
      <c r="E310" t="s">
        <v>516</v>
      </c>
      <c r="F310" t="s">
        <v>592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598</v>
      </c>
      <c r="B311" t="s">
        <v>42</v>
      </c>
      <c r="C311">
        <v>73725129</v>
      </c>
      <c r="D311" t="s">
        <v>2</v>
      </c>
      <c r="E311" t="s">
        <v>517</v>
      </c>
      <c r="F311" t="s">
        <v>592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598</v>
      </c>
      <c r="B312" t="s">
        <v>38</v>
      </c>
      <c r="C312">
        <v>47411966</v>
      </c>
      <c r="D312" t="s">
        <v>2</v>
      </c>
      <c r="E312" t="s">
        <v>517</v>
      </c>
      <c r="F312" t="s">
        <v>592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598</v>
      </c>
      <c r="B313" t="s">
        <v>26</v>
      </c>
      <c r="C313">
        <v>41005089</v>
      </c>
      <c r="D313" t="s">
        <v>6</v>
      </c>
      <c r="E313" t="s">
        <v>517</v>
      </c>
      <c r="F313" t="s">
        <v>592</v>
      </c>
      <c r="G313" s="56">
        <v>44257</v>
      </c>
      <c r="H313">
        <v>60</v>
      </c>
      <c r="I313" t="s">
        <v>600</v>
      </c>
      <c r="J313" s="56"/>
    </row>
    <row r="314" spans="1:10" x14ac:dyDescent="0.25">
      <c r="A314" t="s">
        <v>598</v>
      </c>
      <c r="B314" t="s">
        <v>19</v>
      </c>
      <c r="C314">
        <v>76656128</v>
      </c>
      <c r="D314" t="s">
        <v>6</v>
      </c>
      <c r="E314" t="s">
        <v>517</v>
      </c>
      <c r="F314" t="s">
        <v>592</v>
      </c>
      <c r="G314" s="56">
        <v>44671</v>
      </c>
      <c r="H314">
        <v>47</v>
      </c>
      <c r="I314" t="s">
        <v>600</v>
      </c>
      <c r="J314" s="56"/>
    </row>
    <row r="315" spans="1:10" x14ac:dyDescent="0.25">
      <c r="A315" t="s">
        <v>598</v>
      </c>
      <c r="B315" t="s">
        <v>35</v>
      </c>
      <c r="C315">
        <v>10491198</v>
      </c>
      <c r="D315" t="s">
        <v>6</v>
      </c>
      <c r="E315" t="s">
        <v>517</v>
      </c>
      <c r="F315" t="s">
        <v>592</v>
      </c>
      <c r="G315" s="56">
        <v>44746</v>
      </c>
      <c r="H315">
        <v>44</v>
      </c>
      <c r="I315" t="s">
        <v>601</v>
      </c>
      <c r="J315" s="56"/>
    </row>
    <row r="316" spans="1:10" x14ac:dyDescent="0.25">
      <c r="A316" t="s">
        <v>598</v>
      </c>
      <c r="B316" t="s">
        <v>78</v>
      </c>
      <c r="C316">
        <v>10706451</v>
      </c>
      <c r="D316" t="s">
        <v>6</v>
      </c>
      <c r="E316" t="s">
        <v>517</v>
      </c>
      <c r="F316" t="s">
        <v>592</v>
      </c>
      <c r="G316" s="56">
        <v>44943</v>
      </c>
      <c r="H316">
        <v>38</v>
      </c>
      <c r="I316" t="s">
        <v>601</v>
      </c>
      <c r="J316" s="56"/>
    </row>
    <row r="317" spans="1:10" x14ac:dyDescent="0.25">
      <c r="A317" t="s">
        <v>598</v>
      </c>
      <c r="B317" t="s">
        <v>37</v>
      </c>
      <c r="C317">
        <v>70988976</v>
      </c>
      <c r="D317" t="s">
        <v>6</v>
      </c>
      <c r="E317" t="s">
        <v>517</v>
      </c>
      <c r="F317" t="s">
        <v>592</v>
      </c>
      <c r="G317" s="56">
        <v>45112</v>
      </c>
      <c r="H317">
        <v>32</v>
      </c>
      <c r="I317" t="s">
        <v>601</v>
      </c>
      <c r="J317" s="56"/>
    </row>
    <row r="318" spans="1:10" x14ac:dyDescent="0.25">
      <c r="A318" t="s">
        <v>598</v>
      </c>
      <c r="B318" t="s">
        <v>34</v>
      </c>
      <c r="C318">
        <v>76824571</v>
      </c>
      <c r="D318" t="s">
        <v>6</v>
      </c>
      <c r="E318" t="s">
        <v>517</v>
      </c>
      <c r="F318" t="s">
        <v>592</v>
      </c>
      <c r="G318" s="56">
        <v>45173</v>
      </c>
      <c r="H318">
        <v>30</v>
      </c>
      <c r="I318" t="s">
        <v>600</v>
      </c>
      <c r="J318" s="56"/>
    </row>
    <row r="319" spans="1:10" x14ac:dyDescent="0.25">
      <c r="A319" t="s">
        <v>598</v>
      </c>
      <c r="B319" t="s">
        <v>80</v>
      </c>
      <c r="C319">
        <v>45084594</v>
      </c>
      <c r="D319" t="s">
        <v>6</v>
      </c>
      <c r="E319" t="s">
        <v>517</v>
      </c>
      <c r="F319" t="s">
        <v>592</v>
      </c>
      <c r="G319" s="56">
        <v>45281</v>
      </c>
      <c r="H319">
        <v>27</v>
      </c>
      <c r="I319" t="s">
        <v>600</v>
      </c>
      <c r="J319" s="56"/>
    </row>
    <row r="320" spans="1:10" x14ac:dyDescent="0.25">
      <c r="A320" t="s">
        <v>598</v>
      </c>
      <c r="B320" t="s">
        <v>11</v>
      </c>
      <c r="C320">
        <v>45139159</v>
      </c>
      <c r="D320" t="s">
        <v>6</v>
      </c>
      <c r="E320" t="s">
        <v>516</v>
      </c>
      <c r="F320" t="s">
        <v>592</v>
      </c>
      <c r="G320" s="56">
        <v>45369</v>
      </c>
      <c r="H320">
        <v>24</v>
      </c>
      <c r="I320" t="s">
        <v>600</v>
      </c>
      <c r="J320" s="56"/>
    </row>
    <row r="321" spans="1:10" x14ac:dyDescent="0.25">
      <c r="A321" t="s">
        <v>598</v>
      </c>
      <c r="B321" t="s">
        <v>81</v>
      </c>
      <c r="C321">
        <v>72716299</v>
      </c>
      <c r="D321" t="s">
        <v>6</v>
      </c>
      <c r="E321" t="s">
        <v>517</v>
      </c>
      <c r="F321" t="s">
        <v>592</v>
      </c>
      <c r="G321" s="56">
        <v>45511</v>
      </c>
      <c r="H321">
        <v>19</v>
      </c>
      <c r="I321" t="s">
        <v>600</v>
      </c>
      <c r="J321" s="56"/>
    </row>
    <row r="322" spans="1:10" x14ac:dyDescent="0.25">
      <c r="A322" t="s">
        <v>598</v>
      </c>
      <c r="B322" t="s">
        <v>50</v>
      </c>
      <c r="C322">
        <v>72733809</v>
      </c>
      <c r="D322" t="s">
        <v>6</v>
      </c>
      <c r="E322" t="s">
        <v>517</v>
      </c>
      <c r="F322" t="s">
        <v>592</v>
      </c>
      <c r="G322" s="56">
        <v>45789</v>
      </c>
      <c r="H322">
        <v>10</v>
      </c>
      <c r="I322" t="s">
        <v>600</v>
      </c>
      <c r="J322" s="56"/>
    </row>
    <row r="323" spans="1:10" x14ac:dyDescent="0.25">
      <c r="A323" t="s">
        <v>598</v>
      </c>
      <c r="B323" t="s">
        <v>97</v>
      </c>
      <c r="C323">
        <v>74602206</v>
      </c>
      <c r="D323" t="s">
        <v>6</v>
      </c>
      <c r="E323" t="s">
        <v>517</v>
      </c>
      <c r="F323" t="s">
        <v>592</v>
      </c>
      <c r="G323" s="56">
        <v>45884</v>
      </c>
      <c r="H323">
        <v>7</v>
      </c>
      <c r="I323" t="s">
        <v>601</v>
      </c>
      <c r="J323" s="56"/>
    </row>
    <row r="324" spans="1:10" x14ac:dyDescent="0.25">
      <c r="A324" t="s">
        <v>598</v>
      </c>
      <c r="B324" t="s">
        <v>105</v>
      </c>
      <c r="C324">
        <v>48344037</v>
      </c>
      <c r="D324" t="s">
        <v>6</v>
      </c>
      <c r="E324" t="s">
        <v>517</v>
      </c>
      <c r="F324" t="s">
        <v>592</v>
      </c>
      <c r="G324" s="56">
        <v>46027</v>
      </c>
      <c r="H324">
        <v>2</v>
      </c>
      <c r="I324" t="s">
        <v>600</v>
      </c>
      <c r="J324" s="56"/>
    </row>
    <row r="325" spans="1:10" x14ac:dyDescent="0.25">
      <c r="A325" t="s">
        <v>598</v>
      </c>
      <c r="B325" t="s">
        <v>23</v>
      </c>
      <c r="C325">
        <v>72413556</v>
      </c>
      <c r="D325" t="s">
        <v>3</v>
      </c>
      <c r="E325" t="s">
        <v>517</v>
      </c>
      <c r="F325" t="s">
        <v>592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598</v>
      </c>
      <c r="B326" t="s">
        <v>13</v>
      </c>
      <c r="C326">
        <v>72512391</v>
      </c>
      <c r="D326" t="s">
        <v>3</v>
      </c>
      <c r="E326" t="s">
        <v>517</v>
      </c>
      <c r="F326" t="s">
        <v>592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598</v>
      </c>
      <c r="B327" t="s">
        <v>33</v>
      </c>
      <c r="C327">
        <v>80689573</v>
      </c>
      <c r="D327" t="s">
        <v>3</v>
      </c>
      <c r="E327" t="s">
        <v>594</v>
      </c>
      <c r="F327" t="s">
        <v>592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598</v>
      </c>
      <c r="B328" t="s">
        <v>17</v>
      </c>
      <c r="C328">
        <v>70876605</v>
      </c>
      <c r="D328" t="s">
        <v>3</v>
      </c>
      <c r="E328" t="s">
        <v>517</v>
      </c>
      <c r="F328" t="s">
        <v>592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598</v>
      </c>
      <c r="B329" t="s">
        <v>65</v>
      </c>
      <c r="C329">
        <v>47659267</v>
      </c>
      <c r="D329" t="s">
        <v>3</v>
      </c>
      <c r="E329" t="s">
        <v>517</v>
      </c>
      <c r="F329" t="s">
        <v>592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598</v>
      </c>
      <c r="B330" t="s">
        <v>22</v>
      </c>
      <c r="C330">
        <v>70551168</v>
      </c>
      <c r="D330" t="s">
        <v>3</v>
      </c>
      <c r="E330" t="s">
        <v>517</v>
      </c>
      <c r="F330" t="s">
        <v>592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598</v>
      </c>
      <c r="B331" t="s">
        <v>24</v>
      </c>
      <c r="C331">
        <v>43614775</v>
      </c>
      <c r="D331" t="s">
        <v>3</v>
      </c>
      <c r="E331" t="s">
        <v>516</v>
      </c>
      <c r="F331" t="s">
        <v>592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598</v>
      </c>
      <c r="B332" t="s">
        <v>31</v>
      </c>
      <c r="C332">
        <v>75882265</v>
      </c>
      <c r="D332" t="s">
        <v>3</v>
      </c>
      <c r="E332" t="s">
        <v>594</v>
      </c>
      <c r="F332" t="s">
        <v>592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598</v>
      </c>
      <c r="B333" t="s">
        <v>32</v>
      </c>
      <c r="C333">
        <v>48584670</v>
      </c>
      <c r="D333" t="s">
        <v>3</v>
      </c>
      <c r="E333" t="s">
        <v>517</v>
      </c>
      <c r="F333" t="s">
        <v>592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598</v>
      </c>
      <c r="B334" t="s">
        <v>96</v>
      </c>
      <c r="C334">
        <v>46793103</v>
      </c>
      <c r="D334" t="s">
        <v>3</v>
      </c>
      <c r="E334" t="s">
        <v>517</v>
      </c>
      <c r="F334" t="s">
        <v>592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598</v>
      </c>
      <c r="B335" t="s">
        <v>207</v>
      </c>
      <c r="C335">
        <v>75069320</v>
      </c>
      <c r="D335" t="s">
        <v>3</v>
      </c>
      <c r="E335" t="s">
        <v>517</v>
      </c>
      <c r="F335" t="s">
        <v>592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598</v>
      </c>
      <c r="B336" t="s">
        <v>392</v>
      </c>
      <c r="C336">
        <v>44883074</v>
      </c>
      <c r="D336" t="s">
        <v>3</v>
      </c>
      <c r="E336" t="s">
        <v>517</v>
      </c>
      <c r="F336" t="s">
        <v>592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598</v>
      </c>
      <c r="B337" t="s">
        <v>513</v>
      </c>
      <c r="C337">
        <v>9668687</v>
      </c>
      <c r="D337" t="s">
        <v>124</v>
      </c>
      <c r="E337" t="s">
        <v>594</v>
      </c>
      <c r="F337" t="s">
        <v>592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598</v>
      </c>
      <c r="B338" t="s">
        <v>565</v>
      </c>
      <c r="C338">
        <v>73233992</v>
      </c>
      <c r="D338" t="s">
        <v>124</v>
      </c>
      <c r="E338" t="s">
        <v>517</v>
      </c>
      <c r="F338" t="s">
        <v>592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598</v>
      </c>
      <c r="B339" t="s">
        <v>573</v>
      </c>
      <c r="C339">
        <v>10330959</v>
      </c>
      <c r="D339" t="s">
        <v>124</v>
      </c>
      <c r="E339" t="s">
        <v>517</v>
      </c>
      <c r="F339" t="s">
        <v>592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598</v>
      </c>
      <c r="B340" t="s">
        <v>579</v>
      </c>
      <c r="C340">
        <v>78564842</v>
      </c>
      <c r="D340" t="s">
        <v>124</v>
      </c>
      <c r="E340" t="s">
        <v>517</v>
      </c>
      <c r="F340" t="s">
        <v>592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602</v>
      </c>
      <c r="B341" t="s">
        <v>219</v>
      </c>
      <c r="C341">
        <v>74122258</v>
      </c>
      <c r="D341" t="s">
        <v>6</v>
      </c>
      <c r="E341" t="s">
        <v>133</v>
      </c>
      <c r="F341" t="s">
        <v>592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602</v>
      </c>
      <c r="B342" t="s">
        <v>248</v>
      </c>
      <c r="C342">
        <v>44265602</v>
      </c>
      <c r="D342" t="s">
        <v>2</v>
      </c>
      <c r="E342" t="s">
        <v>133</v>
      </c>
      <c r="F342" t="s">
        <v>592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602</v>
      </c>
      <c r="B343" t="s">
        <v>226</v>
      </c>
      <c r="C343">
        <v>73049631</v>
      </c>
      <c r="D343" t="s">
        <v>3</v>
      </c>
      <c r="E343" t="s">
        <v>133</v>
      </c>
      <c r="F343" t="s">
        <v>592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602</v>
      </c>
      <c r="B344" t="s">
        <v>222</v>
      </c>
      <c r="C344">
        <v>75000131</v>
      </c>
      <c r="D344" t="s">
        <v>125</v>
      </c>
      <c r="E344" t="s">
        <v>133</v>
      </c>
      <c r="F344" t="s">
        <v>592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602</v>
      </c>
      <c r="B345" t="s">
        <v>214</v>
      </c>
      <c r="C345">
        <v>46872195</v>
      </c>
      <c r="D345" t="s">
        <v>7</v>
      </c>
      <c r="E345" t="s">
        <v>133</v>
      </c>
      <c r="F345" t="s">
        <v>592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602</v>
      </c>
      <c r="B346" t="s">
        <v>58</v>
      </c>
      <c r="C346">
        <v>72519113</v>
      </c>
      <c r="D346" t="s">
        <v>7</v>
      </c>
      <c r="E346" t="s">
        <v>516</v>
      </c>
      <c r="F346" t="s">
        <v>592</v>
      </c>
      <c r="G346" s="56">
        <v>43119</v>
      </c>
      <c r="H346">
        <v>98</v>
      </c>
      <c r="I346" t="s">
        <v>603</v>
      </c>
      <c r="J346" s="56"/>
    </row>
    <row r="347" spans="1:10" x14ac:dyDescent="0.25">
      <c r="A347" t="s">
        <v>602</v>
      </c>
      <c r="B347" t="s">
        <v>49</v>
      </c>
      <c r="C347">
        <v>40702064</v>
      </c>
      <c r="D347" t="s">
        <v>7</v>
      </c>
      <c r="E347" t="s">
        <v>517</v>
      </c>
      <c r="F347" t="s">
        <v>592</v>
      </c>
      <c r="G347" s="56">
        <v>43313</v>
      </c>
      <c r="H347">
        <v>91</v>
      </c>
      <c r="I347" t="s">
        <v>603</v>
      </c>
      <c r="J347" s="56"/>
    </row>
    <row r="348" spans="1:10" x14ac:dyDescent="0.25">
      <c r="A348" t="s">
        <v>602</v>
      </c>
      <c r="B348" t="s">
        <v>23</v>
      </c>
      <c r="C348">
        <v>72413556</v>
      </c>
      <c r="D348" t="s">
        <v>2</v>
      </c>
      <c r="E348" t="s">
        <v>517</v>
      </c>
      <c r="F348" t="s">
        <v>592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602</v>
      </c>
      <c r="B349" t="s">
        <v>26</v>
      </c>
      <c r="C349">
        <v>41005089</v>
      </c>
      <c r="D349" t="s">
        <v>6</v>
      </c>
      <c r="E349" t="s">
        <v>516</v>
      </c>
      <c r="F349" t="s">
        <v>592</v>
      </c>
      <c r="G349" s="56">
        <v>44257</v>
      </c>
      <c r="H349">
        <v>60</v>
      </c>
      <c r="I349" t="s">
        <v>600</v>
      </c>
      <c r="J349" s="56"/>
    </row>
    <row r="350" spans="1:10" x14ac:dyDescent="0.25">
      <c r="A350" t="s">
        <v>602</v>
      </c>
      <c r="B350" t="s">
        <v>19</v>
      </c>
      <c r="C350">
        <v>76656128</v>
      </c>
      <c r="D350" t="s">
        <v>6</v>
      </c>
      <c r="E350" t="s">
        <v>517</v>
      </c>
      <c r="F350" t="s">
        <v>592</v>
      </c>
      <c r="G350" s="56">
        <v>44671</v>
      </c>
      <c r="H350">
        <v>47</v>
      </c>
      <c r="I350" t="s">
        <v>600</v>
      </c>
      <c r="J350" s="56"/>
    </row>
    <row r="351" spans="1:10" x14ac:dyDescent="0.25">
      <c r="A351" t="s">
        <v>602</v>
      </c>
      <c r="B351" t="s">
        <v>29</v>
      </c>
      <c r="C351">
        <v>72758956</v>
      </c>
      <c r="D351" t="s">
        <v>3</v>
      </c>
      <c r="E351" t="s">
        <v>517</v>
      </c>
      <c r="F351" t="s">
        <v>592</v>
      </c>
      <c r="G351" s="56">
        <v>44685</v>
      </c>
      <c r="H351">
        <v>46</v>
      </c>
      <c r="I351" t="s">
        <v>600</v>
      </c>
      <c r="J351" s="56"/>
    </row>
    <row r="352" spans="1:10" x14ac:dyDescent="0.25">
      <c r="A352" t="s">
        <v>602</v>
      </c>
      <c r="B352" t="s">
        <v>10</v>
      </c>
      <c r="C352">
        <v>40980108</v>
      </c>
      <c r="D352" t="s">
        <v>125</v>
      </c>
      <c r="E352" t="s">
        <v>516</v>
      </c>
      <c r="F352" t="s">
        <v>592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602</v>
      </c>
      <c r="B353" t="s">
        <v>75</v>
      </c>
      <c r="C353">
        <v>71264767</v>
      </c>
      <c r="D353" t="s">
        <v>125</v>
      </c>
      <c r="E353" t="s">
        <v>517</v>
      </c>
      <c r="F353" t="s">
        <v>592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602</v>
      </c>
      <c r="B354" t="s">
        <v>15</v>
      </c>
      <c r="C354">
        <v>47587400</v>
      </c>
      <c r="D354" t="s">
        <v>2</v>
      </c>
      <c r="E354" t="s">
        <v>517</v>
      </c>
      <c r="F354" t="s">
        <v>592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602</v>
      </c>
      <c r="B355" t="s">
        <v>48</v>
      </c>
      <c r="C355">
        <v>43307898</v>
      </c>
      <c r="D355" t="s">
        <v>7</v>
      </c>
      <c r="E355" t="s">
        <v>517</v>
      </c>
      <c r="F355" t="s">
        <v>592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602</v>
      </c>
      <c r="B356" t="s">
        <v>35</v>
      </c>
      <c r="C356">
        <v>10491198</v>
      </c>
      <c r="D356" t="s">
        <v>6</v>
      </c>
      <c r="E356" t="s">
        <v>517</v>
      </c>
      <c r="F356" t="s">
        <v>592</v>
      </c>
      <c r="G356" s="56">
        <v>44746</v>
      </c>
      <c r="H356">
        <v>44</v>
      </c>
      <c r="I356" t="s">
        <v>601</v>
      </c>
      <c r="J356" s="56"/>
    </row>
    <row r="357" spans="1:10" x14ac:dyDescent="0.25">
      <c r="A357" t="s">
        <v>602</v>
      </c>
      <c r="B357" t="s">
        <v>13</v>
      </c>
      <c r="C357">
        <v>72512391</v>
      </c>
      <c r="D357" t="s">
        <v>2</v>
      </c>
      <c r="E357" t="s">
        <v>517</v>
      </c>
      <c r="F357" t="s">
        <v>592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602</v>
      </c>
      <c r="B358" t="s">
        <v>76</v>
      </c>
      <c r="C358">
        <v>60914051</v>
      </c>
      <c r="D358" t="s">
        <v>3</v>
      </c>
      <c r="E358" t="s">
        <v>517</v>
      </c>
      <c r="F358" t="s">
        <v>592</v>
      </c>
      <c r="G358" s="56">
        <v>44817</v>
      </c>
      <c r="H358">
        <v>42</v>
      </c>
      <c r="I358" t="s">
        <v>601</v>
      </c>
      <c r="J358" s="56"/>
    </row>
    <row r="359" spans="1:10" x14ac:dyDescent="0.25">
      <c r="A359" t="s">
        <v>602</v>
      </c>
      <c r="B359" t="s">
        <v>25</v>
      </c>
      <c r="C359">
        <v>72373931</v>
      </c>
      <c r="D359" t="s">
        <v>2</v>
      </c>
      <c r="E359" t="s">
        <v>517</v>
      </c>
      <c r="F359" t="s">
        <v>592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602</v>
      </c>
      <c r="B360" t="s">
        <v>77</v>
      </c>
      <c r="C360">
        <v>42251780</v>
      </c>
      <c r="D360" t="s">
        <v>7</v>
      </c>
      <c r="E360" t="s">
        <v>517</v>
      </c>
      <c r="F360" t="s">
        <v>592</v>
      </c>
      <c r="G360" s="56">
        <v>44838</v>
      </c>
      <c r="H360">
        <v>41</v>
      </c>
      <c r="I360" t="s">
        <v>603</v>
      </c>
      <c r="J360" s="56"/>
    </row>
    <row r="361" spans="1:10" x14ac:dyDescent="0.25">
      <c r="A361" t="s">
        <v>602</v>
      </c>
      <c r="B361" t="s">
        <v>12</v>
      </c>
      <c r="C361">
        <v>45262585</v>
      </c>
      <c r="D361" t="s">
        <v>125</v>
      </c>
      <c r="E361" t="s">
        <v>517</v>
      </c>
      <c r="F361" t="s">
        <v>592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602</v>
      </c>
      <c r="B362" t="s">
        <v>17</v>
      </c>
      <c r="C362">
        <v>70876605</v>
      </c>
      <c r="D362" t="s">
        <v>2</v>
      </c>
      <c r="E362" t="s">
        <v>517</v>
      </c>
      <c r="F362" t="s">
        <v>592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602</v>
      </c>
      <c r="B363" t="s">
        <v>61</v>
      </c>
      <c r="C363">
        <v>44001162</v>
      </c>
      <c r="D363" t="s">
        <v>125</v>
      </c>
      <c r="E363" t="s">
        <v>517</v>
      </c>
      <c r="F363" t="s">
        <v>592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602</v>
      </c>
      <c r="B364" t="s">
        <v>78</v>
      </c>
      <c r="C364">
        <v>10706451</v>
      </c>
      <c r="D364" t="s">
        <v>3</v>
      </c>
      <c r="E364" t="s">
        <v>517</v>
      </c>
      <c r="F364" t="s">
        <v>592</v>
      </c>
      <c r="G364" s="56">
        <v>44943</v>
      </c>
      <c r="H364">
        <v>38</v>
      </c>
      <c r="I364" t="s">
        <v>601</v>
      </c>
      <c r="J364" s="56"/>
    </row>
    <row r="365" spans="1:10" x14ac:dyDescent="0.25">
      <c r="A365" t="s">
        <v>602</v>
      </c>
      <c r="B365" t="s">
        <v>65</v>
      </c>
      <c r="C365">
        <v>47659267</v>
      </c>
      <c r="D365" t="s">
        <v>2</v>
      </c>
      <c r="E365" t="s">
        <v>517</v>
      </c>
      <c r="F365" t="s">
        <v>592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602</v>
      </c>
      <c r="B366" t="s">
        <v>37</v>
      </c>
      <c r="C366">
        <v>70988976</v>
      </c>
      <c r="D366" t="s">
        <v>6</v>
      </c>
      <c r="E366" t="s">
        <v>517</v>
      </c>
      <c r="F366" t="s">
        <v>592</v>
      </c>
      <c r="G366" s="56">
        <v>45112</v>
      </c>
      <c r="H366">
        <v>32</v>
      </c>
      <c r="I366" t="s">
        <v>601</v>
      </c>
      <c r="J366" s="56"/>
    </row>
    <row r="367" spans="1:10" x14ac:dyDescent="0.25">
      <c r="A367" t="s">
        <v>602</v>
      </c>
      <c r="B367" t="s">
        <v>18</v>
      </c>
      <c r="C367">
        <v>76214436</v>
      </c>
      <c r="D367" t="s">
        <v>125</v>
      </c>
      <c r="E367" t="s">
        <v>517</v>
      </c>
      <c r="F367" t="s">
        <v>592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602</v>
      </c>
      <c r="B368" t="s">
        <v>73</v>
      </c>
      <c r="C368">
        <v>40318129</v>
      </c>
      <c r="D368" t="s">
        <v>7</v>
      </c>
      <c r="E368" t="s">
        <v>517</v>
      </c>
      <c r="F368" t="s">
        <v>592</v>
      </c>
      <c r="G368" s="56">
        <v>45141</v>
      </c>
      <c r="H368">
        <v>31</v>
      </c>
      <c r="I368" t="s">
        <v>603</v>
      </c>
      <c r="J368" s="56"/>
    </row>
    <row r="369" spans="1:10" x14ac:dyDescent="0.25">
      <c r="A369" t="s">
        <v>602</v>
      </c>
      <c r="B369" t="s">
        <v>79</v>
      </c>
      <c r="C369">
        <v>71262377</v>
      </c>
      <c r="D369" t="s">
        <v>3</v>
      </c>
      <c r="E369" t="s">
        <v>517</v>
      </c>
      <c r="F369" t="s">
        <v>592</v>
      </c>
      <c r="G369" s="56">
        <v>45145</v>
      </c>
      <c r="H369">
        <v>31</v>
      </c>
      <c r="I369" t="s">
        <v>600</v>
      </c>
      <c r="J369" s="56"/>
    </row>
    <row r="370" spans="1:10" x14ac:dyDescent="0.25">
      <c r="A370" t="s">
        <v>602</v>
      </c>
      <c r="B370" t="s">
        <v>34</v>
      </c>
      <c r="C370">
        <v>76824571</v>
      </c>
      <c r="D370" t="s">
        <v>6</v>
      </c>
      <c r="E370" t="s">
        <v>517</v>
      </c>
      <c r="F370" t="s">
        <v>592</v>
      </c>
      <c r="G370" s="56">
        <v>45173</v>
      </c>
      <c r="H370">
        <v>30</v>
      </c>
      <c r="I370" t="s">
        <v>600</v>
      </c>
      <c r="J370" s="56"/>
    </row>
    <row r="371" spans="1:10" x14ac:dyDescent="0.25">
      <c r="A371" t="s">
        <v>602</v>
      </c>
      <c r="B371" t="s">
        <v>80</v>
      </c>
      <c r="C371">
        <v>45084594</v>
      </c>
      <c r="D371" t="s">
        <v>6</v>
      </c>
      <c r="E371" t="s">
        <v>517</v>
      </c>
      <c r="F371" t="s">
        <v>592</v>
      </c>
      <c r="G371" s="56">
        <v>45281</v>
      </c>
      <c r="H371">
        <v>27</v>
      </c>
      <c r="I371" t="s">
        <v>600</v>
      </c>
      <c r="J371" s="56"/>
    </row>
    <row r="372" spans="1:10" x14ac:dyDescent="0.25">
      <c r="A372" t="s">
        <v>602</v>
      </c>
      <c r="B372" t="s">
        <v>22</v>
      </c>
      <c r="C372">
        <v>70551168</v>
      </c>
      <c r="D372" t="s">
        <v>2</v>
      </c>
      <c r="E372" t="s">
        <v>517</v>
      </c>
      <c r="F372" t="s">
        <v>592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602</v>
      </c>
      <c r="B373" t="s">
        <v>41</v>
      </c>
      <c r="C373">
        <v>46461021</v>
      </c>
      <c r="D373" t="s">
        <v>7</v>
      </c>
      <c r="E373" t="s">
        <v>517</v>
      </c>
      <c r="F373" t="s">
        <v>592</v>
      </c>
      <c r="G373" s="56">
        <v>45302</v>
      </c>
      <c r="H373">
        <v>26</v>
      </c>
      <c r="I373" t="s">
        <v>604</v>
      </c>
      <c r="J373" s="56"/>
    </row>
    <row r="374" spans="1:10" x14ac:dyDescent="0.25">
      <c r="A374" t="s">
        <v>602</v>
      </c>
      <c r="B374" t="s">
        <v>24</v>
      </c>
      <c r="C374">
        <v>43614775</v>
      </c>
      <c r="D374" t="s">
        <v>2</v>
      </c>
      <c r="E374" t="s">
        <v>517</v>
      </c>
      <c r="F374" t="s">
        <v>592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602</v>
      </c>
      <c r="B375" t="s">
        <v>59</v>
      </c>
      <c r="C375">
        <v>60870839</v>
      </c>
      <c r="D375" t="s">
        <v>125</v>
      </c>
      <c r="E375" t="s">
        <v>517</v>
      </c>
      <c r="F375" t="s">
        <v>592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602</v>
      </c>
      <c r="B376" t="s">
        <v>68</v>
      </c>
      <c r="C376">
        <v>73257316</v>
      </c>
      <c r="D376" t="s">
        <v>3</v>
      </c>
      <c r="E376" t="s">
        <v>517</v>
      </c>
      <c r="F376" t="s">
        <v>592</v>
      </c>
      <c r="G376" s="56">
        <v>45363</v>
      </c>
      <c r="H376">
        <v>24</v>
      </c>
      <c r="I376" t="s">
        <v>600</v>
      </c>
      <c r="J376" s="56"/>
    </row>
    <row r="377" spans="1:10" x14ac:dyDescent="0.25">
      <c r="A377" t="s">
        <v>602</v>
      </c>
      <c r="B377" t="s">
        <v>11</v>
      </c>
      <c r="C377">
        <v>45139159</v>
      </c>
      <c r="D377" t="s">
        <v>6</v>
      </c>
      <c r="E377" t="s">
        <v>517</v>
      </c>
      <c r="F377" t="s">
        <v>592</v>
      </c>
      <c r="G377" s="56">
        <v>45369</v>
      </c>
      <c r="H377">
        <v>24</v>
      </c>
      <c r="I377" t="s">
        <v>600</v>
      </c>
      <c r="J377" s="56"/>
    </row>
    <row r="378" spans="1:10" x14ac:dyDescent="0.25">
      <c r="A378" t="s">
        <v>602</v>
      </c>
      <c r="B378" t="s">
        <v>42</v>
      </c>
      <c r="C378">
        <v>73725129</v>
      </c>
      <c r="D378" t="s">
        <v>2</v>
      </c>
      <c r="E378" t="s">
        <v>516</v>
      </c>
      <c r="F378" t="s">
        <v>592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602</v>
      </c>
      <c r="B379" t="s">
        <v>81</v>
      </c>
      <c r="C379">
        <v>72716299</v>
      </c>
      <c r="D379" t="s">
        <v>6</v>
      </c>
      <c r="E379" t="s">
        <v>517</v>
      </c>
      <c r="F379" t="s">
        <v>592</v>
      </c>
      <c r="G379" s="56">
        <v>45511</v>
      </c>
      <c r="H379">
        <v>19</v>
      </c>
      <c r="I379" t="s">
        <v>600</v>
      </c>
      <c r="J379" s="56"/>
    </row>
    <row r="380" spans="1:10" x14ac:dyDescent="0.25">
      <c r="A380" t="s">
        <v>602</v>
      </c>
      <c r="B380" t="s">
        <v>32</v>
      </c>
      <c r="C380">
        <v>48584670</v>
      </c>
      <c r="D380" t="s">
        <v>3</v>
      </c>
      <c r="E380" t="s">
        <v>517</v>
      </c>
      <c r="F380" t="s">
        <v>592</v>
      </c>
      <c r="G380" s="56">
        <v>45526</v>
      </c>
      <c r="H380">
        <v>19</v>
      </c>
      <c r="I380" t="s">
        <v>600</v>
      </c>
      <c r="J380" s="56"/>
    </row>
    <row r="381" spans="1:10" x14ac:dyDescent="0.25">
      <c r="A381" t="s">
        <v>602</v>
      </c>
      <c r="B381" t="s">
        <v>51</v>
      </c>
      <c r="C381">
        <v>76089925</v>
      </c>
      <c r="D381" t="s">
        <v>7</v>
      </c>
      <c r="E381" t="s">
        <v>517</v>
      </c>
      <c r="F381" t="s">
        <v>592</v>
      </c>
      <c r="G381" s="56">
        <v>45678</v>
      </c>
      <c r="H381">
        <v>14</v>
      </c>
      <c r="I381" t="s">
        <v>603</v>
      </c>
      <c r="J381" s="56"/>
    </row>
    <row r="382" spans="1:10" x14ac:dyDescent="0.25">
      <c r="A382" t="s">
        <v>602</v>
      </c>
      <c r="B382" t="s">
        <v>72</v>
      </c>
      <c r="C382">
        <v>47690367</v>
      </c>
      <c r="D382" t="s">
        <v>125</v>
      </c>
      <c r="E382" t="s">
        <v>517</v>
      </c>
      <c r="F382" t="s">
        <v>592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602</v>
      </c>
      <c r="B383" t="s">
        <v>50</v>
      </c>
      <c r="C383">
        <v>72733809</v>
      </c>
      <c r="D383" t="s">
        <v>6</v>
      </c>
      <c r="E383" t="s">
        <v>517</v>
      </c>
      <c r="F383" t="s">
        <v>592</v>
      </c>
      <c r="G383" s="56">
        <v>45789</v>
      </c>
      <c r="H383">
        <v>10</v>
      </c>
      <c r="I383" t="s">
        <v>600</v>
      </c>
      <c r="J383" s="56"/>
    </row>
    <row r="384" spans="1:10" x14ac:dyDescent="0.25">
      <c r="A384" t="s">
        <v>602</v>
      </c>
      <c r="B384" t="s">
        <v>38</v>
      </c>
      <c r="C384">
        <v>47411966</v>
      </c>
      <c r="D384" t="s">
        <v>3</v>
      </c>
      <c r="E384" t="s">
        <v>517</v>
      </c>
      <c r="F384" t="s">
        <v>592</v>
      </c>
      <c r="G384" s="56">
        <v>45800</v>
      </c>
      <c r="H384">
        <v>10</v>
      </c>
      <c r="I384" t="s">
        <v>601</v>
      </c>
      <c r="J384" s="56"/>
    </row>
    <row r="385" spans="1:10" x14ac:dyDescent="0.25">
      <c r="A385" t="s">
        <v>602</v>
      </c>
      <c r="B385" t="s">
        <v>55</v>
      </c>
      <c r="C385">
        <v>45119892</v>
      </c>
      <c r="D385" t="s">
        <v>605</v>
      </c>
      <c r="E385" t="s">
        <v>517</v>
      </c>
      <c r="F385" t="s">
        <v>592</v>
      </c>
      <c r="G385" s="56">
        <v>45813</v>
      </c>
      <c r="H385">
        <v>9</v>
      </c>
      <c r="I385" t="s">
        <v>605</v>
      </c>
      <c r="J385" s="56"/>
    </row>
    <row r="386" spans="1:10" x14ac:dyDescent="0.25">
      <c r="A386" t="s">
        <v>602</v>
      </c>
      <c r="B386" t="s">
        <v>60</v>
      </c>
      <c r="C386">
        <v>72839865</v>
      </c>
      <c r="D386" t="s">
        <v>125</v>
      </c>
      <c r="E386" t="s">
        <v>517</v>
      </c>
      <c r="F386" t="s">
        <v>592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602</v>
      </c>
      <c r="B387" t="s">
        <v>96</v>
      </c>
      <c r="C387">
        <v>46793103</v>
      </c>
      <c r="D387" t="s">
        <v>3</v>
      </c>
      <c r="E387" t="s">
        <v>517</v>
      </c>
      <c r="F387" t="s">
        <v>592</v>
      </c>
      <c r="G387" s="56">
        <v>45882</v>
      </c>
      <c r="H387">
        <v>7</v>
      </c>
      <c r="I387" t="s">
        <v>600</v>
      </c>
      <c r="J387" s="56"/>
    </row>
    <row r="388" spans="1:10" x14ac:dyDescent="0.25">
      <c r="A388" t="s">
        <v>602</v>
      </c>
      <c r="B388" t="s">
        <v>97</v>
      </c>
      <c r="C388">
        <v>74602206</v>
      </c>
      <c r="D388" t="s">
        <v>6</v>
      </c>
      <c r="E388" t="s">
        <v>517</v>
      </c>
      <c r="F388" t="s">
        <v>592</v>
      </c>
      <c r="G388" s="56">
        <v>45884</v>
      </c>
      <c r="H388">
        <v>7</v>
      </c>
      <c r="I388" t="s">
        <v>601</v>
      </c>
      <c r="J388" s="56"/>
    </row>
    <row r="389" spans="1:10" x14ac:dyDescent="0.25">
      <c r="A389" t="s">
        <v>602</v>
      </c>
      <c r="B389" t="s">
        <v>122</v>
      </c>
      <c r="C389">
        <v>76586998</v>
      </c>
      <c r="D389" t="s">
        <v>125</v>
      </c>
      <c r="E389" t="s">
        <v>517</v>
      </c>
      <c r="F389" t="s">
        <v>592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602</v>
      </c>
      <c r="B390" t="s">
        <v>174</v>
      </c>
      <c r="C390">
        <v>46994661</v>
      </c>
      <c r="D390" t="s">
        <v>3</v>
      </c>
      <c r="E390" t="s">
        <v>517</v>
      </c>
      <c r="F390" t="s">
        <v>592</v>
      </c>
      <c r="G390" s="56">
        <v>45992</v>
      </c>
      <c r="H390">
        <v>3</v>
      </c>
      <c r="I390" t="s">
        <v>600</v>
      </c>
      <c r="J390" s="56"/>
    </row>
    <row r="391" spans="1:10" x14ac:dyDescent="0.25">
      <c r="A391" t="s">
        <v>602</v>
      </c>
      <c r="B391" t="s">
        <v>109</v>
      </c>
      <c r="C391">
        <v>74626735</v>
      </c>
      <c r="D391" t="s">
        <v>125</v>
      </c>
      <c r="E391" t="s">
        <v>517</v>
      </c>
      <c r="F391" t="s">
        <v>592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602</v>
      </c>
      <c r="B392" t="s">
        <v>206</v>
      </c>
      <c r="C392">
        <v>47497410</v>
      </c>
      <c r="D392" t="s">
        <v>125</v>
      </c>
      <c r="E392" t="s">
        <v>517</v>
      </c>
      <c r="F392" t="s">
        <v>592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602</v>
      </c>
      <c r="B393" t="s">
        <v>105</v>
      </c>
      <c r="C393">
        <v>48344037</v>
      </c>
      <c r="D393" t="s">
        <v>6</v>
      </c>
      <c r="E393" t="s">
        <v>517</v>
      </c>
      <c r="F393" t="s">
        <v>592</v>
      </c>
      <c r="G393" s="56">
        <v>46027</v>
      </c>
      <c r="H393">
        <v>2</v>
      </c>
      <c r="I393" t="s">
        <v>600</v>
      </c>
      <c r="J393" s="56"/>
    </row>
    <row r="394" spans="1:10" x14ac:dyDescent="0.25">
      <c r="A394" t="s">
        <v>602</v>
      </c>
      <c r="B394" t="s">
        <v>207</v>
      </c>
      <c r="C394">
        <v>75069320</v>
      </c>
      <c r="D394" t="s">
        <v>2</v>
      </c>
      <c r="E394" t="s">
        <v>594</v>
      </c>
      <c r="F394" t="s">
        <v>592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602</v>
      </c>
      <c r="B395" t="s">
        <v>392</v>
      </c>
      <c r="C395">
        <v>44883074</v>
      </c>
      <c r="D395" t="s">
        <v>2</v>
      </c>
      <c r="E395" t="s">
        <v>517</v>
      </c>
      <c r="F395" t="s">
        <v>592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602</v>
      </c>
      <c r="B396" t="s">
        <v>509</v>
      </c>
      <c r="C396">
        <v>75026229</v>
      </c>
      <c r="D396" t="s">
        <v>3</v>
      </c>
      <c r="E396" t="s">
        <v>517</v>
      </c>
      <c r="F396" t="s">
        <v>592</v>
      </c>
      <c r="G396" s="56">
        <v>46052</v>
      </c>
      <c r="H396">
        <v>1</v>
      </c>
      <c r="I396" t="s">
        <v>600</v>
      </c>
      <c r="J396" s="56"/>
    </row>
    <row r="397" spans="1:10" x14ac:dyDescent="0.25">
      <c r="A397" t="s">
        <v>602</v>
      </c>
      <c r="B397" t="s">
        <v>511</v>
      </c>
      <c r="C397">
        <v>62792399</v>
      </c>
      <c r="D397" t="s">
        <v>7</v>
      </c>
      <c r="E397" t="s">
        <v>517</v>
      </c>
      <c r="F397" t="s">
        <v>592</v>
      </c>
      <c r="G397" s="56">
        <v>46052</v>
      </c>
      <c r="H397">
        <v>1</v>
      </c>
      <c r="I397" t="s">
        <v>604</v>
      </c>
      <c r="J397" s="56"/>
    </row>
    <row r="398" spans="1:10" x14ac:dyDescent="0.25">
      <c r="A398" t="s">
        <v>602</v>
      </c>
      <c r="B398" t="s">
        <v>85</v>
      </c>
      <c r="C398">
        <v>70477743</v>
      </c>
      <c r="D398" t="s">
        <v>125</v>
      </c>
      <c r="E398" t="s">
        <v>517</v>
      </c>
      <c r="F398" t="s">
        <v>592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602</v>
      </c>
      <c r="B399" t="s">
        <v>565</v>
      </c>
      <c r="C399">
        <v>73233992</v>
      </c>
      <c r="D399" t="s">
        <v>7</v>
      </c>
      <c r="E399" t="s">
        <v>517</v>
      </c>
      <c r="F399" t="s">
        <v>592</v>
      </c>
      <c r="G399" s="56">
        <v>46065</v>
      </c>
      <c r="H399">
        <v>1</v>
      </c>
      <c r="I399" t="s">
        <v>604</v>
      </c>
      <c r="J399" s="56"/>
    </row>
    <row r="400" spans="1:10" x14ac:dyDescent="0.25">
      <c r="A400" t="s">
        <v>602</v>
      </c>
      <c r="B400" t="s">
        <v>573</v>
      </c>
      <c r="C400">
        <v>10330959</v>
      </c>
      <c r="D400" t="s">
        <v>7</v>
      </c>
      <c r="E400" t="s">
        <v>517</v>
      </c>
      <c r="F400" t="s">
        <v>592</v>
      </c>
      <c r="G400" s="56">
        <v>46073</v>
      </c>
      <c r="H400">
        <v>1</v>
      </c>
      <c r="I400" t="s">
        <v>604</v>
      </c>
      <c r="J400" s="56"/>
    </row>
    <row r="401" spans="1:10" x14ac:dyDescent="0.25">
      <c r="A401" t="s">
        <v>602</v>
      </c>
      <c r="B401" t="s">
        <v>579</v>
      </c>
      <c r="C401">
        <v>78564842</v>
      </c>
      <c r="D401" t="s">
        <v>7</v>
      </c>
      <c r="E401" t="s">
        <v>594</v>
      </c>
      <c r="F401" t="s">
        <v>592</v>
      </c>
      <c r="G401" s="56">
        <v>46078</v>
      </c>
      <c r="H401">
        <v>0</v>
      </c>
      <c r="I401" t="s">
        <v>604</v>
      </c>
      <c r="J401" s="56">
        <v>46086</v>
      </c>
    </row>
    <row r="402" spans="1:10" x14ac:dyDescent="0.25">
      <c r="A402" t="s">
        <v>602</v>
      </c>
      <c r="B402" t="s">
        <v>580</v>
      </c>
      <c r="C402">
        <v>43184866</v>
      </c>
      <c r="D402" t="s">
        <v>2</v>
      </c>
      <c r="E402" t="s">
        <v>517</v>
      </c>
      <c r="F402" t="s">
        <v>592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602</v>
      </c>
      <c r="B403" t="s">
        <v>581</v>
      </c>
      <c r="C403">
        <v>10762187</v>
      </c>
      <c r="D403" t="s">
        <v>7</v>
      </c>
      <c r="E403" t="s">
        <v>517</v>
      </c>
      <c r="F403" t="s">
        <v>592</v>
      </c>
      <c r="G403" s="56">
        <v>46083</v>
      </c>
      <c r="H403">
        <v>0</v>
      </c>
      <c r="I403" t="s">
        <v>604</v>
      </c>
      <c r="J403" s="56"/>
    </row>
    <row r="404" spans="1:10" x14ac:dyDescent="0.25">
      <c r="A404" t="s">
        <v>602</v>
      </c>
      <c r="B404" t="s">
        <v>582</v>
      </c>
      <c r="C404">
        <v>75693756</v>
      </c>
      <c r="D404" t="s">
        <v>7</v>
      </c>
      <c r="E404" t="s">
        <v>517</v>
      </c>
      <c r="F404" t="s">
        <v>592</v>
      </c>
      <c r="G404" s="56">
        <v>46084</v>
      </c>
      <c r="H404">
        <v>0</v>
      </c>
      <c r="I404" t="s">
        <v>604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600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601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600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601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603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2026-03-30T13:30:02Z</dcterms:modified>
</cp:coreProperties>
</file>