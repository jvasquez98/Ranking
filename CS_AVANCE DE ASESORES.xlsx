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1FD478D-5BAF-4B95-9074-D9B93953848F}" xr6:coauthVersionLast="47" xr6:coauthVersionMax="47" xr10:uidLastSave="{00000000-0000-0000-0000-000000000000}"/>
  <bookViews>
    <workbookView xWindow="-120" yWindow="-120" windowWidth="20730" windowHeight="11040" firstSheet="8" activeTab="10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17" r:id="rId11"/>
  </sheets>
  <definedNames>
    <definedName name="_xlnm._FilterDatabase" localSheetId="6" hidden="1">JULIO_2025!#REF!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7" l="1"/>
  <c r="E15" i="17"/>
  <c r="E16" i="17"/>
  <c r="E17" i="17"/>
  <c r="E29" i="17"/>
  <c r="E30" i="17"/>
  <c r="E31" i="17"/>
  <c r="E32" i="17"/>
  <c r="E42" i="17"/>
  <c r="E43" i="17"/>
  <c r="E44" i="17"/>
  <c r="E45" i="17"/>
  <c r="E46" i="17"/>
  <c r="E47" i="17"/>
  <c r="E56" i="17"/>
  <c r="E57" i="17"/>
  <c r="E58" i="17"/>
  <c r="E59" i="17"/>
  <c r="E60" i="17"/>
  <c r="E61" i="17"/>
  <c r="E62" i="17"/>
  <c r="E76" i="17"/>
  <c r="E77" i="17"/>
  <c r="E86" i="17"/>
  <c r="E87" i="17"/>
  <c r="E88" i="17"/>
  <c r="E89" i="17"/>
  <c r="E90" i="17"/>
  <c r="E91" i="17"/>
  <c r="E92" i="17"/>
  <c r="B83" i="8"/>
  <c r="I69" i="8" s="1"/>
  <c r="B84" i="8"/>
  <c r="I79" i="8" s="1"/>
  <c r="B85" i="8"/>
  <c r="B86" i="8"/>
  <c r="B87" i="8"/>
  <c r="B88" i="8"/>
  <c r="B89" i="8"/>
  <c r="B90" i="8"/>
  <c r="B91" i="8"/>
  <c r="B92" i="8"/>
  <c r="I77" i="8" s="1"/>
  <c r="B93" i="8"/>
  <c r="I78" i="8" s="1"/>
  <c r="B94" i="8"/>
  <c r="B95" i="8"/>
  <c r="B96" i="8"/>
  <c r="B97" i="8"/>
  <c r="B98" i="8"/>
  <c r="B4" i="17"/>
  <c r="F4" i="17" s="1"/>
  <c r="E4" i="17" s="1"/>
  <c r="B5" i="17"/>
  <c r="F5" i="17" s="1"/>
  <c r="E5" i="17" s="1"/>
  <c r="B6" i="17"/>
  <c r="F6" i="17" s="1"/>
  <c r="E6" i="17" s="1"/>
  <c r="B7" i="17"/>
  <c r="F7" i="17" s="1"/>
  <c r="E7" i="17" s="1"/>
  <c r="B8" i="17"/>
  <c r="F8" i="17" s="1"/>
  <c r="E8" i="17" s="1"/>
  <c r="B9" i="17"/>
  <c r="F9" i="17" s="1"/>
  <c r="E9" i="17" s="1"/>
  <c r="B10" i="17"/>
  <c r="F10" i="17" s="1"/>
  <c r="E10" i="17" s="1"/>
  <c r="B11" i="17"/>
  <c r="F11" i="17" s="1"/>
  <c r="E11" i="17" s="1"/>
  <c r="B12" i="17"/>
  <c r="F12" i="17" s="1"/>
  <c r="E12" i="17" s="1"/>
  <c r="B13" i="17"/>
  <c r="F13" i="17" s="1"/>
  <c r="E13" i="17" s="1"/>
  <c r="B14" i="17"/>
  <c r="F14" i="17" s="1"/>
  <c r="B15" i="17"/>
  <c r="F15" i="17" s="1"/>
  <c r="B16" i="17"/>
  <c r="F16" i="17" s="1"/>
  <c r="B17" i="17"/>
  <c r="F17" i="17" s="1"/>
  <c r="B18" i="17"/>
  <c r="F18" i="17" s="1"/>
  <c r="E18" i="17" s="1"/>
  <c r="B19" i="17"/>
  <c r="F19" i="17" s="1"/>
  <c r="E19" i="17" s="1"/>
  <c r="B20" i="17"/>
  <c r="F20" i="17" s="1"/>
  <c r="E20" i="17" s="1"/>
  <c r="B21" i="17"/>
  <c r="F21" i="17" s="1"/>
  <c r="E21" i="17" s="1"/>
  <c r="B22" i="17"/>
  <c r="F22" i="17" s="1"/>
  <c r="E22" i="17" s="1"/>
  <c r="B23" i="17"/>
  <c r="F23" i="17" s="1"/>
  <c r="E23" i="17" s="1"/>
  <c r="B24" i="17"/>
  <c r="F24" i="17" s="1"/>
  <c r="E24" i="17" s="1"/>
  <c r="B25" i="17"/>
  <c r="F25" i="17" s="1"/>
  <c r="E25" i="17" s="1"/>
  <c r="B26" i="17"/>
  <c r="F26" i="17" s="1"/>
  <c r="E26" i="17" s="1"/>
  <c r="B27" i="17"/>
  <c r="F27" i="17" s="1"/>
  <c r="E27" i="17" s="1"/>
  <c r="B28" i="17"/>
  <c r="F28" i="17" s="1"/>
  <c r="E28" i="17" s="1"/>
  <c r="B29" i="17"/>
  <c r="F29" i="17" s="1"/>
  <c r="B30" i="17"/>
  <c r="F30" i="17" s="1"/>
  <c r="B31" i="17"/>
  <c r="F31" i="17" s="1"/>
  <c r="B32" i="17"/>
  <c r="F32" i="17" s="1"/>
  <c r="B33" i="17"/>
  <c r="F33" i="17" s="1"/>
  <c r="E33" i="17" s="1"/>
  <c r="B34" i="17"/>
  <c r="F34" i="17" s="1"/>
  <c r="E34" i="17" s="1"/>
  <c r="B35" i="17"/>
  <c r="F35" i="17" s="1"/>
  <c r="E35" i="17" s="1"/>
  <c r="B36" i="17"/>
  <c r="F36" i="17" s="1"/>
  <c r="E36" i="17" s="1"/>
  <c r="B37" i="17"/>
  <c r="F37" i="17" s="1"/>
  <c r="E37" i="17" s="1"/>
  <c r="B38" i="17"/>
  <c r="F38" i="17" s="1"/>
  <c r="E38" i="17" s="1"/>
  <c r="B39" i="17"/>
  <c r="F39" i="17" s="1"/>
  <c r="E39" i="17" s="1"/>
  <c r="B40" i="17"/>
  <c r="F40" i="17" s="1"/>
  <c r="E40" i="17" s="1"/>
  <c r="B41" i="17"/>
  <c r="F41" i="17" s="1"/>
  <c r="E41" i="17" s="1"/>
  <c r="B42" i="17"/>
  <c r="F42" i="17" s="1"/>
  <c r="B43" i="17"/>
  <c r="F43" i="17" s="1"/>
  <c r="B44" i="17"/>
  <c r="F44" i="17" s="1"/>
  <c r="B45" i="17"/>
  <c r="F45" i="17" s="1"/>
  <c r="B46" i="17"/>
  <c r="F46" i="17" s="1"/>
  <c r="B47" i="17"/>
  <c r="F47" i="17" s="1"/>
  <c r="B48" i="17"/>
  <c r="F48" i="17" s="1"/>
  <c r="E48" i="17" s="1"/>
  <c r="B49" i="17"/>
  <c r="F49" i="17" s="1"/>
  <c r="E49" i="17" s="1"/>
  <c r="B50" i="17"/>
  <c r="F50" i="17" s="1"/>
  <c r="E50" i="17" s="1"/>
  <c r="B51" i="17"/>
  <c r="F51" i="17" s="1"/>
  <c r="E51" i="17" s="1"/>
  <c r="B52" i="17"/>
  <c r="F52" i="17" s="1"/>
  <c r="E52" i="17" s="1"/>
  <c r="B53" i="17"/>
  <c r="F53" i="17" s="1"/>
  <c r="E53" i="17" s="1"/>
  <c r="B54" i="17"/>
  <c r="F54" i="17" s="1"/>
  <c r="E54" i="17" s="1"/>
  <c r="B55" i="17"/>
  <c r="F55" i="17" s="1"/>
  <c r="E55" i="17" s="1"/>
  <c r="B56" i="17"/>
  <c r="F56" i="17" s="1"/>
  <c r="B57" i="17"/>
  <c r="F57" i="17" s="1"/>
  <c r="B58" i="17"/>
  <c r="F58" i="17" s="1"/>
  <c r="B59" i="17"/>
  <c r="F59" i="17" s="1"/>
  <c r="B60" i="17"/>
  <c r="F60" i="17" s="1"/>
  <c r="B61" i="17"/>
  <c r="F61" i="17" s="1"/>
  <c r="B62" i="17"/>
  <c r="F62" i="17" s="1"/>
  <c r="B63" i="17"/>
  <c r="F63" i="17" s="1"/>
  <c r="E63" i="17" s="1"/>
  <c r="B64" i="17"/>
  <c r="F64" i="17" s="1"/>
  <c r="E64" i="17" s="1"/>
  <c r="B65" i="17"/>
  <c r="F65" i="17" s="1"/>
  <c r="E65" i="17" s="1"/>
  <c r="B66" i="17"/>
  <c r="F66" i="17" s="1"/>
  <c r="E66" i="17" s="1"/>
  <c r="B67" i="17"/>
  <c r="F67" i="17" s="1"/>
  <c r="E67" i="17" s="1"/>
  <c r="B68" i="17"/>
  <c r="F68" i="17" s="1"/>
  <c r="E68" i="17" s="1"/>
  <c r="B69" i="17"/>
  <c r="F69" i="17" s="1"/>
  <c r="E69" i="17" s="1"/>
  <c r="B70" i="17"/>
  <c r="F70" i="17" s="1"/>
  <c r="E70" i="17" s="1"/>
  <c r="B71" i="17"/>
  <c r="F71" i="17" s="1"/>
  <c r="E71" i="17" s="1"/>
  <c r="B72" i="17"/>
  <c r="F72" i="17" s="1"/>
  <c r="E72" i="17" s="1"/>
  <c r="B73" i="17"/>
  <c r="F73" i="17" s="1"/>
  <c r="E73" i="17" s="1"/>
  <c r="B74" i="17"/>
  <c r="F74" i="17" s="1"/>
  <c r="E74" i="17" s="1"/>
  <c r="B75" i="17"/>
  <c r="F75" i="17" s="1"/>
  <c r="E75" i="17" s="1"/>
  <c r="B76" i="17"/>
  <c r="F76" i="17" s="1"/>
  <c r="B77" i="17"/>
  <c r="F77" i="17" s="1"/>
  <c r="B78" i="17"/>
  <c r="F78" i="17" s="1"/>
  <c r="E78" i="17" s="1"/>
  <c r="B79" i="17"/>
  <c r="F79" i="17" s="1"/>
  <c r="E79" i="17" s="1"/>
  <c r="B80" i="17"/>
  <c r="F80" i="17" s="1"/>
  <c r="E80" i="17" s="1"/>
  <c r="B81" i="17"/>
  <c r="F81" i="17" s="1"/>
  <c r="E81" i="17" s="1"/>
  <c r="B82" i="17"/>
  <c r="F82" i="17" s="1"/>
  <c r="E82" i="17" s="1"/>
  <c r="B83" i="17"/>
  <c r="F83" i="17" s="1"/>
  <c r="E83" i="17" s="1"/>
  <c r="B84" i="17"/>
  <c r="F84" i="17" s="1"/>
  <c r="E84" i="17" s="1"/>
  <c r="B85" i="17"/>
  <c r="F85" i="17" s="1"/>
  <c r="E85" i="17" s="1"/>
  <c r="B86" i="17"/>
  <c r="F86" i="17" s="1"/>
  <c r="B87" i="17"/>
  <c r="F87" i="17" s="1"/>
  <c r="B88" i="17"/>
  <c r="F88" i="17" s="1"/>
  <c r="B89" i="17"/>
  <c r="F89" i="17" s="1"/>
  <c r="B90" i="17"/>
  <c r="F90" i="17" s="1"/>
  <c r="B91" i="17"/>
  <c r="F91" i="17" s="1"/>
  <c r="B92" i="17"/>
  <c r="F92" i="17" s="1"/>
  <c r="B3" i="17"/>
  <c r="F3" i="17" s="1"/>
  <c r="E3" i="17" s="1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70" i="8"/>
  <c r="I71" i="8"/>
  <c r="I73" i="8"/>
  <c r="I74" i="8"/>
  <c r="I75" i="8"/>
  <c r="I76" i="8"/>
  <c r="I72" i="8" l="1"/>
  <c r="I80" i="8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112" i="11"/>
  <c r="E113" i="11"/>
  <c r="E114" i="11"/>
  <c r="E115" i="11"/>
  <c r="E116" i="11"/>
  <c r="E117" i="11"/>
  <c r="E118" i="11"/>
  <c r="E119" i="11"/>
  <c r="E120" i="11"/>
  <c r="E121" i="11"/>
  <c r="E122" i="11"/>
  <c r="E3" i="14"/>
  <c r="E4" i="14"/>
  <c r="E5" i="14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3" i="13"/>
  <c r="E4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B4" i="18"/>
  <c r="B5" i="18"/>
  <c r="B6" i="18"/>
  <c r="B7" i="18"/>
  <c r="O13" i="18" s="1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3" i="18"/>
  <c r="R9" i="13"/>
  <c r="R10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4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R68" i="13"/>
  <c r="R69" i="13"/>
  <c r="R70" i="13"/>
  <c r="R71" i="13"/>
  <c r="R72" i="13"/>
  <c r="R73" i="13"/>
  <c r="R74" i="13"/>
  <c r="R75" i="13"/>
  <c r="R76" i="13"/>
  <c r="R77" i="13"/>
  <c r="R78" i="13"/>
  <c r="R79" i="13"/>
  <c r="R80" i="13"/>
  <c r="R81" i="13"/>
  <c r="R82" i="13"/>
  <c r="R83" i="13"/>
  <c r="R84" i="13"/>
  <c r="R85" i="13"/>
  <c r="R86" i="13"/>
  <c r="R87" i="13"/>
  <c r="R88" i="13"/>
  <c r="R89" i="13"/>
  <c r="R90" i="13"/>
  <c r="R91" i="13"/>
  <c r="R92" i="13"/>
  <c r="R93" i="13"/>
  <c r="R94" i="13"/>
  <c r="R95" i="13"/>
  <c r="R96" i="13"/>
  <c r="R97" i="13"/>
  <c r="R98" i="13"/>
  <c r="R99" i="13"/>
  <c r="R100" i="13"/>
  <c r="R101" i="13"/>
  <c r="R102" i="13"/>
  <c r="R103" i="13"/>
  <c r="R104" i="13"/>
  <c r="R105" i="13"/>
  <c r="R106" i="13"/>
  <c r="R107" i="13"/>
  <c r="R108" i="13"/>
  <c r="R109" i="13"/>
  <c r="R110" i="13"/>
  <c r="R111" i="13"/>
  <c r="R112" i="13"/>
  <c r="R113" i="13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00" i="16"/>
  <c r="R101" i="16"/>
  <c r="R102" i="16"/>
  <c r="R103" i="16"/>
  <c r="R104" i="16"/>
  <c r="R105" i="16"/>
  <c r="R106" i="16"/>
  <c r="R107" i="16"/>
  <c r="R108" i="16"/>
  <c r="R109" i="16"/>
  <c r="R110" i="16"/>
  <c r="R111" i="16"/>
  <c r="R112" i="16"/>
  <c r="R113" i="16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109" i="13"/>
  <c r="Q110" i="13"/>
  <c r="Q111" i="13"/>
  <c r="Q112" i="13"/>
  <c r="Q113" i="13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Q109" i="16"/>
  <c r="Q110" i="16"/>
  <c r="Q111" i="16"/>
  <c r="Q112" i="16"/>
  <c r="Q113" i="16"/>
  <c r="B13" i="3" l="1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6" i="3"/>
  <c r="B7" i="3"/>
  <c r="B8" i="3"/>
  <c r="B9" i="3"/>
  <c r="B10" i="3"/>
  <c r="B11" i="3"/>
  <c r="B12" i="3"/>
  <c r="M98" i="17"/>
  <c r="N98" i="17" s="1" a="1"/>
  <c r="N98" i="17" s="1"/>
  <c r="O98" i="17"/>
  <c r="P98" i="17" s="1"/>
  <c r="Q98" i="17" s="1"/>
  <c r="R98" i="17" s="1"/>
  <c r="O128" i="18" l="1"/>
  <c r="P128" i="18" s="1"/>
  <c r="Q128" i="18" s="1"/>
  <c r="R128" i="18" s="1"/>
  <c r="M128" i="18"/>
  <c r="N128" i="18" s="1" a="1"/>
  <c r="N128" i="18" s="1"/>
  <c r="O127" i="18"/>
  <c r="P127" i="18" s="1"/>
  <c r="Q127" i="18" s="1"/>
  <c r="R127" i="18" s="1"/>
  <c r="M127" i="18"/>
  <c r="N127" i="18" s="1" a="1"/>
  <c r="N127" i="18" s="1"/>
  <c r="O126" i="18"/>
  <c r="P126" i="18" s="1"/>
  <c r="Q126" i="18" s="1"/>
  <c r="R126" i="18" s="1"/>
  <c r="M126" i="18"/>
  <c r="N126" i="18" s="1" a="1"/>
  <c r="N126" i="18" s="1"/>
  <c r="O125" i="18"/>
  <c r="P125" i="18" s="1"/>
  <c r="Q125" i="18" s="1"/>
  <c r="R125" i="18" s="1"/>
  <c r="M125" i="18"/>
  <c r="N125" i="18" s="1" a="1"/>
  <c r="N125" i="18" s="1"/>
  <c r="O124" i="18"/>
  <c r="P124" i="18" s="1"/>
  <c r="Q124" i="18" s="1"/>
  <c r="R124" i="18" s="1"/>
  <c r="M124" i="18"/>
  <c r="N124" i="18" s="1" a="1"/>
  <c r="N124" i="18" s="1"/>
  <c r="O123" i="18"/>
  <c r="P123" i="18" s="1"/>
  <c r="Q123" i="18" s="1"/>
  <c r="R123" i="18" s="1"/>
  <c r="M123" i="18"/>
  <c r="N123" i="18" s="1" a="1"/>
  <c r="N123" i="18" s="1"/>
  <c r="O122" i="18"/>
  <c r="M122" i="18"/>
  <c r="N122" i="18" s="1" a="1"/>
  <c r="N122" i="18" s="1"/>
  <c r="O121" i="18"/>
  <c r="M121" i="18"/>
  <c r="N121" i="18" s="1" a="1"/>
  <c r="N121" i="18" s="1"/>
  <c r="O120" i="18"/>
  <c r="M120" i="18"/>
  <c r="N120" i="18" s="1" a="1"/>
  <c r="N120" i="18" s="1"/>
  <c r="O119" i="18"/>
  <c r="M119" i="18"/>
  <c r="N119" i="18" s="1" a="1"/>
  <c r="N119" i="18" s="1"/>
  <c r="O118" i="18"/>
  <c r="M118" i="18"/>
  <c r="N118" i="18" s="1" a="1"/>
  <c r="N118" i="18" s="1"/>
  <c r="O117" i="18"/>
  <c r="M117" i="18"/>
  <c r="N117" i="18" s="1" a="1"/>
  <c r="N117" i="18" s="1"/>
  <c r="O116" i="18"/>
  <c r="M116" i="18"/>
  <c r="N116" i="18" s="1" a="1"/>
  <c r="N116" i="18" s="1"/>
  <c r="O115" i="18"/>
  <c r="M115" i="18"/>
  <c r="N115" i="18" s="1" a="1"/>
  <c r="N115" i="18" s="1"/>
  <c r="O114" i="18"/>
  <c r="M114" i="18"/>
  <c r="N114" i="18" s="1" a="1"/>
  <c r="N114" i="18" s="1"/>
  <c r="O113" i="18"/>
  <c r="P113" i="18" s="1"/>
  <c r="Q113" i="18" s="1"/>
  <c r="R113" i="18" s="1"/>
  <c r="M113" i="18"/>
  <c r="N113" i="18" s="1" a="1"/>
  <c r="N113" i="18" s="1"/>
  <c r="O112" i="18"/>
  <c r="P112" i="18" s="1"/>
  <c r="Q112" i="18" s="1"/>
  <c r="R112" i="18" s="1"/>
  <c r="M112" i="18"/>
  <c r="N112" i="18" s="1" a="1"/>
  <c r="N112" i="18" s="1"/>
  <c r="O111" i="18"/>
  <c r="P111" i="18" s="1"/>
  <c r="Q111" i="18" s="1"/>
  <c r="R111" i="18" s="1"/>
  <c r="M111" i="18"/>
  <c r="N111" i="18" s="1" a="1"/>
  <c r="N111" i="18" s="1"/>
  <c r="O110" i="18"/>
  <c r="P110" i="18" s="1"/>
  <c r="Q110" i="18" s="1"/>
  <c r="R110" i="18" s="1"/>
  <c r="M110" i="18"/>
  <c r="N110" i="18" s="1" a="1"/>
  <c r="N110" i="18" s="1"/>
  <c r="O109" i="18"/>
  <c r="P109" i="18" s="1"/>
  <c r="Q109" i="18" s="1"/>
  <c r="R109" i="18" s="1"/>
  <c r="M109" i="18"/>
  <c r="N109" i="18" s="1" a="1"/>
  <c r="N109" i="18" s="1"/>
  <c r="O108" i="18"/>
  <c r="P108" i="18" s="1"/>
  <c r="Q108" i="18" s="1"/>
  <c r="R108" i="18" s="1"/>
  <c r="M108" i="18"/>
  <c r="N108" i="18" s="1" a="1"/>
  <c r="N108" i="18" s="1"/>
  <c r="O107" i="18"/>
  <c r="P107" i="18" s="1"/>
  <c r="Q107" i="18" s="1"/>
  <c r="R107" i="18" s="1"/>
  <c r="M107" i="18"/>
  <c r="N107" i="18" s="1" a="1"/>
  <c r="N107" i="18" s="1"/>
  <c r="O106" i="18"/>
  <c r="M106" i="18"/>
  <c r="N106" i="18" s="1" a="1"/>
  <c r="N106" i="18" s="1"/>
  <c r="O105" i="18"/>
  <c r="M105" i="18"/>
  <c r="N105" i="18" s="1" a="1"/>
  <c r="N105" i="18" s="1"/>
  <c r="O104" i="18"/>
  <c r="M104" i="18"/>
  <c r="N104" i="18" s="1" a="1"/>
  <c r="N104" i="18" s="1"/>
  <c r="O103" i="18"/>
  <c r="M103" i="18"/>
  <c r="N103" i="18" s="1" a="1"/>
  <c r="N103" i="18" s="1"/>
  <c r="O102" i="18"/>
  <c r="M102" i="18"/>
  <c r="N102" i="18" s="1" a="1"/>
  <c r="N102" i="18" s="1"/>
  <c r="O101" i="18"/>
  <c r="M101" i="18"/>
  <c r="N101" i="18" s="1" a="1"/>
  <c r="N101" i="18" s="1"/>
  <c r="O100" i="18"/>
  <c r="M100" i="18"/>
  <c r="N100" i="18" s="1" a="1"/>
  <c r="N100" i="18" s="1"/>
  <c r="O99" i="18"/>
  <c r="P99" i="18" s="1"/>
  <c r="Q99" i="18" s="1"/>
  <c r="R99" i="18" s="1"/>
  <c r="M99" i="18"/>
  <c r="N99" i="18" s="1" a="1"/>
  <c r="N99" i="18" s="1"/>
  <c r="O98" i="18"/>
  <c r="P98" i="18" s="1"/>
  <c r="Q98" i="18" s="1"/>
  <c r="R98" i="18" s="1"/>
  <c r="M98" i="18"/>
  <c r="N98" i="18" s="1" a="1"/>
  <c r="N98" i="18" s="1"/>
  <c r="O97" i="18"/>
  <c r="P97" i="18" s="1"/>
  <c r="Q97" i="18" s="1"/>
  <c r="R97" i="18" s="1"/>
  <c r="M97" i="18"/>
  <c r="N97" i="18" s="1" a="1"/>
  <c r="N97" i="18" s="1"/>
  <c r="O96" i="18"/>
  <c r="P96" i="18" s="1"/>
  <c r="Q96" i="18" s="1"/>
  <c r="R96" i="18" s="1"/>
  <c r="M96" i="18"/>
  <c r="N96" i="18" s="1" a="1"/>
  <c r="N96" i="18" s="1"/>
  <c r="O95" i="18"/>
  <c r="P95" i="18" s="1"/>
  <c r="Q95" i="18" s="1"/>
  <c r="R95" i="18" s="1"/>
  <c r="M95" i="18"/>
  <c r="N95" i="18" s="1" a="1"/>
  <c r="N95" i="18" s="1"/>
  <c r="O94" i="18"/>
  <c r="P94" i="18" s="1"/>
  <c r="Q94" i="18" s="1"/>
  <c r="R94" i="18" s="1"/>
  <c r="M94" i="18"/>
  <c r="N94" i="18" s="1" a="1"/>
  <c r="N94" i="18" s="1"/>
  <c r="O93" i="18"/>
  <c r="P93" i="18" s="1"/>
  <c r="Q93" i="18" s="1"/>
  <c r="R93" i="18" s="1"/>
  <c r="M93" i="18"/>
  <c r="N93" i="18" s="1" a="1"/>
  <c r="N93" i="18" s="1"/>
  <c r="O92" i="18"/>
  <c r="P92" i="18" s="1"/>
  <c r="Q92" i="18" s="1"/>
  <c r="R92" i="18" s="1"/>
  <c r="M92" i="18"/>
  <c r="N92" i="18" s="1" a="1"/>
  <c r="N92" i="18" s="1"/>
  <c r="O91" i="18"/>
  <c r="M91" i="18"/>
  <c r="N91" i="18" s="1" a="1"/>
  <c r="N91" i="18" s="1"/>
  <c r="O90" i="18"/>
  <c r="M90" i="18"/>
  <c r="N90" i="18" s="1" a="1"/>
  <c r="N90" i="18" s="1"/>
  <c r="O89" i="18"/>
  <c r="M89" i="18"/>
  <c r="N89" i="18" s="1" a="1"/>
  <c r="N89" i="18" s="1"/>
  <c r="O88" i="18"/>
  <c r="M88" i="18"/>
  <c r="N88" i="18" s="1" a="1"/>
  <c r="N88" i="18" s="1"/>
  <c r="O87" i="18"/>
  <c r="P87" i="18" s="1"/>
  <c r="Q87" i="18" s="1"/>
  <c r="R87" i="18" s="1"/>
  <c r="M87" i="18"/>
  <c r="N87" i="18" s="1" a="1"/>
  <c r="N87" i="18" s="1"/>
  <c r="O86" i="18"/>
  <c r="M86" i="18"/>
  <c r="N86" i="18" s="1" a="1"/>
  <c r="N86" i="18" s="1"/>
  <c r="O85" i="18"/>
  <c r="M85" i="18"/>
  <c r="N85" i="18" s="1" a="1"/>
  <c r="N85" i="18" s="1"/>
  <c r="O84" i="18"/>
  <c r="M84" i="18"/>
  <c r="N84" i="18" s="1" a="1"/>
  <c r="N84" i="18" s="1"/>
  <c r="O83" i="18"/>
  <c r="P83" i="18" s="1"/>
  <c r="Q83" i="18" s="1"/>
  <c r="R83" i="18" s="1"/>
  <c r="M83" i="18"/>
  <c r="N83" i="18" s="1" a="1"/>
  <c r="N83" i="18" s="1"/>
  <c r="O82" i="18"/>
  <c r="P82" i="18" s="1"/>
  <c r="Q82" i="18" s="1"/>
  <c r="R82" i="18" s="1"/>
  <c r="M82" i="18"/>
  <c r="N82" i="18" s="1" a="1"/>
  <c r="N82" i="18" s="1"/>
  <c r="O81" i="18"/>
  <c r="P81" i="18" s="1"/>
  <c r="Q81" i="18" s="1"/>
  <c r="R81" i="18" s="1"/>
  <c r="M81" i="18"/>
  <c r="N81" i="18" s="1" a="1"/>
  <c r="N81" i="18" s="1"/>
  <c r="O80" i="18"/>
  <c r="P80" i="18" s="1"/>
  <c r="Q80" i="18" s="1"/>
  <c r="R80" i="18" s="1"/>
  <c r="M80" i="18"/>
  <c r="N80" i="18" s="1" a="1"/>
  <c r="N80" i="18" s="1"/>
  <c r="O79" i="18"/>
  <c r="P79" i="18" s="1"/>
  <c r="Q79" i="18" s="1"/>
  <c r="R79" i="18" s="1"/>
  <c r="M79" i="18"/>
  <c r="N79" i="18" s="1" a="1"/>
  <c r="N79" i="18" s="1"/>
  <c r="O78" i="18"/>
  <c r="P78" i="18" s="1"/>
  <c r="Q78" i="18" s="1"/>
  <c r="R78" i="18" s="1"/>
  <c r="M78" i="18"/>
  <c r="N78" i="18" s="1" a="1"/>
  <c r="N78" i="18" s="1"/>
  <c r="O77" i="18"/>
  <c r="P77" i="18" s="1"/>
  <c r="Q77" i="18" s="1"/>
  <c r="R77" i="18" s="1"/>
  <c r="M77" i="18"/>
  <c r="N77" i="18" s="1" a="1"/>
  <c r="N77" i="18" s="1"/>
  <c r="O76" i="18"/>
  <c r="M76" i="18"/>
  <c r="N76" i="18" s="1" a="1"/>
  <c r="N76" i="18" s="1"/>
  <c r="O75" i="18"/>
  <c r="P75" i="18" s="1"/>
  <c r="Q75" i="18" s="1"/>
  <c r="R75" i="18" s="1"/>
  <c r="M75" i="18"/>
  <c r="N75" i="18" s="1" a="1"/>
  <c r="N75" i="18" s="1"/>
  <c r="O74" i="18"/>
  <c r="M74" i="18"/>
  <c r="N74" i="18" s="1" a="1"/>
  <c r="N74" i="18" s="1"/>
  <c r="O73" i="18"/>
  <c r="M73" i="18"/>
  <c r="N73" i="18" s="1" a="1"/>
  <c r="N73" i="18" s="1"/>
  <c r="O72" i="18"/>
  <c r="M72" i="18"/>
  <c r="N72" i="18" s="1" a="1"/>
  <c r="N72" i="18" s="1"/>
  <c r="O71" i="18"/>
  <c r="P71" i="18" s="1"/>
  <c r="Q71" i="18" s="1"/>
  <c r="R71" i="18" s="1"/>
  <c r="M71" i="18"/>
  <c r="N71" i="18" s="1" a="1"/>
  <c r="N71" i="18" s="1"/>
  <c r="O70" i="18"/>
  <c r="M70" i="18"/>
  <c r="N70" i="18" s="1" a="1"/>
  <c r="N70" i="18" s="1"/>
  <c r="O69" i="18"/>
  <c r="M69" i="18"/>
  <c r="N69" i="18" s="1" a="1"/>
  <c r="N69" i="18" s="1"/>
  <c r="O68" i="18"/>
  <c r="P68" i="18" s="1"/>
  <c r="Q68" i="18" s="1"/>
  <c r="R68" i="18" s="1"/>
  <c r="M68" i="18"/>
  <c r="N68" i="18" s="1" a="1"/>
  <c r="N68" i="18" s="1"/>
  <c r="O67" i="18"/>
  <c r="P67" i="18" s="1"/>
  <c r="Q67" i="18" s="1"/>
  <c r="R67" i="18" s="1"/>
  <c r="M67" i="18"/>
  <c r="N67" i="18" s="1" a="1"/>
  <c r="N67" i="18" s="1"/>
  <c r="O66" i="18"/>
  <c r="P66" i="18" s="1"/>
  <c r="Q66" i="18" s="1"/>
  <c r="R66" i="18" s="1"/>
  <c r="M66" i="18"/>
  <c r="N66" i="18" s="1" a="1"/>
  <c r="N66" i="18" s="1"/>
  <c r="O65" i="18"/>
  <c r="P65" i="18" s="1"/>
  <c r="Q65" i="18" s="1"/>
  <c r="R65" i="18" s="1"/>
  <c r="M65" i="18"/>
  <c r="N65" i="18" s="1" a="1"/>
  <c r="N65" i="18" s="1"/>
  <c r="O64" i="18"/>
  <c r="P64" i="18" s="1"/>
  <c r="Q64" i="18" s="1"/>
  <c r="R64" i="18" s="1"/>
  <c r="M64" i="18"/>
  <c r="N64" i="18" s="1" a="1"/>
  <c r="N64" i="18" s="1"/>
  <c r="O63" i="18"/>
  <c r="P63" i="18" s="1"/>
  <c r="Q63" i="18" s="1"/>
  <c r="R63" i="18" s="1"/>
  <c r="M63" i="18"/>
  <c r="N63" i="18" s="1" a="1"/>
  <c r="N63" i="18" s="1"/>
  <c r="O62" i="18"/>
  <c r="P62" i="18" s="1"/>
  <c r="Q62" i="18" s="1"/>
  <c r="R62" i="18" s="1"/>
  <c r="M62" i="18"/>
  <c r="N62" i="18" s="1" a="1"/>
  <c r="N62" i="18" s="1"/>
  <c r="O61" i="18"/>
  <c r="M61" i="18"/>
  <c r="N61" i="18" s="1" a="1"/>
  <c r="N61" i="18" s="1"/>
  <c r="O60" i="18"/>
  <c r="M60" i="18"/>
  <c r="N60" i="18" s="1" a="1"/>
  <c r="N60" i="18" s="1"/>
  <c r="O59" i="18"/>
  <c r="P59" i="18" s="1"/>
  <c r="Q59" i="18" s="1"/>
  <c r="R59" i="18" s="1"/>
  <c r="M59" i="18"/>
  <c r="N59" i="18" s="1" a="1"/>
  <c r="N59" i="18" s="1"/>
  <c r="O58" i="18"/>
  <c r="M58" i="18"/>
  <c r="N58" i="18" s="1" a="1"/>
  <c r="N58" i="18" s="1"/>
  <c r="O57" i="18"/>
  <c r="M57" i="18"/>
  <c r="N57" i="18" s="1" a="1"/>
  <c r="N57" i="18" s="1"/>
  <c r="O56" i="18"/>
  <c r="M56" i="18"/>
  <c r="N56" i="18" s="1" a="1"/>
  <c r="N56" i="18" s="1"/>
  <c r="O55" i="18"/>
  <c r="M55" i="18"/>
  <c r="N55" i="18" s="1" a="1"/>
  <c r="N55" i="18" s="1"/>
  <c r="O54" i="18"/>
  <c r="M54" i="18"/>
  <c r="N54" i="18" s="1" a="1"/>
  <c r="N54" i="18" s="1"/>
  <c r="O53" i="18"/>
  <c r="P53" i="18" s="1"/>
  <c r="Q53" i="18" s="1"/>
  <c r="R53" i="18" s="1"/>
  <c r="M53" i="18"/>
  <c r="N53" i="18" s="1" a="1"/>
  <c r="N53" i="18" s="1"/>
  <c r="O52" i="18"/>
  <c r="P52" i="18" s="1"/>
  <c r="Q52" i="18" s="1"/>
  <c r="R52" i="18" s="1"/>
  <c r="M52" i="18"/>
  <c r="N52" i="18" s="1" a="1"/>
  <c r="N52" i="18" s="1"/>
  <c r="O51" i="18"/>
  <c r="P51" i="18" s="1"/>
  <c r="Q51" i="18" s="1"/>
  <c r="R51" i="18" s="1"/>
  <c r="M51" i="18"/>
  <c r="N51" i="18" s="1" a="1"/>
  <c r="N51" i="18" s="1"/>
  <c r="O50" i="18"/>
  <c r="P50" i="18" s="1"/>
  <c r="Q50" i="18" s="1"/>
  <c r="R50" i="18" s="1"/>
  <c r="M50" i="18"/>
  <c r="N50" i="18" s="1" a="1"/>
  <c r="N50" i="18" s="1"/>
  <c r="O49" i="18"/>
  <c r="P49" i="18" s="1"/>
  <c r="Q49" i="18" s="1"/>
  <c r="R49" i="18" s="1"/>
  <c r="M49" i="18"/>
  <c r="N49" i="18" s="1" a="1"/>
  <c r="N49" i="18" s="1"/>
  <c r="O48" i="18"/>
  <c r="P48" i="18" s="1"/>
  <c r="Q48" i="18" s="1"/>
  <c r="R48" i="18" s="1"/>
  <c r="M48" i="18"/>
  <c r="N48" i="18" s="1" a="1"/>
  <c r="N48" i="18" s="1"/>
  <c r="O47" i="18"/>
  <c r="P47" i="18" s="1"/>
  <c r="Q47" i="18" s="1"/>
  <c r="R47" i="18" s="1"/>
  <c r="M47" i="18"/>
  <c r="N47" i="18" s="1" a="1"/>
  <c r="N47" i="18" s="1"/>
  <c r="O46" i="18"/>
  <c r="M46" i="18"/>
  <c r="N46" i="18" s="1" a="1"/>
  <c r="N46" i="18" s="1"/>
  <c r="O45" i="18"/>
  <c r="M45" i="18"/>
  <c r="N45" i="18" s="1" a="1"/>
  <c r="N45" i="18" s="1"/>
  <c r="O44" i="18"/>
  <c r="M44" i="18"/>
  <c r="N44" i="18" s="1" a="1"/>
  <c r="N44" i="18" s="1"/>
  <c r="O43" i="18"/>
  <c r="M43" i="18"/>
  <c r="N43" i="18" s="1" a="1"/>
  <c r="N43" i="18" s="1"/>
  <c r="O42" i="18"/>
  <c r="M42" i="18"/>
  <c r="N42" i="18" s="1" a="1"/>
  <c r="N42" i="18" s="1"/>
  <c r="O41" i="18"/>
  <c r="M41" i="18"/>
  <c r="N41" i="18" s="1" a="1"/>
  <c r="N41" i="18" s="1"/>
  <c r="O40" i="18"/>
  <c r="P40" i="18" s="1"/>
  <c r="Q40" i="18" s="1"/>
  <c r="R40" i="18" s="1"/>
  <c r="M40" i="18"/>
  <c r="N40" i="18" s="1" a="1"/>
  <c r="N40" i="18" s="1"/>
  <c r="O39" i="18"/>
  <c r="P39" i="18" s="1"/>
  <c r="Q39" i="18" s="1"/>
  <c r="R39" i="18" s="1"/>
  <c r="M39" i="18"/>
  <c r="N39" i="18" s="1" a="1"/>
  <c r="N39" i="18" s="1"/>
  <c r="O38" i="18"/>
  <c r="P38" i="18" s="1"/>
  <c r="Q38" i="18" s="1"/>
  <c r="R38" i="18" s="1"/>
  <c r="M38" i="18"/>
  <c r="N38" i="18" s="1" a="1"/>
  <c r="N38" i="18" s="1"/>
  <c r="O37" i="18"/>
  <c r="P37" i="18" s="1"/>
  <c r="Q37" i="18" s="1"/>
  <c r="R37" i="18" s="1"/>
  <c r="M37" i="18"/>
  <c r="N37" i="18" s="1" a="1"/>
  <c r="N37" i="18" s="1"/>
  <c r="O36" i="18"/>
  <c r="P36" i="18" s="1"/>
  <c r="Q36" i="18" s="1"/>
  <c r="R36" i="18" s="1"/>
  <c r="M36" i="18"/>
  <c r="N36" i="18" s="1" a="1"/>
  <c r="N36" i="18" s="1"/>
  <c r="O35" i="18"/>
  <c r="P35" i="18" s="1"/>
  <c r="Q35" i="18" s="1"/>
  <c r="R35" i="18" s="1"/>
  <c r="M35" i="18"/>
  <c r="N35" i="18" s="1" a="1"/>
  <c r="N35" i="18" s="1"/>
  <c r="O34" i="18"/>
  <c r="P34" i="18" s="1"/>
  <c r="Q34" i="18" s="1"/>
  <c r="R34" i="18" s="1"/>
  <c r="M34" i="18"/>
  <c r="N34" i="18" s="1" a="1"/>
  <c r="N34" i="18" s="1"/>
  <c r="O33" i="18"/>
  <c r="M33" i="18"/>
  <c r="N33" i="18" s="1" a="1"/>
  <c r="N33" i="18" s="1"/>
  <c r="O32" i="18"/>
  <c r="M32" i="18"/>
  <c r="N32" i="18" s="1" a="1"/>
  <c r="N32" i="18" s="1"/>
  <c r="O31" i="18"/>
  <c r="M31" i="18"/>
  <c r="N31" i="18" s="1" a="1"/>
  <c r="N31" i="18" s="1"/>
  <c r="O30" i="18"/>
  <c r="M30" i="18"/>
  <c r="N30" i="18" s="1" a="1"/>
  <c r="N30" i="18" s="1"/>
  <c r="O29" i="18"/>
  <c r="M29" i="18"/>
  <c r="N29" i="18" s="1" a="1"/>
  <c r="N29" i="18" s="1"/>
  <c r="O28" i="18"/>
  <c r="P28" i="18" s="1"/>
  <c r="Q28" i="18" s="1"/>
  <c r="R28" i="18" s="1"/>
  <c r="M28" i="18"/>
  <c r="N28" i="18" s="1" a="1"/>
  <c r="N28" i="18" s="1"/>
  <c r="O27" i="18"/>
  <c r="P27" i="18" s="1"/>
  <c r="Q27" i="18" s="1"/>
  <c r="R27" i="18" s="1"/>
  <c r="M27" i="18"/>
  <c r="N27" i="18" s="1" a="1"/>
  <c r="N27" i="18" s="1"/>
  <c r="O26" i="18"/>
  <c r="M26" i="18"/>
  <c r="N26" i="18" s="1" a="1"/>
  <c r="N26" i="18" s="1"/>
  <c r="O25" i="18"/>
  <c r="M25" i="18"/>
  <c r="N25" i="18" s="1" a="1"/>
  <c r="N25" i="18" s="1"/>
  <c r="O24" i="18"/>
  <c r="M24" i="18"/>
  <c r="N24" i="18" s="1" a="1"/>
  <c r="N24" i="18" s="1"/>
  <c r="O23" i="18"/>
  <c r="P23" i="18" s="1"/>
  <c r="Q23" i="18" s="1"/>
  <c r="R23" i="18" s="1"/>
  <c r="M23" i="18"/>
  <c r="N23" i="18" s="1" a="1"/>
  <c r="N23" i="18" s="1"/>
  <c r="O22" i="18"/>
  <c r="P22" i="18" s="1"/>
  <c r="Q22" i="18" s="1"/>
  <c r="R22" i="18" s="1"/>
  <c r="M22" i="18"/>
  <c r="N22" i="18" s="1" a="1"/>
  <c r="N22" i="18" s="1"/>
  <c r="O21" i="18"/>
  <c r="P21" i="18" s="1"/>
  <c r="Q21" i="18" s="1"/>
  <c r="R21" i="18" s="1"/>
  <c r="M21" i="18"/>
  <c r="N21" i="18" s="1" a="1"/>
  <c r="N21" i="18" s="1"/>
  <c r="O20" i="18"/>
  <c r="P20" i="18" s="1"/>
  <c r="Q20" i="18" s="1"/>
  <c r="R20" i="18" s="1"/>
  <c r="M20" i="18"/>
  <c r="N20" i="18" s="1" a="1"/>
  <c r="N20" i="18" s="1"/>
  <c r="O19" i="18"/>
  <c r="P19" i="18" s="1"/>
  <c r="Q19" i="18" s="1"/>
  <c r="R19" i="18" s="1"/>
  <c r="M19" i="18"/>
  <c r="N19" i="18" s="1" a="1"/>
  <c r="N19" i="18" s="1"/>
  <c r="O18" i="18"/>
  <c r="M18" i="18"/>
  <c r="N18" i="18" s="1" a="1"/>
  <c r="N18" i="18" s="1"/>
  <c r="O17" i="18"/>
  <c r="M17" i="18"/>
  <c r="N17" i="18" s="1" a="1"/>
  <c r="N17" i="18" s="1"/>
  <c r="O16" i="18"/>
  <c r="P16" i="18" s="1"/>
  <c r="Q16" i="18" s="1"/>
  <c r="R16" i="18" s="1"/>
  <c r="M16" i="18"/>
  <c r="N16" i="18" s="1" a="1"/>
  <c r="N16" i="18" s="1"/>
  <c r="O15" i="18"/>
  <c r="P15" i="18" s="1"/>
  <c r="Q15" i="18" s="1"/>
  <c r="R15" i="18" s="1"/>
  <c r="M15" i="18"/>
  <c r="N15" i="18" s="1" a="1"/>
  <c r="N15" i="18" s="1"/>
  <c r="O14" i="18"/>
  <c r="M14" i="18"/>
  <c r="N14" i="18" s="1" a="1"/>
  <c r="N14" i="18" s="1"/>
  <c r="M13" i="18"/>
  <c r="N13" i="18" s="1" a="1"/>
  <c r="N13" i="18" s="1"/>
  <c r="O12" i="18"/>
  <c r="M12" i="18"/>
  <c r="N12" i="18" s="1" a="1"/>
  <c r="N12" i="18" s="1"/>
  <c r="O11" i="18"/>
  <c r="M11" i="18"/>
  <c r="N11" i="18" s="1" a="1"/>
  <c r="N11" i="18" s="1"/>
  <c r="O10" i="18"/>
  <c r="M10" i="18"/>
  <c r="N10" i="18" s="1" a="1"/>
  <c r="N10" i="18" s="1"/>
  <c r="O9" i="18"/>
  <c r="M9" i="18"/>
  <c r="N9" i="18" s="1" a="1"/>
  <c r="N9" i="18" s="1"/>
  <c r="F4" i="18"/>
  <c r="F5" i="18"/>
  <c r="F6" i="18"/>
  <c r="F7" i="18"/>
  <c r="P13" i="18" s="1"/>
  <c r="Q13" i="18" s="1"/>
  <c r="R13" i="18" s="1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7" i="18"/>
  <c r="F68" i="18"/>
  <c r="F69" i="18"/>
  <c r="F70" i="18"/>
  <c r="F71" i="18"/>
  <c r="F72" i="18"/>
  <c r="F73" i="18"/>
  <c r="F74" i="18"/>
  <c r="F75" i="18"/>
  <c r="F76" i="18"/>
  <c r="F77" i="18"/>
  <c r="F78" i="18"/>
  <c r="F79" i="18"/>
  <c r="F80" i="18"/>
  <c r="F81" i="18"/>
  <c r="F82" i="18"/>
  <c r="F83" i="18"/>
  <c r="F84" i="18"/>
  <c r="F85" i="18"/>
  <c r="F86" i="18"/>
  <c r="F87" i="18"/>
  <c r="F88" i="18"/>
  <c r="F89" i="18"/>
  <c r="F90" i="18"/>
  <c r="F91" i="18"/>
  <c r="F92" i="18"/>
  <c r="F93" i="18"/>
  <c r="F94" i="18"/>
  <c r="F95" i="18"/>
  <c r="F96" i="18"/>
  <c r="F97" i="18"/>
  <c r="F98" i="18"/>
  <c r="F99" i="18"/>
  <c r="F100" i="18"/>
  <c r="F101" i="18"/>
  <c r="F102" i="18"/>
  <c r="F103" i="18"/>
  <c r="F104" i="18"/>
  <c r="F105" i="18"/>
  <c r="F106" i="18"/>
  <c r="F107" i="18"/>
  <c r="F108" i="18"/>
  <c r="F109" i="18"/>
  <c r="F110" i="18"/>
  <c r="F111" i="18"/>
  <c r="F112" i="18"/>
  <c r="F113" i="18"/>
  <c r="F114" i="18"/>
  <c r="F115" i="18"/>
  <c r="F116" i="18"/>
  <c r="F117" i="18"/>
  <c r="F118" i="18"/>
  <c r="F119" i="18"/>
  <c r="F120" i="18"/>
  <c r="F121" i="18"/>
  <c r="F122" i="18"/>
  <c r="F3" i="18"/>
  <c r="P9" i="18" s="1"/>
  <c r="Q9" i="18" s="1"/>
  <c r="R9" i="18" s="1"/>
  <c r="P76" i="18" l="1"/>
  <c r="Q76" i="18" s="1"/>
  <c r="R76" i="18" s="1"/>
  <c r="P100" i="18"/>
  <c r="Q100" i="18" s="1"/>
  <c r="R100" i="18" s="1"/>
  <c r="P88" i="18"/>
  <c r="Q88" i="18" s="1"/>
  <c r="R88" i="18" s="1"/>
  <c r="P119" i="18"/>
  <c r="Q119" i="18" s="1"/>
  <c r="R119" i="18" s="1"/>
  <c r="P24" i="18"/>
  <c r="Q24" i="18" s="1"/>
  <c r="R24" i="18" s="1"/>
  <c r="P60" i="18"/>
  <c r="Q60" i="18" s="1"/>
  <c r="R60" i="18" s="1"/>
  <c r="P72" i="18"/>
  <c r="Q72" i="18" s="1"/>
  <c r="R72" i="18" s="1"/>
  <c r="P84" i="18"/>
  <c r="Q84" i="18" s="1"/>
  <c r="R84" i="18" s="1"/>
  <c r="P120" i="18"/>
  <c r="Q120" i="18" s="1"/>
  <c r="R120" i="18" s="1"/>
  <c r="P58" i="18"/>
  <c r="Q58" i="18" s="1"/>
  <c r="R58" i="18" s="1"/>
  <c r="P118" i="18"/>
  <c r="Q118" i="18" s="1"/>
  <c r="R118" i="18" s="1"/>
  <c r="P46" i="18"/>
  <c r="Q46" i="18" s="1"/>
  <c r="R46" i="18" s="1"/>
  <c r="P70" i="18"/>
  <c r="Q70" i="18" s="1"/>
  <c r="R70" i="18" s="1"/>
  <c r="P106" i="18"/>
  <c r="Q106" i="18" s="1"/>
  <c r="R106" i="18" s="1"/>
  <c r="P11" i="18"/>
  <c r="Q11" i="18" s="1"/>
  <c r="R11" i="18" s="1"/>
  <c r="P12" i="18"/>
  <c r="Q12" i="18" s="1"/>
  <c r="R12" i="18" s="1"/>
  <c r="P10" i="18"/>
  <c r="Q10" i="18" s="1"/>
  <c r="R10" i="18" s="1"/>
  <c r="P45" i="18"/>
  <c r="Q45" i="18" s="1"/>
  <c r="R45" i="18" s="1"/>
  <c r="P69" i="18"/>
  <c r="Q69" i="18" s="1"/>
  <c r="R69" i="18" s="1"/>
  <c r="P105" i="18"/>
  <c r="Q105" i="18" s="1"/>
  <c r="R105" i="18" s="1"/>
  <c r="P29" i="18"/>
  <c r="Q29" i="18" s="1"/>
  <c r="R29" i="18" s="1"/>
  <c r="P41" i="18"/>
  <c r="Q41" i="18" s="1"/>
  <c r="R41" i="18" s="1"/>
  <c r="P101" i="18"/>
  <c r="Q101" i="18" s="1"/>
  <c r="R101" i="18" s="1"/>
  <c r="P18" i="18"/>
  <c r="Q18" i="18" s="1"/>
  <c r="R18" i="18" s="1"/>
  <c r="P42" i="18"/>
  <c r="Q42" i="18" s="1"/>
  <c r="R42" i="18" s="1"/>
  <c r="P54" i="18"/>
  <c r="Q54" i="18" s="1"/>
  <c r="R54" i="18" s="1"/>
  <c r="P90" i="18"/>
  <c r="Q90" i="18" s="1"/>
  <c r="R90" i="18" s="1"/>
  <c r="P102" i="18"/>
  <c r="Q102" i="18" s="1"/>
  <c r="R102" i="18" s="1"/>
  <c r="P25" i="18"/>
  <c r="Q25" i="18" s="1"/>
  <c r="R25" i="18" s="1"/>
  <c r="P43" i="18"/>
  <c r="Q43" i="18" s="1"/>
  <c r="R43" i="18" s="1"/>
  <c r="P55" i="18"/>
  <c r="Q55" i="18" s="1"/>
  <c r="R55" i="18" s="1"/>
  <c r="P61" i="18"/>
  <c r="Q61" i="18" s="1"/>
  <c r="R61" i="18" s="1"/>
  <c r="P73" i="18"/>
  <c r="Q73" i="18" s="1"/>
  <c r="R73" i="18" s="1"/>
  <c r="P85" i="18"/>
  <c r="Q85" i="18" s="1"/>
  <c r="R85" i="18" s="1"/>
  <c r="P91" i="18"/>
  <c r="Q91" i="18" s="1"/>
  <c r="R91" i="18" s="1"/>
  <c r="P103" i="18"/>
  <c r="Q103" i="18" s="1"/>
  <c r="R103" i="18" s="1"/>
  <c r="P115" i="18"/>
  <c r="Q115" i="18" s="1"/>
  <c r="R115" i="18" s="1"/>
  <c r="P33" i="18"/>
  <c r="Q33" i="18" s="1"/>
  <c r="R33" i="18" s="1"/>
  <c r="P57" i="18"/>
  <c r="Q57" i="18" s="1"/>
  <c r="R57" i="18" s="1"/>
  <c r="P117" i="18"/>
  <c r="Q117" i="18" s="1"/>
  <c r="R117" i="18" s="1"/>
  <c r="P17" i="18"/>
  <c r="Q17" i="18" s="1"/>
  <c r="R17" i="18" s="1"/>
  <c r="P89" i="18"/>
  <c r="Q89" i="18" s="1"/>
  <c r="R89" i="18" s="1"/>
  <c r="P30" i="18"/>
  <c r="Q30" i="18" s="1"/>
  <c r="R30" i="18" s="1"/>
  <c r="P114" i="18"/>
  <c r="Q114" i="18" s="1"/>
  <c r="R114" i="18" s="1"/>
  <c r="P31" i="18"/>
  <c r="Q31" i="18" s="1"/>
  <c r="R31" i="18" s="1"/>
  <c r="P121" i="18"/>
  <c r="Q121" i="18" s="1"/>
  <c r="R121" i="18" s="1"/>
  <c r="P14" i="18"/>
  <c r="Q14" i="18" s="1"/>
  <c r="R14" i="18" s="1"/>
  <c r="P26" i="18"/>
  <c r="Q26" i="18" s="1"/>
  <c r="R26" i="18" s="1"/>
  <c r="P32" i="18"/>
  <c r="Q32" i="18" s="1"/>
  <c r="R32" i="18" s="1"/>
  <c r="P44" i="18"/>
  <c r="Q44" i="18" s="1"/>
  <c r="R44" i="18" s="1"/>
  <c r="P56" i="18"/>
  <c r="Q56" i="18" s="1"/>
  <c r="R56" i="18" s="1"/>
  <c r="P74" i="18"/>
  <c r="Q74" i="18" s="1"/>
  <c r="R74" i="18" s="1"/>
  <c r="P86" i="18"/>
  <c r="Q86" i="18" s="1"/>
  <c r="R86" i="18" s="1"/>
  <c r="P104" i="18"/>
  <c r="Q104" i="18" s="1"/>
  <c r="R104" i="18" s="1"/>
  <c r="P116" i="18"/>
  <c r="Q116" i="18" s="1"/>
  <c r="R116" i="18" s="1"/>
  <c r="P122" i="18"/>
  <c r="Q122" i="18" s="1"/>
  <c r="R122" i="18" s="1"/>
  <c r="F98" i="8" l="1"/>
  <c r="M104" i="8"/>
  <c r="N104" i="8" s="1" a="1"/>
  <c r="N104" i="8" s="1"/>
  <c r="O104" i="8"/>
  <c r="P104" i="8" s="1"/>
  <c r="Q104" i="8" s="1"/>
  <c r="R104" i="8" s="1"/>
  <c r="F97" i="8"/>
  <c r="M103" i="8"/>
  <c r="N103" i="8" s="1" a="1"/>
  <c r="N103" i="8" s="1"/>
  <c r="O103" i="8"/>
  <c r="F96" i="8"/>
  <c r="M102" i="8"/>
  <c r="N102" i="8" s="1" a="1"/>
  <c r="N102" i="8" s="1"/>
  <c r="F95" i="8"/>
  <c r="M101" i="8"/>
  <c r="N101" i="8" s="1" a="1"/>
  <c r="N101" i="8" s="1"/>
  <c r="F94" i="8"/>
  <c r="M100" i="8"/>
  <c r="N100" i="8" s="1" a="1"/>
  <c r="N100" i="8" s="1"/>
  <c r="F93" i="8"/>
  <c r="M99" i="8"/>
  <c r="N99" i="8" s="1" a="1"/>
  <c r="N99" i="8" s="1"/>
  <c r="F92" i="8"/>
  <c r="M98" i="8"/>
  <c r="N98" i="8" s="1" a="1"/>
  <c r="N98" i="8" s="1"/>
  <c r="F91" i="8"/>
  <c r="M97" i="8"/>
  <c r="N97" i="8" s="1" a="1"/>
  <c r="N97" i="8" s="1"/>
  <c r="F90" i="8"/>
  <c r="M96" i="8"/>
  <c r="N96" i="8" s="1" a="1"/>
  <c r="N96" i="8" s="1"/>
  <c r="F89" i="8"/>
  <c r="M95" i="8"/>
  <c r="N95" i="8" s="1" a="1"/>
  <c r="N95" i="8" s="1"/>
  <c r="F88" i="8"/>
  <c r="M94" i="8"/>
  <c r="N94" i="8" s="1" a="1"/>
  <c r="N94" i="8" s="1"/>
  <c r="F87" i="8"/>
  <c r="M93" i="8"/>
  <c r="N93" i="8" s="1" a="1"/>
  <c r="N93" i="8" s="1"/>
  <c r="F86" i="8"/>
  <c r="M92" i="8"/>
  <c r="N92" i="8" s="1" a="1"/>
  <c r="N92" i="8" s="1"/>
  <c r="O92" i="8"/>
  <c r="P92" i="8" s="1"/>
  <c r="Q92" i="8" s="1"/>
  <c r="R92" i="8" s="1"/>
  <c r="F85" i="8"/>
  <c r="M91" i="8"/>
  <c r="N91" i="8" s="1" a="1"/>
  <c r="N91" i="8" s="1"/>
  <c r="F84" i="8"/>
  <c r="M90" i="8"/>
  <c r="N90" i="8" s="1" a="1"/>
  <c r="N90" i="8" s="1"/>
  <c r="F83" i="8"/>
  <c r="M89" i="8"/>
  <c r="N89" i="8" s="1" a="1"/>
  <c r="N89" i="8" s="1"/>
  <c r="F82" i="8"/>
  <c r="M88" i="8"/>
  <c r="N88" i="8" s="1" a="1"/>
  <c r="N88" i="8" s="1"/>
  <c r="B82" i="8"/>
  <c r="F81" i="8"/>
  <c r="M87" i="8"/>
  <c r="N87" i="8" s="1" a="1"/>
  <c r="N87" i="8" s="1"/>
  <c r="B81" i="8"/>
  <c r="F80" i="8"/>
  <c r="M86" i="8"/>
  <c r="N86" i="8" s="1" a="1"/>
  <c r="N86" i="8" s="1"/>
  <c r="B80" i="8"/>
  <c r="F79" i="8"/>
  <c r="M85" i="8"/>
  <c r="N85" i="8" s="1" a="1"/>
  <c r="N85" i="8" s="1"/>
  <c r="B79" i="8"/>
  <c r="F78" i="8"/>
  <c r="M84" i="8"/>
  <c r="N84" i="8" s="1" a="1"/>
  <c r="N84" i="8" s="1"/>
  <c r="B78" i="8"/>
  <c r="F77" i="8"/>
  <c r="M83" i="8"/>
  <c r="N83" i="8" s="1" a="1"/>
  <c r="N83" i="8" s="1"/>
  <c r="B77" i="8"/>
  <c r="F76" i="8"/>
  <c r="M82" i="8"/>
  <c r="N82" i="8" s="1" a="1"/>
  <c r="N82" i="8" s="1"/>
  <c r="B76" i="8"/>
  <c r="F75" i="8"/>
  <c r="M81" i="8"/>
  <c r="N81" i="8" s="1" a="1"/>
  <c r="N81" i="8" s="1"/>
  <c r="B75" i="8"/>
  <c r="F74" i="8"/>
  <c r="M80" i="8"/>
  <c r="N80" i="8" s="1" a="1"/>
  <c r="N80" i="8" s="1"/>
  <c r="B74" i="8"/>
  <c r="F73" i="8"/>
  <c r="M79" i="8"/>
  <c r="N79" i="8" s="1" a="1"/>
  <c r="N79" i="8" s="1"/>
  <c r="B73" i="8"/>
  <c r="F72" i="8"/>
  <c r="M78" i="8"/>
  <c r="N78" i="8" s="1" a="1"/>
  <c r="N78" i="8" s="1"/>
  <c r="B72" i="8"/>
  <c r="F71" i="8"/>
  <c r="M77" i="8"/>
  <c r="N77" i="8" s="1" a="1"/>
  <c r="N77" i="8" s="1"/>
  <c r="B71" i="8"/>
  <c r="F70" i="8"/>
  <c r="M76" i="8"/>
  <c r="N76" i="8" s="1" a="1"/>
  <c r="N76" i="8" s="1"/>
  <c r="B70" i="8"/>
  <c r="F69" i="8"/>
  <c r="M75" i="8"/>
  <c r="N75" i="8" s="1" a="1"/>
  <c r="N75" i="8" s="1"/>
  <c r="B69" i="8"/>
  <c r="F68" i="8"/>
  <c r="M74" i="8"/>
  <c r="N74" i="8" s="1" a="1"/>
  <c r="N74" i="8" s="1"/>
  <c r="B68" i="8"/>
  <c r="F67" i="8"/>
  <c r="M73" i="8"/>
  <c r="N73" i="8" s="1" a="1"/>
  <c r="N73" i="8" s="1"/>
  <c r="B67" i="8"/>
  <c r="F66" i="8"/>
  <c r="M72" i="8"/>
  <c r="N72" i="8" s="1" a="1"/>
  <c r="N72" i="8" s="1"/>
  <c r="B66" i="8"/>
  <c r="F65" i="8"/>
  <c r="M71" i="8"/>
  <c r="N71" i="8" s="1" a="1"/>
  <c r="N71" i="8" s="1"/>
  <c r="B65" i="8"/>
  <c r="F64" i="8"/>
  <c r="M70" i="8"/>
  <c r="N70" i="8" s="1" a="1"/>
  <c r="N70" i="8" s="1"/>
  <c r="B64" i="8"/>
  <c r="F63" i="8"/>
  <c r="M69" i="8"/>
  <c r="N69" i="8" s="1" a="1"/>
  <c r="N69" i="8" s="1"/>
  <c r="B63" i="8"/>
  <c r="F62" i="8"/>
  <c r="M68" i="8"/>
  <c r="N68" i="8" s="1" a="1"/>
  <c r="N68" i="8" s="1"/>
  <c r="B62" i="8"/>
  <c r="F61" i="8"/>
  <c r="M67" i="8"/>
  <c r="N67" i="8" s="1" a="1"/>
  <c r="N67" i="8" s="1"/>
  <c r="B61" i="8"/>
  <c r="F60" i="8"/>
  <c r="M66" i="8"/>
  <c r="N66" i="8" s="1" a="1"/>
  <c r="N66" i="8" s="1"/>
  <c r="B60" i="8"/>
  <c r="F59" i="8"/>
  <c r="M65" i="8"/>
  <c r="N65" i="8" s="1" a="1"/>
  <c r="N65" i="8" s="1"/>
  <c r="B59" i="8"/>
  <c r="F58" i="8"/>
  <c r="M64" i="8"/>
  <c r="N64" i="8" s="1" a="1"/>
  <c r="N64" i="8" s="1"/>
  <c r="B58" i="8"/>
  <c r="F57" i="8"/>
  <c r="M63" i="8"/>
  <c r="N63" i="8" s="1" a="1"/>
  <c r="N63" i="8" s="1"/>
  <c r="B57" i="8"/>
  <c r="F56" i="8"/>
  <c r="M62" i="8"/>
  <c r="N62" i="8" s="1" a="1"/>
  <c r="N62" i="8" s="1"/>
  <c r="B56" i="8"/>
  <c r="F55" i="8"/>
  <c r="M61" i="8"/>
  <c r="N61" i="8" s="1" a="1"/>
  <c r="N61" i="8" s="1"/>
  <c r="B55" i="8"/>
  <c r="F54" i="8"/>
  <c r="M60" i="8"/>
  <c r="N60" i="8" s="1" a="1"/>
  <c r="N60" i="8" s="1"/>
  <c r="B54" i="8"/>
  <c r="F53" i="8"/>
  <c r="M59" i="8"/>
  <c r="N59" i="8" s="1" a="1"/>
  <c r="N59" i="8" s="1"/>
  <c r="B53" i="8"/>
  <c r="F52" i="8"/>
  <c r="M58" i="8"/>
  <c r="N58" i="8" s="1" a="1"/>
  <c r="N58" i="8" s="1"/>
  <c r="B52" i="8"/>
  <c r="F51" i="8"/>
  <c r="M57" i="8"/>
  <c r="N57" i="8" s="1" a="1"/>
  <c r="N57" i="8" s="1"/>
  <c r="B51" i="8"/>
  <c r="F50" i="8"/>
  <c r="M56" i="8"/>
  <c r="N56" i="8" s="1" a="1"/>
  <c r="N56" i="8" s="1"/>
  <c r="B50" i="8"/>
  <c r="F49" i="8"/>
  <c r="M55" i="8"/>
  <c r="N55" i="8" s="1" a="1"/>
  <c r="N55" i="8" s="1"/>
  <c r="B49" i="8"/>
  <c r="F48" i="8"/>
  <c r="M54" i="8"/>
  <c r="N54" i="8" s="1" a="1"/>
  <c r="N54" i="8" s="1"/>
  <c r="B48" i="8"/>
  <c r="F47" i="8"/>
  <c r="M53" i="8"/>
  <c r="N53" i="8" s="1" a="1"/>
  <c r="N53" i="8" s="1"/>
  <c r="B47" i="8"/>
  <c r="F46" i="8"/>
  <c r="M52" i="8"/>
  <c r="N52" i="8" s="1" a="1"/>
  <c r="N52" i="8" s="1"/>
  <c r="B46" i="8"/>
  <c r="F45" i="8"/>
  <c r="M51" i="8"/>
  <c r="N51" i="8" s="1" a="1"/>
  <c r="N51" i="8" s="1"/>
  <c r="B45" i="8"/>
  <c r="F44" i="8"/>
  <c r="M50" i="8"/>
  <c r="N50" i="8" s="1" a="1"/>
  <c r="N50" i="8" s="1"/>
  <c r="B44" i="8"/>
  <c r="F43" i="8"/>
  <c r="M49" i="8"/>
  <c r="N49" i="8" s="1" a="1"/>
  <c r="N49" i="8" s="1"/>
  <c r="B43" i="8"/>
  <c r="F42" i="8"/>
  <c r="M48" i="8"/>
  <c r="N48" i="8" s="1" a="1"/>
  <c r="N48" i="8" s="1"/>
  <c r="B42" i="8"/>
  <c r="F41" i="8"/>
  <c r="M47" i="8"/>
  <c r="N47" i="8" s="1" a="1"/>
  <c r="N47" i="8" s="1"/>
  <c r="B41" i="8"/>
  <c r="F40" i="8"/>
  <c r="M46" i="8"/>
  <c r="N46" i="8" s="1" a="1"/>
  <c r="N46" i="8" s="1"/>
  <c r="B40" i="8"/>
  <c r="F39" i="8"/>
  <c r="M45" i="8"/>
  <c r="N45" i="8" s="1" a="1"/>
  <c r="N45" i="8" s="1"/>
  <c r="B39" i="8"/>
  <c r="F38" i="8"/>
  <c r="M44" i="8"/>
  <c r="N44" i="8" s="1" a="1"/>
  <c r="N44" i="8" s="1"/>
  <c r="B38" i="8"/>
  <c r="F37" i="8"/>
  <c r="M43" i="8"/>
  <c r="N43" i="8" s="1" a="1"/>
  <c r="N43" i="8" s="1"/>
  <c r="B37" i="8"/>
  <c r="M36" i="8"/>
  <c r="N36" i="8" s="1" a="1"/>
  <c r="N36" i="8" s="1"/>
  <c r="F36" i="8"/>
  <c r="M42" i="8"/>
  <c r="N42" i="8" s="1" a="1"/>
  <c r="N42" i="8" s="1"/>
  <c r="B36" i="8"/>
  <c r="F35" i="8"/>
  <c r="M41" i="8"/>
  <c r="N41" i="8" s="1" a="1"/>
  <c r="N41" i="8" s="1"/>
  <c r="B35" i="8"/>
  <c r="F34" i="8"/>
  <c r="M40" i="8"/>
  <c r="N40" i="8" s="1" a="1"/>
  <c r="N40" i="8" s="1"/>
  <c r="B34" i="8"/>
  <c r="F33" i="8"/>
  <c r="M39" i="8"/>
  <c r="N39" i="8" s="1" a="1"/>
  <c r="N39" i="8" s="1"/>
  <c r="B33" i="8"/>
  <c r="F32" i="8"/>
  <c r="M38" i="8"/>
  <c r="N38" i="8" s="1" a="1"/>
  <c r="N38" i="8" s="1"/>
  <c r="B32" i="8"/>
  <c r="F31" i="8"/>
  <c r="M37" i="8"/>
  <c r="N37" i="8" s="1" a="1"/>
  <c r="N37" i="8" s="1"/>
  <c r="B31" i="8"/>
  <c r="M30" i="8"/>
  <c r="N30" i="8" s="1" a="1"/>
  <c r="N30" i="8" s="1"/>
  <c r="F30" i="8"/>
  <c r="B30" i="8"/>
  <c r="F29" i="8"/>
  <c r="M35" i="8"/>
  <c r="N35" i="8" s="1" a="1"/>
  <c r="N35" i="8" s="1"/>
  <c r="B29" i="8"/>
  <c r="F28" i="8"/>
  <c r="M34" i="8"/>
  <c r="N34" i="8" s="1" a="1"/>
  <c r="N34" i="8" s="1"/>
  <c r="B28" i="8"/>
  <c r="F27" i="8"/>
  <c r="B27" i="8"/>
  <c r="F26" i="8"/>
  <c r="M32" i="8"/>
  <c r="N32" i="8" s="1" a="1"/>
  <c r="N32" i="8" s="1"/>
  <c r="B26" i="8"/>
  <c r="F25" i="8"/>
  <c r="M31" i="8"/>
  <c r="N31" i="8" s="1" a="1"/>
  <c r="N31" i="8" s="1"/>
  <c r="B25" i="8"/>
  <c r="F24" i="8"/>
  <c r="B24" i="8"/>
  <c r="F23" i="8"/>
  <c r="M29" i="8"/>
  <c r="N29" i="8" s="1" a="1"/>
  <c r="N29" i="8" s="1"/>
  <c r="B23" i="8"/>
  <c r="F22" i="8"/>
  <c r="M28" i="8"/>
  <c r="N28" i="8" s="1" a="1"/>
  <c r="N28" i="8" s="1"/>
  <c r="B22" i="8"/>
  <c r="F21" i="8"/>
  <c r="M27" i="8"/>
  <c r="N27" i="8" s="1" a="1"/>
  <c r="N27" i="8" s="1"/>
  <c r="B21" i="8"/>
  <c r="F20" i="8"/>
  <c r="M26" i="8"/>
  <c r="N26" i="8" s="1" a="1"/>
  <c r="N26" i="8" s="1"/>
  <c r="B20" i="8"/>
  <c r="F19" i="8"/>
  <c r="M25" i="8"/>
  <c r="N25" i="8" s="1" a="1"/>
  <c r="N25" i="8" s="1"/>
  <c r="B19" i="8"/>
  <c r="F18" i="8"/>
  <c r="M24" i="8"/>
  <c r="N24" i="8" s="1" a="1"/>
  <c r="N24" i="8" s="1"/>
  <c r="B18" i="8"/>
  <c r="F17" i="8"/>
  <c r="M23" i="8"/>
  <c r="N23" i="8" s="1" a="1"/>
  <c r="N23" i="8" s="1"/>
  <c r="B17" i="8"/>
  <c r="F16" i="8"/>
  <c r="M22" i="8"/>
  <c r="N22" i="8" s="1" a="1"/>
  <c r="N22" i="8" s="1"/>
  <c r="B16" i="8"/>
  <c r="F15" i="8"/>
  <c r="M21" i="8"/>
  <c r="N21" i="8" s="1" a="1"/>
  <c r="N21" i="8" s="1"/>
  <c r="B15" i="8"/>
  <c r="M14" i="8"/>
  <c r="N14" i="8" s="1" a="1"/>
  <c r="N14" i="8" s="1"/>
  <c r="F14" i="8"/>
  <c r="M20" i="8"/>
  <c r="N20" i="8" s="1" a="1"/>
  <c r="N20" i="8" s="1"/>
  <c r="B14" i="8"/>
  <c r="F13" i="8"/>
  <c r="M19" i="8"/>
  <c r="N19" i="8" s="1" a="1"/>
  <c r="N19" i="8" s="1"/>
  <c r="B13" i="8"/>
  <c r="F12" i="8"/>
  <c r="M18" i="8"/>
  <c r="N18" i="8" s="1" a="1"/>
  <c r="N18" i="8" s="1"/>
  <c r="B12" i="8"/>
  <c r="F11" i="8"/>
  <c r="M17" i="8"/>
  <c r="N17" i="8" s="1" a="1"/>
  <c r="N17" i="8" s="1"/>
  <c r="B11" i="8"/>
  <c r="F10" i="8"/>
  <c r="M16" i="8"/>
  <c r="N16" i="8" s="1" a="1"/>
  <c r="N16" i="8" s="1"/>
  <c r="B10" i="8"/>
  <c r="F9" i="8"/>
  <c r="B9" i="8"/>
  <c r="F8" i="8"/>
  <c r="B8" i="8"/>
  <c r="F7" i="8"/>
  <c r="M13" i="8"/>
  <c r="N13" i="8" s="1" a="1"/>
  <c r="N13" i="8" s="1"/>
  <c r="B7" i="8"/>
  <c r="F6" i="8"/>
  <c r="M12" i="8"/>
  <c r="N12" i="8" s="1" a="1"/>
  <c r="N12" i="8" s="1"/>
  <c r="B6" i="8"/>
  <c r="F5" i="8"/>
  <c r="M11" i="8"/>
  <c r="N11" i="8" s="1" a="1"/>
  <c r="N11" i="8" s="1"/>
  <c r="B5" i="8"/>
  <c r="F4" i="8"/>
  <c r="M10" i="8"/>
  <c r="N10" i="8" s="1" a="1"/>
  <c r="N10" i="8" s="1"/>
  <c r="B4" i="8"/>
  <c r="F3" i="8"/>
  <c r="M9" i="8"/>
  <c r="N9" i="8" s="1" a="1"/>
  <c r="N9" i="8" s="1"/>
  <c r="B3" i="8"/>
  <c r="O97" i="17"/>
  <c r="P97" i="17" s="1"/>
  <c r="Q97" i="17" s="1"/>
  <c r="R97" i="17" s="1"/>
  <c r="M97" i="17"/>
  <c r="N97" i="17" s="1" a="1"/>
  <c r="N97" i="17" s="1"/>
  <c r="O96" i="17"/>
  <c r="P96" i="17" s="1"/>
  <c r="Q96" i="17" s="1"/>
  <c r="R96" i="17" s="1"/>
  <c r="M96" i="17"/>
  <c r="N96" i="17" s="1" a="1"/>
  <c r="N96" i="17" s="1"/>
  <c r="O95" i="17"/>
  <c r="P95" i="17" s="1"/>
  <c r="Q95" i="17" s="1"/>
  <c r="R95" i="17" s="1"/>
  <c r="M95" i="17"/>
  <c r="N95" i="17" s="1" a="1"/>
  <c r="N95" i="17" s="1"/>
  <c r="O94" i="17"/>
  <c r="P94" i="17" s="1"/>
  <c r="Q94" i="17" s="1"/>
  <c r="R94" i="17" s="1"/>
  <c r="M94" i="17"/>
  <c r="N94" i="17" s="1" a="1"/>
  <c r="N94" i="17" s="1"/>
  <c r="O93" i="17"/>
  <c r="P93" i="17" s="1"/>
  <c r="Q93" i="17" s="1"/>
  <c r="R93" i="17" s="1"/>
  <c r="M93" i="17"/>
  <c r="N93" i="17" s="1" a="1"/>
  <c r="N93" i="17" s="1"/>
  <c r="O92" i="17"/>
  <c r="P92" i="17" s="1"/>
  <c r="Q92" i="17" s="1"/>
  <c r="R92" i="17" s="1"/>
  <c r="M92" i="17"/>
  <c r="N92" i="17" s="1" a="1"/>
  <c r="N92" i="17" s="1"/>
  <c r="O91" i="17"/>
  <c r="P91" i="17" s="1"/>
  <c r="Q91" i="17" s="1"/>
  <c r="R91" i="17" s="1"/>
  <c r="M91" i="17"/>
  <c r="N91" i="17" s="1" a="1"/>
  <c r="N91" i="17" s="1"/>
  <c r="O90" i="17"/>
  <c r="P90" i="17" s="1"/>
  <c r="Q90" i="17" s="1"/>
  <c r="R90" i="17" s="1"/>
  <c r="M90" i="17"/>
  <c r="N90" i="17" s="1" a="1"/>
  <c r="N90" i="17" s="1"/>
  <c r="O89" i="17"/>
  <c r="P89" i="17" s="1"/>
  <c r="Q89" i="17" s="1"/>
  <c r="R89" i="17" s="1"/>
  <c r="M89" i="17"/>
  <c r="N89" i="17" s="1" a="1"/>
  <c r="N89" i="17" s="1"/>
  <c r="O88" i="17"/>
  <c r="P88" i="17" s="1"/>
  <c r="Q88" i="17" s="1"/>
  <c r="R88" i="17" s="1"/>
  <c r="M88" i="17"/>
  <c r="N88" i="17" s="1" a="1"/>
  <c r="N88" i="17" s="1"/>
  <c r="O87" i="17"/>
  <c r="P87" i="17" s="1"/>
  <c r="Q87" i="17" s="1"/>
  <c r="R87" i="17" s="1"/>
  <c r="M87" i="17"/>
  <c r="N87" i="17" s="1" a="1"/>
  <c r="N87" i="17" s="1"/>
  <c r="O86" i="17"/>
  <c r="P86" i="17" s="1"/>
  <c r="Q86" i="17" s="1"/>
  <c r="R86" i="17" s="1"/>
  <c r="M86" i="17"/>
  <c r="N86" i="17" s="1" a="1"/>
  <c r="N86" i="17" s="1"/>
  <c r="O85" i="17"/>
  <c r="P85" i="17" s="1"/>
  <c r="Q85" i="17" s="1"/>
  <c r="R85" i="17" s="1"/>
  <c r="M85" i="17"/>
  <c r="N85" i="17" s="1" a="1"/>
  <c r="N85" i="17" s="1"/>
  <c r="O84" i="17"/>
  <c r="P84" i="17" s="1"/>
  <c r="Q84" i="17" s="1"/>
  <c r="R84" i="17" s="1"/>
  <c r="M84" i="17"/>
  <c r="N84" i="17" s="1" a="1"/>
  <c r="N84" i="17" s="1"/>
  <c r="O83" i="17"/>
  <c r="P83" i="17" s="1"/>
  <c r="Q83" i="17" s="1"/>
  <c r="R83" i="17" s="1"/>
  <c r="M83" i="17"/>
  <c r="N83" i="17" s="1" a="1"/>
  <c r="N83" i="17" s="1"/>
  <c r="O82" i="17"/>
  <c r="P82" i="17" s="1"/>
  <c r="Q82" i="17" s="1"/>
  <c r="R82" i="17" s="1"/>
  <c r="M82" i="17"/>
  <c r="N82" i="17" s="1" a="1"/>
  <c r="N82" i="17" s="1"/>
  <c r="O81" i="17"/>
  <c r="P81" i="17" s="1"/>
  <c r="Q81" i="17" s="1"/>
  <c r="R81" i="17" s="1"/>
  <c r="M81" i="17"/>
  <c r="N81" i="17" s="1" a="1"/>
  <c r="N81" i="17" s="1"/>
  <c r="O80" i="17"/>
  <c r="P80" i="17" s="1"/>
  <c r="Q80" i="17" s="1"/>
  <c r="R80" i="17" s="1"/>
  <c r="M80" i="17"/>
  <c r="N80" i="17" s="1" a="1"/>
  <c r="N80" i="17" s="1"/>
  <c r="O79" i="17"/>
  <c r="P79" i="17" s="1"/>
  <c r="Q79" i="17" s="1"/>
  <c r="R79" i="17" s="1"/>
  <c r="M79" i="17"/>
  <c r="N79" i="17" s="1" a="1"/>
  <c r="N79" i="17" s="1"/>
  <c r="O78" i="17"/>
  <c r="P78" i="17" s="1"/>
  <c r="Q78" i="17" s="1"/>
  <c r="R78" i="17" s="1"/>
  <c r="M78" i="17"/>
  <c r="N78" i="17" s="1" a="1"/>
  <c r="N78" i="17" s="1"/>
  <c r="O77" i="17"/>
  <c r="P77" i="17" s="1"/>
  <c r="Q77" i="17" s="1"/>
  <c r="R77" i="17" s="1"/>
  <c r="M77" i="17"/>
  <c r="N77" i="17" s="1" a="1"/>
  <c r="N77" i="17" s="1"/>
  <c r="O76" i="17"/>
  <c r="P76" i="17" s="1"/>
  <c r="Q76" i="17" s="1"/>
  <c r="R76" i="17" s="1"/>
  <c r="M76" i="17"/>
  <c r="N76" i="17" s="1" a="1"/>
  <c r="N76" i="17" s="1"/>
  <c r="O75" i="17"/>
  <c r="P75" i="17" s="1"/>
  <c r="Q75" i="17" s="1"/>
  <c r="R75" i="17" s="1"/>
  <c r="M75" i="17"/>
  <c r="N75" i="17" s="1" a="1"/>
  <c r="N75" i="17" s="1"/>
  <c r="O74" i="17"/>
  <c r="P74" i="17" s="1"/>
  <c r="Q74" i="17" s="1"/>
  <c r="R74" i="17" s="1"/>
  <c r="M74" i="17"/>
  <c r="N74" i="17" s="1" a="1"/>
  <c r="N74" i="17" s="1"/>
  <c r="O73" i="17"/>
  <c r="P73" i="17" s="1"/>
  <c r="Q73" i="17" s="1"/>
  <c r="R73" i="17" s="1"/>
  <c r="M73" i="17"/>
  <c r="N73" i="17" s="1" a="1"/>
  <c r="N73" i="17" s="1"/>
  <c r="O72" i="17"/>
  <c r="P72" i="17" s="1"/>
  <c r="Q72" i="17" s="1"/>
  <c r="R72" i="17" s="1"/>
  <c r="M72" i="17"/>
  <c r="N72" i="17" s="1" a="1"/>
  <c r="N72" i="17" s="1"/>
  <c r="O71" i="17"/>
  <c r="P71" i="17" s="1"/>
  <c r="Q71" i="17" s="1"/>
  <c r="R71" i="17" s="1"/>
  <c r="M71" i="17"/>
  <c r="N71" i="17" s="1" a="1"/>
  <c r="N71" i="17" s="1"/>
  <c r="O70" i="17"/>
  <c r="P70" i="17" s="1"/>
  <c r="Q70" i="17" s="1"/>
  <c r="R70" i="17" s="1"/>
  <c r="M70" i="17"/>
  <c r="N70" i="17" s="1" a="1"/>
  <c r="N70" i="17" s="1"/>
  <c r="O69" i="17"/>
  <c r="P69" i="17" s="1"/>
  <c r="Q69" i="17" s="1"/>
  <c r="R69" i="17" s="1"/>
  <c r="M69" i="17"/>
  <c r="N69" i="17" s="1" a="1"/>
  <c r="N69" i="17" s="1"/>
  <c r="O68" i="17"/>
  <c r="P68" i="17" s="1"/>
  <c r="Q68" i="17" s="1"/>
  <c r="R68" i="17" s="1"/>
  <c r="M68" i="17"/>
  <c r="N68" i="17" s="1" a="1"/>
  <c r="N68" i="17" s="1"/>
  <c r="O67" i="17"/>
  <c r="P67" i="17" s="1"/>
  <c r="Q67" i="17" s="1"/>
  <c r="R67" i="17" s="1"/>
  <c r="M67" i="17"/>
  <c r="N67" i="17" s="1" a="1"/>
  <c r="N67" i="17" s="1"/>
  <c r="O66" i="17"/>
  <c r="P66" i="17" s="1"/>
  <c r="Q66" i="17" s="1"/>
  <c r="R66" i="17" s="1"/>
  <c r="M66" i="17"/>
  <c r="N66" i="17" s="1" a="1"/>
  <c r="N66" i="17" s="1"/>
  <c r="O65" i="17"/>
  <c r="P65" i="17" s="1"/>
  <c r="Q65" i="17" s="1"/>
  <c r="R65" i="17" s="1"/>
  <c r="M65" i="17"/>
  <c r="N65" i="17" s="1" a="1"/>
  <c r="N65" i="17" s="1"/>
  <c r="O64" i="17"/>
  <c r="P64" i="17" s="1"/>
  <c r="Q64" i="17" s="1"/>
  <c r="R64" i="17" s="1"/>
  <c r="M64" i="17"/>
  <c r="N64" i="17" s="1" a="1"/>
  <c r="N64" i="17" s="1"/>
  <c r="O63" i="17"/>
  <c r="P63" i="17" s="1"/>
  <c r="Q63" i="17" s="1"/>
  <c r="R63" i="17" s="1"/>
  <c r="M63" i="17"/>
  <c r="N63" i="17" s="1" a="1"/>
  <c r="N63" i="17" s="1"/>
  <c r="O62" i="17"/>
  <c r="P62" i="17" s="1"/>
  <c r="Q62" i="17" s="1"/>
  <c r="R62" i="17" s="1"/>
  <c r="M62" i="17"/>
  <c r="N62" i="17" s="1" a="1"/>
  <c r="N62" i="17" s="1"/>
  <c r="O61" i="17"/>
  <c r="P61" i="17" s="1"/>
  <c r="Q61" i="17" s="1"/>
  <c r="R61" i="17" s="1"/>
  <c r="M61" i="17"/>
  <c r="N61" i="17" s="1" a="1"/>
  <c r="N61" i="17" s="1"/>
  <c r="O60" i="17"/>
  <c r="P60" i="17" s="1"/>
  <c r="Q60" i="17" s="1"/>
  <c r="R60" i="17" s="1"/>
  <c r="M60" i="17"/>
  <c r="N60" i="17" s="1" a="1"/>
  <c r="N60" i="17" s="1"/>
  <c r="O59" i="17"/>
  <c r="P59" i="17" s="1"/>
  <c r="Q59" i="17" s="1"/>
  <c r="R59" i="17" s="1"/>
  <c r="M59" i="17"/>
  <c r="N59" i="17" s="1" a="1"/>
  <c r="N59" i="17" s="1"/>
  <c r="O58" i="17"/>
  <c r="P58" i="17" s="1"/>
  <c r="Q58" i="17" s="1"/>
  <c r="R58" i="17" s="1"/>
  <c r="M58" i="17"/>
  <c r="N58" i="17" s="1" a="1"/>
  <c r="N58" i="17" s="1"/>
  <c r="O57" i="17"/>
  <c r="P57" i="17" s="1"/>
  <c r="Q57" i="17" s="1"/>
  <c r="R57" i="17" s="1"/>
  <c r="M57" i="17"/>
  <c r="N57" i="17" s="1" a="1"/>
  <c r="N57" i="17" s="1"/>
  <c r="O56" i="17"/>
  <c r="P56" i="17" s="1"/>
  <c r="Q56" i="17" s="1"/>
  <c r="R56" i="17" s="1"/>
  <c r="M56" i="17"/>
  <c r="N56" i="17" s="1" a="1"/>
  <c r="N56" i="17" s="1"/>
  <c r="O55" i="17"/>
  <c r="P55" i="17" s="1"/>
  <c r="Q55" i="17" s="1"/>
  <c r="R55" i="17" s="1"/>
  <c r="M55" i="17"/>
  <c r="N55" i="17" s="1" a="1"/>
  <c r="N55" i="17" s="1"/>
  <c r="O54" i="17"/>
  <c r="P54" i="17" s="1"/>
  <c r="Q54" i="17" s="1"/>
  <c r="R54" i="17" s="1"/>
  <c r="M54" i="17"/>
  <c r="N54" i="17" s="1" a="1"/>
  <c r="N54" i="17" s="1"/>
  <c r="O53" i="17"/>
  <c r="P53" i="17" s="1"/>
  <c r="Q53" i="17" s="1"/>
  <c r="R53" i="17" s="1"/>
  <c r="M53" i="17"/>
  <c r="N53" i="17" s="1" a="1"/>
  <c r="N53" i="17" s="1"/>
  <c r="O52" i="17"/>
  <c r="P52" i="17" s="1"/>
  <c r="Q52" i="17" s="1"/>
  <c r="R52" i="17" s="1"/>
  <c r="M52" i="17"/>
  <c r="N52" i="17" s="1" a="1"/>
  <c r="N52" i="17" s="1"/>
  <c r="O51" i="17"/>
  <c r="P51" i="17" s="1"/>
  <c r="Q51" i="17" s="1"/>
  <c r="R51" i="17" s="1"/>
  <c r="M51" i="17"/>
  <c r="N51" i="17" s="1" a="1"/>
  <c r="N51" i="17" s="1"/>
  <c r="O50" i="17"/>
  <c r="P50" i="17" s="1"/>
  <c r="Q50" i="17" s="1"/>
  <c r="R50" i="17" s="1"/>
  <c r="M50" i="17"/>
  <c r="N50" i="17" s="1" a="1"/>
  <c r="N50" i="17" s="1"/>
  <c r="O49" i="17"/>
  <c r="P49" i="17" s="1"/>
  <c r="Q49" i="17" s="1"/>
  <c r="R49" i="17" s="1"/>
  <c r="M49" i="17"/>
  <c r="N49" i="17" s="1" a="1"/>
  <c r="N49" i="17" s="1"/>
  <c r="O48" i="17"/>
  <c r="P48" i="17" s="1"/>
  <c r="Q48" i="17" s="1"/>
  <c r="R48" i="17" s="1"/>
  <c r="M48" i="17"/>
  <c r="N48" i="17" s="1" a="1"/>
  <c r="N48" i="17" s="1"/>
  <c r="O47" i="17"/>
  <c r="P47" i="17" s="1"/>
  <c r="Q47" i="17" s="1"/>
  <c r="R47" i="17" s="1"/>
  <c r="M47" i="17"/>
  <c r="N47" i="17" s="1" a="1"/>
  <c r="N47" i="17" s="1"/>
  <c r="O46" i="17"/>
  <c r="P46" i="17" s="1"/>
  <c r="Q46" i="17" s="1"/>
  <c r="R46" i="17" s="1"/>
  <c r="M46" i="17"/>
  <c r="N46" i="17" s="1" a="1"/>
  <c r="N46" i="17" s="1"/>
  <c r="O45" i="17"/>
  <c r="P45" i="17" s="1"/>
  <c r="Q45" i="17" s="1"/>
  <c r="R45" i="17" s="1"/>
  <c r="M45" i="17"/>
  <c r="N45" i="17" s="1" a="1"/>
  <c r="N45" i="17" s="1"/>
  <c r="O44" i="17"/>
  <c r="P44" i="17" s="1"/>
  <c r="Q44" i="17" s="1"/>
  <c r="R44" i="17" s="1"/>
  <c r="M44" i="17"/>
  <c r="N44" i="17" s="1" a="1"/>
  <c r="N44" i="17" s="1"/>
  <c r="O43" i="17"/>
  <c r="P43" i="17" s="1"/>
  <c r="Q43" i="17" s="1"/>
  <c r="R43" i="17" s="1"/>
  <c r="M43" i="17"/>
  <c r="N43" i="17" s="1" a="1"/>
  <c r="N43" i="17" s="1"/>
  <c r="O42" i="17"/>
  <c r="P42" i="17" s="1"/>
  <c r="Q42" i="17" s="1"/>
  <c r="R42" i="17" s="1"/>
  <c r="M42" i="17"/>
  <c r="N42" i="17" s="1" a="1"/>
  <c r="N42" i="17" s="1"/>
  <c r="O41" i="17"/>
  <c r="P41" i="17" s="1"/>
  <c r="Q41" i="17" s="1"/>
  <c r="R41" i="17" s="1"/>
  <c r="M41" i="17"/>
  <c r="N41" i="17" s="1" a="1"/>
  <c r="N41" i="17" s="1"/>
  <c r="O40" i="17"/>
  <c r="P40" i="17" s="1"/>
  <c r="Q40" i="17" s="1"/>
  <c r="R40" i="17" s="1"/>
  <c r="M40" i="17"/>
  <c r="N40" i="17" s="1" a="1"/>
  <c r="N40" i="17" s="1"/>
  <c r="O39" i="17"/>
  <c r="P39" i="17" s="1"/>
  <c r="Q39" i="17" s="1"/>
  <c r="R39" i="17" s="1"/>
  <c r="M39" i="17"/>
  <c r="N39" i="17" s="1" a="1"/>
  <c r="N39" i="17" s="1"/>
  <c r="O38" i="17"/>
  <c r="P38" i="17" s="1"/>
  <c r="Q38" i="17" s="1"/>
  <c r="R38" i="17" s="1"/>
  <c r="M38" i="17"/>
  <c r="N38" i="17" s="1" a="1"/>
  <c r="N38" i="17" s="1"/>
  <c r="O37" i="17"/>
  <c r="P37" i="17" s="1"/>
  <c r="Q37" i="17" s="1"/>
  <c r="R37" i="17" s="1"/>
  <c r="M37" i="17"/>
  <c r="N37" i="17" s="1" a="1"/>
  <c r="N37" i="17" s="1"/>
  <c r="O36" i="17"/>
  <c r="P36" i="17" s="1"/>
  <c r="Q36" i="17" s="1"/>
  <c r="R36" i="17" s="1"/>
  <c r="M36" i="17"/>
  <c r="N36" i="17" s="1" a="1"/>
  <c r="N36" i="17" s="1"/>
  <c r="O35" i="17"/>
  <c r="P35" i="17" s="1"/>
  <c r="Q35" i="17" s="1"/>
  <c r="R35" i="17" s="1"/>
  <c r="M35" i="17"/>
  <c r="N35" i="17" s="1" a="1"/>
  <c r="N35" i="17" s="1"/>
  <c r="O34" i="17"/>
  <c r="P34" i="17" s="1"/>
  <c r="Q34" i="17" s="1"/>
  <c r="R34" i="17" s="1"/>
  <c r="M34" i="17"/>
  <c r="N34" i="17" s="1" a="1"/>
  <c r="N34" i="17" s="1"/>
  <c r="O33" i="17"/>
  <c r="P33" i="17" s="1"/>
  <c r="Q33" i="17" s="1"/>
  <c r="R33" i="17" s="1"/>
  <c r="M33" i="17"/>
  <c r="N33" i="17" s="1" a="1"/>
  <c r="N33" i="17" s="1"/>
  <c r="O32" i="17"/>
  <c r="P32" i="17" s="1"/>
  <c r="Q32" i="17" s="1"/>
  <c r="R32" i="17" s="1"/>
  <c r="M32" i="17"/>
  <c r="N32" i="17" s="1" a="1"/>
  <c r="N32" i="17" s="1"/>
  <c r="O31" i="17"/>
  <c r="P31" i="17" s="1"/>
  <c r="Q31" i="17" s="1"/>
  <c r="R31" i="17" s="1"/>
  <c r="M31" i="17"/>
  <c r="N31" i="17" s="1" a="1"/>
  <c r="N31" i="17" s="1"/>
  <c r="O30" i="17"/>
  <c r="P30" i="17" s="1"/>
  <c r="Q30" i="17" s="1"/>
  <c r="R30" i="17" s="1"/>
  <c r="M30" i="17"/>
  <c r="N30" i="17" s="1" a="1"/>
  <c r="N30" i="17" s="1"/>
  <c r="O29" i="17"/>
  <c r="P29" i="17" s="1"/>
  <c r="Q29" i="17" s="1"/>
  <c r="R29" i="17" s="1"/>
  <c r="M29" i="17"/>
  <c r="N29" i="17" s="1" a="1"/>
  <c r="N29" i="17" s="1"/>
  <c r="O28" i="17"/>
  <c r="P28" i="17" s="1"/>
  <c r="Q28" i="17" s="1"/>
  <c r="R28" i="17" s="1"/>
  <c r="M28" i="17"/>
  <c r="N28" i="17" s="1" a="1"/>
  <c r="N28" i="17" s="1"/>
  <c r="O27" i="17"/>
  <c r="P27" i="17" s="1"/>
  <c r="Q27" i="17" s="1"/>
  <c r="R27" i="17" s="1"/>
  <c r="M27" i="17"/>
  <c r="N27" i="17" s="1" a="1"/>
  <c r="N27" i="17" s="1"/>
  <c r="O26" i="17"/>
  <c r="P26" i="17" s="1"/>
  <c r="Q26" i="17" s="1"/>
  <c r="R26" i="17" s="1"/>
  <c r="M26" i="17"/>
  <c r="N26" i="17" s="1" a="1"/>
  <c r="N26" i="17" s="1"/>
  <c r="O25" i="17"/>
  <c r="P25" i="17" s="1"/>
  <c r="Q25" i="17" s="1"/>
  <c r="R25" i="17" s="1"/>
  <c r="M25" i="17"/>
  <c r="N25" i="17" s="1" a="1"/>
  <c r="N25" i="17" s="1"/>
  <c r="O24" i="17"/>
  <c r="P24" i="17" s="1"/>
  <c r="Q24" i="17" s="1"/>
  <c r="R24" i="17" s="1"/>
  <c r="M24" i="17"/>
  <c r="N24" i="17" s="1" a="1"/>
  <c r="N24" i="17" s="1"/>
  <c r="O23" i="17"/>
  <c r="P23" i="17" s="1"/>
  <c r="Q23" i="17" s="1"/>
  <c r="R23" i="17" s="1"/>
  <c r="M23" i="17"/>
  <c r="N23" i="17" s="1" a="1"/>
  <c r="N23" i="17" s="1"/>
  <c r="O22" i="17"/>
  <c r="P22" i="17" s="1"/>
  <c r="Q22" i="17" s="1"/>
  <c r="R22" i="17" s="1"/>
  <c r="M22" i="17"/>
  <c r="N22" i="17" s="1" a="1"/>
  <c r="N22" i="17" s="1"/>
  <c r="O21" i="17"/>
  <c r="P21" i="17" s="1"/>
  <c r="Q21" i="17" s="1"/>
  <c r="R21" i="17" s="1"/>
  <c r="M21" i="17"/>
  <c r="N21" i="17" s="1" a="1"/>
  <c r="N21" i="17" s="1"/>
  <c r="O20" i="17"/>
  <c r="P20" i="17" s="1"/>
  <c r="Q20" i="17" s="1"/>
  <c r="R20" i="17" s="1"/>
  <c r="M20" i="17"/>
  <c r="N20" i="17" s="1" a="1"/>
  <c r="N20" i="17" s="1"/>
  <c r="O19" i="17"/>
  <c r="P19" i="17" s="1"/>
  <c r="Q19" i="17" s="1"/>
  <c r="R19" i="17" s="1"/>
  <c r="M19" i="17"/>
  <c r="N19" i="17" s="1" a="1"/>
  <c r="N19" i="17" s="1"/>
  <c r="O18" i="17"/>
  <c r="P18" i="17" s="1"/>
  <c r="Q18" i="17" s="1"/>
  <c r="R18" i="17" s="1"/>
  <c r="M18" i="17"/>
  <c r="N18" i="17" s="1" a="1"/>
  <c r="N18" i="17" s="1"/>
  <c r="O17" i="17"/>
  <c r="P17" i="17" s="1"/>
  <c r="Q17" i="17" s="1"/>
  <c r="R17" i="17" s="1"/>
  <c r="M17" i="17"/>
  <c r="N17" i="17" s="1" a="1"/>
  <c r="N17" i="17" s="1"/>
  <c r="O16" i="17"/>
  <c r="P16" i="17" s="1"/>
  <c r="Q16" i="17" s="1"/>
  <c r="R16" i="17" s="1"/>
  <c r="M16" i="17"/>
  <c r="N16" i="17" s="1" a="1"/>
  <c r="N16" i="17" s="1"/>
  <c r="O15" i="17"/>
  <c r="P15" i="17" s="1"/>
  <c r="Q15" i="17" s="1"/>
  <c r="R15" i="17" s="1"/>
  <c r="M15" i="17"/>
  <c r="N15" i="17" s="1" a="1"/>
  <c r="N15" i="17" s="1"/>
  <c r="O14" i="17"/>
  <c r="P14" i="17" s="1"/>
  <c r="Q14" i="17" s="1"/>
  <c r="R14" i="17" s="1"/>
  <c r="M14" i="17"/>
  <c r="N14" i="17" s="1" a="1"/>
  <c r="N14" i="17" s="1"/>
  <c r="O13" i="17"/>
  <c r="P13" i="17" s="1"/>
  <c r="Q13" i="17" s="1"/>
  <c r="R13" i="17" s="1"/>
  <c r="M13" i="17"/>
  <c r="N13" i="17" s="1" a="1"/>
  <c r="N13" i="17" s="1"/>
  <c r="O12" i="17"/>
  <c r="P12" i="17" s="1"/>
  <c r="Q12" i="17" s="1"/>
  <c r="R12" i="17" s="1"/>
  <c r="M12" i="17"/>
  <c r="N12" i="17" s="1" a="1"/>
  <c r="N12" i="17" s="1"/>
  <c r="O11" i="17"/>
  <c r="P11" i="17" s="1"/>
  <c r="Q11" i="17" s="1"/>
  <c r="R11" i="17" s="1"/>
  <c r="M11" i="17"/>
  <c r="N11" i="17" s="1" a="1"/>
  <c r="N11" i="17" s="1"/>
  <c r="O10" i="17"/>
  <c r="P10" i="17" s="1"/>
  <c r="Q10" i="17" s="1"/>
  <c r="R10" i="17" s="1"/>
  <c r="M10" i="17"/>
  <c r="N10" i="17" s="1" a="1"/>
  <c r="N10" i="17" s="1"/>
  <c r="O9" i="17"/>
  <c r="P9" i="17" s="1"/>
  <c r="Q9" i="17" s="1"/>
  <c r="R9" i="17" s="1"/>
  <c r="M9" i="17"/>
  <c r="N9" i="17" s="1" a="1"/>
  <c r="N9" i="17" s="1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O46" i="8" l="1"/>
  <c r="P46" i="8" s="1"/>
  <c r="Q46" i="8" s="1"/>
  <c r="R46" i="8" s="1"/>
  <c r="O90" i="8"/>
  <c r="P90" i="8" s="1"/>
  <c r="Q90" i="8" s="1"/>
  <c r="R90" i="8" s="1"/>
  <c r="O19" i="8"/>
  <c r="O71" i="8"/>
  <c r="P71" i="8" s="1"/>
  <c r="Q71" i="8" s="1"/>
  <c r="R71" i="8" s="1"/>
  <c r="O25" i="8"/>
  <c r="P25" i="8" s="1"/>
  <c r="Q25" i="8" s="1"/>
  <c r="R25" i="8" s="1"/>
  <c r="O101" i="8"/>
  <c r="P101" i="8" s="1"/>
  <c r="Q101" i="8" s="1"/>
  <c r="R101" i="8" s="1"/>
  <c r="O38" i="8"/>
  <c r="P38" i="8" s="1"/>
  <c r="Q38" i="8" s="1"/>
  <c r="R38" i="8" s="1"/>
  <c r="O54" i="8"/>
  <c r="P54" i="8" s="1"/>
  <c r="Q54" i="8" s="1"/>
  <c r="R54" i="8" s="1"/>
  <c r="O66" i="8"/>
  <c r="P66" i="8" s="1"/>
  <c r="Q66" i="8" s="1"/>
  <c r="R66" i="8" s="1"/>
  <c r="O70" i="8"/>
  <c r="P70" i="8" s="1"/>
  <c r="Q70" i="8" s="1"/>
  <c r="R70" i="8" s="1"/>
  <c r="O74" i="8"/>
  <c r="P74" i="8" s="1"/>
  <c r="Q74" i="8" s="1"/>
  <c r="R74" i="8" s="1"/>
  <c r="O78" i="8"/>
  <c r="P78" i="8" s="1"/>
  <c r="Q78" i="8" s="1"/>
  <c r="R78" i="8" s="1"/>
  <c r="O82" i="8"/>
  <c r="P82" i="8" s="1"/>
  <c r="Q82" i="8" s="1"/>
  <c r="R82" i="8" s="1"/>
  <c r="O26" i="8"/>
  <c r="P26" i="8" s="1"/>
  <c r="Q26" i="8" s="1"/>
  <c r="R26" i="8" s="1"/>
  <c r="O102" i="8"/>
  <c r="O10" i="8"/>
  <c r="P10" i="8" s="1"/>
  <c r="Q10" i="8" s="1"/>
  <c r="R10" i="8" s="1"/>
  <c r="O35" i="8"/>
  <c r="P35" i="8" s="1"/>
  <c r="Q35" i="8" s="1"/>
  <c r="R35" i="8" s="1"/>
  <c r="O39" i="8"/>
  <c r="P39" i="8" s="1"/>
  <c r="Q39" i="8" s="1"/>
  <c r="R39" i="8" s="1"/>
  <c r="O31" i="8"/>
  <c r="P31" i="8" s="1"/>
  <c r="Q31" i="8" s="1"/>
  <c r="R31" i="8" s="1"/>
  <c r="O43" i="8"/>
  <c r="P43" i="8" s="1"/>
  <c r="Q43" i="8" s="1"/>
  <c r="R43" i="8" s="1"/>
  <c r="O47" i="8"/>
  <c r="P47" i="8" s="1"/>
  <c r="Q47" i="8" s="1"/>
  <c r="R47" i="8" s="1"/>
  <c r="O55" i="8"/>
  <c r="P55" i="8" s="1"/>
  <c r="Q55" i="8" s="1"/>
  <c r="R55" i="8" s="1"/>
  <c r="O63" i="8"/>
  <c r="P63" i="8" s="1"/>
  <c r="Q63" i="8" s="1"/>
  <c r="R63" i="8" s="1"/>
  <c r="O67" i="8"/>
  <c r="P67" i="8" s="1"/>
  <c r="Q67" i="8" s="1"/>
  <c r="R67" i="8" s="1"/>
  <c r="O75" i="8"/>
  <c r="P75" i="8" s="1"/>
  <c r="Q75" i="8" s="1"/>
  <c r="R75" i="8" s="1"/>
  <c r="O79" i="8"/>
  <c r="P79" i="8" s="1"/>
  <c r="Q79" i="8" s="1"/>
  <c r="R79" i="8" s="1"/>
  <c r="O83" i="8"/>
  <c r="P83" i="8" s="1"/>
  <c r="Q83" i="8" s="1"/>
  <c r="R83" i="8" s="1"/>
  <c r="O91" i="8"/>
  <c r="P91" i="8" s="1"/>
  <c r="Q91" i="8" s="1"/>
  <c r="R91" i="8" s="1"/>
  <c r="O99" i="8"/>
  <c r="P99" i="8" s="1"/>
  <c r="Q99" i="8" s="1"/>
  <c r="R99" i="8" s="1"/>
  <c r="O11" i="8"/>
  <c r="P11" i="8" s="1"/>
  <c r="Q11" i="8" s="1"/>
  <c r="R11" i="8" s="1"/>
  <c r="O36" i="8"/>
  <c r="P36" i="8" s="1"/>
  <c r="Q36" i="8" s="1"/>
  <c r="R36" i="8" s="1"/>
  <c r="O40" i="8"/>
  <c r="P40" i="8" s="1"/>
  <c r="Q40" i="8" s="1"/>
  <c r="R40" i="8" s="1"/>
  <c r="O16" i="8"/>
  <c r="P16" i="8" s="1"/>
  <c r="Q16" i="8" s="1"/>
  <c r="R16" i="8" s="1"/>
  <c r="O20" i="8"/>
  <c r="P20" i="8" s="1"/>
  <c r="Q20" i="8" s="1"/>
  <c r="R20" i="8" s="1"/>
  <c r="O32" i="8"/>
  <c r="P32" i="8" s="1"/>
  <c r="Q32" i="8" s="1"/>
  <c r="R32" i="8" s="1"/>
  <c r="O44" i="8"/>
  <c r="P44" i="8" s="1"/>
  <c r="Q44" i="8" s="1"/>
  <c r="R44" i="8" s="1"/>
  <c r="O48" i="8"/>
  <c r="O52" i="8"/>
  <c r="O56" i="8"/>
  <c r="P56" i="8" s="1"/>
  <c r="Q56" i="8" s="1"/>
  <c r="R56" i="8" s="1"/>
  <c r="O60" i="8"/>
  <c r="P60" i="8" s="1"/>
  <c r="Q60" i="8" s="1"/>
  <c r="R60" i="8" s="1"/>
  <c r="O64" i="8"/>
  <c r="P64" i="8" s="1"/>
  <c r="Q64" i="8" s="1"/>
  <c r="R64" i="8" s="1"/>
  <c r="O68" i="8"/>
  <c r="P68" i="8" s="1"/>
  <c r="Q68" i="8" s="1"/>
  <c r="R68" i="8" s="1"/>
  <c r="O72" i="8"/>
  <c r="P72" i="8" s="1"/>
  <c r="Q72" i="8" s="1"/>
  <c r="R72" i="8" s="1"/>
  <c r="O76" i="8"/>
  <c r="P76" i="8" s="1"/>
  <c r="Q76" i="8" s="1"/>
  <c r="R76" i="8" s="1"/>
  <c r="O80" i="8"/>
  <c r="P80" i="8" s="1"/>
  <c r="Q80" i="8" s="1"/>
  <c r="R80" i="8" s="1"/>
  <c r="O84" i="8"/>
  <c r="P84" i="8" s="1"/>
  <c r="Q84" i="8" s="1"/>
  <c r="R84" i="8" s="1"/>
  <c r="O88" i="8"/>
  <c r="P88" i="8" s="1"/>
  <c r="Q88" i="8" s="1"/>
  <c r="R88" i="8" s="1"/>
  <c r="O96" i="8"/>
  <c r="P96" i="8" s="1"/>
  <c r="Q96" i="8" s="1"/>
  <c r="R96" i="8" s="1"/>
  <c r="O13" i="8"/>
  <c r="O34" i="8"/>
  <c r="P34" i="8" s="1"/>
  <c r="Q34" i="8" s="1"/>
  <c r="R34" i="8" s="1"/>
  <c r="O18" i="8"/>
  <c r="P18" i="8" s="1"/>
  <c r="Q18" i="8" s="1"/>
  <c r="R18" i="8" s="1"/>
  <c r="O50" i="8"/>
  <c r="P50" i="8" s="1"/>
  <c r="Q50" i="8" s="1"/>
  <c r="R50" i="8" s="1"/>
  <c r="O98" i="8"/>
  <c r="P98" i="8" s="1"/>
  <c r="Q98" i="8" s="1"/>
  <c r="R98" i="8" s="1"/>
  <c r="O30" i="8"/>
  <c r="P30" i="8" s="1"/>
  <c r="Q30" i="8" s="1"/>
  <c r="R30" i="8" s="1"/>
  <c r="O23" i="8"/>
  <c r="P23" i="8" s="1"/>
  <c r="Q23" i="8" s="1"/>
  <c r="R23" i="8" s="1"/>
  <c r="O28" i="8"/>
  <c r="P28" i="8" s="1"/>
  <c r="Q28" i="8" s="1"/>
  <c r="R28" i="8" s="1"/>
  <c r="O100" i="8"/>
  <c r="P100" i="8" s="1"/>
  <c r="Q100" i="8" s="1"/>
  <c r="R100" i="8" s="1"/>
  <c r="O21" i="8"/>
  <c r="P21" i="8" s="1"/>
  <c r="Q21" i="8" s="1"/>
  <c r="R21" i="8" s="1"/>
  <c r="O42" i="8"/>
  <c r="P42" i="8" s="1"/>
  <c r="Q42" i="8" s="1"/>
  <c r="R42" i="8" s="1"/>
  <c r="O62" i="8"/>
  <c r="P62" i="8" s="1"/>
  <c r="Q62" i="8" s="1"/>
  <c r="R62" i="8" s="1"/>
  <c r="O94" i="8"/>
  <c r="P94" i="8" s="1"/>
  <c r="Q94" i="8" s="1"/>
  <c r="R94" i="8" s="1"/>
  <c r="O22" i="8"/>
  <c r="P22" i="8" s="1"/>
  <c r="Q22" i="8" s="1"/>
  <c r="R22" i="8" s="1"/>
  <c r="O14" i="8"/>
  <c r="P14" i="8" s="1"/>
  <c r="Q14" i="8" s="1"/>
  <c r="R14" i="8" s="1"/>
  <c r="O51" i="8"/>
  <c r="P51" i="8" s="1"/>
  <c r="Q51" i="8" s="1"/>
  <c r="R51" i="8" s="1"/>
  <c r="O87" i="8"/>
  <c r="P87" i="8" s="1"/>
  <c r="Q87" i="8" s="1"/>
  <c r="R87" i="8" s="1"/>
  <c r="O27" i="8"/>
  <c r="P27" i="8" s="1"/>
  <c r="Q27" i="8" s="1"/>
  <c r="R27" i="8" s="1"/>
  <c r="O12" i="8"/>
  <c r="P12" i="8" s="1"/>
  <c r="Q12" i="8" s="1"/>
  <c r="R12" i="8" s="1"/>
  <c r="O37" i="8"/>
  <c r="P37" i="8" s="1"/>
  <c r="Q37" i="8" s="1"/>
  <c r="R37" i="8" s="1"/>
  <c r="O41" i="8"/>
  <c r="P41" i="8" s="1"/>
  <c r="Q41" i="8" s="1"/>
  <c r="R41" i="8" s="1"/>
  <c r="O29" i="8"/>
  <c r="P29" i="8" s="1"/>
  <c r="Q29" i="8" s="1"/>
  <c r="R29" i="8" s="1"/>
  <c r="O58" i="8"/>
  <c r="P58" i="8" s="1"/>
  <c r="Q58" i="8" s="1"/>
  <c r="R58" i="8" s="1"/>
  <c r="O86" i="8"/>
  <c r="P86" i="8" s="1"/>
  <c r="Q86" i="8" s="1"/>
  <c r="R86" i="8" s="1"/>
  <c r="O59" i="8"/>
  <c r="P59" i="8" s="1"/>
  <c r="Q59" i="8" s="1"/>
  <c r="R59" i="8" s="1"/>
  <c r="O95" i="8"/>
  <c r="P95" i="8" s="1"/>
  <c r="Q95" i="8" s="1"/>
  <c r="R95" i="8" s="1"/>
  <c r="O24" i="8"/>
  <c r="P24" i="8" s="1"/>
  <c r="Q24" i="8" s="1"/>
  <c r="R24" i="8" s="1"/>
  <c r="O17" i="8"/>
  <c r="P17" i="8" s="1"/>
  <c r="Q17" i="8" s="1"/>
  <c r="R17" i="8" s="1"/>
  <c r="O45" i="8"/>
  <c r="O49" i="8"/>
  <c r="O53" i="8"/>
  <c r="P53" i="8" s="1"/>
  <c r="Q53" i="8" s="1"/>
  <c r="R53" i="8" s="1"/>
  <c r="O57" i="8"/>
  <c r="P57" i="8" s="1"/>
  <c r="Q57" i="8" s="1"/>
  <c r="R57" i="8" s="1"/>
  <c r="O61" i="8"/>
  <c r="P61" i="8" s="1"/>
  <c r="Q61" i="8" s="1"/>
  <c r="R61" i="8" s="1"/>
  <c r="O65" i="8"/>
  <c r="P65" i="8" s="1"/>
  <c r="Q65" i="8" s="1"/>
  <c r="R65" i="8" s="1"/>
  <c r="O69" i="8"/>
  <c r="P69" i="8" s="1"/>
  <c r="Q69" i="8" s="1"/>
  <c r="R69" i="8" s="1"/>
  <c r="O73" i="8"/>
  <c r="P73" i="8" s="1"/>
  <c r="Q73" i="8" s="1"/>
  <c r="R73" i="8" s="1"/>
  <c r="O77" i="8"/>
  <c r="O81" i="8"/>
  <c r="O85" i="8"/>
  <c r="P85" i="8" s="1"/>
  <c r="Q85" i="8" s="1"/>
  <c r="R85" i="8" s="1"/>
  <c r="O89" i="8"/>
  <c r="P89" i="8" s="1"/>
  <c r="Q89" i="8" s="1"/>
  <c r="R89" i="8" s="1"/>
  <c r="O93" i="8"/>
  <c r="P93" i="8" s="1"/>
  <c r="Q93" i="8" s="1"/>
  <c r="R93" i="8" s="1"/>
  <c r="O97" i="8"/>
  <c r="P97" i="8" s="1"/>
  <c r="Q97" i="8" s="1"/>
  <c r="R97" i="8" s="1"/>
  <c r="O33" i="8"/>
  <c r="P33" i="8" s="1"/>
  <c r="Q33" i="8" s="1"/>
  <c r="R33" i="8" s="1"/>
  <c r="O15" i="8"/>
  <c r="P102" i="8"/>
  <c r="Q102" i="8" s="1"/>
  <c r="R102" i="8" s="1"/>
  <c r="P15" i="8"/>
  <c r="Q15" i="8" s="1"/>
  <c r="R15" i="8" s="1"/>
  <c r="P19" i="8"/>
  <c r="Q19" i="8" s="1"/>
  <c r="R19" i="8" s="1"/>
  <c r="P103" i="8"/>
  <c r="Q103" i="8" s="1"/>
  <c r="R103" i="8" s="1"/>
  <c r="P48" i="8"/>
  <c r="Q48" i="8" s="1"/>
  <c r="R48" i="8" s="1"/>
  <c r="P52" i="8"/>
  <c r="Q52" i="8" s="1"/>
  <c r="R52" i="8" s="1"/>
  <c r="P13" i="8"/>
  <c r="Q13" i="8" s="1"/>
  <c r="R13" i="8" s="1"/>
  <c r="P45" i="8"/>
  <c r="Q45" i="8" s="1"/>
  <c r="R45" i="8" s="1"/>
  <c r="P49" i="8"/>
  <c r="Q49" i="8" s="1"/>
  <c r="R49" i="8" s="1"/>
  <c r="P77" i="8"/>
  <c r="Q77" i="8" s="1"/>
  <c r="R77" i="8" s="1"/>
  <c r="P81" i="8"/>
  <c r="Q81" i="8" s="1"/>
  <c r="R81" i="8" s="1"/>
  <c r="O9" i="8"/>
  <c r="P9" i="8" s="1"/>
  <c r="Q9" i="8" s="1"/>
  <c r="R9" i="8" s="1"/>
  <c r="F122" i="14"/>
  <c r="M128" i="14"/>
  <c r="N128" i="14" s="1" a="1"/>
  <c r="N128" i="14" s="1"/>
  <c r="B122" i="14"/>
  <c r="O128" i="14" s="1"/>
  <c r="P128" i="14" s="1"/>
  <c r="Q128" i="14" s="1"/>
  <c r="R128" i="14" s="1"/>
  <c r="F121" i="14"/>
  <c r="M127" i="14"/>
  <c r="N127" i="14" s="1" a="1"/>
  <c r="N127" i="14" s="1"/>
  <c r="B121" i="14"/>
  <c r="O127" i="14" s="1"/>
  <c r="P127" i="14" s="1"/>
  <c r="Q127" i="14" s="1"/>
  <c r="R127" i="14" s="1"/>
  <c r="F120" i="14"/>
  <c r="M126" i="14"/>
  <c r="N126" i="14" s="1" a="1"/>
  <c r="N126" i="14" s="1"/>
  <c r="B120" i="14"/>
  <c r="O126" i="14" s="1"/>
  <c r="P126" i="14" s="1"/>
  <c r="Q126" i="14" s="1"/>
  <c r="R126" i="14" s="1"/>
  <c r="F119" i="14"/>
  <c r="M125" i="14"/>
  <c r="N125" i="14" s="1" a="1"/>
  <c r="N125" i="14" s="1"/>
  <c r="B119" i="14"/>
  <c r="O125" i="14" s="1"/>
  <c r="P125" i="14" s="1"/>
  <c r="Q125" i="14" s="1"/>
  <c r="R125" i="14" s="1"/>
  <c r="O118" i="14"/>
  <c r="P118" i="14" s="1"/>
  <c r="Q118" i="14" s="1"/>
  <c r="R118" i="14" s="1"/>
  <c r="F118" i="14"/>
  <c r="M124" i="14"/>
  <c r="N124" i="14" s="1" a="1"/>
  <c r="N124" i="14" s="1"/>
  <c r="B118" i="14"/>
  <c r="O124" i="14" s="1"/>
  <c r="P124" i="14" s="1"/>
  <c r="Q124" i="14" s="1"/>
  <c r="R124" i="14" s="1"/>
  <c r="F117" i="14"/>
  <c r="M123" i="14"/>
  <c r="N123" i="14" s="1" a="1"/>
  <c r="N123" i="14" s="1"/>
  <c r="B117" i="14"/>
  <c r="O123" i="14" s="1"/>
  <c r="P123" i="14" s="1"/>
  <c r="Q123" i="14" s="1"/>
  <c r="R123" i="14" s="1"/>
  <c r="O116" i="14"/>
  <c r="F116" i="14"/>
  <c r="M122" i="14"/>
  <c r="N122" i="14" s="1" a="1"/>
  <c r="N122" i="14" s="1"/>
  <c r="B116" i="14"/>
  <c r="O122" i="14" s="1"/>
  <c r="P122" i="14" s="1"/>
  <c r="Q122" i="14" s="1"/>
  <c r="R122" i="14" s="1"/>
  <c r="F115" i="14"/>
  <c r="M121" i="14"/>
  <c r="N121" i="14" s="1" a="1"/>
  <c r="N121" i="14" s="1"/>
  <c r="B115" i="14"/>
  <c r="O121" i="14" s="1"/>
  <c r="P121" i="14" s="1"/>
  <c r="Q121" i="14" s="1"/>
  <c r="R121" i="14" s="1"/>
  <c r="F114" i="14"/>
  <c r="M120" i="14"/>
  <c r="N120" i="14" s="1" a="1"/>
  <c r="N120" i="14" s="1"/>
  <c r="B114" i="14"/>
  <c r="O120" i="14" s="1"/>
  <c r="F113" i="14"/>
  <c r="M119" i="14"/>
  <c r="N119" i="14" s="1" a="1"/>
  <c r="N119" i="14" s="1"/>
  <c r="B113" i="14"/>
  <c r="O119" i="14" s="1"/>
  <c r="P119" i="14" s="1"/>
  <c r="Q119" i="14" s="1"/>
  <c r="R119" i="14" s="1"/>
  <c r="F112" i="14"/>
  <c r="M118" i="14"/>
  <c r="N118" i="14" s="1" a="1"/>
  <c r="N118" i="14" s="1"/>
  <c r="B112" i="14"/>
  <c r="F111" i="14"/>
  <c r="M117" i="14"/>
  <c r="N117" i="14" s="1" a="1"/>
  <c r="N117" i="14" s="1"/>
  <c r="B111" i="14"/>
  <c r="O117" i="14" s="1"/>
  <c r="P117" i="14" s="1"/>
  <c r="Q117" i="14" s="1"/>
  <c r="R117" i="14" s="1"/>
  <c r="N110" i="14"/>
  <c r="F110" i="14"/>
  <c r="M116" i="14"/>
  <c r="N116" i="14" s="1" a="1"/>
  <c r="N116" i="14" s="1"/>
  <c r="B110" i="14"/>
  <c r="F109" i="14"/>
  <c r="M115" i="14"/>
  <c r="N115" i="14" s="1" a="1"/>
  <c r="N115" i="14" s="1"/>
  <c r="B109" i="14"/>
  <c r="O115" i="14" s="1"/>
  <c r="F108" i="14"/>
  <c r="M114" i="14"/>
  <c r="N114" i="14" s="1" a="1"/>
  <c r="N114" i="14" s="1"/>
  <c r="B108" i="14"/>
  <c r="O114" i="14" s="1"/>
  <c r="P114" i="14" s="1"/>
  <c r="Q114" i="14" s="1"/>
  <c r="R114" i="14" s="1"/>
  <c r="F107" i="14"/>
  <c r="M113" i="14"/>
  <c r="N113" i="14" s="1" a="1"/>
  <c r="N113" i="14" s="1"/>
  <c r="B107" i="14"/>
  <c r="O113" i="14" s="1"/>
  <c r="P113" i="14" s="1"/>
  <c r="Q113" i="14" s="1"/>
  <c r="R113" i="14" s="1"/>
  <c r="F106" i="14"/>
  <c r="M112" i="14"/>
  <c r="N112" i="14" s="1" a="1"/>
  <c r="N112" i="14" s="1"/>
  <c r="B106" i="14"/>
  <c r="O112" i="14" s="1"/>
  <c r="P112" i="14" s="1"/>
  <c r="Q112" i="14" s="1"/>
  <c r="R112" i="14" s="1"/>
  <c r="F105" i="14"/>
  <c r="M111" i="14"/>
  <c r="N111" i="14" s="1" a="1"/>
  <c r="N111" i="14" s="1"/>
  <c r="B105" i="14"/>
  <c r="O111" i="14" s="1"/>
  <c r="P111" i="14" s="1"/>
  <c r="Q111" i="14" s="1"/>
  <c r="R111" i="14" s="1"/>
  <c r="F104" i="14"/>
  <c r="M110" i="14"/>
  <c r="N110" i="14" s="1" a="1"/>
  <c r="B104" i="14"/>
  <c r="O110" i="14" s="1"/>
  <c r="P110" i="14" s="1"/>
  <c r="Q110" i="14" s="1"/>
  <c r="R110" i="14" s="1"/>
  <c r="F103" i="14"/>
  <c r="M109" i="14"/>
  <c r="N109" i="14" s="1" a="1"/>
  <c r="N109" i="14" s="1"/>
  <c r="B103" i="14"/>
  <c r="O109" i="14" s="1"/>
  <c r="P109" i="14" s="1"/>
  <c r="Q109" i="14" s="1"/>
  <c r="R109" i="14" s="1"/>
  <c r="F102" i="14"/>
  <c r="M108" i="14"/>
  <c r="N108" i="14" s="1" a="1"/>
  <c r="N108" i="14" s="1"/>
  <c r="B102" i="14"/>
  <c r="O108" i="14" s="1"/>
  <c r="F101" i="14"/>
  <c r="M107" i="14"/>
  <c r="N107" i="14" s="1" a="1"/>
  <c r="N107" i="14" s="1"/>
  <c r="B101" i="14"/>
  <c r="O107" i="14" s="1"/>
  <c r="F100" i="14"/>
  <c r="M106" i="14"/>
  <c r="N106" i="14" s="1" a="1"/>
  <c r="N106" i="14" s="1"/>
  <c r="B100" i="14"/>
  <c r="O106" i="14" s="1"/>
  <c r="P106" i="14" s="1"/>
  <c r="Q106" i="14" s="1"/>
  <c r="R106" i="14" s="1"/>
  <c r="F99" i="14"/>
  <c r="M105" i="14"/>
  <c r="N105" i="14" s="1" a="1"/>
  <c r="N105" i="14" s="1"/>
  <c r="B99" i="14"/>
  <c r="O105" i="14" s="1"/>
  <c r="P105" i="14" s="1"/>
  <c r="Q105" i="14" s="1"/>
  <c r="R105" i="14" s="1"/>
  <c r="F98" i="14"/>
  <c r="M104" i="14"/>
  <c r="N104" i="14" s="1" a="1"/>
  <c r="N104" i="14" s="1"/>
  <c r="B98" i="14"/>
  <c r="O104" i="14" s="1"/>
  <c r="F97" i="14"/>
  <c r="M103" i="14"/>
  <c r="N103" i="14" s="1" a="1"/>
  <c r="N103" i="14" s="1"/>
  <c r="B97" i="14"/>
  <c r="O103" i="14" s="1"/>
  <c r="F96" i="14"/>
  <c r="M102" i="14"/>
  <c r="N102" i="14" s="1" a="1"/>
  <c r="N102" i="14" s="1"/>
  <c r="B96" i="14"/>
  <c r="O102" i="14" s="1"/>
  <c r="P102" i="14" s="1"/>
  <c r="Q102" i="14" s="1"/>
  <c r="R102" i="14" s="1"/>
  <c r="O95" i="14"/>
  <c r="P95" i="14" s="1"/>
  <c r="Q95" i="14" s="1"/>
  <c r="R95" i="14" s="1"/>
  <c r="F95" i="14"/>
  <c r="M101" i="14"/>
  <c r="N101" i="14" s="1" a="1"/>
  <c r="N101" i="14" s="1"/>
  <c r="B95" i="14"/>
  <c r="O101" i="14" s="1"/>
  <c r="P101" i="14" s="1"/>
  <c r="Q101" i="14" s="1"/>
  <c r="R101" i="14" s="1"/>
  <c r="F94" i="14"/>
  <c r="M100" i="14"/>
  <c r="N100" i="14" s="1" a="1"/>
  <c r="N100" i="14" s="1"/>
  <c r="B94" i="14"/>
  <c r="O100" i="14" s="1"/>
  <c r="P100" i="14" s="1"/>
  <c r="Q100" i="14" s="1"/>
  <c r="R100" i="14" s="1"/>
  <c r="F93" i="14"/>
  <c r="M99" i="14"/>
  <c r="N99" i="14" s="1" a="1"/>
  <c r="N99" i="14" s="1"/>
  <c r="B93" i="14"/>
  <c r="O99" i="14" s="1"/>
  <c r="F92" i="14"/>
  <c r="M98" i="14"/>
  <c r="N98" i="14" s="1" a="1"/>
  <c r="N98" i="14" s="1"/>
  <c r="B92" i="14"/>
  <c r="O98" i="14" s="1"/>
  <c r="P98" i="14" s="1"/>
  <c r="Q98" i="14" s="1"/>
  <c r="R98" i="14" s="1"/>
  <c r="F91" i="14"/>
  <c r="M97" i="14"/>
  <c r="N97" i="14" s="1" a="1"/>
  <c r="N97" i="14" s="1"/>
  <c r="B91" i="14"/>
  <c r="O97" i="14" s="1"/>
  <c r="P97" i="14" s="1"/>
  <c r="Q97" i="14" s="1"/>
  <c r="R97" i="14" s="1"/>
  <c r="F90" i="14"/>
  <c r="M96" i="14"/>
  <c r="N96" i="14" s="1" a="1"/>
  <c r="N96" i="14" s="1"/>
  <c r="B90" i="14"/>
  <c r="O96" i="14" s="1"/>
  <c r="P96" i="14" s="1"/>
  <c r="Q96" i="14" s="1"/>
  <c r="R96" i="14" s="1"/>
  <c r="F89" i="14"/>
  <c r="M95" i="14"/>
  <c r="N95" i="14" s="1" a="1"/>
  <c r="N95" i="14" s="1"/>
  <c r="B89" i="14"/>
  <c r="F88" i="14"/>
  <c r="M94" i="14"/>
  <c r="N94" i="14" s="1" a="1"/>
  <c r="N94" i="14" s="1"/>
  <c r="B88" i="14"/>
  <c r="O94" i="14" s="1"/>
  <c r="P94" i="14" s="1"/>
  <c r="Q94" i="14" s="1"/>
  <c r="R94" i="14" s="1"/>
  <c r="F87" i="14"/>
  <c r="M93" i="14"/>
  <c r="N93" i="14" s="1" a="1"/>
  <c r="N93" i="14" s="1"/>
  <c r="B87" i="14"/>
  <c r="O93" i="14" s="1"/>
  <c r="P93" i="14" s="1"/>
  <c r="Q93" i="14" s="1"/>
  <c r="R93" i="14" s="1"/>
  <c r="F86" i="14"/>
  <c r="M92" i="14"/>
  <c r="N92" i="14" s="1" a="1"/>
  <c r="N92" i="14" s="1"/>
  <c r="B86" i="14"/>
  <c r="O92" i="14" s="1"/>
  <c r="P92" i="14" s="1"/>
  <c r="Q92" i="14" s="1"/>
  <c r="R92" i="14" s="1"/>
  <c r="F85" i="14"/>
  <c r="M91" i="14"/>
  <c r="N91" i="14" s="1" a="1"/>
  <c r="N91" i="14" s="1"/>
  <c r="B85" i="14"/>
  <c r="O91" i="14" s="1"/>
  <c r="F84" i="14"/>
  <c r="M90" i="14"/>
  <c r="N90" i="14" s="1" a="1"/>
  <c r="N90" i="14" s="1"/>
  <c r="B84" i="14"/>
  <c r="O90" i="14" s="1"/>
  <c r="P90" i="14" s="1"/>
  <c r="Q90" i="14" s="1"/>
  <c r="R90" i="14" s="1"/>
  <c r="F83" i="14"/>
  <c r="M89" i="14"/>
  <c r="N89" i="14" s="1" a="1"/>
  <c r="N89" i="14" s="1"/>
  <c r="B83" i="14"/>
  <c r="O89" i="14" s="1"/>
  <c r="P89" i="14" s="1"/>
  <c r="Q89" i="14" s="1"/>
  <c r="R89" i="14" s="1"/>
  <c r="F82" i="14"/>
  <c r="M88" i="14"/>
  <c r="N88" i="14" s="1" a="1"/>
  <c r="N88" i="14" s="1"/>
  <c r="B82" i="14"/>
  <c r="O88" i="14" s="1"/>
  <c r="P88" i="14" s="1"/>
  <c r="Q88" i="14" s="1"/>
  <c r="R88" i="14" s="1"/>
  <c r="F81" i="14"/>
  <c r="M87" i="14"/>
  <c r="N87" i="14" s="1" a="1"/>
  <c r="N87" i="14" s="1"/>
  <c r="B81" i="14"/>
  <c r="O87" i="14" s="1"/>
  <c r="F80" i="14"/>
  <c r="M86" i="14"/>
  <c r="N86" i="14" s="1" a="1"/>
  <c r="N86" i="14" s="1"/>
  <c r="B80" i="14"/>
  <c r="O86" i="14" s="1"/>
  <c r="P86" i="14" s="1"/>
  <c r="Q86" i="14" s="1"/>
  <c r="R86" i="14" s="1"/>
  <c r="F79" i="14"/>
  <c r="M85" i="14"/>
  <c r="N85" i="14" s="1" a="1"/>
  <c r="N85" i="14" s="1"/>
  <c r="B79" i="14"/>
  <c r="O85" i="14" s="1"/>
  <c r="P85" i="14" s="1"/>
  <c r="Q85" i="14" s="1"/>
  <c r="R85" i="14" s="1"/>
  <c r="F78" i="14"/>
  <c r="M84" i="14"/>
  <c r="N84" i="14" s="1" a="1"/>
  <c r="N84" i="14" s="1"/>
  <c r="B78" i="14"/>
  <c r="O84" i="14" s="1"/>
  <c r="P84" i="14" s="1"/>
  <c r="Q84" i="14" s="1"/>
  <c r="R84" i="14" s="1"/>
  <c r="F77" i="14"/>
  <c r="M83" i="14"/>
  <c r="N83" i="14" s="1" a="1"/>
  <c r="N83" i="14" s="1"/>
  <c r="B77" i="14"/>
  <c r="O83" i="14" s="1"/>
  <c r="P83" i="14" s="1"/>
  <c r="Q83" i="14" s="1"/>
  <c r="R83" i="14" s="1"/>
  <c r="F76" i="14"/>
  <c r="M82" i="14"/>
  <c r="N82" i="14" s="1" a="1"/>
  <c r="N82" i="14" s="1"/>
  <c r="B76" i="14"/>
  <c r="O82" i="14" s="1"/>
  <c r="P82" i="14" s="1"/>
  <c r="Q82" i="14" s="1"/>
  <c r="R82" i="14" s="1"/>
  <c r="F75" i="14"/>
  <c r="M81" i="14"/>
  <c r="N81" i="14" s="1" a="1"/>
  <c r="N81" i="14" s="1"/>
  <c r="B75" i="14"/>
  <c r="O81" i="14" s="1"/>
  <c r="P81" i="14" s="1"/>
  <c r="Q81" i="14" s="1"/>
  <c r="R81" i="14" s="1"/>
  <c r="F74" i="14"/>
  <c r="M80" i="14"/>
  <c r="N80" i="14" s="1" a="1"/>
  <c r="N80" i="14" s="1"/>
  <c r="B74" i="14"/>
  <c r="O80" i="14" s="1"/>
  <c r="P80" i="14" s="1"/>
  <c r="Q80" i="14" s="1"/>
  <c r="R80" i="14" s="1"/>
  <c r="F73" i="14"/>
  <c r="M79" i="14"/>
  <c r="N79" i="14" s="1" a="1"/>
  <c r="N79" i="14" s="1"/>
  <c r="B73" i="14"/>
  <c r="O79" i="14" s="1"/>
  <c r="P79" i="14" s="1"/>
  <c r="Q79" i="14" s="1"/>
  <c r="R79" i="14" s="1"/>
  <c r="F72" i="14"/>
  <c r="M78" i="14"/>
  <c r="N78" i="14" s="1" a="1"/>
  <c r="N78" i="14" s="1"/>
  <c r="B72" i="14"/>
  <c r="O78" i="14" s="1"/>
  <c r="P78" i="14" s="1"/>
  <c r="Q78" i="14" s="1"/>
  <c r="R78" i="14" s="1"/>
  <c r="F71" i="14"/>
  <c r="M77" i="14"/>
  <c r="N77" i="14" s="1" a="1"/>
  <c r="N77" i="14" s="1"/>
  <c r="B71" i="14"/>
  <c r="O77" i="14" s="1"/>
  <c r="F70" i="14"/>
  <c r="M76" i="14"/>
  <c r="N76" i="14" s="1" a="1"/>
  <c r="N76" i="14" s="1"/>
  <c r="B70" i="14"/>
  <c r="O76" i="14" s="1"/>
  <c r="P76" i="14" s="1"/>
  <c r="Q76" i="14" s="1"/>
  <c r="R76" i="14" s="1"/>
  <c r="F69" i="14"/>
  <c r="M75" i="14"/>
  <c r="N75" i="14" s="1" a="1"/>
  <c r="N75" i="14" s="1"/>
  <c r="B69" i="14"/>
  <c r="O75" i="14" s="1"/>
  <c r="P75" i="14" s="1"/>
  <c r="Q75" i="14" s="1"/>
  <c r="R75" i="14" s="1"/>
  <c r="F68" i="14"/>
  <c r="M74" i="14"/>
  <c r="N74" i="14" s="1" a="1"/>
  <c r="N74" i="14" s="1"/>
  <c r="B68" i="14"/>
  <c r="O74" i="14" s="1"/>
  <c r="P74" i="14" s="1"/>
  <c r="Q74" i="14" s="1"/>
  <c r="R74" i="14" s="1"/>
  <c r="F67" i="14"/>
  <c r="M73" i="14"/>
  <c r="N73" i="14" s="1" a="1"/>
  <c r="N73" i="14" s="1"/>
  <c r="B67" i="14"/>
  <c r="O73" i="14" s="1"/>
  <c r="F66" i="14"/>
  <c r="M72" i="14"/>
  <c r="N72" i="14" s="1" a="1"/>
  <c r="N72" i="14" s="1"/>
  <c r="B66" i="14"/>
  <c r="O72" i="14" s="1"/>
  <c r="P72" i="14" s="1"/>
  <c r="Q72" i="14" s="1"/>
  <c r="R72" i="14" s="1"/>
  <c r="F65" i="14"/>
  <c r="M71" i="14"/>
  <c r="N71" i="14" s="1" a="1"/>
  <c r="N71" i="14" s="1"/>
  <c r="B65" i="14"/>
  <c r="O71" i="14" s="1"/>
  <c r="P71" i="14" s="1"/>
  <c r="Q71" i="14" s="1"/>
  <c r="R71" i="14" s="1"/>
  <c r="F64" i="14"/>
  <c r="M70" i="14"/>
  <c r="N70" i="14" s="1" a="1"/>
  <c r="N70" i="14" s="1"/>
  <c r="B64" i="14"/>
  <c r="O70" i="14" s="1"/>
  <c r="P70" i="14" s="1"/>
  <c r="Q70" i="14" s="1"/>
  <c r="R70" i="14" s="1"/>
  <c r="F63" i="14"/>
  <c r="M69" i="14"/>
  <c r="N69" i="14" s="1" a="1"/>
  <c r="N69" i="14" s="1"/>
  <c r="B63" i="14"/>
  <c r="O69" i="14" s="1"/>
  <c r="F62" i="14"/>
  <c r="M68" i="14"/>
  <c r="N68" i="14" s="1" a="1"/>
  <c r="N68" i="14" s="1"/>
  <c r="B62" i="14"/>
  <c r="O68" i="14" s="1"/>
  <c r="P68" i="14" s="1"/>
  <c r="Q68" i="14" s="1"/>
  <c r="R68" i="14" s="1"/>
  <c r="F61" i="14"/>
  <c r="M67" i="14"/>
  <c r="N67" i="14" s="1" a="1"/>
  <c r="N67" i="14" s="1"/>
  <c r="B61" i="14"/>
  <c r="O67" i="14" s="1"/>
  <c r="P67" i="14" s="1"/>
  <c r="Q67" i="14" s="1"/>
  <c r="R67" i="14" s="1"/>
  <c r="F60" i="14"/>
  <c r="M66" i="14"/>
  <c r="N66" i="14" s="1" a="1"/>
  <c r="N66" i="14" s="1"/>
  <c r="B60" i="14"/>
  <c r="O66" i="14" s="1"/>
  <c r="P66" i="14" s="1"/>
  <c r="Q66" i="14" s="1"/>
  <c r="R66" i="14" s="1"/>
  <c r="F59" i="14"/>
  <c r="M65" i="14"/>
  <c r="N65" i="14" s="1" a="1"/>
  <c r="N65" i="14" s="1"/>
  <c r="B59" i="14"/>
  <c r="O65" i="14" s="1"/>
  <c r="P65" i="14" s="1"/>
  <c r="Q65" i="14" s="1"/>
  <c r="R65" i="14" s="1"/>
  <c r="F58" i="14"/>
  <c r="M64" i="14"/>
  <c r="N64" i="14" s="1" a="1"/>
  <c r="N64" i="14" s="1"/>
  <c r="B58" i="14"/>
  <c r="O64" i="14" s="1"/>
  <c r="P64" i="14" s="1"/>
  <c r="Q64" i="14" s="1"/>
  <c r="R64" i="14" s="1"/>
  <c r="F57" i="14"/>
  <c r="M63" i="14"/>
  <c r="N63" i="14" s="1" a="1"/>
  <c r="N63" i="14" s="1"/>
  <c r="B57" i="14"/>
  <c r="O63" i="14" s="1"/>
  <c r="P63" i="14" s="1"/>
  <c r="Q63" i="14" s="1"/>
  <c r="R63" i="14" s="1"/>
  <c r="F56" i="14"/>
  <c r="M62" i="14"/>
  <c r="N62" i="14" s="1" a="1"/>
  <c r="N62" i="14" s="1"/>
  <c r="B56" i="14"/>
  <c r="O62" i="14" s="1"/>
  <c r="P62" i="14" s="1"/>
  <c r="Q62" i="14" s="1"/>
  <c r="R62" i="14" s="1"/>
  <c r="F55" i="14"/>
  <c r="M61" i="14"/>
  <c r="N61" i="14" s="1" a="1"/>
  <c r="N61" i="14" s="1"/>
  <c r="B55" i="14"/>
  <c r="O61" i="14" s="1"/>
  <c r="F54" i="14"/>
  <c r="M60" i="14"/>
  <c r="N60" i="14" s="1" a="1"/>
  <c r="N60" i="14" s="1"/>
  <c r="B54" i="14"/>
  <c r="O60" i="14" s="1"/>
  <c r="P60" i="14" s="1"/>
  <c r="Q60" i="14" s="1"/>
  <c r="R60" i="14" s="1"/>
  <c r="F53" i="14"/>
  <c r="M59" i="14"/>
  <c r="N59" i="14" s="1" a="1"/>
  <c r="N59" i="14" s="1"/>
  <c r="B53" i="14"/>
  <c r="O59" i="14" s="1"/>
  <c r="P59" i="14" s="1"/>
  <c r="Q59" i="14" s="1"/>
  <c r="R59" i="14" s="1"/>
  <c r="F52" i="14"/>
  <c r="M58" i="14"/>
  <c r="N58" i="14" s="1" a="1"/>
  <c r="N58" i="14" s="1"/>
  <c r="B52" i="14"/>
  <c r="O58" i="14" s="1"/>
  <c r="P58" i="14" s="1"/>
  <c r="Q58" i="14" s="1"/>
  <c r="R58" i="14" s="1"/>
  <c r="F51" i="14"/>
  <c r="M57" i="14"/>
  <c r="N57" i="14" s="1" a="1"/>
  <c r="N57" i="14" s="1"/>
  <c r="B51" i="14"/>
  <c r="O57" i="14" s="1"/>
  <c r="F50" i="14"/>
  <c r="M56" i="14"/>
  <c r="N56" i="14" s="1" a="1"/>
  <c r="N56" i="14" s="1"/>
  <c r="B50" i="14"/>
  <c r="O56" i="14" s="1"/>
  <c r="P56" i="14" s="1"/>
  <c r="Q56" i="14" s="1"/>
  <c r="R56" i="14" s="1"/>
  <c r="F49" i="14"/>
  <c r="M55" i="14"/>
  <c r="N55" i="14" s="1" a="1"/>
  <c r="N55" i="14" s="1"/>
  <c r="B49" i="14"/>
  <c r="O55" i="14" s="1"/>
  <c r="P55" i="14" s="1"/>
  <c r="Q55" i="14" s="1"/>
  <c r="R55" i="14" s="1"/>
  <c r="F48" i="14"/>
  <c r="M54" i="14"/>
  <c r="N54" i="14" s="1" a="1"/>
  <c r="N54" i="14" s="1"/>
  <c r="B48" i="14"/>
  <c r="O54" i="14" s="1"/>
  <c r="P54" i="14" s="1"/>
  <c r="Q54" i="14" s="1"/>
  <c r="R54" i="14" s="1"/>
  <c r="F47" i="14"/>
  <c r="M53" i="14"/>
  <c r="N53" i="14" s="1" a="1"/>
  <c r="N53" i="14" s="1"/>
  <c r="B47" i="14"/>
  <c r="O53" i="14" s="1"/>
  <c r="P53" i="14" s="1"/>
  <c r="Q53" i="14" s="1"/>
  <c r="R53" i="14" s="1"/>
  <c r="F46" i="14"/>
  <c r="M52" i="14"/>
  <c r="N52" i="14" s="1" a="1"/>
  <c r="N52" i="14" s="1"/>
  <c r="B46" i="14"/>
  <c r="O52" i="14" s="1"/>
  <c r="P52" i="14" s="1"/>
  <c r="Q52" i="14" s="1"/>
  <c r="R52" i="14" s="1"/>
  <c r="F45" i="14"/>
  <c r="M51" i="14"/>
  <c r="N51" i="14" s="1" a="1"/>
  <c r="N51" i="14" s="1"/>
  <c r="B45" i="14"/>
  <c r="O51" i="14" s="1"/>
  <c r="P51" i="14" s="1"/>
  <c r="Q51" i="14" s="1"/>
  <c r="R51" i="14" s="1"/>
  <c r="F44" i="14"/>
  <c r="M50" i="14"/>
  <c r="N50" i="14" s="1" a="1"/>
  <c r="N50" i="14" s="1"/>
  <c r="B44" i="14"/>
  <c r="O50" i="14" s="1"/>
  <c r="P50" i="14" s="1"/>
  <c r="Q50" i="14" s="1"/>
  <c r="R50" i="14" s="1"/>
  <c r="F43" i="14"/>
  <c r="M49" i="14"/>
  <c r="N49" i="14" s="1" a="1"/>
  <c r="N49" i="14" s="1"/>
  <c r="B43" i="14"/>
  <c r="O49" i="14" s="1"/>
  <c r="P49" i="14" s="1"/>
  <c r="Q49" i="14" s="1"/>
  <c r="R49" i="14" s="1"/>
  <c r="F42" i="14"/>
  <c r="M48" i="14"/>
  <c r="N48" i="14" s="1" a="1"/>
  <c r="N48" i="14" s="1"/>
  <c r="B42" i="14"/>
  <c r="O48" i="14" s="1"/>
  <c r="P48" i="14" s="1"/>
  <c r="Q48" i="14" s="1"/>
  <c r="R48" i="14" s="1"/>
  <c r="F41" i="14"/>
  <c r="M47" i="14"/>
  <c r="N47" i="14" s="1" a="1"/>
  <c r="N47" i="14" s="1"/>
  <c r="B41" i="14"/>
  <c r="O47" i="14" s="1"/>
  <c r="P47" i="14" s="1"/>
  <c r="Q47" i="14" s="1"/>
  <c r="R47" i="14" s="1"/>
  <c r="F40" i="14"/>
  <c r="M46" i="14"/>
  <c r="N46" i="14" s="1" a="1"/>
  <c r="N46" i="14" s="1"/>
  <c r="B40" i="14"/>
  <c r="O46" i="14" s="1"/>
  <c r="P46" i="14" s="1"/>
  <c r="Q46" i="14" s="1"/>
  <c r="R46" i="14" s="1"/>
  <c r="F39" i="14"/>
  <c r="M45" i="14"/>
  <c r="N45" i="14" s="1" a="1"/>
  <c r="N45" i="14" s="1"/>
  <c r="B39" i="14"/>
  <c r="O45" i="14" s="1"/>
  <c r="F38" i="14"/>
  <c r="M44" i="14"/>
  <c r="N44" i="14" s="1" a="1"/>
  <c r="N44" i="14" s="1"/>
  <c r="B38" i="14"/>
  <c r="O44" i="14" s="1"/>
  <c r="P44" i="14" s="1"/>
  <c r="Q44" i="14" s="1"/>
  <c r="R44" i="14" s="1"/>
  <c r="F37" i="14"/>
  <c r="M43" i="14"/>
  <c r="N43" i="14" s="1" a="1"/>
  <c r="N43" i="14" s="1"/>
  <c r="B37" i="14"/>
  <c r="O43" i="14" s="1"/>
  <c r="P43" i="14" s="1"/>
  <c r="Q43" i="14" s="1"/>
  <c r="R43" i="14" s="1"/>
  <c r="F36" i="14"/>
  <c r="M42" i="14"/>
  <c r="N42" i="14" s="1" a="1"/>
  <c r="N42" i="14" s="1"/>
  <c r="B36" i="14"/>
  <c r="O42" i="14" s="1"/>
  <c r="P42" i="14" s="1"/>
  <c r="Q42" i="14" s="1"/>
  <c r="R42" i="14" s="1"/>
  <c r="F35" i="14"/>
  <c r="M41" i="14"/>
  <c r="N41" i="14" s="1" a="1"/>
  <c r="N41" i="14" s="1"/>
  <c r="B35" i="14"/>
  <c r="O41" i="14" s="1"/>
  <c r="F34" i="14"/>
  <c r="M40" i="14"/>
  <c r="N40" i="14" s="1" a="1"/>
  <c r="N40" i="14" s="1"/>
  <c r="B34" i="14"/>
  <c r="O40" i="14" s="1"/>
  <c r="P40" i="14" s="1"/>
  <c r="Q40" i="14" s="1"/>
  <c r="R40" i="14" s="1"/>
  <c r="F33" i="14"/>
  <c r="M39" i="14"/>
  <c r="N39" i="14" s="1" a="1"/>
  <c r="N39" i="14" s="1"/>
  <c r="B33" i="14"/>
  <c r="O39" i="14" s="1"/>
  <c r="P39" i="14" s="1"/>
  <c r="Q39" i="14" s="1"/>
  <c r="R39" i="14" s="1"/>
  <c r="F32" i="14"/>
  <c r="M38" i="14"/>
  <c r="N38" i="14" s="1" a="1"/>
  <c r="N38" i="14" s="1"/>
  <c r="B32" i="14"/>
  <c r="O38" i="14" s="1"/>
  <c r="P38" i="14" s="1"/>
  <c r="Q38" i="14" s="1"/>
  <c r="R38" i="14" s="1"/>
  <c r="F31" i="14"/>
  <c r="M37" i="14"/>
  <c r="N37" i="14" s="1" a="1"/>
  <c r="N37" i="14" s="1"/>
  <c r="B31" i="14"/>
  <c r="O37" i="14" s="1"/>
  <c r="P37" i="14" s="1"/>
  <c r="Q37" i="14" s="1"/>
  <c r="R37" i="14" s="1"/>
  <c r="F30" i="14"/>
  <c r="M36" i="14"/>
  <c r="N36" i="14" s="1" a="1"/>
  <c r="N36" i="14" s="1"/>
  <c r="B30" i="14"/>
  <c r="O36" i="14" s="1"/>
  <c r="P36" i="14" s="1"/>
  <c r="Q36" i="14" s="1"/>
  <c r="R36" i="14" s="1"/>
  <c r="F29" i="14"/>
  <c r="M35" i="14"/>
  <c r="N35" i="14" s="1" a="1"/>
  <c r="N35" i="14" s="1"/>
  <c r="B29" i="14"/>
  <c r="O35" i="14" s="1"/>
  <c r="P35" i="14" s="1"/>
  <c r="Q35" i="14" s="1"/>
  <c r="R35" i="14" s="1"/>
  <c r="F28" i="14"/>
  <c r="M34" i="14"/>
  <c r="N34" i="14" s="1" a="1"/>
  <c r="N34" i="14" s="1"/>
  <c r="B28" i="14"/>
  <c r="O34" i="14" s="1"/>
  <c r="P34" i="14" s="1"/>
  <c r="Q34" i="14" s="1"/>
  <c r="R34" i="14" s="1"/>
  <c r="F27" i="14"/>
  <c r="M33" i="14"/>
  <c r="N33" i="14" s="1" a="1"/>
  <c r="N33" i="14" s="1"/>
  <c r="B27" i="14"/>
  <c r="O33" i="14" s="1"/>
  <c r="P33" i="14" s="1"/>
  <c r="Q33" i="14" s="1"/>
  <c r="R33" i="14" s="1"/>
  <c r="F26" i="14"/>
  <c r="M32" i="14"/>
  <c r="N32" i="14" s="1" a="1"/>
  <c r="N32" i="14" s="1"/>
  <c r="B26" i="14"/>
  <c r="O32" i="14" s="1"/>
  <c r="P32" i="14" s="1"/>
  <c r="Q32" i="14" s="1"/>
  <c r="R32" i="14" s="1"/>
  <c r="F25" i="14"/>
  <c r="M31" i="14"/>
  <c r="N31" i="14" s="1" a="1"/>
  <c r="N31" i="14" s="1"/>
  <c r="B25" i="14"/>
  <c r="O31" i="14" s="1"/>
  <c r="P31" i="14" s="1"/>
  <c r="Q31" i="14" s="1"/>
  <c r="R31" i="14" s="1"/>
  <c r="F24" i="14"/>
  <c r="M30" i="14"/>
  <c r="N30" i="14" s="1" a="1"/>
  <c r="N30" i="14" s="1"/>
  <c r="B24" i="14"/>
  <c r="O30" i="14" s="1"/>
  <c r="P30" i="14" s="1"/>
  <c r="Q30" i="14" s="1"/>
  <c r="R30" i="14" s="1"/>
  <c r="F23" i="14"/>
  <c r="M29" i="14"/>
  <c r="N29" i="14" s="1" a="1"/>
  <c r="N29" i="14" s="1"/>
  <c r="B23" i="14"/>
  <c r="O29" i="14" s="1"/>
  <c r="F22" i="14"/>
  <c r="M28" i="14"/>
  <c r="N28" i="14" s="1" a="1"/>
  <c r="N28" i="14" s="1"/>
  <c r="B22" i="14"/>
  <c r="O28" i="14" s="1"/>
  <c r="P28" i="14" s="1"/>
  <c r="Q28" i="14" s="1"/>
  <c r="R28" i="14" s="1"/>
  <c r="F21" i="14"/>
  <c r="M27" i="14"/>
  <c r="N27" i="14" s="1" a="1"/>
  <c r="N27" i="14" s="1"/>
  <c r="B21" i="14"/>
  <c r="O27" i="14" s="1"/>
  <c r="P27" i="14" s="1"/>
  <c r="Q27" i="14" s="1"/>
  <c r="R27" i="14" s="1"/>
  <c r="F20" i="14"/>
  <c r="M26" i="14"/>
  <c r="N26" i="14" s="1" a="1"/>
  <c r="N26" i="14" s="1"/>
  <c r="B20" i="14"/>
  <c r="O26" i="14" s="1"/>
  <c r="P26" i="14" s="1"/>
  <c r="Q26" i="14" s="1"/>
  <c r="R26" i="14" s="1"/>
  <c r="F19" i="14"/>
  <c r="M25" i="14"/>
  <c r="N25" i="14" s="1" a="1"/>
  <c r="N25" i="14" s="1"/>
  <c r="B19" i="14"/>
  <c r="O25" i="14" s="1"/>
  <c r="F18" i="14"/>
  <c r="M24" i="14"/>
  <c r="N24" i="14" s="1" a="1"/>
  <c r="N24" i="14" s="1"/>
  <c r="B18" i="14"/>
  <c r="O24" i="14" s="1"/>
  <c r="P24" i="14" s="1"/>
  <c r="Q24" i="14" s="1"/>
  <c r="R24" i="14" s="1"/>
  <c r="F17" i="14"/>
  <c r="M23" i="14"/>
  <c r="N23" i="14" s="1" a="1"/>
  <c r="N23" i="14" s="1"/>
  <c r="B17" i="14"/>
  <c r="O23" i="14" s="1"/>
  <c r="P23" i="14" s="1"/>
  <c r="Q23" i="14" s="1"/>
  <c r="R23" i="14" s="1"/>
  <c r="F16" i="14"/>
  <c r="M22" i="14"/>
  <c r="N22" i="14" s="1" a="1"/>
  <c r="N22" i="14" s="1"/>
  <c r="B16" i="14"/>
  <c r="O22" i="14" s="1"/>
  <c r="P22" i="14" s="1"/>
  <c r="Q22" i="14" s="1"/>
  <c r="R22" i="14" s="1"/>
  <c r="F15" i="14"/>
  <c r="M21" i="14"/>
  <c r="N21" i="14" s="1" a="1"/>
  <c r="N21" i="14" s="1"/>
  <c r="B15" i="14"/>
  <c r="O21" i="14" s="1"/>
  <c r="P21" i="14" s="1"/>
  <c r="Q21" i="14" s="1"/>
  <c r="R21" i="14" s="1"/>
  <c r="F14" i="14"/>
  <c r="M20" i="14"/>
  <c r="N20" i="14" s="1" a="1"/>
  <c r="N20" i="14" s="1"/>
  <c r="B14" i="14"/>
  <c r="O20" i="14" s="1"/>
  <c r="P20" i="14" s="1"/>
  <c r="Q20" i="14" s="1"/>
  <c r="R20" i="14" s="1"/>
  <c r="F13" i="14"/>
  <c r="M19" i="14"/>
  <c r="N19" i="14" s="1" a="1"/>
  <c r="N19" i="14" s="1"/>
  <c r="B13" i="14"/>
  <c r="O19" i="14" s="1"/>
  <c r="P19" i="14" s="1"/>
  <c r="Q19" i="14" s="1"/>
  <c r="R19" i="14" s="1"/>
  <c r="F12" i="14"/>
  <c r="M18" i="14"/>
  <c r="N18" i="14" s="1" a="1"/>
  <c r="N18" i="14" s="1"/>
  <c r="B12" i="14"/>
  <c r="O18" i="14" s="1"/>
  <c r="P18" i="14" s="1"/>
  <c r="Q18" i="14" s="1"/>
  <c r="R18" i="14" s="1"/>
  <c r="F11" i="14"/>
  <c r="M17" i="14"/>
  <c r="N17" i="14" s="1" a="1"/>
  <c r="N17" i="14" s="1"/>
  <c r="B11" i="14"/>
  <c r="O17" i="14" s="1"/>
  <c r="F10" i="14"/>
  <c r="M16" i="14"/>
  <c r="N16" i="14" s="1" a="1"/>
  <c r="N16" i="14" s="1"/>
  <c r="B10" i="14"/>
  <c r="O16" i="14" s="1"/>
  <c r="F9" i="14"/>
  <c r="M15" i="14"/>
  <c r="N15" i="14" s="1" a="1"/>
  <c r="N15" i="14" s="1"/>
  <c r="B9" i="14"/>
  <c r="O15" i="14" s="1"/>
  <c r="P15" i="14" s="1"/>
  <c r="Q15" i="14" s="1"/>
  <c r="R15" i="14" s="1"/>
  <c r="F8" i="14"/>
  <c r="M14" i="14"/>
  <c r="N14" i="14" s="1" a="1"/>
  <c r="N14" i="14" s="1"/>
  <c r="B8" i="14"/>
  <c r="O14" i="14" s="1"/>
  <c r="P14" i="14" s="1"/>
  <c r="Q14" i="14" s="1"/>
  <c r="R14" i="14" s="1"/>
  <c r="F7" i="14"/>
  <c r="M13" i="14"/>
  <c r="N13" i="14" s="1" a="1"/>
  <c r="N13" i="14" s="1"/>
  <c r="B7" i="14"/>
  <c r="O13" i="14" s="1"/>
  <c r="F6" i="14"/>
  <c r="M12" i="14"/>
  <c r="N12" i="14" s="1" a="1"/>
  <c r="N12" i="14" s="1"/>
  <c r="B6" i="14"/>
  <c r="O12" i="14" s="1"/>
  <c r="F5" i="14"/>
  <c r="M11" i="14"/>
  <c r="N11" i="14" s="1" a="1"/>
  <c r="N11" i="14" s="1"/>
  <c r="B5" i="14"/>
  <c r="O11" i="14" s="1"/>
  <c r="P11" i="14" s="1"/>
  <c r="Q11" i="14" s="1"/>
  <c r="R11" i="14" s="1"/>
  <c r="F4" i="14"/>
  <c r="M10" i="14"/>
  <c r="N10" i="14" s="1" a="1"/>
  <c r="N10" i="14" s="1"/>
  <c r="B4" i="14"/>
  <c r="O10" i="14" s="1"/>
  <c r="P10" i="14" s="1"/>
  <c r="Q10" i="14" s="1"/>
  <c r="R10" i="14" s="1"/>
  <c r="F3" i="14"/>
  <c r="P9" i="14" s="1"/>
  <c r="Q9" i="14" s="1"/>
  <c r="R9" i="14" s="1"/>
  <c r="M9" i="14"/>
  <c r="N9" i="14" s="1" a="1"/>
  <c r="N9" i="14" s="1"/>
  <c r="B3" i="14"/>
  <c r="O9" i="14" s="1"/>
  <c r="O127" i="15"/>
  <c r="P127" i="15" s="1"/>
  <c r="Q127" i="15" s="1"/>
  <c r="R127" i="15" s="1"/>
  <c r="F122" i="15"/>
  <c r="M128" i="15"/>
  <c r="N128" i="15" s="1" a="1"/>
  <c r="N128" i="15" s="1"/>
  <c r="B122" i="15"/>
  <c r="O128" i="15" s="1"/>
  <c r="P128" i="15" s="1"/>
  <c r="Q128" i="15" s="1"/>
  <c r="R128" i="15" s="1"/>
  <c r="F121" i="15"/>
  <c r="M127" i="15"/>
  <c r="N127" i="15" s="1" a="1"/>
  <c r="N127" i="15" s="1"/>
  <c r="B121" i="15"/>
  <c r="F120" i="15"/>
  <c r="M126" i="15"/>
  <c r="N126" i="15" s="1" a="1"/>
  <c r="N126" i="15" s="1"/>
  <c r="B120" i="15"/>
  <c r="O126" i="15" s="1"/>
  <c r="P126" i="15" s="1"/>
  <c r="Q126" i="15" s="1"/>
  <c r="R126" i="15" s="1"/>
  <c r="F119" i="15"/>
  <c r="M125" i="15"/>
  <c r="N125" i="15" s="1" a="1"/>
  <c r="N125" i="15" s="1"/>
  <c r="B119" i="15"/>
  <c r="O125" i="15" s="1"/>
  <c r="P125" i="15" s="1"/>
  <c r="Q125" i="15" s="1"/>
  <c r="R125" i="15" s="1"/>
  <c r="F118" i="15"/>
  <c r="M124" i="15"/>
  <c r="N124" i="15" s="1" a="1"/>
  <c r="N124" i="15" s="1"/>
  <c r="B118" i="15"/>
  <c r="O124" i="15" s="1"/>
  <c r="P124" i="15" s="1"/>
  <c r="Q124" i="15" s="1"/>
  <c r="R124" i="15" s="1"/>
  <c r="F117" i="15"/>
  <c r="M123" i="15"/>
  <c r="N123" i="15" s="1" a="1"/>
  <c r="N123" i="15" s="1"/>
  <c r="B117" i="15"/>
  <c r="O123" i="15" s="1"/>
  <c r="P123" i="15" s="1"/>
  <c r="Q123" i="15" s="1"/>
  <c r="R123" i="15" s="1"/>
  <c r="F116" i="15"/>
  <c r="M122" i="15"/>
  <c r="N122" i="15" s="1" a="1"/>
  <c r="N122" i="15" s="1"/>
  <c r="B116" i="15"/>
  <c r="O122" i="15" s="1"/>
  <c r="P122" i="15" s="1"/>
  <c r="Q122" i="15" s="1"/>
  <c r="R122" i="15" s="1"/>
  <c r="F115" i="15"/>
  <c r="M121" i="15"/>
  <c r="N121" i="15" s="1" a="1"/>
  <c r="N121" i="15" s="1"/>
  <c r="B115" i="15"/>
  <c r="O121" i="15" s="1"/>
  <c r="F114" i="15"/>
  <c r="M120" i="15"/>
  <c r="N120" i="15" s="1" a="1"/>
  <c r="N120" i="15" s="1"/>
  <c r="B114" i="15"/>
  <c r="O120" i="15" s="1"/>
  <c r="P120" i="15" s="1"/>
  <c r="Q120" i="15" s="1"/>
  <c r="R120" i="15" s="1"/>
  <c r="F113" i="15"/>
  <c r="M119" i="15"/>
  <c r="N119" i="15" s="1" a="1"/>
  <c r="N119" i="15" s="1"/>
  <c r="B113" i="15"/>
  <c r="O119" i="15" s="1"/>
  <c r="F112" i="15"/>
  <c r="M118" i="15"/>
  <c r="N118" i="15" s="1" a="1"/>
  <c r="N118" i="15" s="1"/>
  <c r="B112" i="15"/>
  <c r="O118" i="15" s="1"/>
  <c r="P118" i="15" s="1"/>
  <c r="Q118" i="15" s="1"/>
  <c r="R118" i="15" s="1"/>
  <c r="F111" i="15"/>
  <c r="M117" i="15"/>
  <c r="N117" i="15" s="1" a="1"/>
  <c r="N117" i="15" s="1"/>
  <c r="B111" i="15"/>
  <c r="O117" i="15" s="1"/>
  <c r="F110" i="15"/>
  <c r="M116" i="15"/>
  <c r="N116" i="15" s="1" a="1"/>
  <c r="N116" i="15" s="1"/>
  <c r="B110" i="15"/>
  <c r="O116" i="15" s="1"/>
  <c r="F109" i="15"/>
  <c r="M115" i="15"/>
  <c r="N115" i="15" s="1" a="1"/>
  <c r="N115" i="15" s="1"/>
  <c r="B109" i="15"/>
  <c r="O115" i="15" s="1"/>
  <c r="F108" i="15"/>
  <c r="M114" i="15"/>
  <c r="N114" i="15" s="1" a="1"/>
  <c r="N114" i="15" s="1"/>
  <c r="B108" i="15"/>
  <c r="O114" i="15" s="1"/>
  <c r="P114" i="15" s="1"/>
  <c r="Q114" i="15" s="1"/>
  <c r="R114" i="15" s="1"/>
  <c r="F107" i="15"/>
  <c r="M113" i="15"/>
  <c r="N113" i="15" s="1" a="1"/>
  <c r="N113" i="15" s="1"/>
  <c r="B107" i="15"/>
  <c r="O113" i="15" s="1"/>
  <c r="P113" i="15" s="1"/>
  <c r="Q113" i="15" s="1"/>
  <c r="R113" i="15" s="1"/>
  <c r="F106" i="15"/>
  <c r="M112" i="15"/>
  <c r="N112" i="15" s="1" a="1"/>
  <c r="N112" i="15" s="1"/>
  <c r="B106" i="15"/>
  <c r="O112" i="15" s="1"/>
  <c r="P112" i="15" s="1"/>
  <c r="Q112" i="15" s="1"/>
  <c r="R112" i="15" s="1"/>
  <c r="F105" i="15"/>
  <c r="M111" i="15"/>
  <c r="N111" i="15" s="1" a="1"/>
  <c r="N111" i="15" s="1"/>
  <c r="B105" i="15"/>
  <c r="O111" i="15" s="1"/>
  <c r="P111" i="15" s="1"/>
  <c r="Q111" i="15" s="1"/>
  <c r="R111" i="15" s="1"/>
  <c r="F104" i="15"/>
  <c r="M110" i="15"/>
  <c r="N110" i="15" s="1" a="1"/>
  <c r="N110" i="15" s="1"/>
  <c r="B104" i="15"/>
  <c r="O110" i="15" s="1"/>
  <c r="P110" i="15" s="1"/>
  <c r="Q110" i="15" s="1"/>
  <c r="R110" i="15" s="1"/>
  <c r="F103" i="15"/>
  <c r="M109" i="15"/>
  <c r="N109" i="15" s="1" a="1"/>
  <c r="N109" i="15" s="1"/>
  <c r="B103" i="15"/>
  <c r="O109" i="15" s="1"/>
  <c r="P109" i="15" s="1"/>
  <c r="Q109" i="15" s="1"/>
  <c r="R109" i="15" s="1"/>
  <c r="F102" i="15"/>
  <c r="M108" i="15"/>
  <c r="N108" i="15" s="1" a="1"/>
  <c r="N108" i="15" s="1"/>
  <c r="B102" i="15"/>
  <c r="O108" i="15" s="1"/>
  <c r="P108" i="15" s="1"/>
  <c r="Q108" i="15" s="1"/>
  <c r="R108" i="15" s="1"/>
  <c r="F101" i="15"/>
  <c r="M107" i="15"/>
  <c r="N107" i="15" s="1" a="1"/>
  <c r="N107" i="15" s="1"/>
  <c r="B101" i="15"/>
  <c r="O107" i="15" s="1"/>
  <c r="F100" i="15"/>
  <c r="M106" i="15"/>
  <c r="N106" i="15" s="1" a="1"/>
  <c r="N106" i="15" s="1"/>
  <c r="B100" i="15"/>
  <c r="O106" i="15" s="1"/>
  <c r="P106" i="15" s="1"/>
  <c r="Q106" i="15" s="1"/>
  <c r="R106" i="15" s="1"/>
  <c r="F99" i="15"/>
  <c r="M105" i="15"/>
  <c r="N105" i="15" s="1" a="1"/>
  <c r="N105" i="15" s="1"/>
  <c r="B99" i="15"/>
  <c r="O105" i="15" s="1"/>
  <c r="F98" i="15"/>
  <c r="M104" i="15"/>
  <c r="N104" i="15" s="1" a="1"/>
  <c r="N104" i="15" s="1"/>
  <c r="B98" i="15"/>
  <c r="O104" i="15" s="1"/>
  <c r="F97" i="15"/>
  <c r="M103" i="15"/>
  <c r="N103" i="15" s="1" a="1"/>
  <c r="N103" i="15" s="1"/>
  <c r="B97" i="15"/>
  <c r="O103" i="15" s="1"/>
  <c r="F96" i="15"/>
  <c r="M102" i="15"/>
  <c r="N102" i="15" s="1" a="1"/>
  <c r="N102" i="15" s="1"/>
  <c r="B96" i="15"/>
  <c r="O102" i="15" s="1"/>
  <c r="P102" i="15" s="1"/>
  <c r="Q102" i="15" s="1"/>
  <c r="R102" i="15" s="1"/>
  <c r="F95" i="15"/>
  <c r="M101" i="15"/>
  <c r="N101" i="15" s="1" a="1"/>
  <c r="N101" i="15" s="1"/>
  <c r="B95" i="15"/>
  <c r="O101" i="15" s="1"/>
  <c r="F94" i="15"/>
  <c r="M100" i="15"/>
  <c r="N100" i="15" s="1" a="1"/>
  <c r="N100" i="15" s="1"/>
  <c r="B94" i="15"/>
  <c r="O100" i="15" s="1"/>
  <c r="F93" i="15"/>
  <c r="M99" i="15"/>
  <c r="N99" i="15" s="1" a="1"/>
  <c r="N99" i="15" s="1"/>
  <c r="B93" i="15"/>
  <c r="O99" i="15" s="1"/>
  <c r="F92" i="15"/>
  <c r="M98" i="15"/>
  <c r="N98" i="15" s="1" a="1"/>
  <c r="N98" i="15" s="1"/>
  <c r="B92" i="15"/>
  <c r="O98" i="15" s="1"/>
  <c r="P98" i="15" s="1"/>
  <c r="Q98" i="15" s="1"/>
  <c r="R98" i="15" s="1"/>
  <c r="F91" i="15"/>
  <c r="M97" i="15"/>
  <c r="N97" i="15" s="1" a="1"/>
  <c r="N97" i="15" s="1"/>
  <c r="B91" i="15"/>
  <c r="O97" i="15" s="1"/>
  <c r="P97" i="15" s="1"/>
  <c r="Q97" i="15" s="1"/>
  <c r="R97" i="15" s="1"/>
  <c r="F90" i="15"/>
  <c r="M96" i="15"/>
  <c r="N96" i="15" s="1" a="1"/>
  <c r="N96" i="15" s="1"/>
  <c r="B90" i="15"/>
  <c r="O96" i="15" s="1"/>
  <c r="P96" i="15" s="1"/>
  <c r="Q96" i="15" s="1"/>
  <c r="R96" i="15" s="1"/>
  <c r="F89" i="15"/>
  <c r="M95" i="15"/>
  <c r="N95" i="15" s="1" a="1"/>
  <c r="N95" i="15" s="1"/>
  <c r="B89" i="15"/>
  <c r="O95" i="15" s="1"/>
  <c r="P95" i="15" s="1"/>
  <c r="Q95" i="15" s="1"/>
  <c r="R95" i="15" s="1"/>
  <c r="F88" i="15"/>
  <c r="M94" i="15"/>
  <c r="N94" i="15" s="1" a="1"/>
  <c r="N94" i="15" s="1"/>
  <c r="B88" i="15"/>
  <c r="O94" i="15" s="1"/>
  <c r="P94" i="15" s="1"/>
  <c r="Q94" i="15" s="1"/>
  <c r="R94" i="15" s="1"/>
  <c r="F87" i="15"/>
  <c r="M93" i="15"/>
  <c r="N93" i="15" s="1" a="1"/>
  <c r="N93" i="15" s="1"/>
  <c r="B87" i="15"/>
  <c r="O93" i="15" s="1"/>
  <c r="P93" i="15" s="1"/>
  <c r="Q93" i="15" s="1"/>
  <c r="R93" i="15" s="1"/>
  <c r="F86" i="15"/>
  <c r="M92" i="15"/>
  <c r="N92" i="15" s="1" a="1"/>
  <c r="N92" i="15" s="1"/>
  <c r="B86" i="15"/>
  <c r="O92" i="15" s="1"/>
  <c r="M85" i="15"/>
  <c r="N85" i="15" s="1" a="1"/>
  <c r="N85" i="15" s="1"/>
  <c r="F85" i="15"/>
  <c r="M91" i="15"/>
  <c r="N91" i="15" s="1" a="1"/>
  <c r="N91" i="15" s="1"/>
  <c r="B85" i="15"/>
  <c r="O91" i="15" s="1"/>
  <c r="P91" i="15" s="1"/>
  <c r="Q91" i="15" s="1"/>
  <c r="R91" i="15" s="1"/>
  <c r="F84" i="15"/>
  <c r="M90" i="15"/>
  <c r="N90" i="15" s="1" a="1"/>
  <c r="N90" i="15" s="1"/>
  <c r="B84" i="15"/>
  <c r="O90" i="15" s="1"/>
  <c r="F83" i="15"/>
  <c r="M89" i="15"/>
  <c r="N89" i="15" s="1" a="1"/>
  <c r="N89" i="15" s="1"/>
  <c r="B83" i="15"/>
  <c r="O89" i="15" s="1"/>
  <c r="P89" i="15" s="1"/>
  <c r="Q89" i="15" s="1"/>
  <c r="R89" i="15" s="1"/>
  <c r="F82" i="15"/>
  <c r="M88" i="15"/>
  <c r="N88" i="15" s="1" a="1"/>
  <c r="N88" i="15" s="1"/>
  <c r="B82" i="15"/>
  <c r="O88" i="15" s="1"/>
  <c r="P88" i="15" s="1"/>
  <c r="Q88" i="15" s="1"/>
  <c r="R88" i="15" s="1"/>
  <c r="F81" i="15"/>
  <c r="M87" i="15"/>
  <c r="N87" i="15" s="1" a="1"/>
  <c r="N87" i="15" s="1"/>
  <c r="B81" i="15"/>
  <c r="O87" i="15" s="1"/>
  <c r="P87" i="15" s="1"/>
  <c r="Q87" i="15" s="1"/>
  <c r="R87" i="15" s="1"/>
  <c r="F80" i="15"/>
  <c r="M86" i="15"/>
  <c r="N86" i="15" s="1" a="1"/>
  <c r="N86" i="15" s="1"/>
  <c r="B80" i="15"/>
  <c r="O86" i="15" s="1"/>
  <c r="F79" i="15"/>
  <c r="B79" i="15"/>
  <c r="O85" i="15" s="1"/>
  <c r="P85" i="15" s="1"/>
  <c r="Q85" i="15" s="1"/>
  <c r="R85" i="15" s="1"/>
  <c r="F78" i="15"/>
  <c r="M84" i="15"/>
  <c r="N84" i="15" s="1" a="1"/>
  <c r="N84" i="15" s="1"/>
  <c r="B78" i="15"/>
  <c r="O84" i="15" s="1"/>
  <c r="P84" i="15" s="1"/>
  <c r="Q84" i="15" s="1"/>
  <c r="R84" i="15" s="1"/>
  <c r="F77" i="15"/>
  <c r="M83" i="15"/>
  <c r="N83" i="15" s="1" a="1"/>
  <c r="N83" i="15" s="1"/>
  <c r="B77" i="15"/>
  <c r="O83" i="15" s="1"/>
  <c r="P83" i="15" s="1"/>
  <c r="Q83" i="15" s="1"/>
  <c r="R83" i="15" s="1"/>
  <c r="O76" i="15"/>
  <c r="P76" i="15" s="1"/>
  <c r="Q76" i="15" s="1"/>
  <c r="R76" i="15" s="1"/>
  <c r="F76" i="15"/>
  <c r="M82" i="15"/>
  <c r="N82" i="15" s="1" a="1"/>
  <c r="N82" i="15" s="1"/>
  <c r="B76" i="15"/>
  <c r="O82" i="15" s="1"/>
  <c r="P82" i="15" s="1"/>
  <c r="Q82" i="15" s="1"/>
  <c r="R82" i="15" s="1"/>
  <c r="F75" i="15"/>
  <c r="M81" i="15"/>
  <c r="N81" i="15" s="1" a="1"/>
  <c r="N81" i="15" s="1"/>
  <c r="B75" i="15"/>
  <c r="O81" i="15" s="1"/>
  <c r="P81" i="15" s="1"/>
  <c r="Q81" i="15" s="1"/>
  <c r="R81" i="15" s="1"/>
  <c r="F74" i="15"/>
  <c r="M80" i="15"/>
  <c r="N80" i="15" s="1" a="1"/>
  <c r="N80" i="15" s="1"/>
  <c r="B74" i="15"/>
  <c r="O80" i="15" s="1"/>
  <c r="P80" i="15" s="1"/>
  <c r="Q80" i="15" s="1"/>
  <c r="R80" i="15" s="1"/>
  <c r="F73" i="15"/>
  <c r="M79" i="15"/>
  <c r="N79" i="15" s="1" a="1"/>
  <c r="N79" i="15" s="1"/>
  <c r="B73" i="15"/>
  <c r="O79" i="15" s="1"/>
  <c r="P79" i="15" s="1"/>
  <c r="Q79" i="15" s="1"/>
  <c r="R79" i="15" s="1"/>
  <c r="F72" i="15"/>
  <c r="M78" i="15"/>
  <c r="N78" i="15" s="1" a="1"/>
  <c r="N78" i="15" s="1"/>
  <c r="B72" i="15"/>
  <c r="O78" i="15" s="1"/>
  <c r="F71" i="15"/>
  <c r="M77" i="15"/>
  <c r="N77" i="15" s="1" a="1"/>
  <c r="N77" i="15" s="1"/>
  <c r="B71" i="15"/>
  <c r="O77" i="15" s="1"/>
  <c r="F70" i="15"/>
  <c r="M76" i="15"/>
  <c r="N76" i="15" s="1" a="1"/>
  <c r="N76" i="15" s="1"/>
  <c r="B70" i="15"/>
  <c r="F69" i="15"/>
  <c r="M75" i="15"/>
  <c r="N75" i="15" s="1" a="1"/>
  <c r="N75" i="15" s="1"/>
  <c r="B69" i="15"/>
  <c r="O75" i="15" s="1"/>
  <c r="P75" i="15" s="1"/>
  <c r="Q75" i="15" s="1"/>
  <c r="R75" i="15" s="1"/>
  <c r="F68" i="15"/>
  <c r="M74" i="15"/>
  <c r="N74" i="15" s="1" a="1"/>
  <c r="N74" i="15" s="1"/>
  <c r="B68" i="15"/>
  <c r="O74" i="15" s="1"/>
  <c r="F67" i="15"/>
  <c r="M73" i="15"/>
  <c r="N73" i="15" s="1" a="1"/>
  <c r="N73" i="15" s="1"/>
  <c r="B67" i="15"/>
  <c r="O73" i="15" s="1"/>
  <c r="F66" i="15"/>
  <c r="M72" i="15"/>
  <c r="N72" i="15" s="1" a="1"/>
  <c r="N72" i="15" s="1"/>
  <c r="B66" i="15"/>
  <c r="O72" i="15" s="1"/>
  <c r="F65" i="15"/>
  <c r="M71" i="15"/>
  <c r="N71" i="15" s="1" a="1"/>
  <c r="N71" i="15" s="1"/>
  <c r="B65" i="15"/>
  <c r="O71" i="15" s="1"/>
  <c r="P71" i="15" s="1"/>
  <c r="Q71" i="15" s="1"/>
  <c r="R71" i="15" s="1"/>
  <c r="F64" i="15"/>
  <c r="M70" i="15"/>
  <c r="N70" i="15" s="1" a="1"/>
  <c r="N70" i="15" s="1"/>
  <c r="B64" i="15"/>
  <c r="O70" i="15" s="1"/>
  <c r="F63" i="15"/>
  <c r="M69" i="15"/>
  <c r="N69" i="15" s="1" a="1"/>
  <c r="N69" i="15" s="1"/>
  <c r="B63" i="15"/>
  <c r="O69" i="15" s="1"/>
  <c r="P69" i="15" s="1"/>
  <c r="Q69" i="15" s="1"/>
  <c r="R69" i="15" s="1"/>
  <c r="F62" i="15"/>
  <c r="M68" i="15"/>
  <c r="N68" i="15" s="1" a="1"/>
  <c r="N68" i="15" s="1"/>
  <c r="B62" i="15"/>
  <c r="O68" i="15" s="1"/>
  <c r="P68" i="15" s="1"/>
  <c r="Q68" i="15" s="1"/>
  <c r="R68" i="15" s="1"/>
  <c r="F61" i="15"/>
  <c r="M67" i="15"/>
  <c r="N67" i="15" s="1" a="1"/>
  <c r="N67" i="15" s="1"/>
  <c r="B61" i="15"/>
  <c r="O67" i="15" s="1"/>
  <c r="P67" i="15" s="1"/>
  <c r="Q67" i="15" s="1"/>
  <c r="R67" i="15" s="1"/>
  <c r="F60" i="15"/>
  <c r="M66" i="15"/>
  <c r="N66" i="15" s="1" a="1"/>
  <c r="N66" i="15" s="1"/>
  <c r="B60" i="15"/>
  <c r="O66" i="15" s="1"/>
  <c r="P66" i="15" s="1"/>
  <c r="Q66" i="15" s="1"/>
  <c r="R66" i="15" s="1"/>
  <c r="F59" i="15"/>
  <c r="M65" i="15"/>
  <c r="N65" i="15" s="1" a="1"/>
  <c r="N65" i="15" s="1"/>
  <c r="B59" i="15"/>
  <c r="O65" i="15" s="1"/>
  <c r="P65" i="15" s="1"/>
  <c r="Q65" i="15" s="1"/>
  <c r="R65" i="15" s="1"/>
  <c r="F58" i="15"/>
  <c r="M64" i="15"/>
  <c r="N64" i="15" s="1" a="1"/>
  <c r="N64" i="15" s="1"/>
  <c r="B58" i="15"/>
  <c r="O64" i="15" s="1"/>
  <c r="P64" i="15" s="1"/>
  <c r="Q64" i="15" s="1"/>
  <c r="R64" i="15" s="1"/>
  <c r="F57" i="15"/>
  <c r="M63" i="15"/>
  <c r="N63" i="15" s="1" a="1"/>
  <c r="N63" i="15" s="1"/>
  <c r="B57" i="15"/>
  <c r="O63" i="15" s="1"/>
  <c r="P63" i="15" s="1"/>
  <c r="Q63" i="15" s="1"/>
  <c r="R63" i="15" s="1"/>
  <c r="F56" i="15"/>
  <c r="M62" i="15"/>
  <c r="N62" i="15" s="1" a="1"/>
  <c r="N62" i="15" s="1"/>
  <c r="B56" i="15"/>
  <c r="O62" i="15" s="1"/>
  <c r="P62" i="15" s="1"/>
  <c r="Q62" i="15" s="1"/>
  <c r="R62" i="15" s="1"/>
  <c r="F55" i="15"/>
  <c r="M61" i="15"/>
  <c r="N61" i="15" s="1" a="1"/>
  <c r="N61" i="15" s="1"/>
  <c r="B55" i="15"/>
  <c r="O61" i="15" s="1"/>
  <c r="P61" i="15" s="1"/>
  <c r="Q61" i="15" s="1"/>
  <c r="R61" i="15" s="1"/>
  <c r="F54" i="15"/>
  <c r="M60" i="15"/>
  <c r="N60" i="15" s="1" a="1"/>
  <c r="N60" i="15" s="1"/>
  <c r="B54" i="15"/>
  <c r="O60" i="15" s="1"/>
  <c r="F53" i="15"/>
  <c r="M59" i="15"/>
  <c r="N59" i="15" s="1" a="1"/>
  <c r="N59" i="15" s="1"/>
  <c r="B53" i="15"/>
  <c r="O59" i="15" s="1"/>
  <c r="P59" i="15" s="1"/>
  <c r="Q59" i="15" s="1"/>
  <c r="R59" i="15" s="1"/>
  <c r="F52" i="15"/>
  <c r="M58" i="15"/>
  <c r="N58" i="15" s="1" a="1"/>
  <c r="N58" i="15" s="1"/>
  <c r="B52" i="15"/>
  <c r="O58" i="15" s="1"/>
  <c r="F51" i="15"/>
  <c r="M57" i="15"/>
  <c r="N57" i="15" s="1" a="1"/>
  <c r="N57" i="15" s="1"/>
  <c r="B51" i="15"/>
  <c r="O57" i="15" s="1"/>
  <c r="P57" i="15" s="1"/>
  <c r="Q57" i="15" s="1"/>
  <c r="R57" i="15" s="1"/>
  <c r="F50" i="15"/>
  <c r="M56" i="15"/>
  <c r="N56" i="15" s="1" a="1"/>
  <c r="N56" i="15" s="1"/>
  <c r="B50" i="15"/>
  <c r="O56" i="15" s="1"/>
  <c r="F49" i="15"/>
  <c r="M55" i="15"/>
  <c r="N55" i="15" s="1" a="1"/>
  <c r="N55" i="15" s="1"/>
  <c r="B49" i="15"/>
  <c r="O55" i="15" s="1"/>
  <c r="P55" i="15" s="1"/>
  <c r="Q55" i="15" s="1"/>
  <c r="R55" i="15" s="1"/>
  <c r="F48" i="15"/>
  <c r="M54" i="15"/>
  <c r="N54" i="15" s="1" a="1"/>
  <c r="N54" i="15" s="1"/>
  <c r="B48" i="15"/>
  <c r="O54" i="15" s="1"/>
  <c r="F47" i="15"/>
  <c r="M53" i="15"/>
  <c r="N53" i="15" s="1" a="1"/>
  <c r="N53" i="15" s="1"/>
  <c r="B47" i="15"/>
  <c r="O53" i="15" s="1"/>
  <c r="P53" i="15" s="1"/>
  <c r="Q53" i="15" s="1"/>
  <c r="R53" i="15" s="1"/>
  <c r="F46" i="15"/>
  <c r="M52" i="15"/>
  <c r="N52" i="15" s="1" a="1"/>
  <c r="N52" i="15" s="1"/>
  <c r="B46" i="15"/>
  <c r="O52" i="15" s="1"/>
  <c r="P52" i="15" s="1"/>
  <c r="Q52" i="15" s="1"/>
  <c r="R52" i="15" s="1"/>
  <c r="F45" i="15"/>
  <c r="M51" i="15"/>
  <c r="N51" i="15" s="1" a="1"/>
  <c r="N51" i="15" s="1"/>
  <c r="B45" i="15"/>
  <c r="O51" i="15" s="1"/>
  <c r="P51" i="15" s="1"/>
  <c r="Q51" i="15" s="1"/>
  <c r="R51" i="15" s="1"/>
  <c r="F44" i="15"/>
  <c r="M50" i="15"/>
  <c r="N50" i="15" s="1" a="1"/>
  <c r="N50" i="15" s="1"/>
  <c r="B44" i="15"/>
  <c r="O50" i="15" s="1"/>
  <c r="P50" i="15" s="1"/>
  <c r="Q50" i="15" s="1"/>
  <c r="R50" i="15" s="1"/>
  <c r="F43" i="15"/>
  <c r="M49" i="15"/>
  <c r="N49" i="15" s="1" a="1"/>
  <c r="N49" i="15" s="1"/>
  <c r="B43" i="15"/>
  <c r="O49" i="15" s="1"/>
  <c r="P49" i="15" s="1"/>
  <c r="Q49" i="15" s="1"/>
  <c r="R49" i="15" s="1"/>
  <c r="F42" i="15"/>
  <c r="M48" i="15"/>
  <c r="N48" i="15" s="1" a="1"/>
  <c r="N48" i="15" s="1"/>
  <c r="B42" i="15"/>
  <c r="O48" i="15" s="1"/>
  <c r="P48" i="15" s="1"/>
  <c r="Q48" i="15" s="1"/>
  <c r="R48" i="15" s="1"/>
  <c r="F41" i="15"/>
  <c r="M47" i="15"/>
  <c r="N47" i="15" s="1" a="1"/>
  <c r="N47" i="15" s="1"/>
  <c r="B41" i="15"/>
  <c r="O47" i="15" s="1"/>
  <c r="P47" i="15" s="1"/>
  <c r="Q47" i="15" s="1"/>
  <c r="R47" i="15" s="1"/>
  <c r="F40" i="15"/>
  <c r="M46" i="15"/>
  <c r="N46" i="15" s="1" a="1"/>
  <c r="N46" i="15" s="1"/>
  <c r="B40" i="15"/>
  <c r="O46" i="15" s="1"/>
  <c r="P46" i="15" s="1"/>
  <c r="Q46" i="15" s="1"/>
  <c r="R46" i="15" s="1"/>
  <c r="F39" i="15"/>
  <c r="M45" i="15"/>
  <c r="N45" i="15" s="1" a="1"/>
  <c r="N45" i="15" s="1"/>
  <c r="B39" i="15"/>
  <c r="O45" i="15" s="1"/>
  <c r="P45" i="15" s="1"/>
  <c r="Q45" i="15" s="1"/>
  <c r="R45" i="15" s="1"/>
  <c r="F38" i="15"/>
  <c r="M44" i="15"/>
  <c r="N44" i="15" s="1" a="1"/>
  <c r="N44" i="15" s="1"/>
  <c r="B38" i="15"/>
  <c r="O44" i="15" s="1"/>
  <c r="F37" i="15"/>
  <c r="M43" i="15"/>
  <c r="N43" i="15" s="1" a="1"/>
  <c r="N43" i="15" s="1"/>
  <c r="B37" i="15"/>
  <c r="O43" i="15" s="1"/>
  <c r="P43" i="15" s="1"/>
  <c r="Q43" i="15" s="1"/>
  <c r="R43" i="15" s="1"/>
  <c r="F36" i="15"/>
  <c r="M42" i="15"/>
  <c r="N42" i="15" s="1" a="1"/>
  <c r="N42" i="15" s="1"/>
  <c r="B36" i="15"/>
  <c r="O42" i="15" s="1"/>
  <c r="F35" i="15"/>
  <c r="M41" i="15"/>
  <c r="N41" i="15" s="1" a="1"/>
  <c r="N41" i="15" s="1"/>
  <c r="B35" i="15"/>
  <c r="O41" i="15" s="1"/>
  <c r="P41" i="15" s="1"/>
  <c r="Q41" i="15" s="1"/>
  <c r="R41" i="15" s="1"/>
  <c r="F34" i="15"/>
  <c r="M40" i="15"/>
  <c r="N40" i="15" s="1" a="1"/>
  <c r="N40" i="15" s="1"/>
  <c r="B34" i="15"/>
  <c r="O40" i="15" s="1"/>
  <c r="F33" i="15"/>
  <c r="M39" i="15"/>
  <c r="N39" i="15" s="1" a="1"/>
  <c r="N39" i="15" s="1"/>
  <c r="B33" i="15"/>
  <c r="O39" i="15" s="1"/>
  <c r="F32" i="15"/>
  <c r="M38" i="15"/>
  <c r="N38" i="15" s="1" a="1"/>
  <c r="N38" i="15" s="1"/>
  <c r="B32" i="15"/>
  <c r="O38" i="15" s="1"/>
  <c r="P38" i="15" s="1"/>
  <c r="Q38" i="15" s="1"/>
  <c r="R38" i="15" s="1"/>
  <c r="F31" i="15"/>
  <c r="M37" i="15"/>
  <c r="N37" i="15" s="1" a="1"/>
  <c r="N37" i="15" s="1"/>
  <c r="B31" i="15"/>
  <c r="O37" i="15" s="1"/>
  <c r="P37" i="15" s="1"/>
  <c r="Q37" i="15" s="1"/>
  <c r="R37" i="15" s="1"/>
  <c r="F30" i="15"/>
  <c r="M36" i="15"/>
  <c r="N36" i="15" s="1" a="1"/>
  <c r="N36" i="15" s="1"/>
  <c r="B30" i="15"/>
  <c r="O36" i="15" s="1"/>
  <c r="P36" i="15" s="1"/>
  <c r="Q36" i="15" s="1"/>
  <c r="R36" i="15" s="1"/>
  <c r="F29" i="15"/>
  <c r="M35" i="15"/>
  <c r="N35" i="15" s="1" a="1"/>
  <c r="N35" i="15" s="1"/>
  <c r="B29" i="15"/>
  <c r="O35" i="15" s="1"/>
  <c r="P35" i="15" s="1"/>
  <c r="Q35" i="15" s="1"/>
  <c r="R35" i="15" s="1"/>
  <c r="F28" i="15"/>
  <c r="M34" i="15"/>
  <c r="N34" i="15" s="1" a="1"/>
  <c r="N34" i="15" s="1"/>
  <c r="B28" i="15"/>
  <c r="O34" i="15" s="1"/>
  <c r="P34" i="15" s="1"/>
  <c r="Q34" i="15" s="1"/>
  <c r="R34" i="15" s="1"/>
  <c r="F27" i="15"/>
  <c r="M33" i="15"/>
  <c r="N33" i="15" s="1" a="1"/>
  <c r="N33" i="15" s="1"/>
  <c r="B27" i="15"/>
  <c r="O33" i="15" s="1"/>
  <c r="P33" i="15" s="1"/>
  <c r="Q33" i="15" s="1"/>
  <c r="R33" i="15" s="1"/>
  <c r="F26" i="15"/>
  <c r="M32" i="15"/>
  <c r="N32" i="15" s="1" a="1"/>
  <c r="N32" i="15" s="1"/>
  <c r="B26" i="15"/>
  <c r="O32" i="15" s="1"/>
  <c r="P32" i="15" s="1"/>
  <c r="Q32" i="15" s="1"/>
  <c r="R32" i="15" s="1"/>
  <c r="F25" i="15"/>
  <c r="M31" i="15"/>
  <c r="N31" i="15" s="1" a="1"/>
  <c r="N31" i="15" s="1"/>
  <c r="B25" i="15"/>
  <c r="O31" i="15" s="1"/>
  <c r="F24" i="15"/>
  <c r="M30" i="15"/>
  <c r="N30" i="15" s="1" a="1"/>
  <c r="N30" i="15" s="1"/>
  <c r="B24" i="15"/>
  <c r="O30" i="15" s="1"/>
  <c r="F23" i="15"/>
  <c r="M29" i="15"/>
  <c r="N29" i="15" s="1" a="1"/>
  <c r="N29" i="15" s="1"/>
  <c r="B23" i="15"/>
  <c r="O29" i="15" s="1"/>
  <c r="F22" i="15"/>
  <c r="M28" i="15"/>
  <c r="N28" i="15" s="1" a="1"/>
  <c r="N28" i="15" s="1"/>
  <c r="B22" i="15"/>
  <c r="O28" i="15" s="1"/>
  <c r="F21" i="15"/>
  <c r="M27" i="15"/>
  <c r="N27" i="15" s="1" a="1"/>
  <c r="N27" i="15" s="1"/>
  <c r="B21" i="15"/>
  <c r="O27" i="15" s="1"/>
  <c r="F20" i="15"/>
  <c r="M26" i="15"/>
  <c r="N26" i="15" s="1" a="1"/>
  <c r="N26" i="15" s="1"/>
  <c r="B20" i="15"/>
  <c r="O26" i="15" s="1"/>
  <c r="F19" i="15"/>
  <c r="M25" i="15"/>
  <c r="N25" i="15" s="1" a="1"/>
  <c r="N25" i="15" s="1"/>
  <c r="B19" i="15"/>
  <c r="O25" i="15" s="1"/>
  <c r="F18" i="15"/>
  <c r="M24" i="15"/>
  <c r="N24" i="15" s="1" a="1"/>
  <c r="N24" i="15" s="1"/>
  <c r="B18" i="15"/>
  <c r="O24" i="15" s="1"/>
  <c r="F17" i="15"/>
  <c r="M23" i="15"/>
  <c r="N23" i="15" s="1" a="1"/>
  <c r="N23" i="15" s="1"/>
  <c r="B17" i="15"/>
  <c r="O23" i="15" s="1"/>
  <c r="P23" i="15" s="1"/>
  <c r="Q23" i="15" s="1"/>
  <c r="R23" i="15" s="1"/>
  <c r="F16" i="15"/>
  <c r="M22" i="15"/>
  <c r="N22" i="15" s="1" a="1"/>
  <c r="N22" i="15" s="1"/>
  <c r="B16" i="15"/>
  <c r="O22" i="15" s="1"/>
  <c r="P22" i="15" s="1"/>
  <c r="Q22" i="15" s="1"/>
  <c r="R22" i="15" s="1"/>
  <c r="F15" i="15"/>
  <c r="M21" i="15"/>
  <c r="N21" i="15" s="1" a="1"/>
  <c r="N21" i="15" s="1"/>
  <c r="B15" i="15"/>
  <c r="O21" i="15" s="1"/>
  <c r="P21" i="15" s="1"/>
  <c r="Q21" i="15" s="1"/>
  <c r="R21" i="15" s="1"/>
  <c r="F14" i="15"/>
  <c r="M20" i="15"/>
  <c r="N20" i="15" s="1" a="1"/>
  <c r="N20" i="15" s="1"/>
  <c r="B14" i="15"/>
  <c r="O20" i="15" s="1"/>
  <c r="P20" i="15" s="1"/>
  <c r="Q20" i="15" s="1"/>
  <c r="R20" i="15" s="1"/>
  <c r="F13" i="15"/>
  <c r="M19" i="15"/>
  <c r="N19" i="15" s="1" a="1"/>
  <c r="N19" i="15" s="1"/>
  <c r="B13" i="15"/>
  <c r="O19" i="15" s="1"/>
  <c r="P19" i="15" s="1"/>
  <c r="Q19" i="15" s="1"/>
  <c r="R19" i="15" s="1"/>
  <c r="F12" i="15"/>
  <c r="M18" i="15"/>
  <c r="N18" i="15" s="1" a="1"/>
  <c r="N18" i="15" s="1"/>
  <c r="B12" i="15"/>
  <c r="O18" i="15" s="1"/>
  <c r="P18" i="15" s="1"/>
  <c r="Q18" i="15" s="1"/>
  <c r="R18" i="15" s="1"/>
  <c r="F11" i="15"/>
  <c r="M17" i="15"/>
  <c r="N17" i="15" s="1" a="1"/>
  <c r="N17" i="15" s="1"/>
  <c r="B11" i="15"/>
  <c r="O17" i="15" s="1"/>
  <c r="P17" i="15" s="1"/>
  <c r="Q17" i="15" s="1"/>
  <c r="R17" i="15" s="1"/>
  <c r="F10" i="15"/>
  <c r="M16" i="15"/>
  <c r="N16" i="15" s="1" a="1"/>
  <c r="N16" i="15" s="1"/>
  <c r="B10" i="15"/>
  <c r="O16" i="15" s="1"/>
  <c r="F9" i="15"/>
  <c r="M15" i="15"/>
  <c r="N15" i="15" s="1" a="1"/>
  <c r="N15" i="15" s="1"/>
  <c r="B9" i="15"/>
  <c r="O15" i="15" s="1"/>
  <c r="F8" i="15"/>
  <c r="M14" i="15"/>
  <c r="N14" i="15" s="1" a="1"/>
  <c r="N14" i="15" s="1"/>
  <c r="B8" i="15"/>
  <c r="O14" i="15" s="1"/>
  <c r="F7" i="15"/>
  <c r="M13" i="15"/>
  <c r="N13" i="15" s="1" a="1"/>
  <c r="N13" i="15" s="1"/>
  <c r="B7" i="15"/>
  <c r="O13" i="15" s="1"/>
  <c r="P13" i="15" s="1"/>
  <c r="Q13" i="15" s="1"/>
  <c r="R13" i="15" s="1"/>
  <c r="F6" i="15"/>
  <c r="M12" i="15"/>
  <c r="N12" i="15" s="1" a="1"/>
  <c r="N12" i="15" s="1"/>
  <c r="B6" i="15"/>
  <c r="O12" i="15" s="1"/>
  <c r="F5" i="15"/>
  <c r="M11" i="15"/>
  <c r="N11" i="15" s="1" a="1"/>
  <c r="N11" i="15" s="1"/>
  <c r="B5" i="15"/>
  <c r="O11" i="15" s="1"/>
  <c r="F4" i="15"/>
  <c r="M10" i="15"/>
  <c r="N10" i="15" s="1" a="1"/>
  <c r="N10" i="15" s="1"/>
  <c r="B4" i="15"/>
  <c r="O10" i="15" s="1"/>
  <c r="F3" i="15"/>
  <c r="M9" i="15"/>
  <c r="N9" i="15" s="1" a="1"/>
  <c r="N9" i="15" s="1"/>
  <c r="B3" i="15"/>
  <c r="O9" i="15" s="1"/>
  <c r="F107" i="13"/>
  <c r="M113" i="13"/>
  <c r="N113" i="13" s="1" a="1"/>
  <c r="N113" i="13" s="1"/>
  <c r="B107" i="13"/>
  <c r="O113" i="13" s="1"/>
  <c r="P113" i="13" s="1"/>
  <c r="F106" i="13"/>
  <c r="M112" i="13"/>
  <c r="N112" i="13" s="1" a="1"/>
  <c r="N112" i="13" s="1"/>
  <c r="B106" i="13"/>
  <c r="O112" i="13" s="1"/>
  <c r="P112" i="13" s="1"/>
  <c r="F105" i="13"/>
  <c r="M111" i="13"/>
  <c r="N111" i="13" s="1" a="1"/>
  <c r="N111" i="13" s="1"/>
  <c r="B105" i="13"/>
  <c r="O111" i="13" s="1"/>
  <c r="P111" i="13" s="1"/>
  <c r="F104" i="13"/>
  <c r="M110" i="13"/>
  <c r="N110" i="13" s="1" a="1"/>
  <c r="N110" i="13" s="1"/>
  <c r="B104" i="13"/>
  <c r="O110" i="13" s="1"/>
  <c r="P110" i="13" s="1"/>
  <c r="F103" i="13"/>
  <c r="M109" i="13"/>
  <c r="N109" i="13" s="1" a="1"/>
  <c r="N109" i="13" s="1"/>
  <c r="B103" i="13"/>
  <c r="O109" i="13" s="1"/>
  <c r="P109" i="13" s="1"/>
  <c r="F102" i="13"/>
  <c r="M108" i="13"/>
  <c r="N108" i="13" s="1" a="1"/>
  <c r="N108" i="13" s="1"/>
  <c r="B102" i="13"/>
  <c r="O108" i="13" s="1"/>
  <c r="P108" i="13" s="1"/>
  <c r="F101" i="13"/>
  <c r="M107" i="13"/>
  <c r="N107" i="13" s="1" a="1"/>
  <c r="N107" i="13" s="1"/>
  <c r="B101" i="13"/>
  <c r="O107" i="13" s="1"/>
  <c r="P107" i="13" s="1"/>
  <c r="F100" i="13"/>
  <c r="M106" i="13"/>
  <c r="N106" i="13" s="1" a="1"/>
  <c r="N106" i="13" s="1"/>
  <c r="B100" i="13"/>
  <c r="O106" i="13" s="1"/>
  <c r="P106" i="13" s="1"/>
  <c r="F99" i="13"/>
  <c r="M105" i="13"/>
  <c r="N105" i="13" s="1" a="1"/>
  <c r="N105" i="13" s="1"/>
  <c r="B99" i="13"/>
  <c r="O105" i="13" s="1"/>
  <c r="P105" i="13" s="1"/>
  <c r="F98" i="13"/>
  <c r="M104" i="13"/>
  <c r="N104" i="13" s="1" a="1"/>
  <c r="N104" i="13" s="1"/>
  <c r="B98" i="13"/>
  <c r="O104" i="13" s="1"/>
  <c r="P104" i="13" s="1"/>
  <c r="O97" i="13"/>
  <c r="P97" i="13" s="1"/>
  <c r="F97" i="13"/>
  <c r="M103" i="13"/>
  <c r="N103" i="13" s="1" a="1"/>
  <c r="N103" i="13" s="1"/>
  <c r="B97" i="13"/>
  <c r="O103" i="13" s="1"/>
  <c r="P103" i="13" s="1"/>
  <c r="F96" i="13"/>
  <c r="M102" i="13"/>
  <c r="N102" i="13" s="1" a="1"/>
  <c r="N102" i="13" s="1"/>
  <c r="B96" i="13"/>
  <c r="O102" i="13" s="1"/>
  <c r="P102" i="13" s="1"/>
  <c r="F95" i="13"/>
  <c r="M101" i="13"/>
  <c r="N101" i="13" s="1" a="1"/>
  <c r="N101" i="13" s="1"/>
  <c r="B95" i="13"/>
  <c r="O101" i="13" s="1"/>
  <c r="F94" i="13"/>
  <c r="M100" i="13"/>
  <c r="N100" i="13" s="1" a="1"/>
  <c r="N100" i="13" s="1"/>
  <c r="B94" i="13"/>
  <c r="O100" i="13" s="1"/>
  <c r="P100" i="13" s="1"/>
  <c r="O93" i="13"/>
  <c r="F93" i="13"/>
  <c r="M99" i="13"/>
  <c r="N99" i="13" s="1" a="1"/>
  <c r="N99" i="13" s="1"/>
  <c r="B93" i="13"/>
  <c r="O99" i="13" s="1"/>
  <c r="P99" i="13" s="1"/>
  <c r="F92" i="13"/>
  <c r="M98" i="13"/>
  <c r="N98" i="13" s="1" a="1"/>
  <c r="N98" i="13" s="1"/>
  <c r="B92" i="13"/>
  <c r="O98" i="13" s="1"/>
  <c r="P98" i="13" s="1"/>
  <c r="F91" i="13"/>
  <c r="M97" i="13"/>
  <c r="N97" i="13" s="1" a="1"/>
  <c r="N97" i="13" s="1"/>
  <c r="B91" i="13"/>
  <c r="F90" i="13"/>
  <c r="M96" i="13"/>
  <c r="N96" i="13" s="1" a="1"/>
  <c r="N96" i="13" s="1"/>
  <c r="B90" i="13"/>
  <c r="O96" i="13" s="1"/>
  <c r="P96" i="13" s="1"/>
  <c r="F89" i="13"/>
  <c r="M95" i="13"/>
  <c r="N95" i="13" s="1" a="1"/>
  <c r="N95" i="13" s="1"/>
  <c r="B89" i="13"/>
  <c r="O95" i="13" s="1"/>
  <c r="P95" i="13" s="1"/>
  <c r="F88" i="13"/>
  <c r="M94" i="13"/>
  <c r="N94" i="13" s="1" a="1"/>
  <c r="N94" i="13" s="1"/>
  <c r="B88" i="13"/>
  <c r="O94" i="13" s="1"/>
  <c r="P94" i="13" s="1"/>
  <c r="F87" i="13"/>
  <c r="M93" i="13"/>
  <c r="N93" i="13" s="1" a="1"/>
  <c r="N93" i="13" s="1"/>
  <c r="B87" i="13"/>
  <c r="F86" i="13"/>
  <c r="M92" i="13"/>
  <c r="N92" i="13" s="1" a="1"/>
  <c r="N92" i="13" s="1"/>
  <c r="B86" i="13"/>
  <c r="O92" i="13" s="1"/>
  <c r="P92" i="13" s="1"/>
  <c r="F85" i="13"/>
  <c r="M91" i="13"/>
  <c r="N91" i="13" s="1" a="1"/>
  <c r="N91" i="13" s="1"/>
  <c r="B85" i="13"/>
  <c r="O91" i="13" s="1"/>
  <c r="P91" i="13" s="1"/>
  <c r="F84" i="13"/>
  <c r="M90" i="13"/>
  <c r="N90" i="13" s="1" a="1"/>
  <c r="N90" i="13" s="1"/>
  <c r="B84" i="13"/>
  <c r="O90" i="13" s="1"/>
  <c r="P90" i="13" s="1"/>
  <c r="F83" i="13"/>
  <c r="M89" i="13"/>
  <c r="N89" i="13" s="1" a="1"/>
  <c r="N89" i="13" s="1"/>
  <c r="B83" i="13"/>
  <c r="O89" i="13" s="1"/>
  <c r="F82" i="13"/>
  <c r="M88" i="13"/>
  <c r="N88" i="13" s="1" a="1"/>
  <c r="N88" i="13" s="1"/>
  <c r="B82" i="13"/>
  <c r="O88" i="13" s="1"/>
  <c r="P88" i="13" s="1"/>
  <c r="F81" i="13"/>
  <c r="M87" i="13"/>
  <c r="N87" i="13" s="1" a="1"/>
  <c r="N87" i="13" s="1"/>
  <c r="B81" i="13"/>
  <c r="O87" i="13" s="1"/>
  <c r="P87" i="13" s="1"/>
  <c r="F80" i="13"/>
  <c r="M86" i="13"/>
  <c r="N86" i="13" s="1" a="1"/>
  <c r="N86" i="13" s="1"/>
  <c r="B80" i="13"/>
  <c r="O86" i="13" s="1"/>
  <c r="P86" i="13" s="1"/>
  <c r="F79" i="13"/>
  <c r="M85" i="13"/>
  <c r="N85" i="13" s="1" a="1"/>
  <c r="N85" i="13" s="1"/>
  <c r="B79" i="13"/>
  <c r="O85" i="13" s="1"/>
  <c r="F78" i="13"/>
  <c r="M84" i="13"/>
  <c r="N84" i="13" s="1" a="1"/>
  <c r="N84" i="13" s="1"/>
  <c r="B78" i="13"/>
  <c r="O84" i="13" s="1"/>
  <c r="P84" i="13" s="1"/>
  <c r="F77" i="13"/>
  <c r="M83" i="13"/>
  <c r="N83" i="13" s="1" a="1"/>
  <c r="N83" i="13" s="1"/>
  <c r="B77" i="13"/>
  <c r="O83" i="13" s="1"/>
  <c r="P83" i="13" s="1"/>
  <c r="F76" i="13"/>
  <c r="M82" i="13"/>
  <c r="N82" i="13" s="1" a="1"/>
  <c r="N82" i="13" s="1"/>
  <c r="B76" i="13"/>
  <c r="O82" i="13" s="1"/>
  <c r="P82" i="13" s="1"/>
  <c r="F75" i="13"/>
  <c r="M81" i="13"/>
  <c r="N81" i="13" s="1" a="1"/>
  <c r="N81" i="13" s="1"/>
  <c r="B75" i="13"/>
  <c r="O81" i="13" s="1"/>
  <c r="P81" i="13" s="1"/>
  <c r="F74" i="13"/>
  <c r="M80" i="13"/>
  <c r="N80" i="13" s="1" a="1"/>
  <c r="N80" i="13" s="1"/>
  <c r="B74" i="13"/>
  <c r="O80" i="13" s="1"/>
  <c r="P80" i="13" s="1"/>
  <c r="F73" i="13"/>
  <c r="M79" i="13"/>
  <c r="N79" i="13" s="1" a="1"/>
  <c r="N79" i="13" s="1"/>
  <c r="B73" i="13"/>
  <c r="O79" i="13" s="1"/>
  <c r="P79" i="13" s="1"/>
  <c r="F72" i="13"/>
  <c r="M78" i="13"/>
  <c r="N78" i="13" s="1" a="1"/>
  <c r="N78" i="13" s="1"/>
  <c r="B72" i="13"/>
  <c r="O78" i="13" s="1"/>
  <c r="P78" i="13" s="1"/>
  <c r="F71" i="13"/>
  <c r="M77" i="13"/>
  <c r="N77" i="13" s="1" a="1"/>
  <c r="N77" i="13" s="1"/>
  <c r="B71" i="13"/>
  <c r="O77" i="13" s="1"/>
  <c r="F70" i="13"/>
  <c r="M76" i="13"/>
  <c r="N76" i="13" s="1" a="1"/>
  <c r="N76" i="13" s="1"/>
  <c r="B70" i="13"/>
  <c r="O76" i="13" s="1"/>
  <c r="P76" i="13" s="1"/>
  <c r="F69" i="13"/>
  <c r="M75" i="13"/>
  <c r="N75" i="13" s="1" a="1"/>
  <c r="N75" i="13" s="1"/>
  <c r="B69" i="13"/>
  <c r="O75" i="13" s="1"/>
  <c r="P75" i="13" s="1"/>
  <c r="F68" i="13"/>
  <c r="M74" i="13"/>
  <c r="N74" i="13" s="1" a="1"/>
  <c r="N74" i="13" s="1"/>
  <c r="B68" i="13"/>
  <c r="O74" i="13" s="1"/>
  <c r="P74" i="13" s="1"/>
  <c r="F67" i="13"/>
  <c r="M73" i="13"/>
  <c r="N73" i="13" s="1" a="1"/>
  <c r="N73" i="13" s="1"/>
  <c r="B67" i="13"/>
  <c r="O73" i="13" s="1"/>
  <c r="F66" i="13"/>
  <c r="M72" i="13"/>
  <c r="N72" i="13" s="1" a="1"/>
  <c r="N72" i="13" s="1"/>
  <c r="B66" i="13"/>
  <c r="O72" i="13" s="1"/>
  <c r="P72" i="13" s="1"/>
  <c r="F65" i="13"/>
  <c r="M71" i="13"/>
  <c r="N71" i="13" s="1" a="1"/>
  <c r="N71" i="13" s="1"/>
  <c r="B65" i="13"/>
  <c r="O71" i="13" s="1"/>
  <c r="P71" i="13" s="1"/>
  <c r="F64" i="13"/>
  <c r="M70" i="13"/>
  <c r="N70" i="13" s="1" a="1"/>
  <c r="N70" i="13" s="1"/>
  <c r="B64" i="13"/>
  <c r="O70" i="13" s="1"/>
  <c r="P70" i="13" s="1"/>
  <c r="F63" i="13"/>
  <c r="M69" i="13"/>
  <c r="N69" i="13" s="1" a="1"/>
  <c r="N69" i="13" s="1"/>
  <c r="B63" i="13"/>
  <c r="O69" i="13" s="1"/>
  <c r="P69" i="13" s="1"/>
  <c r="F62" i="13"/>
  <c r="M68" i="13"/>
  <c r="N68" i="13" s="1" a="1"/>
  <c r="N68" i="13" s="1"/>
  <c r="B62" i="13"/>
  <c r="O68" i="13" s="1"/>
  <c r="P68" i="13" s="1"/>
  <c r="F61" i="13"/>
  <c r="M67" i="13"/>
  <c r="N67" i="13" s="1" a="1"/>
  <c r="N67" i="13" s="1"/>
  <c r="B61" i="13"/>
  <c r="O67" i="13" s="1"/>
  <c r="P67" i="13" s="1"/>
  <c r="F60" i="13"/>
  <c r="M66" i="13"/>
  <c r="N66" i="13" s="1" a="1"/>
  <c r="N66" i="13" s="1"/>
  <c r="B60" i="13"/>
  <c r="O66" i="13" s="1"/>
  <c r="P66" i="13" s="1"/>
  <c r="F59" i="13"/>
  <c r="M65" i="13"/>
  <c r="N65" i="13" s="1" a="1"/>
  <c r="N65" i="13" s="1"/>
  <c r="B59" i="13"/>
  <c r="O65" i="13" s="1"/>
  <c r="P65" i="13" s="1"/>
  <c r="F58" i="13"/>
  <c r="M64" i="13"/>
  <c r="N64" i="13" s="1" a="1"/>
  <c r="N64" i="13" s="1"/>
  <c r="B58" i="13"/>
  <c r="O64" i="13" s="1"/>
  <c r="P64" i="13" s="1"/>
  <c r="F57" i="13"/>
  <c r="M63" i="13"/>
  <c r="N63" i="13" s="1" a="1"/>
  <c r="N63" i="13" s="1"/>
  <c r="B57" i="13"/>
  <c r="O63" i="13" s="1"/>
  <c r="P63" i="13" s="1"/>
  <c r="F56" i="13"/>
  <c r="M62" i="13"/>
  <c r="N62" i="13" s="1" a="1"/>
  <c r="N62" i="13" s="1"/>
  <c r="B56" i="13"/>
  <c r="O62" i="13" s="1"/>
  <c r="F55" i="13"/>
  <c r="M61" i="13"/>
  <c r="N61" i="13" s="1" a="1"/>
  <c r="N61" i="13" s="1"/>
  <c r="B55" i="13"/>
  <c r="O61" i="13" s="1"/>
  <c r="P61" i="13" s="1"/>
  <c r="F54" i="13"/>
  <c r="M60" i="13"/>
  <c r="N60" i="13" s="1" a="1"/>
  <c r="N60" i="13" s="1"/>
  <c r="B54" i="13"/>
  <c r="O60" i="13" s="1"/>
  <c r="P60" i="13" s="1"/>
  <c r="F53" i="13"/>
  <c r="M59" i="13"/>
  <c r="N59" i="13" s="1" a="1"/>
  <c r="N59" i="13" s="1"/>
  <c r="B53" i="13"/>
  <c r="O59" i="13" s="1"/>
  <c r="P59" i="13" s="1"/>
  <c r="F52" i="13"/>
  <c r="M58" i="13"/>
  <c r="N58" i="13" s="1" a="1"/>
  <c r="N58" i="13" s="1"/>
  <c r="B52" i="13"/>
  <c r="O58" i="13" s="1"/>
  <c r="F51" i="13"/>
  <c r="M57" i="13"/>
  <c r="N57" i="13" s="1" a="1"/>
  <c r="N57" i="13" s="1"/>
  <c r="B51" i="13"/>
  <c r="O57" i="13" s="1"/>
  <c r="P57" i="13" s="1"/>
  <c r="F50" i="13"/>
  <c r="M56" i="13"/>
  <c r="N56" i="13" s="1" a="1"/>
  <c r="N56" i="13" s="1"/>
  <c r="B50" i="13"/>
  <c r="O56" i="13" s="1"/>
  <c r="P56" i="13" s="1"/>
  <c r="F49" i="13"/>
  <c r="M55" i="13"/>
  <c r="N55" i="13" s="1" a="1"/>
  <c r="N55" i="13" s="1"/>
  <c r="B49" i="13"/>
  <c r="O55" i="13" s="1"/>
  <c r="P55" i="13" s="1"/>
  <c r="F48" i="13"/>
  <c r="M54" i="13"/>
  <c r="N54" i="13" s="1" a="1"/>
  <c r="N54" i="13" s="1"/>
  <c r="B48" i="13"/>
  <c r="O54" i="13" s="1"/>
  <c r="F47" i="13"/>
  <c r="M53" i="13"/>
  <c r="N53" i="13" s="1" a="1"/>
  <c r="N53" i="13" s="1"/>
  <c r="B47" i="13"/>
  <c r="O53" i="13" s="1"/>
  <c r="P53" i="13" s="1"/>
  <c r="F46" i="13"/>
  <c r="M52" i="13"/>
  <c r="N52" i="13" s="1" a="1"/>
  <c r="N52" i="13" s="1"/>
  <c r="B46" i="13"/>
  <c r="O52" i="13" s="1"/>
  <c r="P52" i="13" s="1"/>
  <c r="F45" i="13"/>
  <c r="M51" i="13"/>
  <c r="N51" i="13" s="1" a="1"/>
  <c r="N51" i="13" s="1"/>
  <c r="B45" i="13"/>
  <c r="O51" i="13" s="1"/>
  <c r="P51" i="13" s="1"/>
  <c r="F44" i="13"/>
  <c r="M50" i="13"/>
  <c r="N50" i="13" s="1" a="1"/>
  <c r="N50" i="13" s="1"/>
  <c r="B44" i="13"/>
  <c r="O50" i="13" s="1"/>
  <c r="P50" i="13" s="1"/>
  <c r="F43" i="13"/>
  <c r="M49" i="13"/>
  <c r="N49" i="13" s="1" a="1"/>
  <c r="N49" i="13" s="1"/>
  <c r="B43" i="13"/>
  <c r="O49" i="13" s="1"/>
  <c r="P49" i="13" s="1"/>
  <c r="F42" i="13"/>
  <c r="M48" i="13"/>
  <c r="N48" i="13" s="1" a="1"/>
  <c r="N48" i="13" s="1"/>
  <c r="B42" i="13"/>
  <c r="O48" i="13" s="1"/>
  <c r="P48" i="13" s="1"/>
  <c r="F41" i="13"/>
  <c r="M47" i="13"/>
  <c r="N47" i="13" s="1" a="1"/>
  <c r="N47" i="13" s="1"/>
  <c r="B41" i="13"/>
  <c r="O47" i="13" s="1"/>
  <c r="F40" i="13"/>
  <c r="M46" i="13"/>
  <c r="N46" i="13" s="1" a="1"/>
  <c r="N46" i="13" s="1"/>
  <c r="B40" i="13"/>
  <c r="O46" i="13" s="1"/>
  <c r="F39" i="13"/>
  <c r="M45" i="13"/>
  <c r="N45" i="13" s="1" a="1"/>
  <c r="N45" i="13" s="1"/>
  <c r="B39" i="13"/>
  <c r="O45" i="13" s="1"/>
  <c r="P45" i="13" s="1"/>
  <c r="F38" i="13"/>
  <c r="M44" i="13"/>
  <c r="N44" i="13" s="1" a="1"/>
  <c r="N44" i="13" s="1"/>
  <c r="B38" i="13"/>
  <c r="O44" i="13" s="1"/>
  <c r="P44" i="13" s="1"/>
  <c r="F37" i="13"/>
  <c r="M43" i="13"/>
  <c r="N43" i="13" s="1" a="1"/>
  <c r="N43" i="13" s="1"/>
  <c r="B37" i="13"/>
  <c r="O43" i="13" s="1"/>
  <c r="F36" i="13"/>
  <c r="M42" i="13"/>
  <c r="N42" i="13" s="1" a="1"/>
  <c r="N42" i="13" s="1"/>
  <c r="B36" i="13"/>
  <c r="O42" i="13" s="1"/>
  <c r="F35" i="13"/>
  <c r="M41" i="13"/>
  <c r="N41" i="13" s="1" a="1"/>
  <c r="N41" i="13" s="1"/>
  <c r="B35" i="13"/>
  <c r="O41" i="13" s="1"/>
  <c r="P41" i="13" s="1"/>
  <c r="F34" i="13"/>
  <c r="M40" i="13"/>
  <c r="N40" i="13" s="1" a="1"/>
  <c r="N40" i="13" s="1"/>
  <c r="B34" i="13"/>
  <c r="O40" i="13" s="1"/>
  <c r="P40" i="13" s="1"/>
  <c r="F33" i="13"/>
  <c r="M39" i="13"/>
  <c r="N39" i="13" s="1" a="1"/>
  <c r="N39" i="13" s="1"/>
  <c r="B33" i="13"/>
  <c r="O39" i="13" s="1"/>
  <c r="F32" i="13"/>
  <c r="M38" i="13"/>
  <c r="N38" i="13" s="1" a="1"/>
  <c r="N38" i="13" s="1"/>
  <c r="B32" i="13"/>
  <c r="O38" i="13" s="1"/>
  <c r="P38" i="13" s="1"/>
  <c r="F31" i="13"/>
  <c r="M37" i="13"/>
  <c r="N37" i="13" s="1" a="1"/>
  <c r="N37" i="13" s="1"/>
  <c r="B31" i="13"/>
  <c r="O37" i="13" s="1"/>
  <c r="P37" i="13" s="1"/>
  <c r="F30" i="13"/>
  <c r="M36" i="13"/>
  <c r="N36" i="13" s="1" a="1"/>
  <c r="N36" i="13" s="1"/>
  <c r="B30" i="13"/>
  <c r="O36" i="13" s="1"/>
  <c r="P36" i="13" s="1"/>
  <c r="F29" i="13"/>
  <c r="M35" i="13"/>
  <c r="N35" i="13" s="1" a="1"/>
  <c r="N35" i="13" s="1"/>
  <c r="B29" i="13"/>
  <c r="O35" i="13" s="1"/>
  <c r="P35" i="13" s="1"/>
  <c r="F28" i="13"/>
  <c r="M34" i="13"/>
  <c r="N34" i="13" s="1" a="1"/>
  <c r="N34" i="13" s="1"/>
  <c r="B28" i="13"/>
  <c r="O34" i="13" s="1"/>
  <c r="P34" i="13" s="1"/>
  <c r="F27" i="13"/>
  <c r="M33" i="13"/>
  <c r="N33" i="13" s="1" a="1"/>
  <c r="N33" i="13" s="1"/>
  <c r="B27" i="13"/>
  <c r="O33" i="13" s="1"/>
  <c r="P33" i="13" s="1"/>
  <c r="F26" i="13"/>
  <c r="M32" i="13"/>
  <c r="N32" i="13" s="1" a="1"/>
  <c r="N32" i="13" s="1"/>
  <c r="B26" i="13"/>
  <c r="O32" i="13" s="1"/>
  <c r="P32" i="13" s="1"/>
  <c r="F25" i="13"/>
  <c r="M31" i="13"/>
  <c r="N31" i="13" s="1" a="1"/>
  <c r="N31" i="13" s="1"/>
  <c r="B25" i="13"/>
  <c r="O31" i="13" s="1"/>
  <c r="F24" i="13"/>
  <c r="M30" i="13"/>
  <c r="N30" i="13" s="1" a="1"/>
  <c r="N30" i="13" s="1"/>
  <c r="B24" i="13"/>
  <c r="O30" i="13" s="1"/>
  <c r="F23" i="13"/>
  <c r="M29" i="13"/>
  <c r="N29" i="13" s="1" a="1"/>
  <c r="N29" i="13" s="1"/>
  <c r="B23" i="13"/>
  <c r="O29" i="13" s="1"/>
  <c r="P29" i="13" s="1"/>
  <c r="F22" i="13"/>
  <c r="M28" i="13"/>
  <c r="N28" i="13" s="1" a="1"/>
  <c r="N28" i="13" s="1"/>
  <c r="B22" i="13"/>
  <c r="O28" i="13" s="1"/>
  <c r="P28" i="13" s="1"/>
  <c r="F21" i="13"/>
  <c r="M27" i="13"/>
  <c r="N27" i="13" s="1" a="1"/>
  <c r="N27" i="13" s="1"/>
  <c r="B21" i="13"/>
  <c r="O27" i="13" s="1"/>
  <c r="F20" i="13"/>
  <c r="M26" i="13"/>
  <c r="N26" i="13" s="1" a="1"/>
  <c r="N26" i="13" s="1"/>
  <c r="B20" i="13"/>
  <c r="O26" i="13" s="1"/>
  <c r="F19" i="13"/>
  <c r="M25" i="13"/>
  <c r="N25" i="13" s="1" a="1"/>
  <c r="N25" i="13" s="1"/>
  <c r="B19" i="13"/>
  <c r="O25" i="13" s="1"/>
  <c r="P25" i="13" s="1"/>
  <c r="F18" i="13"/>
  <c r="M24" i="13"/>
  <c r="N24" i="13" s="1" a="1"/>
  <c r="N24" i="13" s="1"/>
  <c r="B18" i="13"/>
  <c r="O24" i="13" s="1"/>
  <c r="P24" i="13" s="1"/>
  <c r="F17" i="13"/>
  <c r="M23" i="13"/>
  <c r="N23" i="13" s="1" a="1"/>
  <c r="N23" i="13" s="1"/>
  <c r="B17" i="13"/>
  <c r="O23" i="13" s="1"/>
  <c r="P23" i="13" s="1"/>
  <c r="F16" i="13"/>
  <c r="M22" i="13"/>
  <c r="N22" i="13" s="1" a="1"/>
  <c r="N22" i="13" s="1"/>
  <c r="B16" i="13"/>
  <c r="O22" i="13" s="1"/>
  <c r="P22" i="13" s="1"/>
  <c r="F15" i="13"/>
  <c r="M21" i="13"/>
  <c r="N21" i="13" s="1" a="1"/>
  <c r="N21" i="13" s="1"/>
  <c r="B15" i="13"/>
  <c r="O21" i="13" s="1"/>
  <c r="P21" i="13" s="1"/>
  <c r="F14" i="13"/>
  <c r="M20" i="13"/>
  <c r="N20" i="13" s="1" a="1"/>
  <c r="N20" i="13" s="1"/>
  <c r="B14" i="13"/>
  <c r="O20" i="13" s="1"/>
  <c r="P20" i="13" s="1"/>
  <c r="F13" i="13"/>
  <c r="M19" i="13"/>
  <c r="N19" i="13" s="1" a="1"/>
  <c r="N19" i="13" s="1"/>
  <c r="B13" i="13"/>
  <c r="O19" i="13" s="1"/>
  <c r="P19" i="13" s="1"/>
  <c r="F12" i="13"/>
  <c r="M18" i="13"/>
  <c r="N18" i="13" s="1" a="1"/>
  <c r="N18" i="13" s="1"/>
  <c r="B12" i="13"/>
  <c r="O18" i="13" s="1"/>
  <c r="F11" i="13"/>
  <c r="M17" i="13"/>
  <c r="N17" i="13" s="1" a="1"/>
  <c r="N17" i="13" s="1"/>
  <c r="B11" i="13"/>
  <c r="O17" i="13" s="1"/>
  <c r="P17" i="13" s="1"/>
  <c r="F10" i="13"/>
  <c r="M16" i="13"/>
  <c r="N16" i="13" s="1" a="1"/>
  <c r="N16" i="13" s="1"/>
  <c r="B10" i="13"/>
  <c r="O16" i="13" s="1"/>
  <c r="F9" i="13"/>
  <c r="M15" i="13"/>
  <c r="N15" i="13" s="1" a="1"/>
  <c r="N15" i="13" s="1"/>
  <c r="B9" i="13"/>
  <c r="O15" i="13" s="1"/>
  <c r="P15" i="13" s="1"/>
  <c r="F8" i="13"/>
  <c r="M14" i="13"/>
  <c r="N14" i="13" s="1" a="1"/>
  <c r="N14" i="13" s="1"/>
  <c r="B8" i="13"/>
  <c r="O14" i="13" s="1"/>
  <c r="F7" i="13"/>
  <c r="M13" i="13"/>
  <c r="N13" i="13" s="1" a="1"/>
  <c r="N13" i="13" s="1"/>
  <c r="B7" i="13"/>
  <c r="O13" i="13" s="1"/>
  <c r="P13" i="13" s="1"/>
  <c r="F6" i="13"/>
  <c r="M12" i="13"/>
  <c r="N12" i="13" s="1" a="1"/>
  <c r="N12" i="13" s="1"/>
  <c r="B6" i="13"/>
  <c r="O12" i="13" s="1"/>
  <c r="F5" i="13"/>
  <c r="M11" i="13"/>
  <c r="N11" i="13" s="1" a="1"/>
  <c r="N11" i="13" s="1"/>
  <c r="B5" i="13"/>
  <c r="O11" i="13" s="1"/>
  <c r="P11" i="13" s="1"/>
  <c r="F4" i="13"/>
  <c r="M10" i="13"/>
  <c r="N10" i="13" s="1" a="1"/>
  <c r="N10" i="13" s="1"/>
  <c r="B4" i="13"/>
  <c r="O10" i="13" s="1"/>
  <c r="F3" i="13"/>
  <c r="M9" i="13"/>
  <c r="N9" i="13" s="1" a="1"/>
  <c r="N9" i="13" s="1"/>
  <c r="B3" i="13"/>
  <c r="O9" i="13" s="1"/>
  <c r="P9" i="13" s="1"/>
  <c r="F107" i="12"/>
  <c r="M113" i="12"/>
  <c r="N113" i="12" s="1" a="1"/>
  <c r="N113" i="12" s="1"/>
  <c r="B107" i="12"/>
  <c r="O113" i="12" s="1"/>
  <c r="P113" i="12" s="1"/>
  <c r="F106" i="12"/>
  <c r="M112" i="12"/>
  <c r="N112" i="12" s="1" a="1"/>
  <c r="N112" i="12" s="1"/>
  <c r="B106" i="12"/>
  <c r="O112" i="12" s="1"/>
  <c r="P112" i="12" s="1"/>
  <c r="F105" i="12"/>
  <c r="M111" i="12"/>
  <c r="N111" i="12" s="1" a="1"/>
  <c r="N111" i="12" s="1"/>
  <c r="B105" i="12"/>
  <c r="O111" i="12" s="1"/>
  <c r="P111" i="12" s="1"/>
  <c r="F104" i="12"/>
  <c r="M110" i="12"/>
  <c r="N110" i="12" s="1" a="1"/>
  <c r="N110" i="12" s="1"/>
  <c r="B104" i="12"/>
  <c r="O110" i="12" s="1"/>
  <c r="P110" i="12" s="1"/>
  <c r="F103" i="12"/>
  <c r="M109" i="12"/>
  <c r="N109" i="12" s="1" a="1"/>
  <c r="N109" i="12" s="1"/>
  <c r="B103" i="12"/>
  <c r="O109" i="12" s="1"/>
  <c r="F102" i="12"/>
  <c r="M108" i="12"/>
  <c r="N108" i="12" s="1" a="1"/>
  <c r="N108" i="12" s="1"/>
  <c r="B102" i="12"/>
  <c r="O108" i="12" s="1"/>
  <c r="P108" i="12" s="1"/>
  <c r="F101" i="12"/>
  <c r="M107" i="12"/>
  <c r="N107" i="12" s="1" a="1"/>
  <c r="N107" i="12" s="1"/>
  <c r="B101" i="12"/>
  <c r="O107" i="12" s="1"/>
  <c r="F100" i="12"/>
  <c r="M106" i="12"/>
  <c r="N106" i="12" s="1" a="1"/>
  <c r="N106" i="12" s="1"/>
  <c r="B100" i="12"/>
  <c r="O106" i="12" s="1"/>
  <c r="P106" i="12" s="1"/>
  <c r="F99" i="12"/>
  <c r="M105" i="12"/>
  <c r="N105" i="12" s="1" a="1"/>
  <c r="N105" i="12" s="1"/>
  <c r="B99" i="12"/>
  <c r="O105" i="12" s="1"/>
  <c r="F98" i="12"/>
  <c r="M104" i="12"/>
  <c r="N104" i="12" s="1" a="1"/>
  <c r="N104" i="12" s="1"/>
  <c r="B98" i="12"/>
  <c r="O104" i="12" s="1"/>
  <c r="P104" i="12" s="1"/>
  <c r="F97" i="12"/>
  <c r="M103" i="12"/>
  <c r="N103" i="12" s="1" a="1"/>
  <c r="N103" i="12" s="1"/>
  <c r="B97" i="12"/>
  <c r="O103" i="12" s="1"/>
  <c r="F96" i="12"/>
  <c r="M102" i="12"/>
  <c r="N102" i="12" s="1" a="1"/>
  <c r="N102" i="12" s="1"/>
  <c r="B96" i="12"/>
  <c r="O102" i="12" s="1"/>
  <c r="P102" i="12" s="1"/>
  <c r="F95" i="12"/>
  <c r="M101" i="12"/>
  <c r="N101" i="12" s="1" a="1"/>
  <c r="N101" i="12" s="1"/>
  <c r="B95" i="12"/>
  <c r="O101" i="12" s="1"/>
  <c r="F94" i="12"/>
  <c r="M100" i="12"/>
  <c r="N100" i="12" s="1" a="1"/>
  <c r="N100" i="12" s="1"/>
  <c r="B94" i="12"/>
  <c r="O100" i="12" s="1"/>
  <c r="P100" i="12" s="1"/>
  <c r="F93" i="12"/>
  <c r="M99" i="12"/>
  <c r="N99" i="12" s="1" a="1"/>
  <c r="N99" i="12" s="1"/>
  <c r="B93" i="12"/>
  <c r="O99" i="12" s="1"/>
  <c r="F92" i="12"/>
  <c r="M98" i="12"/>
  <c r="N98" i="12" s="1" a="1"/>
  <c r="N98" i="12" s="1"/>
  <c r="B92" i="12"/>
  <c r="O98" i="12" s="1"/>
  <c r="P98" i="12" s="1"/>
  <c r="F91" i="12"/>
  <c r="M97" i="12"/>
  <c r="N97" i="12" s="1" a="1"/>
  <c r="N97" i="12" s="1"/>
  <c r="B91" i="12"/>
  <c r="O97" i="12" s="1"/>
  <c r="P97" i="12" s="1"/>
  <c r="F90" i="12"/>
  <c r="M96" i="12"/>
  <c r="N96" i="12" s="1" a="1"/>
  <c r="N96" i="12" s="1"/>
  <c r="B90" i="12"/>
  <c r="O96" i="12" s="1"/>
  <c r="P96" i="12" s="1"/>
  <c r="O89" i="12"/>
  <c r="P89" i="12" s="1"/>
  <c r="F89" i="12"/>
  <c r="M95" i="12"/>
  <c r="N95" i="12" s="1" a="1"/>
  <c r="N95" i="12" s="1"/>
  <c r="B89" i="12"/>
  <c r="O95" i="12" s="1"/>
  <c r="P95" i="12" s="1"/>
  <c r="F88" i="12"/>
  <c r="M94" i="12"/>
  <c r="N94" i="12" s="1" a="1"/>
  <c r="N94" i="12" s="1"/>
  <c r="B88" i="12"/>
  <c r="O94" i="12" s="1"/>
  <c r="P94" i="12" s="1"/>
  <c r="F87" i="12"/>
  <c r="M93" i="12"/>
  <c r="N93" i="12" s="1" a="1"/>
  <c r="N93" i="12" s="1"/>
  <c r="B87" i="12"/>
  <c r="O93" i="12" s="1"/>
  <c r="P93" i="12" s="1"/>
  <c r="F86" i="12"/>
  <c r="M92" i="12"/>
  <c r="N92" i="12" s="1" a="1"/>
  <c r="N92" i="12" s="1"/>
  <c r="B86" i="12"/>
  <c r="O92" i="12" s="1"/>
  <c r="P92" i="12" s="1"/>
  <c r="F85" i="12"/>
  <c r="M91" i="12"/>
  <c r="N91" i="12" s="1" a="1"/>
  <c r="N91" i="12" s="1"/>
  <c r="B85" i="12"/>
  <c r="O91" i="12" s="1"/>
  <c r="P91" i="12" s="1"/>
  <c r="F84" i="12"/>
  <c r="M90" i="12"/>
  <c r="N90" i="12" s="1" a="1"/>
  <c r="N90" i="12" s="1"/>
  <c r="B84" i="12"/>
  <c r="O90" i="12" s="1"/>
  <c r="F83" i="12"/>
  <c r="M89" i="12"/>
  <c r="N89" i="12" s="1" a="1"/>
  <c r="N89" i="12" s="1"/>
  <c r="B83" i="12"/>
  <c r="F82" i="12"/>
  <c r="M88" i="12"/>
  <c r="N88" i="12" s="1" a="1"/>
  <c r="N88" i="12" s="1"/>
  <c r="B82" i="12"/>
  <c r="O88" i="12" s="1"/>
  <c r="P88" i="12" s="1"/>
  <c r="F81" i="12"/>
  <c r="M87" i="12"/>
  <c r="N87" i="12" s="1" a="1"/>
  <c r="N87" i="12" s="1"/>
  <c r="B81" i="12"/>
  <c r="O87" i="12" s="1"/>
  <c r="P87" i="12" s="1"/>
  <c r="F80" i="12"/>
  <c r="M86" i="12"/>
  <c r="N86" i="12" s="1" a="1"/>
  <c r="N86" i="12" s="1"/>
  <c r="B80" i="12"/>
  <c r="O86" i="12" s="1"/>
  <c r="F79" i="12"/>
  <c r="M85" i="12"/>
  <c r="N85" i="12" s="1" a="1"/>
  <c r="N85" i="12" s="1"/>
  <c r="B79" i="12"/>
  <c r="O85" i="12" s="1"/>
  <c r="P85" i="12" s="1"/>
  <c r="F78" i="12"/>
  <c r="M84" i="12"/>
  <c r="N84" i="12" s="1" a="1"/>
  <c r="N84" i="12" s="1"/>
  <c r="B78" i="12"/>
  <c r="O84" i="12" s="1"/>
  <c r="P84" i="12" s="1"/>
  <c r="F77" i="12"/>
  <c r="M83" i="12"/>
  <c r="N83" i="12" s="1" a="1"/>
  <c r="N83" i="12" s="1"/>
  <c r="B77" i="12"/>
  <c r="O83" i="12" s="1"/>
  <c r="P83" i="12" s="1"/>
  <c r="F76" i="12"/>
  <c r="M82" i="12"/>
  <c r="N82" i="12" s="1" a="1"/>
  <c r="N82" i="12" s="1"/>
  <c r="B76" i="12"/>
  <c r="O82" i="12" s="1"/>
  <c r="P82" i="12" s="1"/>
  <c r="F75" i="12"/>
  <c r="M81" i="12"/>
  <c r="N81" i="12" s="1" a="1"/>
  <c r="N81" i="12" s="1"/>
  <c r="B75" i="12"/>
  <c r="O81" i="12" s="1"/>
  <c r="P81" i="12" s="1"/>
  <c r="F74" i="12"/>
  <c r="M80" i="12"/>
  <c r="N80" i="12" s="1" a="1"/>
  <c r="N80" i="12" s="1"/>
  <c r="B74" i="12"/>
  <c r="O80" i="12" s="1"/>
  <c r="P80" i="12" s="1"/>
  <c r="F73" i="12"/>
  <c r="M79" i="12"/>
  <c r="N79" i="12" s="1" a="1"/>
  <c r="N79" i="12" s="1"/>
  <c r="B73" i="12"/>
  <c r="O79" i="12" s="1"/>
  <c r="P79" i="12" s="1"/>
  <c r="F72" i="12"/>
  <c r="M78" i="12"/>
  <c r="N78" i="12" s="1" a="1"/>
  <c r="N78" i="12" s="1"/>
  <c r="B72" i="12"/>
  <c r="O78" i="12" s="1"/>
  <c r="F71" i="12"/>
  <c r="M77" i="12"/>
  <c r="N77" i="12" s="1" a="1"/>
  <c r="N77" i="12" s="1"/>
  <c r="B71" i="12"/>
  <c r="O77" i="12" s="1"/>
  <c r="P77" i="12" s="1"/>
  <c r="F70" i="12"/>
  <c r="M76" i="12"/>
  <c r="N76" i="12" s="1" a="1"/>
  <c r="N76" i="12" s="1"/>
  <c r="B70" i="12"/>
  <c r="O76" i="12" s="1"/>
  <c r="P76" i="12" s="1"/>
  <c r="F69" i="12"/>
  <c r="M75" i="12"/>
  <c r="N75" i="12" s="1" a="1"/>
  <c r="N75" i="12" s="1"/>
  <c r="B69" i="12"/>
  <c r="O75" i="12" s="1"/>
  <c r="P75" i="12" s="1"/>
  <c r="F68" i="12"/>
  <c r="M74" i="12"/>
  <c r="N74" i="12" s="1" a="1"/>
  <c r="N74" i="12" s="1"/>
  <c r="B68" i="12"/>
  <c r="O74" i="12" s="1"/>
  <c r="F67" i="12"/>
  <c r="M73" i="12"/>
  <c r="N73" i="12" s="1" a="1"/>
  <c r="N73" i="12" s="1"/>
  <c r="B67" i="12"/>
  <c r="O73" i="12" s="1"/>
  <c r="P73" i="12" s="1"/>
  <c r="F66" i="12"/>
  <c r="M72" i="12"/>
  <c r="N72" i="12" s="1" a="1"/>
  <c r="N72" i="12" s="1"/>
  <c r="B66" i="12"/>
  <c r="O72" i="12" s="1"/>
  <c r="P72" i="12" s="1"/>
  <c r="F65" i="12"/>
  <c r="M71" i="12"/>
  <c r="N71" i="12" s="1" a="1"/>
  <c r="N71" i="12" s="1"/>
  <c r="B65" i="12"/>
  <c r="O71" i="12" s="1"/>
  <c r="P71" i="12" s="1"/>
  <c r="F64" i="12"/>
  <c r="M70" i="12"/>
  <c r="N70" i="12" s="1" a="1"/>
  <c r="N70" i="12" s="1"/>
  <c r="B64" i="12"/>
  <c r="O70" i="12" s="1"/>
  <c r="F63" i="12"/>
  <c r="M69" i="12"/>
  <c r="N69" i="12" s="1" a="1"/>
  <c r="N69" i="12" s="1"/>
  <c r="B63" i="12"/>
  <c r="O69" i="12" s="1"/>
  <c r="P69" i="12" s="1"/>
  <c r="F62" i="12"/>
  <c r="M68" i="12"/>
  <c r="N68" i="12" s="1" a="1"/>
  <c r="N68" i="12" s="1"/>
  <c r="B62" i="12"/>
  <c r="O68" i="12" s="1"/>
  <c r="P68" i="12" s="1"/>
  <c r="F61" i="12"/>
  <c r="M67" i="12"/>
  <c r="N67" i="12" s="1" a="1"/>
  <c r="N67" i="12" s="1"/>
  <c r="B61" i="12"/>
  <c r="O67" i="12" s="1"/>
  <c r="P67" i="12" s="1"/>
  <c r="F60" i="12"/>
  <c r="M66" i="12"/>
  <c r="N66" i="12" s="1" a="1"/>
  <c r="N66" i="12" s="1"/>
  <c r="B60" i="12"/>
  <c r="O66" i="12" s="1"/>
  <c r="P66" i="12" s="1"/>
  <c r="F59" i="12"/>
  <c r="M65" i="12"/>
  <c r="N65" i="12" s="1" a="1"/>
  <c r="N65" i="12" s="1"/>
  <c r="B59" i="12"/>
  <c r="O65" i="12" s="1"/>
  <c r="P65" i="12" s="1"/>
  <c r="F58" i="12"/>
  <c r="M64" i="12"/>
  <c r="N64" i="12" s="1" a="1"/>
  <c r="N64" i="12" s="1"/>
  <c r="B58" i="12"/>
  <c r="O64" i="12" s="1"/>
  <c r="P64" i="12" s="1"/>
  <c r="F57" i="12"/>
  <c r="M63" i="12"/>
  <c r="N63" i="12" s="1" a="1"/>
  <c r="N63" i="12" s="1"/>
  <c r="B57" i="12"/>
  <c r="O63" i="12" s="1"/>
  <c r="P63" i="12" s="1"/>
  <c r="F56" i="12"/>
  <c r="M62" i="12"/>
  <c r="N62" i="12" s="1" a="1"/>
  <c r="N62" i="12" s="1"/>
  <c r="B56" i="12"/>
  <c r="O62" i="12" s="1"/>
  <c r="F55" i="12"/>
  <c r="M61" i="12"/>
  <c r="N61" i="12" s="1" a="1"/>
  <c r="N61" i="12" s="1"/>
  <c r="B55" i="12"/>
  <c r="O61" i="12" s="1"/>
  <c r="P61" i="12" s="1"/>
  <c r="F54" i="12"/>
  <c r="M60" i="12"/>
  <c r="N60" i="12" s="1" a="1"/>
  <c r="N60" i="12" s="1"/>
  <c r="B54" i="12"/>
  <c r="O60" i="12" s="1"/>
  <c r="P60" i="12" s="1"/>
  <c r="F53" i="12"/>
  <c r="M59" i="12"/>
  <c r="N59" i="12" s="1" a="1"/>
  <c r="N59" i="12" s="1"/>
  <c r="B53" i="12"/>
  <c r="O59" i="12" s="1"/>
  <c r="P59" i="12" s="1"/>
  <c r="F52" i="12"/>
  <c r="M58" i="12"/>
  <c r="N58" i="12" s="1" a="1"/>
  <c r="N58" i="12" s="1"/>
  <c r="B52" i="12"/>
  <c r="O58" i="12" s="1"/>
  <c r="F51" i="12"/>
  <c r="M57" i="12"/>
  <c r="N57" i="12" s="1" a="1"/>
  <c r="N57" i="12" s="1"/>
  <c r="B51" i="12"/>
  <c r="O57" i="12" s="1"/>
  <c r="P57" i="12" s="1"/>
  <c r="F50" i="12"/>
  <c r="M56" i="12"/>
  <c r="N56" i="12" s="1" a="1"/>
  <c r="N56" i="12" s="1"/>
  <c r="B50" i="12"/>
  <c r="O56" i="12" s="1"/>
  <c r="P56" i="12" s="1"/>
  <c r="F49" i="12"/>
  <c r="M55" i="12"/>
  <c r="N55" i="12" s="1" a="1"/>
  <c r="N55" i="12" s="1"/>
  <c r="B49" i="12"/>
  <c r="O55" i="12" s="1"/>
  <c r="P55" i="12" s="1"/>
  <c r="F48" i="12"/>
  <c r="M54" i="12"/>
  <c r="N54" i="12" s="1" a="1"/>
  <c r="N54" i="12" s="1"/>
  <c r="B48" i="12"/>
  <c r="O54" i="12" s="1"/>
  <c r="F47" i="12"/>
  <c r="M53" i="12"/>
  <c r="N53" i="12" s="1" a="1"/>
  <c r="N53" i="12" s="1"/>
  <c r="B47" i="12"/>
  <c r="O53" i="12" s="1"/>
  <c r="P53" i="12" s="1"/>
  <c r="F46" i="12"/>
  <c r="M52" i="12"/>
  <c r="N52" i="12" s="1" a="1"/>
  <c r="N52" i="12" s="1"/>
  <c r="B46" i="12"/>
  <c r="O52" i="12" s="1"/>
  <c r="P52" i="12" s="1"/>
  <c r="F45" i="12"/>
  <c r="M51" i="12"/>
  <c r="N51" i="12" s="1" a="1"/>
  <c r="N51" i="12" s="1"/>
  <c r="B45" i="12"/>
  <c r="O51" i="12" s="1"/>
  <c r="P51" i="12" s="1"/>
  <c r="F44" i="12"/>
  <c r="M50" i="12"/>
  <c r="N50" i="12" s="1" a="1"/>
  <c r="N50" i="12" s="1"/>
  <c r="B44" i="12"/>
  <c r="O50" i="12" s="1"/>
  <c r="F43" i="12"/>
  <c r="M49" i="12"/>
  <c r="N49" i="12" s="1" a="1"/>
  <c r="N49" i="12" s="1"/>
  <c r="B43" i="12"/>
  <c r="O49" i="12" s="1"/>
  <c r="P49" i="12" s="1"/>
  <c r="F42" i="12"/>
  <c r="M48" i="12"/>
  <c r="N48" i="12" s="1" a="1"/>
  <c r="N48" i="12" s="1"/>
  <c r="B42" i="12"/>
  <c r="O48" i="12" s="1"/>
  <c r="P48" i="12" s="1"/>
  <c r="F41" i="12"/>
  <c r="M47" i="12"/>
  <c r="N47" i="12" s="1" a="1"/>
  <c r="N47" i="12" s="1"/>
  <c r="B41" i="12"/>
  <c r="O47" i="12" s="1"/>
  <c r="P47" i="12" s="1"/>
  <c r="O40" i="12"/>
  <c r="F40" i="12"/>
  <c r="M46" i="12"/>
  <c r="N46" i="12" s="1" a="1"/>
  <c r="N46" i="12" s="1"/>
  <c r="B40" i="12"/>
  <c r="O46" i="12" s="1"/>
  <c r="F39" i="12"/>
  <c r="M45" i="12"/>
  <c r="N45" i="12" s="1" a="1"/>
  <c r="N45" i="12" s="1"/>
  <c r="B39" i="12"/>
  <c r="O45" i="12" s="1"/>
  <c r="P45" i="12" s="1"/>
  <c r="F38" i="12"/>
  <c r="M44" i="12"/>
  <c r="N44" i="12" s="1" a="1"/>
  <c r="N44" i="12" s="1"/>
  <c r="B38" i="12"/>
  <c r="O44" i="12" s="1"/>
  <c r="F37" i="12"/>
  <c r="M43" i="12"/>
  <c r="N43" i="12" s="1" a="1"/>
  <c r="N43" i="12" s="1"/>
  <c r="B37" i="12"/>
  <c r="O43" i="12" s="1"/>
  <c r="P43" i="12" s="1"/>
  <c r="F36" i="12"/>
  <c r="M42" i="12"/>
  <c r="N42" i="12" s="1" a="1"/>
  <c r="N42" i="12" s="1"/>
  <c r="B36" i="12"/>
  <c r="O42" i="12" s="1"/>
  <c r="F35" i="12"/>
  <c r="M41" i="12"/>
  <c r="N41" i="12" s="1" a="1"/>
  <c r="N41" i="12" s="1"/>
  <c r="B35" i="12"/>
  <c r="O41" i="12" s="1"/>
  <c r="P41" i="12" s="1"/>
  <c r="F34" i="12"/>
  <c r="M40" i="12"/>
  <c r="N40" i="12" s="1" a="1"/>
  <c r="N40" i="12" s="1"/>
  <c r="B34" i="12"/>
  <c r="F33" i="12"/>
  <c r="M39" i="12"/>
  <c r="N39" i="12" s="1" a="1"/>
  <c r="N39" i="12" s="1"/>
  <c r="B33" i="12"/>
  <c r="O39" i="12" s="1"/>
  <c r="P39" i="12" s="1"/>
  <c r="F32" i="12"/>
  <c r="M38" i="12"/>
  <c r="N38" i="12" s="1" a="1"/>
  <c r="N38" i="12" s="1"/>
  <c r="B32" i="12"/>
  <c r="O38" i="12" s="1"/>
  <c r="P38" i="12" s="1"/>
  <c r="F31" i="12"/>
  <c r="M37" i="12"/>
  <c r="N37" i="12" s="1" a="1"/>
  <c r="N37" i="12" s="1"/>
  <c r="B31" i="12"/>
  <c r="O37" i="12" s="1"/>
  <c r="P37" i="12" s="1"/>
  <c r="O30" i="12"/>
  <c r="P30" i="12" s="1"/>
  <c r="F30" i="12"/>
  <c r="M36" i="12"/>
  <c r="N36" i="12" s="1" a="1"/>
  <c r="N36" i="12" s="1"/>
  <c r="B30" i="12"/>
  <c r="O36" i="12" s="1"/>
  <c r="P36" i="12" s="1"/>
  <c r="F29" i="12"/>
  <c r="M35" i="12"/>
  <c r="N35" i="12" s="1" a="1"/>
  <c r="N35" i="12" s="1"/>
  <c r="B29" i="12"/>
  <c r="O35" i="12" s="1"/>
  <c r="P35" i="12" s="1"/>
  <c r="F28" i="12"/>
  <c r="M34" i="12"/>
  <c r="N34" i="12" s="1" a="1"/>
  <c r="N34" i="12" s="1"/>
  <c r="B28" i="12"/>
  <c r="O34" i="12" s="1"/>
  <c r="P34" i="12" s="1"/>
  <c r="F27" i="12"/>
  <c r="M33" i="12"/>
  <c r="N33" i="12" s="1" a="1"/>
  <c r="N33" i="12" s="1"/>
  <c r="B27" i="12"/>
  <c r="O33" i="12" s="1"/>
  <c r="P33" i="12" s="1"/>
  <c r="F26" i="12"/>
  <c r="M32" i="12"/>
  <c r="N32" i="12" s="1" a="1"/>
  <c r="N32" i="12" s="1"/>
  <c r="B26" i="12"/>
  <c r="O32" i="12" s="1"/>
  <c r="F25" i="12"/>
  <c r="M31" i="12"/>
  <c r="N31" i="12" s="1" a="1"/>
  <c r="N31" i="12" s="1"/>
  <c r="B25" i="12"/>
  <c r="O31" i="12" s="1"/>
  <c r="F24" i="12"/>
  <c r="M30" i="12"/>
  <c r="N30" i="12" s="1" a="1"/>
  <c r="N30" i="12" s="1"/>
  <c r="B24" i="12"/>
  <c r="F23" i="12"/>
  <c r="M29" i="12"/>
  <c r="N29" i="12" s="1" a="1"/>
  <c r="N29" i="12" s="1"/>
  <c r="B23" i="12"/>
  <c r="O29" i="12" s="1"/>
  <c r="P29" i="12" s="1"/>
  <c r="F22" i="12"/>
  <c r="M28" i="12"/>
  <c r="N28" i="12" s="1" a="1"/>
  <c r="N28" i="12" s="1"/>
  <c r="B22" i="12"/>
  <c r="O28" i="12" s="1"/>
  <c r="P28" i="12" s="1"/>
  <c r="F21" i="12"/>
  <c r="M27" i="12"/>
  <c r="N27" i="12" s="1" a="1"/>
  <c r="N27" i="12" s="1"/>
  <c r="B21" i="12"/>
  <c r="O27" i="12" s="1"/>
  <c r="F20" i="12"/>
  <c r="M26" i="12"/>
  <c r="N26" i="12" s="1" a="1"/>
  <c r="N26" i="12" s="1"/>
  <c r="B20" i="12"/>
  <c r="O26" i="12" s="1"/>
  <c r="P26" i="12" s="1"/>
  <c r="F19" i="12"/>
  <c r="M25" i="12"/>
  <c r="N25" i="12" s="1" a="1"/>
  <c r="N25" i="12" s="1"/>
  <c r="B19" i="12"/>
  <c r="O25" i="12" s="1"/>
  <c r="P25" i="12" s="1"/>
  <c r="F18" i="12"/>
  <c r="M24" i="12"/>
  <c r="N24" i="12" s="1" a="1"/>
  <c r="N24" i="12" s="1"/>
  <c r="B18" i="12"/>
  <c r="O24" i="12" s="1"/>
  <c r="P24" i="12" s="1"/>
  <c r="F17" i="12"/>
  <c r="M23" i="12"/>
  <c r="N23" i="12" s="1" a="1"/>
  <c r="N23" i="12" s="1"/>
  <c r="B17" i="12"/>
  <c r="O23" i="12" s="1"/>
  <c r="P23" i="12" s="1"/>
  <c r="F16" i="12"/>
  <c r="M22" i="12"/>
  <c r="N22" i="12" s="1" a="1"/>
  <c r="N22" i="12" s="1"/>
  <c r="B16" i="12"/>
  <c r="O22" i="12" s="1"/>
  <c r="P22" i="12" s="1"/>
  <c r="F15" i="12"/>
  <c r="M21" i="12"/>
  <c r="N21" i="12" s="1" a="1"/>
  <c r="N21" i="12" s="1"/>
  <c r="B15" i="12"/>
  <c r="O21" i="12" s="1"/>
  <c r="P21" i="12" s="1"/>
  <c r="F14" i="12"/>
  <c r="M20" i="12"/>
  <c r="N20" i="12" s="1" a="1"/>
  <c r="N20" i="12" s="1"/>
  <c r="B14" i="12"/>
  <c r="O20" i="12" s="1"/>
  <c r="P20" i="12" s="1"/>
  <c r="F13" i="12"/>
  <c r="M19" i="12"/>
  <c r="N19" i="12" s="1" a="1"/>
  <c r="N19" i="12" s="1"/>
  <c r="B13" i="12"/>
  <c r="O19" i="12" s="1"/>
  <c r="P19" i="12" s="1"/>
  <c r="F12" i="12"/>
  <c r="M18" i="12"/>
  <c r="N18" i="12" s="1" a="1"/>
  <c r="N18" i="12" s="1"/>
  <c r="B12" i="12"/>
  <c r="O18" i="12" s="1"/>
  <c r="P18" i="12" s="1"/>
  <c r="F11" i="12"/>
  <c r="M17" i="12"/>
  <c r="N17" i="12" s="1" a="1"/>
  <c r="N17" i="12" s="1"/>
  <c r="B11" i="12"/>
  <c r="O17" i="12" s="1"/>
  <c r="P17" i="12" s="1"/>
  <c r="F10" i="12"/>
  <c r="M16" i="12"/>
  <c r="N16" i="12" s="1" a="1"/>
  <c r="N16" i="12" s="1"/>
  <c r="B10" i="12"/>
  <c r="O16" i="12" s="1"/>
  <c r="P16" i="12" s="1"/>
  <c r="F9" i="12"/>
  <c r="M15" i="12"/>
  <c r="N15" i="12" s="1" a="1"/>
  <c r="N15" i="12" s="1"/>
  <c r="B9" i="12"/>
  <c r="O15" i="12" s="1"/>
  <c r="F8" i="12"/>
  <c r="M14" i="12"/>
  <c r="N14" i="12" s="1" a="1"/>
  <c r="N14" i="12" s="1"/>
  <c r="B8" i="12"/>
  <c r="O14" i="12" s="1"/>
  <c r="P14" i="12" s="1"/>
  <c r="F7" i="12"/>
  <c r="M13" i="12"/>
  <c r="N13" i="12" s="1" a="1"/>
  <c r="N13" i="12" s="1"/>
  <c r="B7" i="12"/>
  <c r="O13" i="12" s="1"/>
  <c r="P13" i="12" s="1"/>
  <c r="F6" i="12"/>
  <c r="M12" i="12"/>
  <c r="N12" i="12" s="1" a="1"/>
  <c r="N12" i="12" s="1"/>
  <c r="B6" i="12"/>
  <c r="O12" i="12" s="1"/>
  <c r="P12" i="12" s="1"/>
  <c r="F5" i="12"/>
  <c r="M11" i="12"/>
  <c r="N11" i="12" s="1" a="1"/>
  <c r="N11" i="12" s="1"/>
  <c r="B5" i="12"/>
  <c r="O11" i="12" s="1"/>
  <c r="F4" i="12"/>
  <c r="M10" i="12"/>
  <c r="N10" i="12" s="1" a="1"/>
  <c r="N10" i="12" s="1"/>
  <c r="B4" i="12"/>
  <c r="O10" i="12" s="1"/>
  <c r="P10" i="12" s="1"/>
  <c r="F3" i="12"/>
  <c r="M9" i="12"/>
  <c r="N9" i="12" s="1" a="1"/>
  <c r="N9" i="12" s="1"/>
  <c r="B3" i="12"/>
  <c r="O9" i="12" s="1"/>
  <c r="P9" i="12" s="1"/>
  <c r="O111" i="16"/>
  <c r="P111" i="16" s="1"/>
  <c r="O109" i="16"/>
  <c r="P109" i="16" s="1"/>
  <c r="F107" i="16"/>
  <c r="M113" i="16"/>
  <c r="N113" i="16" s="1" a="1"/>
  <c r="N113" i="16" s="1"/>
  <c r="O113" i="16"/>
  <c r="P113" i="16" s="1"/>
  <c r="F106" i="16"/>
  <c r="M112" i="16"/>
  <c r="N112" i="16" s="1" a="1"/>
  <c r="N112" i="16" s="1"/>
  <c r="O112" i="16"/>
  <c r="P112" i="16" s="1"/>
  <c r="F105" i="16"/>
  <c r="M111" i="16"/>
  <c r="N111" i="16" s="1" a="1"/>
  <c r="N111" i="16" s="1"/>
  <c r="O104" i="16"/>
  <c r="P104" i="16" s="1"/>
  <c r="F104" i="16"/>
  <c r="M110" i="16"/>
  <c r="N110" i="16" s="1" a="1"/>
  <c r="N110" i="16" s="1"/>
  <c r="O110" i="16"/>
  <c r="P110" i="16" s="1"/>
  <c r="F103" i="16"/>
  <c r="M109" i="16"/>
  <c r="N109" i="16" s="1" a="1"/>
  <c r="N109" i="16" s="1"/>
  <c r="F102" i="16"/>
  <c r="M108" i="16"/>
  <c r="N108" i="16" s="1" a="1"/>
  <c r="N108" i="16" s="1"/>
  <c r="O108" i="16"/>
  <c r="P108" i="16" s="1"/>
  <c r="F101" i="16"/>
  <c r="M107" i="16"/>
  <c r="N107" i="16" s="1" a="1"/>
  <c r="N107" i="16" s="1"/>
  <c r="O107" i="16"/>
  <c r="F100" i="16"/>
  <c r="M106" i="16"/>
  <c r="N106" i="16" s="1" a="1"/>
  <c r="N106" i="16" s="1"/>
  <c r="O106" i="16"/>
  <c r="O99" i="16"/>
  <c r="F99" i="16"/>
  <c r="M105" i="16"/>
  <c r="N105" i="16" s="1" a="1"/>
  <c r="N105" i="16" s="1"/>
  <c r="O105" i="16"/>
  <c r="P105" i="16" s="1"/>
  <c r="F98" i="16"/>
  <c r="M104" i="16"/>
  <c r="N104" i="16" s="1" a="1"/>
  <c r="N104" i="16" s="1"/>
  <c r="F97" i="16"/>
  <c r="M103" i="16"/>
  <c r="N103" i="16" s="1" a="1"/>
  <c r="N103" i="16" s="1"/>
  <c r="O103" i="16"/>
  <c r="F96" i="16"/>
  <c r="M102" i="16"/>
  <c r="N102" i="16" s="1" a="1"/>
  <c r="N102" i="16" s="1"/>
  <c r="O102" i="16"/>
  <c r="F95" i="16"/>
  <c r="M101" i="16"/>
  <c r="N101" i="16" s="1" a="1"/>
  <c r="N101" i="16" s="1"/>
  <c r="O101" i="16"/>
  <c r="P101" i="16" s="1"/>
  <c r="F94" i="16"/>
  <c r="M100" i="16"/>
  <c r="N100" i="16" s="1" a="1"/>
  <c r="N100" i="16" s="1"/>
  <c r="O100" i="16"/>
  <c r="F93" i="16"/>
  <c r="M99" i="16"/>
  <c r="N99" i="16" s="1" a="1"/>
  <c r="N99" i="16" s="1"/>
  <c r="F92" i="16"/>
  <c r="M98" i="16"/>
  <c r="N98" i="16" s="1" a="1"/>
  <c r="N98" i="16" s="1"/>
  <c r="B92" i="16"/>
  <c r="O98" i="16" s="1"/>
  <c r="P98" i="16" s="1"/>
  <c r="F91" i="16"/>
  <c r="M97" i="16"/>
  <c r="N97" i="16" s="1" a="1"/>
  <c r="N97" i="16" s="1"/>
  <c r="B91" i="16"/>
  <c r="O97" i="16" s="1"/>
  <c r="P97" i="16" s="1"/>
  <c r="F90" i="16"/>
  <c r="M96" i="16"/>
  <c r="N96" i="16" s="1" a="1"/>
  <c r="N96" i="16" s="1"/>
  <c r="B90" i="16"/>
  <c r="O96" i="16" s="1"/>
  <c r="P96" i="16" s="1"/>
  <c r="F89" i="16"/>
  <c r="M95" i="16"/>
  <c r="N95" i="16" s="1" a="1"/>
  <c r="N95" i="16" s="1"/>
  <c r="B89" i="16"/>
  <c r="O95" i="16" s="1"/>
  <c r="P95" i="16" s="1"/>
  <c r="F88" i="16"/>
  <c r="M94" i="16"/>
  <c r="N94" i="16" s="1" a="1"/>
  <c r="N94" i="16" s="1"/>
  <c r="B88" i="16"/>
  <c r="O94" i="16" s="1"/>
  <c r="P94" i="16" s="1"/>
  <c r="F87" i="16"/>
  <c r="M93" i="16"/>
  <c r="N93" i="16" s="1" a="1"/>
  <c r="N93" i="16" s="1"/>
  <c r="B87" i="16"/>
  <c r="O93" i="16" s="1"/>
  <c r="F86" i="16"/>
  <c r="M92" i="16"/>
  <c r="N92" i="16" s="1" a="1"/>
  <c r="N92" i="16" s="1"/>
  <c r="B86" i="16"/>
  <c r="O92" i="16" s="1"/>
  <c r="P92" i="16" s="1"/>
  <c r="F85" i="16"/>
  <c r="M91" i="16"/>
  <c r="N91" i="16" s="1" a="1"/>
  <c r="N91" i="16" s="1"/>
  <c r="B85" i="16"/>
  <c r="O91" i="16" s="1"/>
  <c r="F84" i="16"/>
  <c r="M90" i="16"/>
  <c r="N90" i="16" s="1" a="1"/>
  <c r="N90" i="16" s="1"/>
  <c r="B84" i="16"/>
  <c r="O90" i="16" s="1"/>
  <c r="F83" i="16"/>
  <c r="M89" i="16"/>
  <c r="N89" i="16" s="1" a="1"/>
  <c r="N89" i="16" s="1"/>
  <c r="B83" i="16"/>
  <c r="O89" i="16" s="1"/>
  <c r="F82" i="16"/>
  <c r="M88" i="16"/>
  <c r="N88" i="16" s="1" a="1"/>
  <c r="N88" i="16" s="1"/>
  <c r="B82" i="16"/>
  <c r="O88" i="16" s="1"/>
  <c r="F81" i="16"/>
  <c r="M87" i="16"/>
  <c r="N87" i="16" s="1" a="1"/>
  <c r="N87" i="16" s="1"/>
  <c r="B81" i="16"/>
  <c r="O87" i="16" s="1"/>
  <c r="F80" i="16"/>
  <c r="M86" i="16"/>
  <c r="N86" i="16" s="1" a="1"/>
  <c r="N86" i="16" s="1"/>
  <c r="B80" i="16"/>
  <c r="O86" i="16" s="1"/>
  <c r="F79" i="16"/>
  <c r="M85" i="16"/>
  <c r="N85" i="16" s="1" a="1"/>
  <c r="N85" i="16" s="1"/>
  <c r="B79" i="16"/>
  <c r="O85" i="16" s="1"/>
  <c r="F78" i="16"/>
  <c r="M84" i="16"/>
  <c r="N84" i="16" s="1" a="1"/>
  <c r="N84" i="16" s="1"/>
  <c r="B78" i="16"/>
  <c r="O84" i="16" s="1"/>
  <c r="F77" i="16"/>
  <c r="M83" i="16"/>
  <c r="N83" i="16" s="1" a="1"/>
  <c r="N83" i="16" s="1"/>
  <c r="B77" i="16"/>
  <c r="O83" i="16" s="1"/>
  <c r="P83" i="16" s="1"/>
  <c r="F76" i="16"/>
  <c r="M82" i="16"/>
  <c r="N82" i="16" s="1" a="1"/>
  <c r="N82" i="16" s="1"/>
  <c r="B76" i="16"/>
  <c r="O82" i="16" s="1"/>
  <c r="P82" i="16" s="1"/>
  <c r="F75" i="16"/>
  <c r="M81" i="16"/>
  <c r="N81" i="16" s="1" a="1"/>
  <c r="N81" i="16" s="1"/>
  <c r="B75" i="16"/>
  <c r="O81" i="16" s="1"/>
  <c r="P81" i="16" s="1"/>
  <c r="F74" i="16"/>
  <c r="M80" i="16"/>
  <c r="N80" i="16" s="1" a="1"/>
  <c r="N80" i="16" s="1"/>
  <c r="B74" i="16"/>
  <c r="O80" i="16" s="1"/>
  <c r="P80" i="16" s="1"/>
  <c r="F73" i="16"/>
  <c r="M79" i="16"/>
  <c r="N79" i="16" s="1" a="1"/>
  <c r="N79" i="16" s="1"/>
  <c r="B73" i="16"/>
  <c r="O79" i="16" s="1"/>
  <c r="P79" i="16" s="1"/>
  <c r="F72" i="16"/>
  <c r="M78" i="16"/>
  <c r="N78" i="16" s="1" a="1"/>
  <c r="N78" i="16" s="1"/>
  <c r="B72" i="16"/>
  <c r="O78" i="16" s="1"/>
  <c r="P78" i="16" s="1"/>
  <c r="F71" i="16"/>
  <c r="M77" i="16"/>
  <c r="N77" i="16" s="1" a="1"/>
  <c r="N77" i="16" s="1"/>
  <c r="B71" i="16"/>
  <c r="O77" i="16" s="1"/>
  <c r="F70" i="16"/>
  <c r="M76" i="16"/>
  <c r="N76" i="16" s="1" a="1"/>
  <c r="N76" i="16" s="1"/>
  <c r="B70" i="16"/>
  <c r="O76" i="16" s="1"/>
  <c r="F69" i="16"/>
  <c r="M75" i="16"/>
  <c r="N75" i="16" s="1" a="1"/>
  <c r="N75" i="16" s="1"/>
  <c r="B69" i="16"/>
  <c r="O75" i="16" s="1"/>
  <c r="F68" i="16"/>
  <c r="M74" i="16"/>
  <c r="N74" i="16" s="1" a="1"/>
  <c r="N74" i="16" s="1"/>
  <c r="B68" i="16"/>
  <c r="O74" i="16" s="1"/>
  <c r="F67" i="16"/>
  <c r="M73" i="16"/>
  <c r="N73" i="16" s="1" a="1"/>
  <c r="N73" i="16" s="1"/>
  <c r="B67" i="16"/>
  <c r="O73" i="16" s="1"/>
  <c r="F66" i="16"/>
  <c r="M72" i="16"/>
  <c r="N72" i="16" s="1" a="1"/>
  <c r="N72" i="16" s="1"/>
  <c r="B66" i="16"/>
  <c r="O72" i="16" s="1"/>
  <c r="F65" i="16"/>
  <c r="M71" i="16"/>
  <c r="N71" i="16" s="1" a="1"/>
  <c r="N71" i="16" s="1"/>
  <c r="B65" i="16"/>
  <c r="O71" i="16" s="1"/>
  <c r="F64" i="16"/>
  <c r="M70" i="16"/>
  <c r="N70" i="16" s="1" a="1"/>
  <c r="N70" i="16" s="1"/>
  <c r="B64" i="16"/>
  <c r="O70" i="16" s="1"/>
  <c r="F63" i="16"/>
  <c r="M69" i="16"/>
  <c r="N69" i="16" s="1" a="1"/>
  <c r="N69" i="16" s="1"/>
  <c r="B63" i="16"/>
  <c r="O69" i="16" s="1"/>
  <c r="F62" i="16"/>
  <c r="M68" i="16"/>
  <c r="N68" i="16" s="1" a="1"/>
  <c r="N68" i="16" s="1"/>
  <c r="B62" i="16"/>
  <c r="O68" i="16" s="1"/>
  <c r="P68" i="16" s="1"/>
  <c r="F61" i="16"/>
  <c r="M67" i="16"/>
  <c r="N67" i="16" s="1" a="1"/>
  <c r="N67" i="16" s="1"/>
  <c r="B61" i="16"/>
  <c r="O67" i="16" s="1"/>
  <c r="P67" i="16" s="1"/>
  <c r="F60" i="16"/>
  <c r="M66" i="16"/>
  <c r="N66" i="16" s="1" a="1"/>
  <c r="N66" i="16" s="1"/>
  <c r="B60" i="16"/>
  <c r="O66" i="16" s="1"/>
  <c r="F59" i="16"/>
  <c r="M65" i="16"/>
  <c r="N65" i="16" s="1" a="1"/>
  <c r="N65" i="16" s="1"/>
  <c r="B59" i="16"/>
  <c r="O65" i="16" s="1"/>
  <c r="F58" i="16"/>
  <c r="M64" i="16"/>
  <c r="N64" i="16" s="1" a="1"/>
  <c r="N64" i="16" s="1"/>
  <c r="B58" i="16"/>
  <c r="O64" i="16" s="1"/>
  <c r="F57" i="16"/>
  <c r="M63" i="16"/>
  <c r="N63" i="16" s="1" a="1"/>
  <c r="N63" i="16" s="1"/>
  <c r="B57" i="16"/>
  <c r="O63" i="16" s="1"/>
  <c r="F56" i="16"/>
  <c r="M62" i="16"/>
  <c r="N62" i="16" s="1" a="1"/>
  <c r="N62" i="16" s="1"/>
  <c r="B56" i="16"/>
  <c r="O62" i="16" s="1"/>
  <c r="F55" i="16"/>
  <c r="M61" i="16"/>
  <c r="N61" i="16" s="1" a="1"/>
  <c r="N61" i="16" s="1"/>
  <c r="B55" i="16"/>
  <c r="O61" i="16" s="1"/>
  <c r="F54" i="16"/>
  <c r="M60" i="16"/>
  <c r="N60" i="16" s="1" a="1"/>
  <c r="N60" i="16" s="1"/>
  <c r="B54" i="16"/>
  <c r="O60" i="16" s="1"/>
  <c r="F53" i="16"/>
  <c r="M59" i="16"/>
  <c r="N59" i="16" s="1" a="1"/>
  <c r="N59" i="16" s="1"/>
  <c r="B53" i="16"/>
  <c r="O59" i="16" s="1"/>
  <c r="F52" i="16"/>
  <c r="M58" i="16"/>
  <c r="N58" i="16" s="1" a="1"/>
  <c r="N58" i="16" s="1"/>
  <c r="B52" i="16"/>
  <c r="O58" i="16" s="1"/>
  <c r="F51" i="16"/>
  <c r="M57" i="16"/>
  <c r="N57" i="16" s="1" a="1"/>
  <c r="N57" i="16" s="1"/>
  <c r="B51" i="16"/>
  <c r="O57" i="16" s="1"/>
  <c r="F50" i="16"/>
  <c r="M56" i="16"/>
  <c r="N56" i="16" s="1" a="1"/>
  <c r="N56" i="16" s="1"/>
  <c r="B50" i="16"/>
  <c r="O56" i="16" s="1"/>
  <c r="F49" i="16"/>
  <c r="M55" i="16"/>
  <c r="N55" i="16" s="1" a="1"/>
  <c r="N55" i="16" s="1"/>
  <c r="B49" i="16"/>
  <c r="O55" i="16" s="1"/>
  <c r="F48" i="16"/>
  <c r="M54" i="16"/>
  <c r="N54" i="16" s="1" a="1"/>
  <c r="N54" i="16" s="1"/>
  <c r="B48" i="16"/>
  <c r="O54" i="16" s="1"/>
  <c r="F47" i="16"/>
  <c r="M53" i="16"/>
  <c r="N53" i="16" s="1" a="1"/>
  <c r="N53" i="16" s="1"/>
  <c r="B47" i="16"/>
  <c r="O53" i="16" s="1"/>
  <c r="P53" i="16" s="1"/>
  <c r="F46" i="16"/>
  <c r="M52" i="16"/>
  <c r="N52" i="16" s="1" a="1"/>
  <c r="N52" i="16" s="1"/>
  <c r="B46" i="16"/>
  <c r="O52" i="16" s="1"/>
  <c r="P52" i="16" s="1"/>
  <c r="F45" i="16"/>
  <c r="M51" i="16"/>
  <c r="N51" i="16" s="1" a="1"/>
  <c r="N51" i="16" s="1"/>
  <c r="B45" i="16"/>
  <c r="O51" i="16" s="1"/>
  <c r="P51" i="16" s="1"/>
  <c r="F44" i="16"/>
  <c r="M50" i="16"/>
  <c r="N50" i="16" s="1" a="1"/>
  <c r="N50" i="16" s="1"/>
  <c r="B44" i="16"/>
  <c r="O50" i="16" s="1"/>
  <c r="P50" i="16" s="1"/>
  <c r="F43" i="16"/>
  <c r="M49" i="16"/>
  <c r="N49" i="16" s="1" a="1"/>
  <c r="N49" i="16" s="1"/>
  <c r="B43" i="16"/>
  <c r="O49" i="16" s="1"/>
  <c r="F42" i="16"/>
  <c r="M48" i="16"/>
  <c r="N48" i="16" s="1" a="1"/>
  <c r="N48" i="16" s="1"/>
  <c r="B42" i="16"/>
  <c r="O48" i="16" s="1"/>
  <c r="F41" i="16"/>
  <c r="M47" i="16"/>
  <c r="N47" i="16" s="1" a="1"/>
  <c r="N47" i="16" s="1"/>
  <c r="B41" i="16"/>
  <c r="O47" i="16" s="1"/>
  <c r="F40" i="16"/>
  <c r="M46" i="16"/>
  <c r="N46" i="16" s="1" a="1"/>
  <c r="N46" i="16" s="1"/>
  <c r="B40" i="16"/>
  <c r="O46" i="16" s="1"/>
  <c r="F39" i="16"/>
  <c r="M45" i="16"/>
  <c r="N45" i="16" s="1" a="1"/>
  <c r="N45" i="16" s="1"/>
  <c r="B39" i="16"/>
  <c r="O45" i="16" s="1"/>
  <c r="F38" i="16"/>
  <c r="M44" i="16"/>
  <c r="N44" i="16" s="1" a="1"/>
  <c r="N44" i="16" s="1"/>
  <c r="B38" i="16"/>
  <c r="O44" i="16" s="1"/>
  <c r="F37" i="16"/>
  <c r="M43" i="16"/>
  <c r="N43" i="16" s="1" a="1"/>
  <c r="N43" i="16" s="1"/>
  <c r="B37" i="16"/>
  <c r="O43" i="16" s="1"/>
  <c r="F36" i="16"/>
  <c r="M42" i="16"/>
  <c r="N42" i="16" s="1" a="1"/>
  <c r="N42" i="16" s="1"/>
  <c r="B36" i="16"/>
  <c r="O42" i="16" s="1"/>
  <c r="F35" i="16"/>
  <c r="M41" i="16"/>
  <c r="N41" i="16" s="1" a="1"/>
  <c r="N41" i="16" s="1"/>
  <c r="B35" i="16"/>
  <c r="O41" i="16" s="1"/>
  <c r="F34" i="16"/>
  <c r="M40" i="16"/>
  <c r="N40" i="16" s="1" a="1"/>
  <c r="N40" i="16" s="1"/>
  <c r="B34" i="16"/>
  <c r="O40" i="16" s="1"/>
  <c r="F33" i="16"/>
  <c r="M39" i="16"/>
  <c r="N39" i="16" s="1" a="1"/>
  <c r="N39" i="16" s="1"/>
  <c r="B33" i="16"/>
  <c r="O39" i="16" s="1"/>
  <c r="F32" i="16"/>
  <c r="M38" i="16"/>
  <c r="N38" i="16" s="1" a="1"/>
  <c r="N38" i="16" s="1"/>
  <c r="B32" i="16"/>
  <c r="O38" i="16" s="1"/>
  <c r="P38" i="16" s="1"/>
  <c r="F31" i="16"/>
  <c r="M37" i="16"/>
  <c r="N37" i="16" s="1" a="1"/>
  <c r="N37" i="16" s="1"/>
  <c r="B31" i="16"/>
  <c r="O37" i="16" s="1"/>
  <c r="P37" i="16" s="1"/>
  <c r="F30" i="16"/>
  <c r="M36" i="16"/>
  <c r="N36" i="16" s="1" a="1"/>
  <c r="N36" i="16" s="1"/>
  <c r="B30" i="16"/>
  <c r="O36" i="16" s="1"/>
  <c r="P36" i="16" s="1"/>
  <c r="F29" i="16"/>
  <c r="M35" i="16"/>
  <c r="N35" i="16" s="1" a="1"/>
  <c r="N35" i="16" s="1"/>
  <c r="B29" i="16"/>
  <c r="O35" i="16" s="1"/>
  <c r="P35" i="16" s="1"/>
  <c r="F28" i="16"/>
  <c r="M34" i="16"/>
  <c r="N34" i="16" s="1" a="1"/>
  <c r="N34" i="16" s="1"/>
  <c r="B28" i="16"/>
  <c r="O34" i="16" s="1"/>
  <c r="F27" i="16"/>
  <c r="M33" i="16"/>
  <c r="N33" i="16" s="1" a="1"/>
  <c r="N33" i="16" s="1"/>
  <c r="B27" i="16"/>
  <c r="O33" i="16" s="1"/>
  <c r="P33" i="16" s="1"/>
  <c r="F26" i="16"/>
  <c r="M32" i="16"/>
  <c r="N32" i="16" s="1" a="1"/>
  <c r="N32" i="16" s="1"/>
  <c r="B26" i="16"/>
  <c r="O32" i="16" s="1"/>
  <c r="P32" i="16" s="1"/>
  <c r="F25" i="16"/>
  <c r="M31" i="16"/>
  <c r="N31" i="16" s="1" a="1"/>
  <c r="N31" i="16" s="1"/>
  <c r="B25" i="16"/>
  <c r="O31" i="16" s="1"/>
  <c r="F24" i="16"/>
  <c r="M30" i="16"/>
  <c r="N30" i="16" s="1" a="1"/>
  <c r="N30" i="16" s="1"/>
  <c r="B24" i="16"/>
  <c r="O30" i="16" s="1"/>
  <c r="F23" i="16"/>
  <c r="M29" i="16"/>
  <c r="N29" i="16" s="1" a="1"/>
  <c r="N29" i="16" s="1"/>
  <c r="B23" i="16"/>
  <c r="O29" i="16" s="1"/>
  <c r="P29" i="16" s="1"/>
  <c r="F22" i="16"/>
  <c r="M28" i="16"/>
  <c r="N28" i="16" s="1" a="1"/>
  <c r="N28" i="16" s="1"/>
  <c r="B22" i="16"/>
  <c r="O28" i="16" s="1"/>
  <c r="P28" i="16" s="1"/>
  <c r="F21" i="16"/>
  <c r="M27" i="16"/>
  <c r="N27" i="16" s="1" a="1"/>
  <c r="N27" i="16" s="1"/>
  <c r="B21" i="16"/>
  <c r="O27" i="16" s="1"/>
  <c r="F20" i="16"/>
  <c r="M26" i="16"/>
  <c r="N26" i="16" s="1" a="1"/>
  <c r="N26" i="16" s="1"/>
  <c r="B20" i="16"/>
  <c r="O26" i="16" s="1"/>
  <c r="F19" i="16"/>
  <c r="M25" i="16"/>
  <c r="N25" i="16" s="1" a="1"/>
  <c r="N25" i="16" s="1"/>
  <c r="B19" i="16"/>
  <c r="O25" i="16" s="1"/>
  <c r="P25" i="16" s="1"/>
  <c r="F18" i="16"/>
  <c r="M24" i="16"/>
  <c r="N24" i="16" s="1" a="1"/>
  <c r="N24" i="16" s="1"/>
  <c r="B18" i="16"/>
  <c r="O24" i="16" s="1"/>
  <c r="P24" i="16" s="1"/>
  <c r="F17" i="16"/>
  <c r="M23" i="16"/>
  <c r="N23" i="16" s="1" a="1"/>
  <c r="N23" i="16" s="1"/>
  <c r="B17" i="16"/>
  <c r="O23" i="16" s="1"/>
  <c r="P23" i="16" s="1"/>
  <c r="F16" i="16"/>
  <c r="M22" i="16"/>
  <c r="N22" i="16" s="1" a="1"/>
  <c r="N22" i="16" s="1"/>
  <c r="B16" i="16"/>
  <c r="O22" i="16" s="1"/>
  <c r="P22" i="16" s="1"/>
  <c r="F15" i="16"/>
  <c r="M21" i="16"/>
  <c r="N21" i="16" s="1" a="1"/>
  <c r="N21" i="16" s="1"/>
  <c r="B15" i="16"/>
  <c r="O21" i="16" s="1"/>
  <c r="P21" i="16" s="1"/>
  <c r="F14" i="16"/>
  <c r="M20" i="16"/>
  <c r="N20" i="16" s="1" a="1"/>
  <c r="N20" i="16" s="1"/>
  <c r="B14" i="16"/>
  <c r="O20" i="16" s="1"/>
  <c r="P20" i="16" s="1"/>
  <c r="F13" i="16"/>
  <c r="M19" i="16"/>
  <c r="N19" i="16" s="1" a="1"/>
  <c r="N19" i="16" s="1"/>
  <c r="B13" i="16"/>
  <c r="O19" i="16" s="1"/>
  <c r="P19" i="16" s="1"/>
  <c r="F12" i="16"/>
  <c r="M18" i="16"/>
  <c r="N18" i="16" s="1" a="1"/>
  <c r="N18" i="16" s="1"/>
  <c r="B12" i="16"/>
  <c r="O18" i="16" s="1"/>
  <c r="P18" i="16" s="1"/>
  <c r="F11" i="16"/>
  <c r="M17" i="16"/>
  <c r="N17" i="16" s="1" a="1"/>
  <c r="N17" i="16" s="1"/>
  <c r="B11" i="16"/>
  <c r="O17" i="16" s="1"/>
  <c r="P17" i="16" s="1"/>
  <c r="F10" i="16"/>
  <c r="M16" i="16"/>
  <c r="N16" i="16" s="1" a="1"/>
  <c r="N16" i="16" s="1"/>
  <c r="B10" i="16"/>
  <c r="O16" i="16" s="1"/>
  <c r="P16" i="16" s="1"/>
  <c r="F9" i="16"/>
  <c r="M15" i="16"/>
  <c r="N15" i="16" s="1" a="1"/>
  <c r="N15" i="16" s="1"/>
  <c r="B9" i="16"/>
  <c r="O15" i="16" s="1"/>
  <c r="F8" i="16"/>
  <c r="M14" i="16"/>
  <c r="N14" i="16" s="1" a="1"/>
  <c r="N14" i="16" s="1"/>
  <c r="B8" i="16"/>
  <c r="O14" i="16" s="1"/>
  <c r="F7" i="16"/>
  <c r="M13" i="16"/>
  <c r="N13" i="16" s="1" a="1"/>
  <c r="N13" i="16" s="1"/>
  <c r="B7" i="16"/>
  <c r="O13" i="16" s="1"/>
  <c r="P13" i="16" s="1"/>
  <c r="F6" i="16"/>
  <c r="M12" i="16"/>
  <c r="N12" i="16" s="1" a="1"/>
  <c r="N12" i="16" s="1"/>
  <c r="B6" i="16"/>
  <c r="O12" i="16" s="1"/>
  <c r="P12" i="16" s="1"/>
  <c r="F5" i="16"/>
  <c r="M11" i="16"/>
  <c r="N11" i="16" s="1" a="1"/>
  <c r="N11" i="16" s="1"/>
  <c r="B5" i="16"/>
  <c r="O11" i="16" s="1"/>
  <c r="F4" i="16"/>
  <c r="M10" i="16"/>
  <c r="N10" i="16" s="1" a="1"/>
  <c r="N10" i="16" s="1"/>
  <c r="B4" i="16"/>
  <c r="O10" i="16" s="1"/>
  <c r="F3" i="16"/>
  <c r="M9" i="16"/>
  <c r="N9" i="16" s="1" a="1"/>
  <c r="N9" i="16" s="1"/>
  <c r="B3" i="16"/>
  <c r="O9" i="16" s="1"/>
  <c r="P9" i="16" s="1"/>
  <c r="M33" i="8" l="1"/>
  <c r="N33" i="8" s="1" a="1"/>
  <c r="N33" i="8" s="1"/>
  <c r="M15" i="8"/>
  <c r="N15" i="8" s="1" a="1"/>
  <c r="N15" i="8" s="1"/>
  <c r="P12" i="15"/>
  <c r="Q12" i="15" s="1"/>
  <c r="R12" i="15" s="1"/>
  <c r="P99" i="15"/>
  <c r="Q99" i="15" s="1"/>
  <c r="R99" i="15" s="1"/>
  <c r="P103" i="15"/>
  <c r="Q103" i="15" s="1"/>
  <c r="R103" i="15" s="1"/>
  <c r="P107" i="15"/>
  <c r="Q107" i="15" s="1"/>
  <c r="R107" i="15" s="1"/>
  <c r="P115" i="15"/>
  <c r="Q115" i="15" s="1"/>
  <c r="R115" i="15" s="1"/>
  <c r="P16" i="15"/>
  <c r="Q16" i="15" s="1"/>
  <c r="R16" i="15" s="1"/>
  <c r="P24" i="15"/>
  <c r="Q24" i="15" s="1"/>
  <c r="R24" i="15" s="1"/>
  <c r="P28" i="15"/>
  <c r="Q28" i="15" s="1"/>
  <c r="R28" i="15" s="1"/>
  <c r="P40" i="15"/>
  <c r="Q40" i="15" s="1"/>
  <c r="R40" i="15" s="1"/>
  <c r="P44" i="15"/>
  <c r="Q44" i="15" s="1"/>
  <c r="R44" i="15" s="1"/>
  <c r="P56" i="15"/>
  <c r="Q56" i="15" s="1"/>
  <c r="R56" i="15" s="1"/>
  <c r="P119" i="15"/>
  <c r="Q119" i="15" s="1"/>
  <c r="R119" i="15" s="1"/>
  <c r="P9" i="15"/>
  <c r="Q9" i="15" s="1"/>
  <c r="R9" i="15" s="1"/>
  <c r="P10" i="15"/>
  <c r="Q10" i="15" s="1"/>
  <c r="R10" i="15" s="1"/>
  <c r="P14" i="15"/>
  <c r="Q14" i="15" s="1"/>
  <c r="R14" i="15" s="1"/>
  <c r="P26" i="15"/>
  <c r="Q26" i="15" s="1"/>
  <c r="R26" i="15" s="1"/>
  <c r="P30" i="15"/>
  <c r="Q30" i="15" s="1"/>
  <c r="R30" i="15" s="1"/>
  <c r="P78" i="15"/>
  <c r="Q78" i="15" s="1"/>
  <c r="R78" i="15" s="1"/>
  <c r="P121" i="15"/>
  <c r="Q121" i="15" s="1"/>
  <c r="R121" i="15" s="1"/>
  <c r="P86" i="15"/>
  <c r="Q86" i="15" s="1"/>
  <c r="R86" i="15" s="1"/>
  <c r="P90" i="15"/>
  <c r="Q90" i="15" s="1"/>
  <c r="R90" i="15" s="1"/>
  <c r="P116" i="14"/>
  <c r="Q116" i="14" s="1"/>
  <c r="R116" i="14" s="1"/>
  <c r="P17" i="14"/>
  <c r="Q17" i="14" s="1"/>
  <c r="R17" i="14" s="1"/>
  <c r="P104" i="14"/>
  <c r="Q104" i="14" s="1"/>
  <c r="R104" i="14" s="1"/>
  <c r="P108" i="14"/>
  <c r="Q108" i="14" s="1"/>
  <c r="R108" i="14" s="1"/>
  <c r="P25" i="14"/>
  <c r="Q25" i="14" s="1"/>
  <c r="R25" i="14" s="1"/>
  <c r="P29" i="14"/>
  <c r="Q29" i="14" s="1"/>
  <c r="R29" i="14" s="1"/>
  <c r="P41" i="14"/>
  <c r="Q41" i="14" s="1"/>
  <c r="R41" i="14" s="1"/>
  <c r="P45" i="14"/>
  <c r="Q45" i="14" s="1"/>
  <c r="R45" i="14" s="1"/>
  <c r="P57" i="14"/>
  <c r="Q57" i="14" s="1"/>
  <c r="R57" i="14" s="1"/>
  <c r="P61" i="14"/>
  <c r="Q61" i="14" s="1"/>
  <c r="R61" i="14" s="1"/>
  <c r="P69" i="14"/>
  <c r="Q69" i="14" s="1"/>
  <c r="R69" i="14" s="1"/>
  <c r="P73" i="14"/>
  <c r="Q73" i="14" s="1"/>
  <c r="R73" i="14" s="1"/>
  <c r="P77" i="14"/>
  <c r="Q77" i="14" s="1"/>
  <c r="R77" i="14" s="1"/>
  <c r="P120" i="14"/>
  <c r="Q120" i="14" s="1"/>
  <c r="R120" i="14" s="1"/>
  <c r="P87" i="14"/>
  <c r="Q87" i="14" s="1"/>
  <c r="R87" i="14" s="1"/>
  <c r="P91" i="14"/>
  <c r="Q91" i="14" s="1"/>
  <c r="R91" i="14" s="1"/>
  <c r="P99" i="14"/>
  <c r="Q99" i="14" s="1"/>
  <c r="R99" i="14" s="1"/>
  <c r="P12" i="14"/>
  <c r="Q12" i="14" s="1"/>
  <c r="R12" i="14" s="1"/>
  <c r="P16" i="14"/>
  <c r="Q16" i="14" s="1"/>
  <c r="R16" i="14" s="1"/>
  <c r="P13" i="14"/>
  <c r="Q13" i="14" s="1"/>
  <c r="R13" i="14" s="1"/>
  <c r="P103" i="14"/>
  <c r="Q103" i="14" s="1"/>
  <c r="R103" i="14" s="1"/>
  <c r="P107" i="14"/>
  <c r="Q107" i="14" s="1"/>
  <c r="R107" i="14" s="1"/>
  <c r="P115" i="14"/>
  <c r="Q115" i="14" s="1"/>
  <c r="R115" i="14" s="1"/>
  <c r="P25" i="15"/>
  <c r="Q25" i="15" s="1"/>
  <c r="R25" i="15" s="1"/>
  <c r="P29" i="15"/>
  <c r="Q29" i="15" s="1"/>
  <c r="R29" i="15" s="1"/>
  <c r="P60" i="15"/>
  <c r="Q60" i="15" s="1"/>
  <c r="R60" i="15" s="1"/>
  <c r="P72" i="15"/>
  <c r="Q72" i="15" s="1"/>
  <c r="R72" i="15" s="1"/>
  <c r="P73" i="15"/>
  <c r="Q73" i="15" s="1"/>
  <c r="R73" i="15" s="1"/>
  <c r="P77" i="15"/>
  <c r="Q77" i="15" s="1"/>
  <c r="R77" i="15" s="1"/>
  <c r="P92" i="15"/>
  <c r="Q92" i="15" s="1"/>
  <c r="R92" i="15" s="1"/>
  <c r="P100" i="15"/>
  <c r="Q100" i="15" s="1"/>
  <c r="R100" i="15" s="1"/>
  <c r="P104" i="15"/>
  <c r="Q104" i="15" s="1"/>
  <c r="R104" i="15" s="1"/>
  <c r="P116" i="15"/>
  <c r="Q116" i="15" s="1"/>
  <c r="R116" i="15" s="1"/>
  <c r="P11" i="15"/>
  <c r="Q11" i="15" s="1"/>
  <c r="R11" i="15" s="1"/>
  <c r="P15" i="15"/>
  <c r="Q15" i="15" s="1"/>
  <c r="R15" i="15" s="1"/>
  <c r="P42" i="15"/>
  <c r="Q42" i="15" s="1"/>
  <c r="R42" i="15" s="1"/>
  <c r="P54" i="15"/>
  <c r="Q54" i="15" s="1"/>
  <c r="R54" i="15" s="1"/>
  <c r="P27" i="15"/>
  <c r="Q27" i="15" s="1"/>
  <c r="R27" i="15" s="1"/>
  <c r="P31" i="15"/>
  <c r="Q31" i="15" s="1"/>
  <c r="R31" i="15" s="1"/>
  <c r="P58" i="15"/>
  <c r="Q58" i="15" s="1"/>
  <c r="R58" i="15" s="1"/>
  <c r="P70" i="15"/>
  <c r="Q70" i="15" s="1"/>
  <c r="R70" i="15" s="1"/>
  <c r="P74" i="15"/>
  <c r="Q74" i="15" s="1"/>
  <c r="R74" i="15" s="1"/>
  <c r="P39" i="15"/>
  <c r="Q39" i="15" s="1"/>
  <c r="R39" i="15" s="1"/>
  <c r="P101" i="15"/>
  <c r="Q101" i="15" s="1"/>
  <c r="R101" i="15" s="1"/>
  <c r="P105" i="15"/>
  <c r="Q105" i="15" s="1"/>
  <c r="R105" i="15" s="1"/>
  <c r="P117" i="15"/>
  <c r="Q117" i="15" s="1"/>
  <c r="R117" i="15" s="1"/>
  <c r="P10" i="13"/>
  <c r="P14" i="13"/>
  <c r="P18" i="13"/>
  <c r="P26" i="13"/>
  <c r="P30" i="13"/>
  <c r="P42" i="13"/>
  <c r="P46" i="13"/>
  <c r="P101" i="12"/>
  <c r="P40" i="12"/>
  <c r="P32" i="12"/>
  <c r="P99" i="12"/>
  <c r="P44" i="12"/>
  <c r="P103" i="12"/>
  <c r="P107" i="12"/>
  <c r="P41" i="16"/>
  <c r="P45" i="16"/>
  <c r="P49" i="16"/>
  <c r="P57" i="16"/>
  <c r="P61" i="16"/>
  <c r="P65" i="16"/>
  <c r="P69" i="16"/>
  <c r="P73" i="16"/>
  <c r="P77" i="16"/>
  <c r="P85" i="16"/>
  <c r="P89" i="16"/>
  <c r="P93" i="16"/>
  <c r="P99" i="16"/>
  <c r="P93" i="13"/>
  <c r="P47" i="13"/>
  <c r="P12" i="13"/>
  <c r="P27" i="13"/>
  <c r="P31" i="13"/>
  <c r="P54" i="13"/>
  <c r="P58" i="13"/>
  <c r="P62" i="13"/>
  <c r="P73" i="13"/>
  <c r="P77" i="13"/>
  <c r="P85" i="13"/>
  <c r="P89" i="13"/>
  <c r="P16" i="13"/>
  <c r="P39" i="13"/>
  <c r="P43" i="13"/>
  <c r="P101" i="13"/>
  <c r="P42" i="12"/>
  <c r="P46" i="12"/>
  <c r="P105" i="12"/>
  <c r="P109" i="12"/>
  <c r="P11" i="12"/>
  <c r="P15" i="12"/>
  <c r="P27" i="12"/>
  <c r="P31" i="12"/>
  <c r="P50" i="12"/>
  <c r="P54" i="12"/>
  <c r="P58" i="12"/>
  <c r="P62" i="12"/>
  <c r="P70" i="12"/>
  <c r="P74" i="12"/>
  <c r="P78" i="12"/>
  <c r="P86" i="12"/>
  <c r="P90" i="12"/>
  <c r="P10" i="16"/>
  <c r="P14" i="16"/>
  <c r="P26" i="16"/>
  <c r="P30" i="16"/>
  <c r="P27" i="16"/>
  <c r="P34" i="16"/>
  <c r="P42" i="16"/>
  <c r="P46" i="16"/>
  <c r="P54" i="16"/>
  <c r="P58" i="16"/>
  <c r="P62" i="16"/>
  <c r="P66" i="16"/>
  <c r="P70" i="16"/>
  <c r="P74" i="16"/>
  <c r="P86" i="16"/>
  <c r="P90" i="16"/>
  <c r="P102" i="16"/>
  <c r="P106" i="16"/>
  <c r="P11" i="16"/>
  <c r="P15" i="16"/>
  <c r="P31" i="16"/>
  <c r="P39" i="16"/>
  <c r="P43" i="16"/>
  <c r="P47" i="16"/>
  <c r="P55" i="16"/>
  <c r="P59" i="16"/>
  <c r="P63" i="16"/>
  <c r="P71" i="16"/>
  <c r="P75" i="16"/>
  <c r="P87" i="16"/>
  <c r="P91" i="16"/>
  <c r="P103" i="16"/>
  <c r="P107" i="16"/>
  <c r="P40" i="16"/>
  <c r="P44" i="16"/>
  <c r="P48" i="16"/>
  <c r="P56" i="16"/>
  <c r="P60" i="16"/>
  <c r="P64" i="16"/>
  <c r="P72" i="16"/>
  <c r="P76" i="16"/>
  <c r="P84" i="16"/>
  <c r="P88" i="16"/>
  <c r="P100" i="16"/>
  <c r="O13" i="3"/>
  <c r="O128" i="11"/>
  <c r="O127" i="11"/>
  <c r="O126" i="11"/>
  <c r="O125" i="11"/>
  <c r="O124" i="11"/>
  <c r="O113" i="11"/>
  <c r="O112" i="11"/>
  <c r="O111" i="11"/>
  <c r="O110" i="11"/>
  <c r="O109" i="11"/>
  <c r="B99" i="11" l="1"/>
  <c r="O105" i="11" s="1"/>
  <c r="B100" i="11"/>
  <c r="O106" i="11" s="1"/>
  <c r="B101" i="11"/>
  <c r="O107" i="11" s="1"/>
  <c r="B102" i="11"/>
  <c r="O108" i="11" s="1"/>
  <c r="B108" i="11"/>
  <c r="O114" i="11" s="1"/>
  <c r="B109" i="11"/>
  <c r="O115" i="11" s="1"/>
  <c r="B110" i="11"/>
  <c r="O116" i="11" s="1"/>
  <c r="B111" i="11"/>
  <c r="O117" i="11" s="1"/>
  <c r="P117" i="11" s="1"/>
  <c r="Q117" i="11" s="1"/>
  <c r="R117" i="11" s="1"/>
  <c r="B112" i="11"/>
  <c r="O118" i="11" s="1"/>
  <c r="P118" i="11" s="1"/>
  <c r="Q118" i="11" s="1"/>
  <c r="R118" i="11" s="1"/>
  <c r="B113" i="11"/>
  <c r="O119" i="11" s="1"/>
  <c r="P119" i="11" s="1"/>
  <c r="Q119" i="11" s="1"/>
  <c r="R119" i="11" s="1"/>
  <c r="B114" i="11"/>
  <c r="O120" i="11" s="1"/>
  <c r="P120" i="11" s="1"/>
  <c r="Q120" i="11" s="1"/>
  <c r="R120" i="11" s="1"/>
  <c r="B115" i="11"/>
  <c r="O121" i="11" s="1"/>
  <c r="B116" i="11"/>
  <c r="O122" i="11" s="1"/>
  <c r="B117" i="11"/>
  <c r="O123" i="11" s="1"/>
  <c r="M105" i="11"/>
  <c r="N105" i="11" s="1" a="1"/>
  <c r="N105" i="11" s="1"/>
  <c r="M106" i="11"/>
  <c r="N106" i="11" s="1" a="1"/>
  <c r="N106" i="11" s="1"/>
  <c r="M107" i="11"/>
  <c r="N107" i="11" s="1" a="1"/>
  <c r="N107" i="11" s="1"/>
  <c r="M108" i="11"/>
  <c r="N108" i="11" s="1" a="1"/>
  <c r="N108" i="11" s="1"/>
  <c r="M109" i="11"/>
  <c r="N109" i="11" s="1" a="1"/>
  <c r="N109" i="11" s="1"/>
  <c r="M110" i="11"/>
  <c r="N110" i="11" s="1" a="1"/>
  <c r="N110" i="11" s="1"/>
  <c r="M111" i="11"/>
  <c r="N111" i="11" s="1" a="1"/>
  <c r="N111" i="11" s="1"/>
  <c r="M112" i="11"/>
  <c r="N112" i="11" s="1" a="1"/>
  <c r="N112" i="11" s="1"/>
  <c r="M113" i="11"/>
  <c r="N113" i="11" s="1" a="1"/>
  <c r="N113" i="11" s="1"/>
  <c r="M114" i="11"/>
  <c r="N114" i="11" s="1" a="1"/>
  <c r="N114" i="11" s="1"/>
  <c r="M115" i="11"/>
  <c r="N115" i="11" s="1" a="1"/>
  <c r="N115" i="11" s="1"/>
  <c r="M116" i="11"/>
  <c r="N116" i="11" s="1" a="1"/>
  <c r="N116" i="11" s="1"/>
  <c r="M117" i="11"/>
  <c r="N117" i="11" s="1" a="1"/>
  <c r="N117" i="11" s="1"/>
  <c r="M118" i="11"/>
  <c r="N118" i="11" s="1" a="1"/>
  <c r="N118" i="11" s="1"/>
  <c r="M119" i="11"/>
  <c r="N119" i="11" s="1" a="1"/>
  <c r="N119" i="11" s="1"/>
  <c r="M120" i="11"/>
  <c r="N120" i="11" s="1" a="1"/>
  <c r="N120" i="11" s="1"/>
  <c r="M121" i="11"/>
  <c r="N121" i="11" s="1" a="1"/>
  <c r="N121" i="11" s="1"/>
  <c r="M122" i="11"/>
  <c r="N122" i="11" s="1" a="1"/>
  <c r="N122" i="11" s="1"/>
  <c r="M123" i="11"/>
  <c r="N123" i="11" s="1" a="1"/>
  <c r="N123" i="11" s="1"/>
  <c r="M124" i="11"/>
  <c r="N124" i="11" s="1" a="1"/>
  <c r="N124" i="11" s="1"/>
  <c r="M125" i="11"/>
  <c r="N125" i="11" s="1" a="1"/>
  <c r="N125" i="11" s="1"/>
  <c r="M126" i="11"/>
  <c r="N126" i="11" s="1" a="1"/>
  <c r="N126" i="11" s="1"/>
  <c r="M127" i="11"/>
  <c r="N127" i="11" s="1" a="1"/>
  <c r="N127" i="11" s="1"/>
  <c r="M128" i="11"/>
  <c r="N128" i="11" s="1" a="1"/>
  <c r="N128" i="11" s="1"/>
  <c r="F99" i="11"/>
  <c r="F100" i="11"/>
  <c r="F101" i="11"/>
  <c r="F102" i="11"/>
  <c r="F103" i="11"/>
  <c r="P109" i="11" s="1"/>
  <c r="Q109" i="11" s="1"/>
  <c r="R109" i="11" s="1"/>
  <c r="F104" i="11"/>
  <c r="P110" i="11" s="1"/>
  <c r="Q110" i="11" s="1"/>
  <c r="R110" i="11" s="1"/>
  <c r="F105" i="11"/>
  <c r="P111" i="11" s="1"/>
  <c r="Q111" i="11" s="1"/>
  <c r="R111" i="11" s="1"/>
  <c r="F106" i="11"/>
  <c r="P112" i="11" s="1"/>
  <c r="Q112" i="11" s="1"/>
  <c r="R112" i="11" s="1"/>
  <c r="F107" i="11"/>
  <c r="P113" i="11" s="1"/>
  <c r="Q113" i="11" s="1"/>
  <c r="R113" i="11" s="1"/>
  <c r="F108" i="11"/>
  <c r="F109" i="11"/>
  <c r="F110" i="11"/>
  <c r="F111" i="11"/>
  <c r="F112" i="11"/>
  <c r="F113" i="11"/>
  <c r="F114" i="11"/>
  <c r="F115" i="11"/>
  <c r="F116" i="11"/>
  <c r="F117" i="11"/>
  <c r="F118" i="11"/>
  <c r="P124" i="11" s="1"/>
  <c r="Q124" i="11" s="1"/>
  <c r="R124" i="11" s="1"/>
  <c r="F119" i="11"/>
  <c r="P125" i="11" s="1"/>
  <c r="Q125" i="11" s="1"/>
  <c r="R125" i="11" s="1"/>
  <c r="F120" i="11"/>
  <c r="P126" i="11" s="1"/>
  <c r="Q126" i="11" s="1"/>
  <c r="R126" i="11" s="1"/>
  <c r="F121" i="11"/>
  <c r="P127" i="11" s="1"/>
  <c r="Q127" i="11" s="1"/>
  <c r="R127" i="11" s="1"/>
  <c r="F122" i="11"/>
  <c r="P128" i="11" s="1"/>
  <c r="Q128" i="11" s="1"/>
  <c r="R128" i="11" s="1"/>
  <c r="P123" i="11" l="1"/>
  <c r="Q123" i="11" s="1"/>
  <c r="R123" i="11" s="1"/>
  <c r="P106" i="11"/>
  <c r="Q106" i="11" s="1"/>
  <c r="R106" i="11" s="1"/>
  <c r="P122" i="11"/>
  <c r="Q122" i="11" s="1"/>
  <c r="R122" i="11" s="1"/>
  <c r="P105" i="11"/>
  <c r="Q105" i="11" s="1"/>
  <c r="R105" i="11" s="1"/>
  <c r="P121" i="11"/>
  <c r="Q121" i="11" s="1"/>
  <c r="R121" i="11" s="1"/>
  <c r="P116" i="11"/>
  <c r="Q116" i="11" s="1"/>
  <c r="R116" i="11" s="1"/>
  <c r="P114" i="11"/>
  <c r="Q114" i="11" s="1"/>
  <c r="R114" i="11" s="1"/>
  <c r="P108" i="11"/>
  <c r="Q108" i="11" s="1"/>
  <c r="R108" i="11" s="1"/>
  <c r="P115" i="11"/>
  <c r="Q115" i="11" s="1"/>
  <c r="R115" i="11" s="1"/>
  <c r="P107" i="11"/>
  <c r="Q107" i="11" s="1"/>
  <c r="R107" i="11" s="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4" i="11"/>
  <c r="F5" i="11"/>
  <c r="F6" i="11"/>
  <c r="F3" i="11"/>
  <c r="B7" i="11"/>
  <c r="O13" i="11" s="1"/>
  <c r="P13" i="11" s="1"/>
  <c r="Q13" i="11" s="1"/>
  <c r="R13" i="11" s="1"/>
  <c r="B8" i="11"/>
  <c r="O14" i="11" s="1"/>
  <c r="P14" i="11" s="1"/>
  <c r="Q14" i="11" s="1"/>
  <c r="R14" i="11" s="1"/>
  <c r="B9" i="11"/>
  <c r="O15" i="11" s="1"/>
  <c r="P15" i="11" s="1"/>
  <c r="Q15" i="11" s="1"/>
  <c r="R15" i="11" s="1"/>
  <c r="B10" i="11"/>
  <c r="O16" i="11" s="1"/>
  <c r="P16" i="11" s="1"/>
  <c r="Q16" i="11" s="1"/>
  <c r="R16" i="11" s="1"/>
  <c r="B11" i="11"/>
  <c r="O17" i="11" s="1"/>
  <c r="P17" i="11" s="1"/>
  <c r="Q17" i="11" s="1"/>
  <c r="R17" i="11" s="1"/>
  <c r="B12" i="11"/>
  <c r="O18" i="11" s="1"/>
  <c r="P18" i="11" s="1"/>
  <c r="Q18" i="11" s="1"/>
  <c r="R18" i="11" s="1"/>
  <c r="B13" i="11"/>
  <c r="O19" i="11" s="1"/>
  <c r="P19" i="11" s="1"/>
  <c r="Q19" i="11" s="1"/>
  <c r="R19" i="11" s="1"/>
  <c r="B14" i="11"/>
  <c r="O20" i="11" s="1"/>
  <c r="P20" i="11" s="1"/>
  <c r="Q20" i="11" s="1"/>
  <c r="R20" i="11" s="1"/>
  <c r="B15" i="11"/>
  <c r="O21" i="11" s="1"/>
  <c r="P21" i="11" s="1"/>
  <c r="Q21" i="11" s="1"/>
  <c r="R21" i="11" s="1"/>
  <c r="B16" i="11"/>
  <c r="O22" i="11" s="1"/>
  <c r="P22" i="11" s="1"/>
  <c r="Q22" i="11" s="1"/>
  <c r="R22" i="11" s="1"/>
  <c r="B17" i="11"/>
  <c r="O23" i="11" s="1"/>
  <c r="P23" i="11" s="1"/>
  <c r="Q23" i="11" s="1"/>
  <c r="R23" i="11" s="1"/>
  <c r="B18" i="11"/>
  <c r="O24" i="11" s="1"/>
  <c r="P24" i="11" s="1"/>
  <c r="Q24" i="11" s="1"/>
  <c r="R24" i="11" s="1"/>
  <c r="B19" i="11"/>
  <c r="O25" i="11" s="1"/>
  <c r="P25" i="11" s="1"/>
  <c r="Q25" i="11" s="1"/>
  <c r="R25" i="11" s="1"/>
  <c r="B20" i="11"/>
  <c r="O26" i="11" s="1"/>
  <c r="P26" i="11" s="1"/>
  <c r="Q26" i="11" s="1"/>
  <c r="R26" i="11" s="1"/>
  <c r="B21" i="11"/>
  <c r="O27" i="11" s="1"/>
  <c r="P27" i="11" s="1"/>
  <c r="Q27" i="11" s="1"/>
  <c r="R27" i="11" s="1"/>
  <c r="B22" i="11"/>
  <c r="O28" i="11" s="1"/>
  <c r="P28" i="11" s="1"/>
  <c r="Q28" i="11" s="1"/>
  <c r="R28" i="11" s="1"/>
  <c r="B23" i="11"/>
  <c r="O29" i="11" s="1"/>
  <c r="P29" i="11" s="1"/>
  <c r="Q29" i="11" s="1"/>
  <c r="R29" i="11" s="1"/>
  <c r="B24" i="11"/>
  <c r="O30" i="11" s="1"/>
  <c r="P30" i="11" s="1"/>
  <c r="Q30" i="11" s="1"/>
  <c r="R30" i="11" s="1"/>
  <c r="B25" i="11"/>
  <c r="O31" i="11" s="1"/>
  <c r="P31" i="11" s="1"/>
  <c r="Q31" i="11" s="1"/>
  <c r="R31" i="11" s="1"/>
  <c r="B26" i="11"/>
  <c r="O32" i="11" s="1"/>
  <c r="P32" i="11" s="1"/>
  <c r="Q32" i="11" s="1"/>
  <c r="R32" i="11" s="1"/>
  <c r="B27" i="11"/>
  <c r="O33" i="11" s="1"/>
  <c r="P33" i="11" s="1"/>
  <c r="Q33" i="11" s="1"/>
  <c r="R33" i="11" s="1"/>
  <c r="B28" i="11"/>
  <c r="O34" i="11" s="1"/>
  <c r="P34" i="11" s="1"/>
  <c r="Q34" i="11" s="1"/>
  <c r="R34" i="11" s="1"/>
  <c r="B29" i="11"/>
  <c r="O35" i="11" s="1"/>
  <c r="P35" i="11" s="1"/>
  <c r="Q35" i="11" s="1"/>
  <c r="R35" i="11" s="1"/>
  <c r="B30" i="11"/>
  <c r="O36" i="11" s="1"/>
  <c r="P36" i="11" s="1"/>
  <c r="Q36" i="11" s="1"/>
  <c r="R36" i="11" s="1"/>
  <c r="B31" i="11"/>
  <c r="O37" i="11" s="1"/>
  <c r="P37" i="11" s="1"/>
  <c r="Q37" i="11" s="1"/>
  <c r="R37" i="11" s="1"/>
  <c r="B32" i="11"/>
  <c r="O38" i="11" s="1"/>
  <c r="P38" i="11" s="1"/>
  <c r="Q38" i="11" s="1"/>
  <c r="R38" i="11" s="1"/>
  <c r="B33" i="11"/>
  <c r="O39" i="11" s="1"/>
  <c r="P39" i="11" s="1"/>
  <c r="Q39" i="11" s="1"/>
  <c r="R39" i="11" s="1"/>
  <c r="B34" i="11"/>
  <c r="O40" i="11" s="1"/>
  <c r="P40" i="11" s="1"/>
  <c r="Q40" i="11" s="1"/>
  <c r="R40" i="11" s="1"/>
  <c r="B35" i="11"/>
  <c r="O41" i="11" s="1"/>
  <c r="P41" i="11" s="1"/>
  <c r="Q41" i="11" s="1"/>
  <c r="R41" i="11" s="1"/>
  <c r="B36" i="11"/>
  <c r="O42" i="11" s="1"/>
  <c r="P42" i="11" s="1"/>
  <c r="Q42" i="11" s="1"/>
  <c r="R42" i="11" s="1"/>
  <c r="B37" i="11"/>
  <c r="O43" i="11" s="1"/>
  <c r="P43" i="11" s="1"/>
  <c r="Q43" i="11" s="1"/>
  <c r="R43" i="11" s="1"/>
  <c r="B38" i="11"/>
  <c r="O44" i="11" s="1"/>
  <c r="P44" i="11" s="1"/>
  <c r="Q44" i="11" s="1"/>
  <c r="R44" i="11" s="1"/>
  <c r="B39" i="11"/>
  <c r="O45" i="11" s="1"/>
  <c r="P45" i="11" s="1"/>
  <c r="Q45" i="11" s="1"/>
  <c r="R45" i="11" s="1"/>
  <c r="B40" i="11"/>
  <c r="O46" i="11" s="1"/>
  <c r="P46" i="11" s="1"/>
  <c r="Q46" i="11" s="1"/>
  <c r="R46" i="11" s="1"/>
  <c r="B41" i="11"/>
  <c r="O47" i="11" s="1"/>
  <c r="P47" i="11" s="1"/>
  <c r="Q47" i="11" s="1"/>
  <c r="R47" i="11" s="1"/>
  <c r="B42" i="11"/>
  <c r="O48" i="11" s="1"/>
  <c r="P48" i="11" s="1"/>
  <c r="Q48" i="11" s="1"/>
  <c r="R48" i="11" s="1"/>
  <c r="B43" i="11"/>
  <c r="O49" i="11" s="1"/>
  <c r="P49" i="11" s="1"/>
  <c r="Q49" i="11" s="1"/>
  <c r="R49" i="11" s="1"/>
  <c r="B44" i="11"/>
  <c r="O50" i="11" s="1"/>
  <c r="P50" i="11" s="1"/>
  <c r="Q50" i="11" s="1"/>
  <c r="R50" i="11" s="1"/>
  <c r="B45" i="11"/>
  <c r="O51" i="11" s="1"/>
  <c r="P51" i="11" s="1"/>
  <c r="Q51" i="11" s="1"/>
  <c r="R51" i="11" s="1"/>
  <c r="B46" i="11"/>
  <c r="O52" i="11" s="1"/>
  <c r="P52" i="11" s="1"/>
  <c r="Q52" i="11" s="1"/>
  <c r="R52" i="11" s="1"/>
  <c r="B47" i="11"/>
  <c r="O53" i="11" s="1"/>
  <c r="P53" i="11" s="1"/>
  <c r="Q53" i="11" s="1"/>
  <c r="R53" i="11" s="1"/>
  <c r="B48" i="11"/>
  <c r="O54" i="11" s="1"/>
  <c r="P54" i="11" s="1"/>
  <c r="Q54" i="11" s="1"/>
  <c r="R54" i="11" s="1"/>
  <c r="B49" i="11"/>
  <c r="O55" i="11" s="1"/>
  <c r="P55" i="11" s="1"/>
  <c r="Q55" i="11" s="1"/>
  <c r="R55" i="11" s="1"/>
  <c r="B50" i="11"/>
  <c r="O56" i="11" s="1"/>
  <c r="P56" i="11" s="1"/>
  <c r="Q56" i="11" s="1"/>
  <c r="R56" i="11" s="1"/>
  <c r="B51" i="11"/>
  <c r="O57" i="11" s="1"/>
  <c r="P57" i="11" s="1"/>
  <c r="Q57" i="11" s="1"/>
  <c r="R57" i="11" s="1"/>
  <c r="B52" i="11"/>
  <c r="O58" i="11" s="1"/>
  <c r="P58" i="11" s="1"/>
  <c r="Q58" i="11" s="1"/>
  <c r="R58" i="11" s="1"/>
  <c r="B53" i="11"/>
  <c r="O59" i="11" s="1"/>
  <c r="P59" i="11" s="1"/>
  <c r="Q59" i="11" s="1"/>
  <c r="R59" i="11" s="1"/>
  <c r="B54" i="11"/>
  <c r="O60" i="11" s="1"/>
  <c r="P60" i="11" s="1"/>
  <c r="Q60" i="11" s="1"/>
  <c r="R60" i="11" s="1"/>
  <c r="B55" i="11"/>
  <c r="O61" i="11" s="1"/>
  <c r="P61" i="11" s="1"/>
  <c r="Q61" i="11" s="1"/>
  <c r="R61" i="11" s="1"/>
  <c r="B56" i="11"/>
  <c r="O62" i="11" s="1"/>
  <c r="P62" i="11" s="1"/>
  <c r="Q62" i="11" s="1"/>
  <c r="R62" i="11" s="1"/>
  <c r="B57" i="11"/>
  <c r="O63" i="11" s="1"/>
  <c r="P63" i="11" s="1"/>
  <c r="Q63" i="11" s="1"/>
  <c r="R63" i="11" s="1"/>
  <c r="B58" i="11"/>
  <c r="O64" i="11" s="1"/>
  <c r="P64" i="11" s="1"/>
  <c r="Q64" i="11" s="1"/>
  <c r="R64" i="11" s="1"/>
  <c r="B59" i="11"/>
  <c r="O65" i="11" s="1"/>
  <c r="P65" i="11" s="1"/>
  <c r="Q65" i="11" s="1"/>
  <c r="R65" i="11" s="1"/>
  <c r="B60" i="11"/>
  <c r="O66" i="11" s="1"/>
  <c r="P66" i="11" s="1"/>
  <c r="Q66" i="11" s="1"/>
  <c r="R66" i="11" s="1"/>
  <c r="B61" i="11"/>
  <c r="O67" i="11" s="1"/>
  <c r="P67" i="11" s="1"/>
  <c r="Q67" i="11" s="1"/>
  <c r="R67" i="11" s="1"/>
  <c r="B62" i="11"/>
  <c r="O68" i="11" s="1"/>
  <c r="P68" i="11" s="1"/>
  <c r="Q68" i="11" s="1"/>
  <c r="R68" i="11" s="1"/>
  <c r="B63" i="11"/>
  <c r="O69" i="11" s="1"/>
  <c r="P69" i="11" s="1"/>
  <c r="Q69" i="11" s="1"/>
  <c r="R69" i="11" s="1"/>
  <c r="B64" i="11"/>
  <c r="O70" i="11" s="1"/>
  <c r="P70" i="11" s="1"/>
  <c r="Q70" i="11" s="1"/>
  <c r="R70" i="11" s="1"/>
  <c r="B65" i="11"/>
  <c r="O71" i="11" s="1"/>
  <c r="P71" i="11" s="1"/>
  <c r="Q71" i="11" s="1"/>
  <c r="R71" i="11" s="1"/>
  <c r="B66" i="11"/>
  <c r="O72" i="11" s="1"/>
  <c r="P72" i="11" s="1"/>
  <c r="Q72" i="11" s="1"/>
  <c r="R72" i="11" s="1"/>
  <c r="B67" i="11"/>
  <c r="O73" i="11" s="1"/>
  <c r="P73" i="11" s="1"/>
  <c r="Q73" i="11" s="1"/>
  <c r="R73" i="11" s="1"/>
  <c r="B68" i="11"/>
  <c r="O74" i="11" s="1"/>
  <c r="P74" i="11" s="1"/>
  <c r="Q74" i="11" s="1"/>
  <c r="R74" i="11" s="1"/>
  <c r="B69" i="11"/>
  <c r="O75" i="11" s="1"/>
  <c r="P75" i="11" s="1"/>
  <c r="Q75" i="11" s="1"/>
  <c r="R75" i="11" s="1"/>
  <c r="B70" i="11"/>
  <c r="O76" i="11" s="1"/>
  <c r="P76" i="11" s="1"/>
  <c r="Q76" i="11" s="1"/>
  <c r="R76" i="11" s="1"/>
  <c r="B71" i="11"/>
  <c r="O77" i="11" s="1"/>
  <c r="P77" i="11" s="1"/>
  <c r="Q77" i="11" s="1"/>
  <c r="R77" i="11" s="1"/>
  <c r="B72" i="11"/>
  <c r="O78" i="11" s="1"/>
  <c r="P78" i="11" s="1"/>
  <c r="Q78" i="11" s="1"/>
  <c r="R78" i="11" s="1"/>
  <c r="B73" i="11"/>
  <c r="O79" i="11" s="1"/>
  <c r="P79" i="11" s="1"/>
  <c r="Q79" i="11" s="1"/>
  <c r="R79" i="11" s="1"/>
  <c r="B74" i="11"/>
  <c r="O80" i="11" s="1"/>
  <c r="P80" i="11" s="1"/>
  <c r="Q80" i="11" s="1"/>
  <c r="R80" i="11" s="1"/>
  <c r="B75" i="11"/>
  <c r="O81" i="11" s="1"/>
  <c r="P81" i="11" s="1"/>
  <c r="Q81" i="11" s="1"/>
  <c r="R81" i="11" s="1"/>
  <c r="B76" i="11"/>
  <c r="O82" i="11" s="1"/>
  <c r="P82" i="11" s="1"/>
  <c r="Q82" i="11" s="1"/>
  <c r="R82" i="11" s="1"/>
  <c r="B77" i="11"/>
  <c r="O83" i="11" s="1"/>
  <c r="P83" i="11" s="1"/>
  <c r="Q83" i="11" s="1"/>
  <c r="R83" i="11" s="1"/>
  <c r="B78" i="11"/>
  <c r="O84" i="11" s="1"/>
  <c r="P84" i="11" s="1"/>
  <c r="Q84" i="11" s="1"/>
  <c r="R84" i="11" s="1"/>
  <c r="B79" i="11"/>
  <c r="O85" i="11" s="1"/>
  <c r="P85" i="11" s="1"/>
  <c r="Q85" i="11" s="1"/>
  <c r="R85" i="11" s="1"/>
  <c r="B80" i="11"/>
  <c r="O86" i="11" s="1"/>
  <c r="P86" i="11" s="1"/>
  <c r="Q86" i="11" s="1"/>
  <c r="R86" i="11" s="1"/>
  <c r="B81" i="11"/>
  <c r="O87" i="11" s="1"/>
  <c r="P87" i="11" s="1"/>
  <c r="Q87" i="11" s="1"/>
  <c r="R87" i="11" s="1"/>
  <c r="B82" i="11"/>
  <c r="O88" i="11" s="1"/>
  <c r="P88" i="11" s="1"/>
  <c r="Q88" i="11" s="1"/>
  <c r="R88" i="11" s="1"/>
  <c r="B83" i="11"/>
  <c r="O89" i="11" s="1"/>
  <c r="P89" i="11" s="1"/>
  <c r="Q89" i="11" s="1"/>
  <c r="R89" i="11" s="1"/>
  <c r="B84" i="11"/>
  <c r="O90" i="11" s="1"/>
  <c r="P90" i="11" s="1"/>
  <c r="Q90" i="11" s="1"/>
  <c r="R90" i="11" s="1"/>
  <c r="B85" i="11"/>
  <c r="O91" i="11" s="1"/>
  <c r="P91" i="11" s="1"/>
  <c r="Q91" i="11" s="1"/>
  <c r="R91" i="11" s="1"/>
  <c r="B86" i="11"/>
  <c r="O92" i="11" s="1"/>
  <c r="P92" i="11" s="1"/>
  <c r="Q92" i="11" s="1"/>
  <c r="R92" i="11" s="1"/>
  <c r="B87" i="11"/>
  <c r="O93" i="11" s="1"/>
  <c r="P93" i="11" s="1"/>
  <c r="Q93" i="11" s="1"/>
  <c r="R93" i="11" s="1"/>
  <c r="B88" i="11"/>
  <c r="O94" i="11" s="1"/>
  <c r="P94" i="11" s="1"/>
  <c r="Q94" i="11" s="1"/>
  <c r="R94" i="11" s="1"/>
  <c r="B89" i="11"/>
  <c r="O95" i="11" s="1"/>
  <c r="P95" i="11" s="1"/>
  <c r="Q95" i="11" s="1"/>
  <c r="R95" i="11" s="1"/>
  <c r="B90" i="11"/>
  <c r="O96" i="11" s="1"/>
  <c r="P96" i="11" s="1"/>
  <c r="Q96" i="11" s="1"/>
  <c r="R96" i="11" s="1"/>
  <c r="B91" i="11"/>
  <c r="O97" i="11" s="1"/>
  <c r="P97" i="11" s="1"/>
  <c r="Q97" i="11" s="1"/>
  <c r="R97" i="11" s="1"/>
  <c r="B92" i="11"/>
  <c r="O98" i="11" s="1"/>
  <c r="P98" i="11" s="1"/>
  <c r="Q98" i="11" s="1"/>
  <c r="R98" i="11" s="1"/>
  <c r="B93" i="11"/>
  <c r="O99" i="11" s="1"/>
  <c r="P99" i="11" s="1"/>
  <c r="Q99" i="11" s="1"/>
  <c r="R99" i="11" s="1"/>
  <c r="B94" i="11"/>
  <c r="O100" i="11" s="1"/>
  <c r="P100" i="11" s="1"/>
  <c r="Q100" i="11" s="1"/>
  <c r="R100" i="11" s="1"/>
  <c r="B95" i="11"/>
  <c r="O101" i="11" s="1"/>
  <c r="P101" i="11" s="1"/>
  <c r="Q101" i="11" s="1"/>
  <c r="R101" i="11" s="1"/>
  <c r="B96" i="11"/>
  <c r="O102" i="11" s="1"/>
  <c r="P102" i="11" s="1"/>
  <c r="Q102" i="11" s="1"/>
  <c r="R102" i="11" s="1"/>
  <c r="B97" i="11"/>
  <c r="O103" i="11" s="1"/>
  <c r="P103" i="11" s="1"/>
  <c r="Q103" i="11" s="1"/>
  <c r="R103" i="11" s="1"/>
  <c r="B98" i="11"/>
  <c r="O104" i="11" s="1"/>
  <c r="P104" i="11" s="1"/>
  <c r="Q104" i="11" s="1"/>
  <c r="R104" i="11" s="1"/>
  <c r="M13" i="11"/>
  <c r="N13" i="11" s="1" a="1"/>
  <c r="N13" i="11" s="1"/>
  <c r="M14" i="11"/>
  <c r="N14" i="11" s="1" a="1"/>
  <c r="N14" i="11" s="1"/>
  <c r="M15" i="11"/>
  <c r="N15" i="11" s="1" a="1"/>
  <c r="N15" i="11" s="1"/>
  <c r="M16" i="11"/>
  <c r="N16" i="11" s="1" a="1"/>
  <c r="N16" i="11" s="1"/>
  <c r="M17" i="11"/>
  <c r="N17" i="11" s="1" a="1"/>
  <c r="N17" i="11" s="1"/>
  <c r="M18" i="11"/>
  <c r="N18" i="11" s="1" a="1"/>
  <c r="N18" i="11" s="1"/>
  <c r="M19" i="11"/>
  <c r="N19" i="11" s="1" a="1"/>
  <c r="N19" i="11" s="1"/>
  <c r="M20" i="11"/>
  <c r="N20" i="11" s="1" a="1"/>
  <c r="N20" i="11" s="1"/>
  <c r="M21" i="11"/>
  <c r="N21" i="11" s="1" a="1"/>
  <c r="N21" i="11" s="1"/>
  <c r="M22" i="11"/>
  <c r="N22" i="11" s="1" a="1"/>
  <c r="N22" i="11" s="1"/>
  <c r="M23" i="11"/>
  <c r="N23" i="11" s="1" a="1"/>
  <c r="N23" i="11" s="1"/>
  <c r="M24" i="11"/>
  <c r="N24" i="11" s="1" a="1"/>
  <c r="N24" i="11" s="1"/>
  <c r="M25" i="11"/>
  <c r="N25" i="11" s="1" a="1"/>
  <c r="N25" i="11" s="1"/>
  <c r="M26" i="11"/>
  <c r="N26" i="11" s="1" a="1"/>
  <c r="N26" i="11" s="1"/>
  <c r="M27" i="11"/>
  <c r="N27" i="11" s="1" a="1"/>
  <c r="N27" i="11" s="1"/>
  <c r="M28" i="11"/>
  <c r="N28" i="11" s="1" a="1"/>
  <c r="N28" i="11" s="1"/>
  <c r="M29" i="11"/>
  <c r="N29" i="11" s="1" a="1"/>
  <c r="N29" i="11" s="1"/>
  <c r="M30" i="11"/>
  <c r="N30" i="11" s="1" a="1"/>
  <c r="N30" i="11" s="1"/>
  <c r="M31" i="11"/>
  <c r="N31" i="11" s="1" a="1"/>
  <c r="N31" i="11" s="1"/>
  <c r="M32" i="11"/>
  <c r="N32" i="11" s="1" a="1"/>
  <c r="N32" i="11" s="1"/>
  <c r="M33" i="11"/>
  <c r="N33" i="11" s="1" a="1"/>
  <c r="N33" i="11" s="1"/>
  <c r="M34" i="11"/>
  <c r="N34" i="11" s="1" a="1"/>
  <c r="N34" i="11" s="1"/>
  <c r="M35" i="11"/>
  <c r="N35" i="11" s="1" a="1"/>
  <c r="N35" i="11" s="1"/>
  <c r="M36" i="11"/>
  <c r="N36" i="11" s="1" a="1"/>
  <c r="N36" i="11" s="1"/>
  <c r="M37" i="11"/>
  <c r="N37" i="11" s="1" a="1"/>
  <c r="N37" i="11" s="1"/>
  <c r="M38" i="11"/>
  <c r="N38" i="11" s="1" a="1"/>
  <c r="N38" i="11" s="1"/>
  <c r="M39" i="11"/>
  <c r="N39" i="11" s="1" a="1"/>
  <c r="N39" i="11" s="1"/>
  <c r="M40" i="11"/>
  <c r="N40" i="11" s="1" a="1"/>
  <c r="N40" i="11" s="1"/>
  <c r="M41" i="11"/>
  <c r="N41" i="11" s="1" a="1"/>
  <c r="N41" i="11" s="1"/>
  <c r="M42" i="11"/>
  <c r="N42" i="11" s="1" a="1"/>
  <c r="N42" i="11" s="1"/>
  <c r="M43" i="11"/>
  <c r="N43" i="11" s="1" a="1"/>
  <c r="N43" i="11" s="1"/>
  <c r="M44" i="11"/>
  <c r="N44" i="11" s="1" a="1"/>
  <c r="N44" i="11" s="1"/>
  <c r="M45" i="11"/>
  <c r="N45" i="11" s="1" a="1"/>
  <c r="N45" i="11" s="1"/>
  <c r="M46" i="11"/>
  <c r="N46" i="11" s="1" a="1"/>
  <c r="N46" i="11" s="1"/>
  <c r="M47" i="11"/>
  <c r="N47" i="11" s="1" a="1"/>
  <c r="N47" i="11" s="1"/>
  <c r="M48" i="11"/>
  <c r="N48" i="11" s="1" a="1"/>
  <c r="N48" i="11" s="1"/>
  <c r="M49" i="11"/>
  <c r="N49" i="11" s="1" a="1"/>
  <c r="N49" i="11" s="1"/>
  <c r="M50" i="11"/>
  <c r="N50" i="11" s="1" a="1"/>
  <c r="N50" i="11" s="1"/>
  <c r="M51" i="11"/>
  <c r="N51" i="11" s="1" a="1"/>
  <c r="N51" i="11" s="1"/>
  <c r="M52" i="11"/>
  <c r="N52" i="11" s="1" a="1"/>
  <c r="N52" i="11" s="1"/>
  <c r="M53" i="11"/>
  <c r="N53" i="11" s="1" a="1"/>
  <c r="N53" i="11" s="1"/>
  <c r="M54" i="11"/>
  <c r="N54" i="11" s="1" a="1"/>
  <c r="N54" i="11" s="1"/>
  <c r="M55" i="11"/>
  <c r="N55" i="11" s="1" a="1"/>
  <c r="N55" i="11" s="1"/>
  <c r="M56" i="11"/>
  <c r="N56" i="11" s="1" a="1"/>
  <c r="N56" i="11" s="1"/>
  <c r="M57" i="11"/>
  <c r="N57" i="11" s="1" a="1"/>
  <c r="N57" i="11" s="1"/>
  <c r="M58" i="11"/>
  <c r="N58" i="11" s="1" a="1"/>
  <c r="N58" i="11" s="1"/>
  <c r="M59" i="11"/>
  <c r="N59" i="11" s="1" a="1"/>
  <c r="N59" i="11" s="1"/>
  <c r="M60" i="11"/>
  <c r="N60" i="11" s="1" a="1"/>
  <c r="N60" i="11" s="1"/>
  <c r="M61" i="11"/>
  <c r="N61" i="11" s="1" a="1"/>
  <c r="N61" i="11" s="1"/>
  <c r="M62" i="11"/>
  <c r="N62" i="11" s="1" a="1"/>
  <c r="N62" i="11" s="1"/>
  <c r="M63" i="11"/>
  <c r="N63" i="11" s="1" a="1"/>
  <c r="N63" i="11" s="1"/>
  <c r="M64" i="11"/>
  <c r="N64" i="11" s="1" a="1"/>
  <c r="N64" i="11" s="1"/>
  <c r="M65" i="11"/>
  <c r="N65" i="11" s="1" a="1"/>
  <c r="N65" i="11" s="1"/>
  <c r="M66" i="11"/>
  <c r="N66" i="11" s="1" a="1"/>
  <c r="N66" i="11" s="1"/>
  <c r="M67" i="11"/>
  <c r="N67" i="11" s="1" a="1"/>
  <c r="N67" i="11" s="1"/>
  <c r="M68" i="11"/>
  <c r="N68" i="11" s="1" a="1"/>
  <c r="N68" i="11" s="1"/>
  <c r="M69" i="11"/>
  <c r="N69" i="11" s="1" a="1"/>
  <c r="N69" i="11" s="1"/>
  <c r="M70" i="11"/>
  <c r="N70" i="11" s="1" a="1"/>
  <c r="N70" i="11" s="1"/>
  <c r="M71" i="11"/>
  <c r="N71" i="11" s="1" a="1"/>
  <c r="N71" i="11" s="1"/>
  <c r="M72" i="11"/>
  <c r="N72" i="11" s="1" a="1"/>
  <c r="N72" i="11" s="1"/>
  <c r="M73" i="11"/>
  <c r="N73" i="11" s="1" a="1"/>
  <c r="N73" i="11" s="1"/>
  <c r="M74" i="11"/>
  <c r="N74" i="11" s="1" a="1"/>
  <c r="N74" i="11" s="1"/>
  <c r="M75" i="11"/>
  <c r="N75" i="11" s="1" a="1"/>
  <c r="N75" i="11" s="1"/>
  <c r="M76" i="11"/>
  <c r="N76" i="11" s="1" a="1"/>
  <c r="N76" i="11" s="1"/>
  <c r="M77" i="11"/>
  <c r="N77" i="11" s="1" a="1"/>
  <c r="N77" i="11" s="1"/>
  <c r="M78" i="11"/>
  <c r="N78" i="11" s="1" a="1"/>
  <c r="N78" i="11" s="1"/>
  <c r="M79" i="11"/>
  <c r="N79" i="11" s="1" a="1"/>
  <c r="N79" i="11" s="1"/>
  <c r="M80" i="11"/>
  <c r="N80" i="11" s="1" a="1"/>
  <c r="N80" i="11" s="1"/>
  <c r="M81" i="11"/>
  <c r="N81" i="11" s="1" a="1"/>
  <c r="N81" i="11" s="1"/>
  <c r="M82" i="11"/>
  <c r="N82" i="11" s="1" a="1"/>
  <c r="N82" i="11" s="1"/>
  <c r="M83" i="11"/>
  <c r="N83" i="11" s="1" a="1"/>
  <c r="N83" i="11" s="1"/>
  <c r="M84" i="11"/>
  <c r="N84" i="11" s="1" a="1"/>
  <c r="N84" i="11" s="1"/>
  <c r="M85" i="11"/>
  <c r="N85" i="11" s="1" a="1"/>
  <c r="N85" i="11" s="1"/>
  <c r="M86" i="11"/>
  <c r="N86" i="11" s="1" a="1"/>
  <c r="N86" i="11" s="1"/>
  <c r="M87" i="11"/>
  <c r="N87" i="11" s="1" a="1"/>
  <c r="N87" i="11" s="1"/>
  <c r="M88" i="11"/>
  <c r="N88" i="11" s="1" a="1"/>
  <c r="N88" i="11" s="1"/>
  <c r="M89" i="11"/>
  <c r="N89" i="11" s="1" a="1"/>
  <c r="N89" i="11" s="1"/>
  <c r="M90" i="11"/>
  <c r="N90" i="11" s="1" a="1"/>
  <c r="N90" i="11" s="1"/>
  <c r="M91" i="11"/>
  <c r="N91" i="11" s="1" a="1"/>
  <c r="N91" i="11" s="1"/>
  <c r="M92" i="11"/>
  <c r="N92" i="11" s="1" a="1"/>
  <c r="N92" i="11" s="1"/>
  <c r="M93" i="11"/>
  <c r="N93" i="11" s="1" a="1"/>
  <c r="N93" i="11" s="1"/>
  <c r="M94" i="11"/>
  <c r="N94" i="11" s="1" a="1"/>
  <c r="N94" i="11" s="1"/>
  <c r="M95" i="11"/>
  <c r="N95" i="11" s="1" a="1"/>
  <c r="N95" i="11" s="1"/>
  <c r="M96" i="11"/>
  <c r="N96" i="11" s="1" a="1"/>
  <c r="N96" i="11" s="1"/>
  <c r="M97" i="11"/>
  <c r="N97" i="11" s="1" a="1"/>
  <c r="N97" i="11" s="1"/>
  <c r="M98" i="11"/>
  <c r="N98" i="11" s="1" a="1"/>
  <c r="N98" i="11" s="1"/>
  <c r="M99" i="11"/>
  <c r="N99" i="11" s="1" a="1"/>
  <c r="N99" i="11" s="1"/>
  <c r="M100" i="11"/>
  <c r="N100" i="11" s="1" a="1"/>
  <c r="N100" i="11" s="1"/>
  <c r="M101" i="11"/>
  <c r="N101" i="11" s="1" a="1"/>
  <c r="N101" i="11" s="1"/>
  <c r="M102" i="11"/>
  <c r="N102" i="11" s="1" a="1"/>
  <c r="N102" i="11" s="1"/>
  <c r="M103" i="11"/>
  <c r="N103" i="11" s="1" a="1"/>
  <c r="N103" i="11" s="1"/>
  <c r="M104" i="11"/>
  <c r="N104" i="11" s="1" a="1"/>
  <c r="N104" i="11" s="1"/>
  <c r="M10" i="11"/>
  <c r="N10" i="11" s="1" a="1"/>
  <c r="N10" i="11" s="1"/>
  <c r="M11" i="11"/>
  <c r="N11" i="11" s="1" a="1"/>
  <c r="N11" i="11" s="1"/>
  <c r="M12" i="11"/>
  <c r="N12" i="11" s="1" a="1"/>
  <c r="N12" i="11" s="1"/>
  <c r="M9" i="11"/>
  <c r="N9" i="11" s="1" a="1"/>
  <c r="N9" i="11" s="1"/>
  <c r="B4" i="11"/>
  <c r="O10" i="11" s="1"/>
  <c r="P10" i="11" s="1"/>
  <c r="Q10" i="11" s="1"/>
  <c r="R10" i="11" s="1"/>
  <c r="B5" i="11"/>
  <c r="O11" i="11" s="1"/>
  <c r="P11" i="11" s="1"/>
  <c r="Q11" i="11" s="1"/>
  <c r="R11" i="11" s="1"/>
  <c r="B6" i="11"/>
  <c r="O12" i="11" s="1"/>
  <c r="P12" i="11" s="1"/>
  <c r="Q12" i="11" s="1"/>
  <c r="R12" i="11" s="1"/>
  <c r="B3" i="11"/>
  <c r="O9" i="11" s="1"/>
  <c r="P9" i="11" l="1"/>
  <c r="Q9" i="11" s="1"/>
  <c r="R9" i="11" s="1"/>
  <c r="O45" i="10"/>
  <c r="O46" i="10"/>
  <c r="O48" i="10"/>
  <c r="O49" i="10"/>
  <c r="O60" i="10"/>
  <c r="O61" i="10"/>
  <c r="O81" i="10"/>
  <c r="O82" i="10"/>
  <c r="O96" i="10"/>
  <c r="O12" i="3"/>
  <c r="O14" i="3"/>
  <c r="O15" i="3"/>
  <c r="O16" i="3"/>
  <c r="O17" i="3"/>
  <c r="O18" i="3"/>
  <c r="O19" i="3"/>
  <c r="P19" i="3" s="1"/>
  <c r="Q19" i="3" s="1"/>
  <c r="R19" i="3" s="1"/>
  <c r="O20" i="3"/>
  <c r="P20" i="3" s="1"/>
  <c r="Q20" i="3" s="1"/>
  <c r="R20" i="3" s="1"/>
  <c r="O21" i="3"/>
  <c r="O22" i="3"/>
  <c r="O23" i="3"/>
  <c r="O24" i="3"/>
  <c r="O25" i="3"/>
  <c r="O26" i="3"/>
  <c r="O27" i="3"/>
  <c r="O28" i="3"/>
  <c r="O29" i="3"/>
  <c r="O30" i="3"/>
  <c r="O31" i="3"/>
  <c r="O32" i="3"/>
  <c r="P32" i="3" s="1"/>
  <c r="Q32" i="3" s="1"/>
  <c r="R32" i="3" s="1"/>
  <c r="O33" i="3"/>
  <c r="O34" i="3"/>
  <c r="O35" i="3"/>
  <c r="O36" i="3"/>
  <c r="O37" i="3"/>
  <c r="O38" i="3"/>
  <c r="O39" i="3"/>
  <c r="O40" i="3"/>
  <c r="O41" i="3"/>
  <c r="O42" i="3"/>
  <c r="P42" i="3" s="1"/>
  <c r="Q42" i="3" s="1"/>
  <c r="R42" i="3" s="1"/>
  <c r="O43" i="3"/>
  <c r="P43" i="3" s="1"/>
  <c r="Q43" i="3" s="1"/>
  <c r="R43" i="3" s="1"/>
  <c r="O44" i="3"/>
  <c r="P44" i="3" s="1"/>
  <c r="Q44" i="3" s="1"/>
  <c r="R44" i="3" s="1"/>
  <c r="O45" i="3"/>
  <c r="O46" i="3"/>
  <c r="O47" i="3"/>
  <c r="O48" i="3"/>
  <c r="O49" i="3"/>
  <c r="O50" i="3"/>
  <c r="O51" i="3"/>
  <c r="O52" i="3"/>
  <c r="O53" i="3"/>
  <c r="O54" i="3"/>
  <c r="P54" i="3" s="1"/>
  <c r="Q54" i="3" s="1"/>
  <c r="R54" i="3" s="1"/>
  <c r="O55" i="3"/>
  <c r="P55" i="3" s="1"/>
  <c r="Q55" i="3" s="1"/>
  <c r="R55" i="3" s="1"/>
  <c r="O56" i="3"/>
  <c r="P56" i="3" s="1"/>
  <c r="Q56" i="3" s="1"/>
  <c r="R56" i="3" s="1"/>
  <c r="O57" i="3"/>
  <c r="O58" i="3"/>
  <c r="O59" i="3"/>
  <c r="O60" i="3"/>
  <c r="O61" i="3"/>
  <c r="O62" i="3"/>
  <c r="O63" i="3"/>
  <c r="O64" i="3"/>
  <c r="O65" i="3"/>
  <c r="O66" i="3"/>
  <c r="O67" i="3"/>
  <c r="O68" i="3"/>
  <c r="P68" i="3" s="1"/>
  <c r="Q68" i="3" s="1"/>
  <c r="R68" i="3" s="1"/>
  <c r="O69" i="3"/>
  <c r="O70" i="3"/>
  <c r="O71" i="3"/>
  <c r="O72" i="3"/>
  <c r="O73" i="3"/>
  <c r="O74" i="3"/>
  <c r="O75" i="3"/>
  <c r="O76" i="3"/>
  <c r="O77" i="3"/>
  <c r="O78" i="3"/>
  <c r="O79" i="3"/>
  <c r="O80" i="3"/>
  <c r="P80" i="3" s="1"/>
  <c r="Q80" i="3" s="1"/>
  <c r="R80" i="3" s="1"/>
  <c r="O81" i="3"/>
  <c r="O82" i="3"/>
  <c r="O83" i="3"/>
  <c r="O84" i="3"/>
  <c r="O85" i="3"/>
  <c r="O86" i="3"/>
  <c r="O87" i="3"/>
  <c r="O88" i="3"/>
  <c r="O89" i="3"/>
  <c r="O90" i="3"/>
  <c r="O91" i="3"/>
  <c r="O93" i="3"/>
  <c r="O94" i="3"/>
  <c r="O95" i="3"/>
  <c r="O96" i="3"/>
  <c r="O97" i="3"/>
  <c r="O98" i="3"/>
  <c r="O99" i="3"/>
  <c r="O100" i="3"/>
  <c r="O101" i="3"/>
  <c r="O102" i="3"/>
  <c r="O103" i="3"/>
  <c r="B3" i="3"/>
  <c r="O9" i="3" s="1"/>
  <c r="B4" i="3"/>
  <c r="O10" i="3" s="1"/>
  <c r="B5" i="3"/>
  <c r="O11" i="3" s="1"/>
  <c r="O92" i="3"/>
  <c r="P92" i="3" s="1"/>
  <c r="Q92" i="3" s="1"/>
  <c r="R92" i="3" s="1"/>
  <c r="O104" i="3"/>
  <c r="P104" i="3" s="1"/>
  <c r="Q104" i="3" s="1"/>
  <c r="R104" i="3" s="1"/>
  <c r="B3" i="10"/>
  <c r="O9" i="10" s="1"/>
  <c r="B4" i="10"/>
  <c r="O10" i="10" s="1"/>
  <c r="B5" i="10"/>
  <c r="O11" i="10" s="1"/>
  <c r="B6" i="10"/>
  <c r="O12" i="10" s="1"/>
  <c r="B7" i="10"/>
  <c r="O13" i="10" s="1"/>
  <c r="B8" i="10"/>
  <c r="O14" i="10" s="1"/>
  <c r="B9" i="10"/>
  <c r="O15" i="10" s="1"/>
  <c r="B10" i="10"/>
  <c r="O16" i="10" s="1"/>
  <c r="B11" i="10"/>
  <c r="O17" i="10" s="1"/>
  <c r="B12" i="10"/>
  <c r="B13" i="10"/>
  <c r="O19" i="10" s="1"/>
  <c r="P19" i="10" s="1"/>
  <c r="Q19" i="10" s="1"/>
  <c r="R19" i="10" s="1"/>
  <c r="B14" i="10"/>
  <c r="O20" i="10" s="1"/>
  <c r="P20" i="10" s="1"/>
  <c r="Q20" i="10" s="1"/>
  <c r="R20" i="10" s="1"/>
  <c r="B15" i="10"/>
  <c r="O21" i="10" s="1"/>
  <c r="B16" i="10"/>
  <c r="O22" i="10" s="1"/>
  <c r="B17" i="10"/>
  <c r="O23" i="10" s="1"/>
  <c r="B18" i="10"/>
  <c r="O24" i="10" s="1"/>
  <c r="B19" i="10"/>
  <c r="O25" i="10" s="1"/>
  <c r="B20" i="10"/>
  <c r="O26" i="10" s="1"/>
  <c r="B21" i="10"/>
  <c r="O27" i="10" s="1"/>
  <c r="B22" i="10"/>
  <c r="O28" i="10" s="1"/>
  <c r="B23" i="10"/>
  <c r="O29" i="10" s="1"/>
  <c r="B24" i="10"/>
  <c r="O30" i="10" s="1"/>
  <c r="B25" i="10"/>
  <c r="O31" i="10" s="1"/>
  <c r="P31" i="10" s="1"/>
  <c r="Q31" i="10" s="1"/>
  <c r="R31" i="10" s="1"/>
  <c r="B26" i="10"/>
  <c r="O32" i="10" s="1"/>
  <c r="P32" i="10" s="1"/>
  <c r="Q32" i="10" s="1"/>
  <c r="R32" i="10" s="1"/>
  <c r="B27" i="10"/>
  <c r="O33" i="10" s="1"/>
  <c r="B28" i="10"/>
  <c r="O34" i="10" s="1"/>
  <c r="B29" i="10"/>
  <c r="O35" i="10" s="1"/>
  <c r="B30" i="10"/>
  <c r="O36" i="10" s="1"/>
  <c r="B31" i="10"/>
  <c r="O37" i="10" s="1"/>
  <c r="B32" i="10"/>
  <c r="O38" i="10" s="1"/>
  <c r="B33" i="10"/>
  <c r="O39" i="10" s="1"/>
  <c r="B34" i="10"/>
  <c r="O40" i="10" s="1"/>
  <c r="B35" i="10"/>
  <c r="O41" i="10" s="1"/>
  <c r="B36" i="10"/>
  <c r="O42" i="10" s="1"/>
  <c r="P42" i="10" s="1"/>
  <c r="Q42" i="10" s="1"/>
  <c r="R42" i="10" s="1"/>
  <c r="B37" i="10"/>
  <c r="O43" i="10" s="1"/>
  <c r="P43" i="10" s="1"/>
  <c r="Q43" i="10" s="1"/>
  <c r="R43" i="10" s="1"/>
  <c r="B38" i="10"/>
  <c r="O44" i="10" s="1"/>
  <c r="P44" i="10" s="1"/>
  <c r="Q44" i="10" s="1"/>
  <c r="R44" i="10" s="1"/>
  <c r="B39" i="10"/>
  <c r="B40" i="10"/>
  <c r="B41" i="10"/>
  <c r="O47" i="10" s="1"/>
  <c r="B42" i="10"/>
  <c r="B43" i="10"/>
  <c r="B44" i="10"/>
  <c r="O50" i="10" s="1"/>
  <c r="B45" i="10"/>
  <c r="O51" i="10" s="1"/>
  <c r="B46" i="10"/>
  <c r="O52" i="10" s="1"/>
  <c r="B47" i="10"/>
  <c r="O53" i="10" s="1"/>
  <c r="B48" i="10"/>
  <c r="O54" i="10" s="1"/>
  <c r="P54" i="10" s="1"/>
  <c r="Q54" i="10" s="1"/>
  <c r="R54" i="10" s="1"/>
  <c r="B49" i="10"/>
  <c r="O55" i="10" s="1"/>
  <c r="P55" i="10" s="1"/>
  <c r="Q55" i="10" s="1"/>
  <c r="R55" i="10" s="1"/>
  <c r="B50" i="10"/>
  <c r="O56" i="10" s="1"/>
  <c r="P56" i="10" s="1"/>
  <c r="Q56" i="10" s="1"/>
  <c r="R56" i="10" s="1"/>
  <c r="B51" i="10"/>
  <c r="O57" i="10" s="1"/>
  <c r="B52" i="10"/>
  <c r="O58" i="10" s="1"/>
  <c r="B53" i="10"/>
  <c r="O59" i="10" s="1"/>
  <c r="B54" i="10"/>
  <c r="B55" i="10"/>
  <c r="B56" i="10"/>
  <c r="O62" i="10" s="1"/>
  <c r="B57" i="10"/>
  <c r="O63" i="10" s="1"/>
  <c r="B58" i="10"/>
  <c r="O64" i="10" s="1"/>
  <c r="B59" i="10"/>
  <c r="O65" i="10" s="1"/>
  <c r="B60" i="10"/>
  <c r="O66" i="10" s="1"/>
  <c r="B61" i="10"/>
  <c r="O67" i="10" s="1"/>
  <c r="B62" i="10"/>
  <c r="O68" i="10" s="1"/>
  <c r="P68" i="10" s="1"/>
  <c r="Q68" i="10" s="1"/>
  <c r="R68" i="10" s="1"/>
  <c r="B63" i="10"/>
  <c r="O69" i="10" s="1"/>
  <c r="B64" i="10"/>
  <c r="O70" i="10" s="1"/>
  <c r="B65" i="10"/>
  <c r="O71" i="10" s="1"/>
  <c r="B66" i="10"/>
  <c r="O72" i="10" s="1"/>
  <c r="B67" i="10"/>
  <c r="O73" i="10" s="1"/>
  <c r="B68" i="10"/>
  <c r="O74" i="10" s="1"/>
  <c r="B69" i="10"/>
  <c r="O75" i="10" s="1"/>
  <c r="B70" i="10"/>
  <c r="O76" i="10" s="1"/>
  <c r="B71" i="10"/>
  <c r="O77" i="10" s="1"/>
  <c r="B72" i="10"/>
  <c r="O78" i="10" s="1"/>
  <c r="B73" i="10"/>
  <c r="O79" i="10" s="1"/>
  <c r="P79" i="10" s="1"/>
  <c r="Q79" i="10" s="1"/>
  <c r="R79" i="10" s="1"/>
  <c r="B74" i="10"/>
  <c r="O80" i="10" s="1"/>
  <c r="P80" i="10" s="1"/>
  <c r="Q80" i="10" s="1"/>
  <c r="R80" i="10" s="1"/>
  <c r="B75" i="10"/>
  <c r="B76" i="10"/>
  <c r="B77" i="10"/>
  <c r="O83" i="10" s="1"/>
  <c r="B78" i="10"/>
  <c r="O84" i="10" s="1"/>
  <c r="B79" i="10"/>
  <c r="O85" i="10" s="1"/>
  <c r="B80" i="10"/>
  <c r="O86" i="10" s="1"/>
  <c r="B81" i="10"/>
  <c r="O87" i="10" s="1"/>
  <c r="B82" i="10"/>
  <c r="O88" i="10" s="1"/>
  <c r="B83" i="10"/>
  <c r="O89" i="10" s="1"/>
  <c r="B84" i="10"/>
  <c r="O90" i="10" s="1"/>
  <c r="B85" i="10"/>
  <c r="O91" i="10" s="1"/>
  <c r="B86" i="10"/>
  <c r="O92" i="10" s="1"/>
  <c r="P92" i="10" s="1"/>
  <c r="Q92" i="10" s="1"/>
  <c r="R92" i="10" s="1"/>
  <c r="B87" i="10"/>
  <c r="O93" i="10" s="1"/>
  <c r="B88" i="10"/>
  <c r="O94" i="10" s="1"/>
  <c r="B89" i="10"/>
  <c r="O95" i="10" s="1"/>
  <c r="B90" i="10"/>
  <c r="B91" i="10"/>
  <c r="O97" i="10" s="1"/>
  <c r="B92" i="10"/>
  <c r="O98" i="10" s="1"/>
  <c r="B93" i="10"/>
  <c r="O99" i="10" s="1"/>
  <c r="B94" i="10"/>
  <c r="O100" i="10" s="1"/>
  <c r="B95" i="10"/>
  <c r="O101" i="10" s="1"/>
  <c r="B96" i="10"/>
  <c r="O102" i="10" s="1"/>
  <c r="B97" i="10"/>
  <c r="O103" i="10" s="1"/>
  <c r="P103" i="10" s="1"/>
  <c r="Q103" i="10" s="1"/>
  <c r="R103" i="10" s="1"/>
  <c r="B98" i="10"/>
  <c r="O104" i="10" s="1"/>
  <c r="P104" i="10" s="1"/>
  <c r="Q104" i="10" s="1"/>
  <c r="R104" i="10" s="1"/>
  <c r="O18" i="10" l="1"/>
  <c r="F3" i="10" l="1"/>
  <c r="P9" i="10" s="1"/>
  <c r="Q9" i="10" s="1"/>
  <c r="R9" i="10" s="1"/>
  <c r="F4" i="10"/>
  <c r="P10" i="10" s="1"/>
  <c r="Q10" i="10" s="1"/>
  <c r="R10" i="10" s="1"/>
  <c r="F5" i="10"/>
  <c r="P11" i="10" s="1"/>
  <c r="Q11" i="10" s="1"/>
  <c r="R11" i="10" s="1"/>
  <c r="F6" i="10"/>
  <c r="P12" i="10" s="1"/>
  <c r="Q12" i="10" s="1"/>
  <c r="R12" i="10" s="1"/>
  <c r="F7" i="10"/>
  <c r="P13" i="10" s="1"/>
  <c r="Q13" i="10" s="1"/>
  <c r="R13" i="10" s="1"/>
  <c r="F8" i="10"/>
  <c r="P14" i="10" s="1"/>
  <c r="Q14" i="10" s="1"/>
  <c r="R14" i="10" s="1"/>
  <c r="F9" i="10"/>
  <c r="P15" i="10" s="1"/>
  <c r="Q15" i="10" s="1"/>
  <c r="R15" i="10" s="1"/>
  <c r="F10" i="10"/>
  <c r="P16" i="10" s="1"/>
  <c r="Q16" i="10" s="1"/>
  <c r="R16" i="10" s="1"/>
  <c r="F11" i="10"/>
  <c r="P17" i="10" s="1"/>
  <c r="Q17" i="10" s="1"/>
  <c r="R17" i="10" s="1"/>
  <c r="F12" i="10"/>
  <c r="P18" i="10" s="1"/>
  <c r="Q18" i="10" s="1"/>
  <c r="R18" i="10" s="1"/>
  <c r="F13" i="10"/>
  <c r="F14" i="10"/>
  <c r="F15" i="10"/>
  <c r="P21" i="10" s="1"/>
  <c r="Q21" i="10" s="1"/>
  <c r="R21" i="10" s="1"/>
  <c r="F16" i="10"/>
  <c r="P22" i="10" s="1"/>
  <c r="Q22" i="10" s="1"/>
  <c r="R22" i="10" s="1"/>
  <c r="F17" i="10"/>
  <c r="P23" i="10" s="1"/>
  <c r="Q23" i="10" s="1"/>
  <c r="R23" i="10" s="1"/>
  <c r="F18" i="10"/>
  <c r="P24" i="10" s="1"/>
  <c r="Q24" i="10" s="1"/>
  <c r="R24" i="10" s="1"/>
  <c r="F19" i="10"/>
  <c r="P25" i="10" s="1"/>
  <c r="Q25" i="10" s="1"/>
  <c r="R25" i="10" s="1"/>
  <c r="F20" i="10"/>
  <c r="P26" i="10" s="1"/>
  <c r="Q26" i="10" s="1"/>
  <c r="R26" i="10" s="1"/>
  <c r="F21" i="10"/>
  <c r="P27" i="10" s="1"/>
  <c r="Q27" i="10" s="1"/>
  <c r="R27" i="10" s="1"/>
  <c r="F22" i="10"/>
  <c r="P28" i="10" s="1"/>
  <c r="Q28" i="10" s="1"/>
  <c r="R28" i="10" s="1"/>
  <c r="F23" i="10"/>
  <c r="P29" i="10" s="1"/>
  <c r="Q29" i="10" s="1"/>
  <c r="R29" i="10" s="1"/>
  <c r="F24" i="10"/>
  <c r="P30" i="10" s="1"/>
  <c r="Q30" i="10" s="1"/>
  <c r="R30" i="10" s="1"/>
  <c r="F25" i="10"/>
  <c r="F26" i="10"/>
  <c r="F27" i="10"/>
  <c r="P33" i="10" s="1"/>
  <c r="Q33" i="10" s="1"/>
  <c r="R33" i="10" s="1"/>
  <c r="F28" i="10"/>
  <c r="P34" i="10" s="1"/>
  <c r="Q34" i="10" s="1"/>
  <c r="R34" i="10" s="1"/>
  <c r="F29" i="10"/>
  <c r="P35" i="10" s="1"/>
  <c r="Q35" i="10" s="1"/>
  <c r="R35" i="10" s="1"/>
  <c r="F30" i="10"/>
  <c r="P36" i="10" s="1"/>
  <c r="Q36" i="10" s="1"/>
  <c r="R36" i="10" s="1"/>
  <c r="F31" i="10"/>
  <c r="P37" i="10" s="1"/>
  <c r="Q37" i="10" s="1"/>
  <c r="R37" i="10" s="1"/>
  <c r="F32" i="10"/>
  <c r="P38" i="10" s="1"/>
  <c r="Q38" i="10" s="1"/>
  <c r="R38" i="10" s="1"/>
  <c r="F33" i="10"/>
  <c r="P39" i="10" s="1"/>
  <c r="Q39" i="10" s="1"/>
  <c r="R39" i="10" s="1"/>
  <c r="F34" i="10"/>
  <c r="P40" i="10" s="1"/>
  <c r="Q40" i="10" s="1"/>
  <c r="R40" i="10" s="1"/>
  <c r="F35" i="10"/>
  <c r="P41" i="10" s="1"/>
  <c r="Q41" i="10" s="1"/>
  <c r="R41" i="10" s="1"/>
  <c r="F36" i="10"/>
  <c r="F37" i="10"/>
  <c r="F38" i="10"/>
  <c r="F39" i="10"/>
  <c r="P45" i="10" s="1"/>
  <c r="Q45" i="10" s="1"/>
  <c r="R45" i="10" s="1"/>
  <c r="F40" i="10"/>
  <c r="P46" i="10" s="1"/>
  <c r="Q46" i="10" s="1"/>
  <c r="R46" i="10" s="1"/>
  <c r="F41" i="10"/>
  <c r="P47" i="10" s="1"/>
  <c r="Q47" i="10" s="1"/>
  <c r="R47" i="10" s="1"/>
  <c r="F42" i="10"/>
  <c r="P48" i="10" s="1"/>
  <c r="Q48" i="10" s="1"/>
  <c r="R48" i="10" s="1"/>
  <c r="F43" i="10"/>
  <c r="P49" i="10" s="1"/>
  <c r="Q49" i="10" s="1"/>
  <c r="R49" i="10" s="1"/>
  <c r="F44" i="10"/>
  <c r="P50" i="10" s="1"/>
  <c r="Q50" i="10" s="1"/>
  <c r="R50" i="10" s="1"/>
  <c r="F45" i="10"/>
  <c r="P51" i="10" s="1"/>
  <c r="Q51" i="10" s="1"/>
  <c r="R51" i="10" s="1"/>
  <c r="F46" i="10"/>
  <c r="P52" i="10" s="1"/>
  <c r="Q52" i="10" s="1"/>
  <c r="R52" i="10" s="1"/>
  <c r="F47" i="10"/>
  <c r="P53" i="10" s="1"/>
  <c r="Q53" i="10" s="1"/>
  <c r="R53" i="10" s="1"/>
  <c r="F48" i="10"/>
  <c r="F49" i="10"/>
  <c r="F50" i="10"/>
  <c r="F51" i="10"/>
  <c r="P57" i="10" s="1"/>
  <c r="Q57" i="10" s="1"/>
  <c r="R57" i="10" s="1"/>
  <c r="F52" i="10"/>
  <c r="P58" i="10" s="1"/>
  <c r="Q58" i="10" s="1"/>
  <c r="R58" i="10" s="1"/>
  <c r="F53" i="10"/>
  <c r="P59" i="10" s="1"/>
  <c r="Q59" i="10" s="1"/>
  <c r="R59" i="10" s="1"/>
  <c r="F54" i="10"/>
  <c r="P60" i="10" s="1"/>
  <c r="Q60" i="10" s="1"/>
  <c r="R60" i="10" s="1"/>
  <c r="F55" i="10"/>
  <c r="P61" i="10" s="1"/>
  <c r="Q61" i="10" s="1"/>
  <c r="R61" i="10" s="1"/>
  <c r="F56" i="10"/>
  <c r="P62" i="10" s="1"/>
  <c r="Q62" i="10" s="1"/>
  <c r="R62" i="10" s="1"/>
  <c r="F57" i="10"/>
  <c r="P63" i="10" s="1"/>
  <c r="Q63" i="10" s="1"/>
  <c r="R63" i="10" s="1"/>
  <c r="F58" i="10"/>
  <c r="P64" i="10" s="1"/>
  <c r="Q64" i="10" s="1"/>
  <c r="R64" i="10" s="1"/>
  <c r="F59" i="10"/>
  <c r="P65" i="10" s="1"/>
  <c r="Q65" i="10" s="1"/>
  <c r="R65" i="10" s="1"/>
  <c r="F60" i="10"/>
  <c r="P66" i="10" s="1"/>
  <c r="Q66" i="10" s="1"/>
  <c r="R66" i="10" s="1"/>
  <c r="F61" i="10"/>
  <c r="P67" i="10" s="1"/>
  <c r="Q67" i="10" s="1"/>
  <c r="R67" i="10" s="1"/>
  <c r="F62" i="10"/>
  <c r="F63" i="10"/>
  <c r="P69" i="10" s="1"/>
  <c r="Q69" i="10" s="1"/>
  <c r="R69" i="10" s="1"/>
  <c r="F64" i="10"/>
  <c r="P70" i="10" s="1"/>
  <c r="Q70" i="10" s="1"/>
  <c r="R70" i="10" s="1"/>
  <c r="F65" i="10"/>
  <c r="P71" i="10" s="1"/>
  <c r="Q71" i="10" s="1"/>
  <c r="R71" i="10" s="1"/>
  <c r="F66" i="10"/>
  <c r="P72" i="10" s="1"/>
  <c r="Q72" i="10" s="1"/>
  <c r="R72" i="10" s="1"/>
  <c r="F67" i="10"/>
  <c r="P73" i="10" s="1"/>
  <c r="Q73" i="10" s="1"/>
  <c r="R73" i="10" s="1"/>
  <c r="F68" i="10"/>
  <c r="P74" i="10" s="1"/>
  <c r="Q74" i="10" s="1"/>
  <c r="R74" i="10" s="1"/>
  <c r="F69" i="10"/>
  <c r="P75" i="10" s="1"/>
  <c r="Q75" i="10" s="1"/>
  <c r="R75" i="10" s="1"/>
  <c r="F70" i="10"/>
  <c r="P76" i="10" s="1"/>
  <c r="Q76" i="10" s="1"/>
  <c r="R76" i="10" s="1"/>
  <c r="F71" i="10"/>
  <c r="P77" i="10" s="1"/>
  <c r="Q77" i="10" s="1"/>
  <c r="R77" i="10" s="1"/>
  <c r="F72" i="10"/>
  <c r="P78" i="10" s="1"/>
  <c r="Q78" i="10" s="1"/>
  <c r="R78" i="10" s="1"/>
  <c r="F73" i="10"/>
  <c r="F74" i="10"/>
  <c r="F75" i="10"/>
  <c r="P81" i="10" s="1"/>
  <c r="Q81" i="10" s="1"/>
  <c r="R81" i="10" s="1"/>
  <c r="F76" i="10"/>
  <c r="P82" i="10" s="1"/>
  <c r="Q82" i="10" s="1"/>
  <c r="R82" i="10" s="1"/>
  <c r="F77" i="10"/>
  <c r="P83" i="10" s="1"/>
  <c r="Q83" i="10" s="1"/>
  <c r="R83" i="10" s="1"/>
  <c r="F78" i="10"/>
  <c r="P84" i="10" s="1"/>
  <c r="Q84" i="10" s="1"/>
  <c r="R84" i="10" s="1"/>
  <c r="F79" i="10"/>
  <c r="P85" i="10" s="1"/>
  <c r="Q85" i="10" s="1"/>
  <c r="R85" i="10" s="1"/>
  <c r="F80" i="10"/>
  <c r="P86" i="10" s="1"/>
  <c r="Q86" i="10" s="1"/>
  <c r="R86" i="10" s="1"/>
  <c r="F81" i="10"/>
  <c r="P87" i="10" s="1"/>
  <c r="Q87" i="10" s="1"/>
  <c r="R87" i="10" s="1"/>
  <c r="F82" i="10"/>
  <c r="P88" i="10" s="1"/>
  <c r="Q88" i="10" s="1"/>
  <c r="R88" i="10" s="1"/>
  <c r="F83" i="10"/>
  <c r="P89" i="10" s="1"/>
  <c r="Q89" i="10" s="1"/>
  <c r="R89" i="10" s="1"/>
  <c r="F84" i="10"/>
  <c r="P90" i="10" s="1"/>
  <c r="Q90" i="10" s="1"/>
  <c r="R90" i="10" s="1"/>
  <c r="F85" i="10"/>
  <c r="P91" i="10" s="1"/>
  <c r="Q91" i="10" s="1"/>
  <c r="R91" i="10" s="1"/>
  <c r="F86" i="10"/>
  <c r="F87" i="10"/>
  <c r="P93" i="10" s="1"/>
  <c r="Q93" i="10" s="1"/>
  <c r="R93" i="10" s="1"/>
  <c r="F88" i="10"/>
  <c r="P94" i="10" s="1"/>
  <c r="Q94" i="10" s="1"/>
  <c r="R94" i="10" s="1"/>
  <c r="F89" i="10"/>
  <c r="P95" i="10" s="1"/>
  <c r="Q95" i="10" s="1"/>
  <c r="R95" i="10" s="1"/>
  <c r="F90" i="10"/>
  <c r="P96" i="10" s="1"/>
  <c r="Q96" i="10" s="1"/>
  <c r="R96" i="10" s="1"/>
  <c r="F91" i="10"/>
  <c r="P97" i="10" s="1"/>
  <c r="Q97" i="10" s="1"/>
  <c r="R97" i="10" s="1"/>
  <c r="F92" i="10"/>
  <c r="P98" i="10" s="1"/>
  <c r="Q98" i="10" s="1"/>
  <c r="R98" i="10" s="1"/>
  <c r="F93" i="10"/>
  <c r="P99" i="10" s="1"/>
  <c r="Q99" i="10" s="1"/>
  <c r="R99" i="10" s="1"/>
  <c r="F94" i="10"/>
  <c r="P100" i="10" s="1"/>
  <c r="Q100" i="10" s="1"/>
  <c r="R100" i="10" s="1"/>
  <c r="F95" i="10"/>
  <c r="P101" i="10" s="1"/>
  <c r="Q101" i="10" s="1"/>
  <c r="R101" i="10" s="1"/>
  <c r="F96" i="10"/>
  <c r="P102" i="10" s="1"/>
  <c r="Q102" i="10" s="1"/>
  <c r="R102" i="10" s="1"/>
  <c r="F97" i="10"/>
  <c r="F98" i="10"/>
  <c r="F3" i="3"/>
  <c r="P9" i="3" s="1"/>
  <c r="Q9" i="3" s="1"/>
  <c r="R9" i="3" s="1"/>
  <c r="F4" i="3"/>
  <c r="P10" i="3" s="1"/>
  <c r="Q10" i="3" s="1"/>
  <c r="R10" i="3" s="1"/>
  <c r="F5" i="3"/>
  <c r="P11" i="3" s="1"/>
  <c r="Q11" i="3" s="1"/>
  <c r="R11" i="3" s="1"/>
  <c r="F6" i="3"/>
  <c r="P12" i="3" s="1"/>
  <c r="Q12" i="3" s="1"/>
  <c r="R12" i="3" s="1"/>
  <c r="F7" i="3"/>
  <c r="P13" i="3" s="1"/>
  <c r="Q13" i="3" s="1"/>
  <c r="R13" i="3" s="1"/>
  <c r="F8" i="3"/>
  <c r="P14" i="3" s="1"/>
  <c r="Q14" i="3" s="1"/>
  <c r="R14" i="3" s="1"/>
  <c r="F9" i="3"/>
  <c r="P15" i="3" s="1"/>
  <c r="Q15" i="3" s="1"/>
  <c r="R15" i="3" s="1"/>
  <c r="F10" i="3"/>
  <c r="P16" i="3" s="1"/>
  <c r="Q16" i="3" s="1"/>
  <c r="R16" i="3" s="1"/>
  <c r="F11" i="3"/>
  <c r="P17" i="3" s="1"/>
  <c r="Q17" i="3" s="1"/>
  <c r="R17" i="3" s="1"/>
  <c r="F12" i="3"/>
  <c r="P18" i="3" s="1"/>
  <c r="Q18" i="3" s="1"/>
  <c r="R18" i="3" s="1"/>
  <c r="F13" i="3"/>
  <c r="F14" i="3"/>
  <c r="F15" i="3"/>
  <c r="P21" i="3" s="1"/>
  <c r="Q21" i="3" s="1"/>
  <c r="R21" i="3" s="1"/>
  <c r="F16" i="3"/>
  <c r="P22" i="3" s="1"/>
  <c r="Q22" i="3" s="1"/>
  <c r="R22" i="3" s="1"/>
  <c r="F17" i="3"/>
  <c r="P23" i="3" s="1"/>
  <c r="Q23" i="3" s="1"/>
  <c r="R23" i="3" s="1"/>
  <c r="F18" i="3"/>
  <c r="P24" i="3" s="1"/>
  <c r="Q24" i="3" s="1"/>
  <c r="R24" i="3" s="1"/>
  <c r="F19" i="3"/>
  <c r="P25" i="3" s="1"/>
  <c r="Q25" i="3" s="1"/>
  <c r="R25" i="3" s="1"/>
  <c r="F20" i="3"/>
  <c r="P26" i="3" s="1"/>
  <c r="Q26" i="3" s="1"/>
  <c r="R26" i="3" s="1"/>
  <c r="F21" i="3"/>
  <c r="P27" i="3" s="1"/>
  <c r="Q27" i="3" s="1"/>
  <c r="R27" i="3" s="1"/>
  <c r="F22" i="3"/>
  <c r="P28" i="3" s="1"/>
  <c r="Q28" i="3" s="1"/>
  <c r="R28" i="3" s="1"/>
  <c r="F23" i="3"/>
  <c r="P29" i="3" s="1"/>
  <c r="Q29" i="3" s="1"/>
  <c r="R29" i="3" s="1"/>
  <c r="F24" i="3"/>
  <c r="P30" i="3" s="1"/>
  <c r="Q30" i="3" s="1"/>
  <c r="R30" i="3" s="1"/>
  <c r="F25" i="3"/>
  <c r="P31" i="3" s="1"/>
  <c r="Q31" i="3" s="1"/>
  <c r="R31" i="3" s="1"/>
  <c r="F26" i="3"/>
  <c r="F27" i="3"/>
  <c r="P33" i="3" s="1"/>
  <c r="Q33" i="3" s="1"/>
  <c r="R33" i="3" s="1"/>
  <c r="F28" i="3"/>
  <c r="P34" i="3" s="1"/>
  <c r="Q34" i="3" s="1"/>
  <c r="R34" i="3" s="1"/>
  <c r="F29" i="3"/>
  <c r="P35" i="3" s="1"/>
  <c r="Q35" i="3" s="1"/>
  <c r="R35" i="3" s="1"/>
  <c r="F30" i="3"/>
  <c r="P36" i="3" s="1"/>
  <c r="Q36" i="3" s="1"/>
  <c r="R36" i="3" s="1"/>
  <c r="F31" i="3"/>
  <c r="P37" i="3" s="1"/>
  <c r="Q37" i="3" s="1"/>
  <c r="R37" i="3" s="1"/>
  <c r="F32" i="3"/>
  <c r="P38" i="3" s="1"/>
  <c r="Q38" i="3" s="1"/>
  <c r="R38" i="3" s="1"/>
  <c r="F33" i="3"/>
  <c r="P39" i="3" s="1"/>
  <c r="Q39" i="3" s="1"/>
  <c r="R39" i="3" s="1"/>
  <c r="F34" i="3"/>
  <c r="P40" i="3" s="1"/>
  <c r="Q40" i="3" s="1"/>
  <c r="R40" i="3" s="1"/>
  <c r="F35" i="3"/>
  <c r="P41" i="3" s="1"/>
  <c r="Q41" i="3" s="1"/>
  <c r="R41" i="3" s="1"/>
  <c r="F36" i="3"/>
  <c r="F37" i="3"/>
  <c r="F38" i="3"/>
  <c r="F39" i="3"/>
  <c r="P45" i="3" s="1"/>
  <c r="Q45" i="3" s="1"/>
  <c r="R45" i="3" s="1"/>
  <c r="F40" i="3"/>
  <c r="P46" i="3" s="1"/>
  <c r="Q46" i="3" s="1"/>
  <c r="R46" i="3" s="1"/>
  <c r="F41" i="3"/>
  <c r="P47" i="3" s="1"/>
  <c r="Q47" i="3" s="1"/>
  <c r="R47" i="3" s="1"/>
  <c r="F42" i="3"/>
  <c r="P48" i="3" s="1"/>
  <c r="Q48" i="3" s="1"/>
  <c r="R48" i="3" s="1"/>
  <c r="F43" i="3"/>
  <c r="P49" i="3" s="1"/>
  <c r="Q49" i="3" s="1"/>
  <c r="R49" i="3" s="1"/>
  <c r="F44" i="3"/>
  <c r="P50" i="3" s="1"/>
  <c r="Q50" i="3" s="1"/>
  <c r="R50" i="3" s="1"/>
  <c r="F45" i="3"/>
  <c r="P51" i="3" s="1"/>
  <c r="Q51" i="3" s="1"/>
  <c r="R51" i="3" s="1"/>
  <c r="F46" i="3"/>
  <c r="P52" i="3" s="1"/>
  <c r="Q52" i="3" s="1"/>
  <c r="R52" i="3" s="1"/>
  <c r="F47" i="3"/>
  <c r="P53" i="3" s="1"/>
  <c r="Q53" i="3" s="1"/>
  <c r="R53" i="3" s="1"/>
  <c r="F48" i="3"/>
  <c r="F49" i="3"/>
  <c r="F50" i="3"/>
  <c r="F51" i="3"/>
  <c r="P57" i="3" s="1"/>
  <c r="Q57" i="3" s="1"/>
  <c r="R57" i="3" s="1"/>
  <c r="F52" i="3"/>
  <c r="P58" i="3" s="1"/>
  <c r="Q58" i="3" s="1"/>
  <c r="R58" i="3" s="1"/>
  <c r="F53" i="3"/>
  <c r="P59" i="3" s="1"/>
  <c r="Q59" i="3" s="1"/>
  <c r="R59" i="3" s="1"/>
  <c r="F54" i="3"/>
  <c r="P60" i="3" s="1"/>
  <c r="Q60" i="3" s="1"/>
  <c r="R60" i="3" s="1"/>
  <c r="F55" i="3"/>
  <c r="P61" i="3" s="1"/>
  <c r="Q61" i="3" s="1"/>
  <c r="R61" i="3" s="1"/>
  <c r="F56" i="3"/>
  <c r="P62" i="3" s="1"/>
  <c r="Q62" i="3" s="1"/>
  <c r="R62" i="3" s="1"/>
  <c r="F57" i="3"/>
  <c r="P63" i="3" s="1"/>
  <c r="Q63" i="3" s="1"/>
  <c r="R63" i="3" s="1"/>
  <c r="F58" i="3"/>
  <c r="P64" i="3" s="1"/>
  <c r="Q64" i="3" s="1"/>
  <c r="R64" i="3" s="1"/>
  <c r="F59" i="3"/>
  <c r="P65" i="3" s="1"/>
  <c r="Q65" i="3" s="1"/>
  <c r="R65" i="3" s="1"/>
  <c r="F60" i="3"/>
  <c r="P66" i="3" s="1"/>
  <c r="Q66" i="3" s="1"/>
  <c r="R66" i="3" s="1"/>
  <c r="F61" i="3"/>
  <c r="P67" i="3" s="1"/>
  <c r="Q67" i="3" s="1"/>
  <c r="R67" i="3" s="1"/>
  <c r="F62" i="3"/>
  <c r="F63" i="3"/>
  <c r="P69" i="3" s="1"/>
  <c r="Q69" i="3" s="1"/>
  <c r="R69" i="3" s="1"/>
  <c r="F64" i="3"/>
  <c r="P70" i="3" s="1"/>
  <c r="Q70" i="3" s="1"/>
  <c r="R70" i="3" s="1"/>
  <c r="F65" i="3"/>
  <c r="P71" i="3" s="1"/>
  <c r="Q71" i="3" s="1"/>
  <c r="R71" i="3" s="1"/>
  <c r="F66" i="3"/>
  <c r="P72" i="3" s="1"/>
  <c r="Q72" i="3" s="1"/>
  <c r="R72" i="3" s="1"/>
  <c r="F67" i="3"/>
  <c r="P73" i="3" s="1"/>
  <c r="Q73" i="3" s="1"/>
  <c r="R73" i="3" s="1"/>
  <c r="F68" i="3"/>
  <c r="P74" i="3" s="1"/>
  <c r="Q74" i="3" s="1"/>
  <c r="R74" i="3" s="1"/>
  <c r="F69" i="3"/>
  <c r="P75" i="3" s="1"/>
  <c r="Q75" i="3" s="1"/>
  <c r="R75" i="3" s="1"/>
  <c r="F70" i="3"/>
  <c r="P76" i="3" s="1"/>
  <c r="Q76" i="3" s="1"/>
  <c r="R76" i="3" s="1"/>
  <c r="F71" i="3"/>
  <c r="P77" i="3" s="1"/>
  <c r="Q77" i="3" s="1"/>
  <c r="R77" i="3" s="1"/>
  <c r="F72" i="3"/>
  <c r="P78" i="3" s="1"/>
  <c r="Q78" i="3" s="1"/>
  <c r="R78" i="3" s="1"/>
  <c r="F73" i="3"/>
  <c r="P79" i="3" s="1"/>
  <c r="Q79" i="3" s="1"/>
  <c r="R79" i="3" s="1"/>
  <c r="F74" i="3"/>
  <c r="F75" i="3"/>
  <c r="P81" i="3" s="1"/>
  <c r="Q81" i="3" s="1"/>
  <c r="R81" i="3" s="1"/>
  <c r="F76" i="3"/>
  <c r="P82" i="3" s="1"/>
  <c r="Q82" i="3" s="1"/>
  <c r="R82" i="3" s="1"/>
  <c r="F77" i="3"/>
  <c r="P83" i="3" s="1"/>
  <c r="Q83" i="3" s="1"/>
  <c r="R83" i="3" s="1"/>
  <c r="F78" i="3"/>
  <c r="P84" i="3" s="1"/>
  <c r="Q84" i="3" s="1"/>
  <c r="R84" i="3" s="1"/>
  <c r="F79" i="3"/>
  <c r="P85" i="3" s="1"/>
  <c r="Q85" i="3" s="1"/>
  <c r="R85" i="3" s="1"/>
  <c r="F80" i="3"/>
  <c r="P86" i="3" s="1"/>
  <c r="Q86" i="3" s="1"/>
  <c r="R86" i="3" s="1"/>
  <c r="F81" i="3"/>
  <c r="P87" i="3" s="1"/>
  <c r="Q87" i="3" s="1"/>
  <c r="R87" i="3" s="1"/>
  <c r="F82" i="3"/>
  <c r="P88" i="3" s="1"/>
  <c r="Q88" i="3" s="1"/>
  <c r="R88" i="3" s="1"/>
  <c r="F83" i="3"/>
  <c r="P89" i="3" s="1"/>
  <c r="Q89" i="3" s="1"/>
  <c r="R89" i="3" s="1"/>
  <c r="F84" i="3"/>
  <c r="P90" i="3" s="1"/>
  <c r="Q90" i="3" s="1"/>
  <c r="R90" i="3" s="1"/>
  <c r="F85" i="3"/>
  <c r="P91" i="3" s="1"/>
  <c r="Q91" i="3" s="1"/>
  <c r="R91" i="3" s="1"/>
  <c r="F86" i="3"/>
  <c r="F87" i="3"/>
  <c r="P93" i="3" s="1"/>
  <c r="Q93" i="3" s="1"/>
  <c r="R93" i="3" s="1"/>
  <c r="F88" i="3"/>
  <c r="P94" i="3" s="1"/>
  <c r="Q94" i="3" s="1"/>
  <c r="R94" i="3" s="1"/>
  <c r="F89" i="3"/>
  <c r="P95" i="3" s="1"/>
  <c r="Q95" i="3" s="1"/>
  <c r="R95" i="3" s="1"/>
  <c r="F90" i="3"/>
  <c r="P96" i="3" s="1"/>
  <c r="Q96" i="3" s="1"/>
  <c r="R96" i="3" s="1"/>
  <c r="F91" i="3"/>
  <c r="P97" i="3" s="1"/>
  <c r="Q97" i="3" s="1"/>
  <c r="R97" i="3" s="1"/>
  <c r="F92" i="3"/>
  <c r="P98" i="3" s="1"/>
  <c r="Q98" i="3" s="1"/>
  <c r="R98" i="3" s="1"/>
  <c r="F93" i="3"/>
  <c r="P99" i="3" s="1"/>
  <c r="Q99" i="3" s="1"/>
  <c r="R99" i="3" s="1"/>
  <c r="F94" i="3"/>
  <c r="P100" i="3" s="1"/>
  <c r="Q100" i="3" s="1"/>
  <c r="R100" i="3" s="1"/>
  <c r="F95" i="3"/>
  <c r="P101" i="3" s="1"/>
  <c r="Q101" i="3" s="1"/>
  <c r="R101" i="3" s="1"/>
  <c r="F96" i="3"/>
  <c r="P102" i="3" s="1"/>
  <c r="Q102" i="3" s="1"/>
  <c r="R102" i="3" s="1"/>
  <c r="F97" i="3"/>
  <c r="P103" i="3" s="1"/>
  <c r="Q103" i="3" s="1"/>
  <c r="R103" i="3" s="1"/>
  <c r="F98" i="3"/>
  <c r="M104" i="10" l="1"/>
  <c r="N104" i="10" s="1" a="1"/>
  <c r="N104" i="10" s="1"/>
  <c r="M103" i="10"/>
  <c r="N103" i="10" s="1" a="1"/>
  <c r="N103" i="10" s="1"/>
  <c r="M102" i="10"/>
  <c r="N102" i="10" s="1" a="1"/>
  <c r="N102" i="10" s="1"/>
  <c r="M101" i="10"/>
  <c r="N101" i="10" s="1" a="1"/>
  <c r="N101" i="10" s="1"/>
  <c r="M100" i="10"/>
  <c r="N100" i="10" s="1" a="1"/>
  <c r="N100" i="10" s="1"/>
  <c r="M99" i="10"/>
  <c r="N99" i="10" s="1" a="1"/>
  <c r="N99" i="10" s="1"/>
  <c r="M98" i="10"/>
  <c r="N98" i="10" s="1" a="1"/>
  <c r="N98" i="10" s="1"/>
  <c r="M97" i="10"/>
  <c r="N97" i="10" s="1" a="1"/>
  <c r="N97" i="10" s="1"/>
  <c r="M96" i="10"/>
  <c r="N96" i="10" s="1" a="1"/>
  <c r="N96" i="10" s="1"/>
  <c r="M95" i="10"/>
  <c r="N95" i="10" s="1" a="1"/>
  <c r="N95" i="10" s="1"/>
  <c r="M94" i="10"/>
  <c r="N94" i="10" s="1" a="1"/>
  <c r="N94" i="10" s="1"/>
  <c r="M93" i="10"/>
  <c r="N93" i="10" s="1" a="1"/>
  <c r="N93" i="10" s="1"/>
  <c r="M92" i="10"/>
  <c r="N92" i="10" s="1" a="1"/>
  <c r="N92" i="10" s="1"/>
  <c r="M91" i="10"/>
  <c r="N91" i="10" s="1" a="1"/>
  <c r="N91" i="10" s="1"/>
  <c r="M90" i="10"/>
  <c r="N90" i="10" s="1" a="1"/>
  <c r="N90" i="10" s="1"/>
  <c r="M89" i="10"/>
  <c r="N89" i="10" s="1" a="1"/>
  <c r="N89" i="10" s="1"/>
  <c r="M88" i="10"/>
  <c r="N88" i="10" s="1" a="1"/>
  <c r="N88" i="10" s="1"/>
  <c r="M87" i="10"/>
  <c r="N87" i="10" s="1" a="1"/>
  <c r="N87" i="10" s="1"/>
  <c r="M86" i="10"/>
  <c r="N86" i="10" s="1" a="1"/>
  <c r="N86" i="10" s="1"/>
  <c r="M85" i="10"/>
  <c r="N85" i="10" s="1" a="1"/>
  <c r="N85" i="10" s="1"/>
  <c r="M84" i="10"/>
  <c r="N84" i="10" s="1" a="1"/>
  <c r="N84" i="10" s="1"/>
  <c r="M83" i="10"/>
  <c r="N83" i="10" s="1" a="1"/>
  <c r="N83" i="10" s="1"/>
  <c r="M82" i="10"/>
  <c r="N82" i="10" s="1" a="1"/>
  <c r="N82" i="10" s="1"/>
  <c r="M81" i="10"/>
  <c r="N81" i="10" s="1" a="1"/>
  <c r="N81" i="10" s="1"/>
  <c r="M80" i="10"/>
  <c r="N80" i="10" s="1" a="1"/>
  <c r="N80" i="10" s="1"/>
  <c r="M79" i="10"/>
  <c r="N79" i="10" s="1" a="1"/>
  <c r="N79" i="10" s="1"/>
  <c r="M78" i="10"/>
  <c r="N78" i="10" s="1" a="1"/>
  <c r="N78" i="10" s="1"/>
  <c r="M77" i="10"/>
  <c r="N77" i="10" s="1" a="1"/>
  <c r="N77" i="10" s="1"/>
  <c r="M76" i="10"/>
  <c r="N76" i="10" s="1" a="1"/>
  <c r="N76" i="10" s="1"/>
  <c r="M75" i="10"/>
  <c r="N75" i="10" s="1" a="1"/>
  <c r="N75" i="10" s="1"/>
  <c r="M74" i="10"/>
  <c r="N74" i="10" s="1" a="1"/>
  <c r="N74" i="10" s="1"/>
  <c r="M73" i="10"/>
  <c r="N73" i="10" s="1" a="1"/>
  <c r="N73" i="10" s="1"/>
  <c r="M72" i="10"/>
  <c r="N72" i="10" s="1" a="1"/>
  <c r="N72" i="10" s="1"/>
  <c r="M71" i="10"/>
  <c r="N71" i="10" s="1" a="1"/>
  <c r="N71" i="10" s="1"/>
  <c r="M70" i="10"/>
  <c r="N70" i="10" s="1" a="1"/>
  <c r="N70" i="10" s="1"/>
  <c r="M69" i="10"/>
  <c r="N69" i="10" s="1" a="1"/>
  <c r="N69" i="10" s="1"/>
  <c r="M68" i="10"/>
  <c r="N68" i="10" s="1" a="1"/>
  <c r="N68" i="10" s="1"/>
  <c r="M67" i="10"/>
  <c r="N67" i="10" s="1" a="1"/>
  <c r="N67" i="10" s="1"/>
  <c r="M66" i="10"/>
  <c r="N66" i="10" s="1" a="1"/>
  <c r="N66" i="10" s="1"/>
  <c r="M65" i="10"/>
  <c r="N65" i="10" s="1" a="1"/>
  <c r="N65" i="10" s="1"/>
  <c r="M64" i="10"/>
  <c r="N64" i="10" s="1" a="1"/>
  <c r="N64" i="10" s="1"/>
  <c r="M63" i="10"/>
  <c r="N63" i="10" s="1" a="1"/>
  <c r="N63" i="10" s="1"/>
  <c r="M62" i="10"/>
  <c r="N62" i="10" s="1" a="1"/>
  <c r="N62" i="10" s="1"/>
  <c r="M61" i="10"/>
  <c r="N61" i="10" s="1" a="1"/>
  <c r="N61" i="10" s="1"/>
  <c r="M60" i="10"/>
  <c r="N60" i="10" s="1" a="1"/>
  <c r="N60" i="10" s="1"/>
  <c r="M59" i="10"/>
  <c r="N59" i="10" s="1" a="1"/>
  <c r="N59" i="10" s="1"/>
  <c r="M58" i="10"/>
  <c r="N58" i="10" s="1" a="1"/>
  <c r="N58" i="10" s="1"/>
  <c r="M57" i="10"/>
  <c r="N57" i="10" s="1" a="1"/>
  <c r="N57" i="10" s="1"/>
  <c r="M56" i="10"/>
  <c r="N56" i="10" s="1" a="1"/>
  <c r="N56" i="10" s="1"/>
  <c r="M55" i="10"/>
  <c r="N55" i="10" s="1" a="1"/>
  <c r="N55" i="10" s="1"/>
  <c r="M54" i="10"/>
  <c r="N54" i="10" s="1" a="1"/>
  <c r="N54" i="10" s="1"/>
  <c r="M53" i="10"/>
  <c r="N53" i="10" s="1" a="1"/>
  <c r="N53" i="10" s="1"/>
  <c r="M52" i="10"/>
  <c r="N52" i="10" s="1" a="1"/>
  <c r="N52" i="10" s="1"/>
  <c r="M51" i="10"/>
  <c r="N51" i="10" s="1" a="1"/>
  <c r="N51" i="10" s="1"/>
  <c r="M50" i="10"/>
  <c r="N50" i="10" s="1" a="1"/>
  <c r="N50" i="10" s="1"/>
  <c r="M49" i="10"/>
  <c r="N49" i="10" s="1" a="1"/>
  <c r="N49" i="10" s="1"/>
  <c r="M48" i="10"/>
  <c r="N48" i="10" s="1" a="1"/>
  <c r="N48" i="10" s="1"/>
  <c r="M47" i="10"/>
  <c r="N47" i="10" s="1" a="1"/>
  <c r="N47" i="10" s="1"/>
  <c r="M46" i="10"/>
  <c r="N46" i="10" s="1" a="1"/>
  <c r="N46" i="10" s="1"/>
  <c r="M45" i="10"/>
  <c r="N45" i="10" s="1" a="1"/>
  <c r="N45" i="10" s="1"/>
  <c r="M44" i="10"/>
  <c r="N44" i="10" s="1" a="1"/>
  <c r="N44" i="10" s="1"/>
  <c r="M43" i="10"/>
  <c r="N43" i="10" s="1" a="1"/>
  <c r="N43" i="10" s="1"/>
  <c r="M42" i="10"/>
  <c r="N42" i="10" s="1" a="1"/>
  <c r="N42" i="10" s="1"/>
  <c r="M41" i="10"/>
  <c r="N41" i="10" s="1" a="1"/>
  <c r="N41" i="10" s="1"/>
  <c r="M40" i="10"/>
  <c r="N40" i="10" s="1" a="1"/>
  <c r="N40" i="10" s="1"/>
  <c r="M39" i="10"/>
  <c r="N39" i="10" s="1" a="1"/>
  <c r="N39" i="10" s="1"/>
  <c r="M38" i="10"/>
  <c r="N38" i="10" s="1" a="1"/>
  <c r="N38" i="10" s="1"/>
  <c r="M37" i="10"/>
  <c r="N37" i="10" s="1" a="1"/>
  <c r="N37" i="10" s="1"/>
  <c r="M36" i="10"/>
  <c r="N36" i="10" s="1" a="1"/>
  <c r="N36" i="10" s="1"/>
  <c r="M35" i="10"/>
  <c r="N35" i="10" s="1" a="1"/>
  <c r="N35" i="10" s="1"/>
  <c r="M34" i="10"/>
  <c r="N34" i="10" s="1" a="1"/>
  <c r="N34" i="10" s="1"/>
  <c r="M33" i="10"/>
  <c r="N33" i="10" s="1" a="1"/>
  <c r="N33" i="10" s="1"/>
  <c r="M32" i="10"/>
  <c r="N32" i="10" s="1" a="1"/>
  <c r="N32" i="10" s="1"/>
  <c r="M31" i="10"/>
  <c r="N31" i="10" s="1" a="1"/>
  <c r="N31" i="10" s="1"/>
  <c r="M30" i="10"/>
  <c r="N30" i="10" s="1" a="1"/>
  <c r="N30" i="10" s="1"/>
  <c r="M29" i="10"/>
  <c r="N29" i="10" s="1" a="1"/>
  <c r="N29" i="10" s="1"/>
  <c r="M28" i="10"/>
  <c r="N28" i="10" s="1" a="1"/>
  <c r="N28" i="10" s="1"/>
  <c r="M27" i="10"/>
  <c r="N27" i="10" s="1" a="1"/>
  <c r="N27" i="10" s="1"/>
  <c r="M26" i="10"/>
  <c r="N26" i="10" s="1" a="1"/>
  <c r="N26" i="10" s="1"/>
  <c r="M25" i="10"/>
  <c r="N25" i="10" s="1" a="1"/>
  <c r="N25" i="10" s="1"/>
  <c r="M24" i="10"/>
  <c r="N24" i="10" s="1" a="1"/>
  <c r="N24" i="10" s="1"/>
  <c r="M23" i="10"/>
  <c r="N23" i="10" s="1" a="1"/>
  <c r="N23" i="10" s="1"/>
  <c r="M22" i="10"/>
  <c r="N22" i="10" s="1" a="1"/>
  <c r="N22" i="10" s="1"/>
  <c r="M21" i="10"/>
  <c r="N21" i="10" s="1" a="1"/>
  <c r="N21" i="10" s="1"/>
  <c r="M20" i="10"/>
  <c r="N20" i="10" s="1" a="1"/>
  <c r="N20" i="10" s="1"/>
  <c r="M19" i="10"/>
  <c r="N19" i="10" s="1" a="1"/>
  <c r="N19" i="10" s="1"/>
  <c r="M18" i="10"/>
  <c r="N18" i="10" s="1" a="1"/>
  <c r="N18" i="10" s="1"/>
  <c r="M17" i="10"/>
  <c r="N17" i="10" s="1" a="1"/>
  <c r="N17" i="10" s="1"/>
  <c r="M16" i="10"/>
  <c r="N16" i="10" s="1" a="1"/>
  <c r="N16" i="10" s="1"/>
  <c r="M15" i="10"/>
  <c r="N15" i="10" s="1" a="1"/>
  <c r="N15" i="10" s="1"/>
  <c r="M14" i="10"/>
  <c r="N14" i="10" s="1" a="1"/>
  <c r="N14" i="10" s="1"/>
  <c r="M13" i="10"/>
  <c r="N13" i="10" s="1" a="1"/>
  <c r="N13" i="10" s="1"/>
  <c r="M12" i="10"/>
  <c r="N12" i="10" s="1" a="1"/>
  <c r="N12" i="10" s="1"/>
  <c r="M11" i="10"/>
  <c r="N11" i="10" s="1" a="1"/>
  <c r="N11" i="10" s="1"/>
  <c r="M10" i="10"/>
  <c r="N10" i="10" s="1" a="1"/>
  <c r="N10" i="10" s="1"/>
  <c r="M9" i="10"/>
  <c r="N9" i="10" s="1" a="1"/>
  <c r="N9" i="10" s="1"/>
  <c r="M68" i="3"/>
  <c r="M9" i="3"/>
  <c r="N9" i="3" s="1" a="1"/>
  <c r="N9" i="3" s="1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N10" i="3" l="1" a="1"/>
  <c r="N10" i="3" s="1"/>
  <c r="N11" i="3" a="1"/>
  <c r="N11" i="3" s="1"/>
  <c r="N12" i="3" a="1"/>
  <c r="N12" i="3" s="1"/>
  <c r="N13" i="3" a="1"/>
  <c r="N13" i="3" s="1"/>
  <c r="N14" i="3" a="1"/>
  <c r="N14" i="3" s="1"/>
  <c r="N15" i="3" a="1"/>
  <c r="N15" i="3" s="1"/>
  <c r="N16" i="3" a="1"/>
  <c r="N16" i="3" s="1"/>
  <c r="N17" i="3" a="1"/>
  <c r="N17" i="3" s="1"/>
  <c r="N18" i="3" a="1"/>
  <c r="N18" i="3" s="1"/>
  <c r="N19" i="3" a="1"/>
  <c r="N19" i="3" s="1"/>
  <c r="N20" i="3" a="1"/>
  <c r="N20" i="3" s="1"/>
  <c r="N21" i="3" a="1"/>
  <c r="N21" i="3" s="1"/>
  <c r="N22" i="3" a="1"/>
  <c r="N22" i="3" s="1"/>
  <c r="N23" i="3" a="1"/>
  <c r="N23" i="3" s="1"/>
  <c r="N24" i="3" a="1"/>
  <c r="N24" i="3" s="1"/>
  <c r="N25" i="3" a="1"/>
  <c r="N25" i="3" s="1"/>
  <c r="N26" i="3" a="1"/>
  <c r="N26" i="3" s="1"/>
  <c r="N27" i="3" a="1"/>
  <c r="N27" i="3" s="1"/>
  <c r="N28" i="3" a="1"/>
  <c r="N28" i="3" s="1"/>
  <c r="N29" i="3" a="1"/>
  <c r="N29" i="3" s="1"/>
  <c r="N30" i="3" a="1"/>
  <c r="N30" i="3" s="1"/>
  <c r="N31" i="3" a="1"/>
  <c r="N31" i="3" s="1"/>
  <c r="N32" i="3" a="1"/>
  <c r="N32" i="3" s="1"/>
  <c r="N103" i="3" a="1"/>
  <c r="N103" i="3" s="1"/>
  <c r="N91" i="3" a="1"/>
  <c r="N91" i="3" s="1"/>
  <c r="N80" i="3" a="1"/>
  <c r="N80" i="3" s="1"/>
  <c r="N68" i="3" a="1"/>
  <c r="N68" i="3" s="1"/>
  <c r="N56" i="3" a="1"/>
  <c r="N56" i="3" s="1"/>
  <c r="N44" i="3" a="1"/>
  <c r="N44" i="3" s="1"/>
  <c r="N60" i="3" l="1" a="1"/>
  <c r="N60" i="3" s="1"/>
  <c r="N72" i="3" a="1"/>
  <c r="N72" i="3" s="1"/>
  <c r="N73" i="3" a="1"/>
  <c r="N73" i="3" s="1"/>
  <c r="N37" i="3" a="1"/>
  <c r="N37" i="3" s="1"/>
  <c r="N43" i="3" a="1"/>
  <c r="N43" i="3" s="1"/>
  <c r="N61" i="3" a="1"/>
  <c r="N61" i="3" s="1"/>
  <c r="N49" i="3" a="1"/>
  <c r="N49" i="3" s="1"/>
  <c r="N33" i="3" a="1"/>
  <c r="N33" i="3" s="1"/>
  <c r="N75" i="3" a="1"/>
  <c r="N75" i="3" s="1"/>
  <c r="N55" i="3" a="1"/>
  <c r="N55" i="3" s="1"/>
  <c r="N39" i="3" a="1"/>
  <c r="N39" i="3" s="1"/>
  <c r="N63" i="3" a="1"/>
  <c r="N63" i="3" s="1"/>
  <c r="N51" i="3" a="1"/>
  <c r="N51" i="3" s="1"/>
  <c r="N34" i="3" a="1"/>
  <c r="N34" i="3" s="1"/>
  <c r="N40" i="3" a="1"/>
  <c r="N40" i="3" s="1"/>
  <c r="N66" i="3" a="1"/>
  <c r="N66" i="3" s="1"/>
  <c r="N52" i="3" a="1"/>
  <c r="N52" i="3" s="1"/>
  <c r="N78" i="3" a="1"/>
  <c r="N78" i="3" s="1"/>
  <c r="N36" i="3" a="1"/>
  <c r="N36" i="3" s="1"/>
  <c r="N42" i="3" a="1"/>
  <c r="N42" i="3" s="1"/>
  <c r="N58" i="3" a="1"/>
  <c r="N58" i="3" s="1"/>
  <c r="N67" i="3" a="1"/>
  <c r="N67" i="3" s="1"/>
  <c r="N45" i="3" a="1"/>
  <c r="N45" i="3" s="1"/>
  <c r="N64" i="3" a="1"/>
  <c r="N64" i="3" s="1"/>
  <c r="N76" i="3" a="1"/>
  <c r="N76" i="3" s="1"/>
  <c r="N57" i="3" a="1"/>
  <c r="N57" i="3" s="1"/>
  <c r="N46" i="3" a="1"/>
  <c r="N46" i="3" s="1"/>
  <c r="N69" i="3" a="1"/>
  <c r="N69" i="3" s="1"/>
  <c r="N48" i="3" a="1"/>
  <c r="N48" i="3" s="1"/>
  <c r="N54" i="3" a="1"/>
  <c r="N54" i="3" s="1"/>
  <c r="N70" i="3" a="1"/>
  <c r="N70" i="3" s="1"/>
  <c r="N79" i="3" a="1"/>
  <c r="N79" i="3" s="1"/>
  <c r="N83" i="3" a="1"/>
  <c r="N83" i="3" s="1"/>
  <c r="N86" i="3" a="1"/>
  <c r="N86" i="3" s="1"/>
  <c r="N89" i="3" a="1"/>
  <c r="N89" i="3" s="1"/>
  <c r="N92" i="3" a="1"/>
  <c r="N92" i="3" s="1"/>
  <c r="N95" i="3" a="1"/>
  <c r="N95" i="3" s="1"/>
  <c r="N98" i="3" a="1"/>
  <c r="N98" i="3" s="1"/>
  <c r="N101" i="3" a="1"/>
  <c r="N101" i="3" s="1"/>
  <c r="N104" i="3" a="1"/>
  <c r="N104" i="3" s="1"/>
  <c r="N81" i="3" a="1"/>
  <c r="N81" i="3" s="1"/>
  <c r="N84" i="3" a="1"/>
  <c r="N84" i="3" s="1"/>
  <c r="N87" i="3" a="1"/>
  <c r="N87" i="3" s="1"/>
  <c r="N90" i="3" a="1"/>
  <c r="N90" i="3" s="1"/>
  <c r="N93" i="3" a="1"/>
  <c r="N93" i="3" s="1"/>
  <c r="N96" i="3" a="1"/>
  <c r="N96" i="3" s="1"/>
  <c r="N99" i="3" a="1"/>
  <c r="N99" i="3" s="1"/>
  <c r="N102" i="3" a="1"/>
  <c r="N102" i="3" s="1"/>
  <c r="N35" i="3" a="1"/>
  <c r="N35" i="3" s="1"/>
  <c r="N38" i="3" a="1"/>
  <c r="N38" i="3" s="1"/>
  <c r="N41" i="3" a="1"/>
  <c r="N41" i="3" s="1"/>
  <c r="N82" i="3" a="1"/>
  <c r="N82" i="3" s="1"/>
  <c r="N85" i="3" a="1"/>
  <c r="N85" i="3" s="1"/>
  <c r="N88" i="3" a="1"/>
  <c r="N88" i="3" s="1"/>
  <c r="N47" i="3" a="1"/>
  <c r="N47" i="3" s="1"/>
  <c r="N50" i="3" a="1"/>
  <c r="N50" i="3" s="1"/>
  <c r="N53" i="3" a="1"/>
  <c r="N53" i="3" s="1"/>
  <c r="N94" i="3" a="1"/>
  <c r="N94" i="3" s="1"/>
  <c r="N97" i="3" a="1"/>
  <c r="N97" i="3" s="1"/>
  <c r="N100" i="3" a="1"/>
  <c r="N100" i="3" s="1"/>
  <c r="N59" i="3" a="1"/>
  <c r="N59" i="3" s="1"/>
  <c r="N62" i="3" a="1"/>
  <c r="N62" i="3" s="1"/>
  <c r="N65" i="3" a="1"/>
  <c r="N65" i="3" s="1"/>
  <c r="N71" i="3" a="1"/>
  <c r="N71" i="3" s="1"/>
  <c r="N74" i="3" a="1"/>
  <c r="N74" i="3" s="1"/>
  <c r="N77" i="3" a="1"/>
  <c r="N7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<sst xmlns="http://schemas.openxmlformats.org/spreadsheetml/2006/main" count="4076" uniqueCount="190">
  <si>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</si>
  <si>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</si>
  <si>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</si>
  <si>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</si>
  <si>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</si>
  <si>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</si>
  <si>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</si>
  <si>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</si>
  <si>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</si>
  <si>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</si>
  <si>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</si>
  <si>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</si>
  <si>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</si>
  <si>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</si>
  <si>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</si>
  <si>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</si>
  <si>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</si>
  <si>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</si>
  <si>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</si>
  <si>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</si>
  <si>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</si>
  <si>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</si>
  <si>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</si>
  <si>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</si>
  <si>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</si>
  <si>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</si>
  <si>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</si>
  <si>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</si>
  <si>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</si>
  <si>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</si>
  <si>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</si>
  <si>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</si>
  <si>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</si>
  <si>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</si>
  <si>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</si>
  <si>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</si>
  <si>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</si>
  <si>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</si>
  <si>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</si>
  <si>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</si>
  <si>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</si>
  <si>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</si>
  <si>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</si>
  <si>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</si>
  <si>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</si>
  <si>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</si>
  <si>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</si>
  <si>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</si>
  <si>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</si>
  <si>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</si>
  <si>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</si>
  <si>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</si>
  <si>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</si>
  <si>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</si>
  <si>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</si>
  <si>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</si>
  <si>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</si>
  <si>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</si>
  <si>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</si>
  <si>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</si>
  <si>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</si>
  <si>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</si>
  <si>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</si>
  <si>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</si>
  <si>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</si>
  <si>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</si>
  <si>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</si>
  <si>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</si>
  <si>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</si>
  <si>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</si>
  <si>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</si>
  <si>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</si>
  <si>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</si>
  <si>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</si>
  <si>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</si>
  <si>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</si>
  <si>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</si>
  <si>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</si>
  <si>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</si>
  <si>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</si>
  <si>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</si>
  <si>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</si>
  <si>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</si>
  <si>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</si>
  <si>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</si>
  <si>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</si>
  <si>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</si>
  <si>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</si>
  <si>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</si>
  <si>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POS_</t>
  </si>
  <si>
    <t>CLASIFICACIÓN</t>
  </si>
  <si>
    <t>ORDEN</t>
  </si>
  <si>
    <t>EQUIPO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</si>
  <si>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</si>
  <si>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</si>
  <si>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</si>
  <si>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</si>
  <si>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</si>
  <si>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</si>
  <si>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</si>
  <si>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</si>
  <si>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</si>
  <si>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</si>
  <si>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</si>
  <si>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</si>
  <si>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</si>
  <si>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SUPER2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</si>
  <si>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</si>
  <si>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</si>
  <si>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</si>
  <si>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</si>
  <si>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</si>
  <si>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</si>
  <si>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</si>
  <si>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Columna1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</si>
  <si>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</si>
  <si>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</si>
  <si>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</si>
  <si>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</si>
  <si>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</si>
  <si>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</si>
  <si>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</si>
  <si>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</si>
  <si>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</si>
  <si>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</si>
  <si>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</si>
  <si>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</si>
  <si>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</si>
  <si>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</si>
  <si>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</si>
  <si>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</si>
  <si>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</si>
  <si>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</si>
  <si>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</si>
  <si>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</si>
  <si>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</si>
  <si>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</si>
  <si>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</si>
  <si>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</si>
  <si>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</si>
  <si>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FRANS RACSI</t>
  </si>
  <si>
    <t>SUPERVISOR</t>
  </si>
  <si>
    <t>|</t>
  </si>
  <si>
    <t>CARTERA</t>
  </si>
  <si>
    <t>KENNETH BBVA</t>
  </si>
  <si>
    <t>KENNETH IBK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</si>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</sst>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4"/>
      </patternFill>
    </fill>
    <fill>
      <patternFill patternType="solid">
        <fgColor theme="8"/>
        <bgColor theme="8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8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0" applyNumberFormat="1"/>
    <xf numFmtId="10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1" fillId="3" borderId="0" xfId="0" applyFont="1" applyFill="1"/>
    <xf numFmtId="0" fontId="0" fillId="0" borderId="3" xfId="0" applyBorder="1"/>
    <xf numFmtId="22" fontId="0" fillId="0" borderId="0" xfId="0" applyNumberFormat="1"/>
    <xf numFmtId="0" fontId="1" fillId="0" borderId="5" xfId="0" applyFont="1" applyBorder="1"/>
    <xf numFmtId="0" fontId="1" fillId="0" borderId="6" xfId="0" applyFont="1" applyBorder="1"/>
    <xf numFmtId="0" fontId="0" fillId="0" borderId="4" xfId="0" applyBorder="1"/>
    <xf numFmtId="49" fontId="0" fillId="0" borderId="0" xfId="0" applyNumberFormat="1"/>
    <xf numFmtId="4" fontId="0" fillId="0" borderId="4" xfId="0" applyNumberFormat="1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1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orcentaje" xfId="1" builtinId="5"/>
  </cellStyles>
  <dxfs count="17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77"/>
    </tableStyle>
    <tableStyle name="Estilo de tabla dinámica 2" table="0" count="1" xr9:uid="{9E60CF16-845A-4669-9AA4-E5ACD7B8B1A8}">
      <tableStyleElement type="headerRow" dxfId="176"/>
    </tableStyle>
    <tableStyle name="Estilo de tabla dinámica 3" table="0" count="1" xr9:uid="{A9F08836-5681-4078-A387-711930301837}">
      <tableStyleElement type="headerRow" dxfId="175"/>
    </tableStyle>
  </tableStyles>
  <colors>
    <mruColors>
      <color rgb="FFFCCF10"/>
      <color rgb="FFFEF6D2"/>
      <color rgb="FFFAE912"/>
      <color rgb="FFB71C1C"/>
      <color rgb="FFE65100"/>
      <color rgb="FF1B5E20"/>
      <color rgb="FFFFFD0F"/>
      <color rgb="FFFFF9C4"/>
      <color rgb="FF2DFF5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" displayName="D1_ENERO" ref="A2:F107" totalsRowShown="0">
  <autoFilter ref="A2:F107" xr:uid="{5E0BF7E0-4358-4425-8F4C-51CD4B862909}"/>
  <tableColumns count="6">
    <tableColumn id="1" xr3:uid="{897743D2-B6CD-40FA-805F-01550344D698}" name="SUPER"/>
    <tableColumn id="2" xr3:uid="{8CF4EF2B-0A86-499E-B672-9A6B3FF034D6}" name="Columna1">
      <calculatedColumnFormula>TRIM(C3)</calculatedColumnFormula>
    </tableColumn>
    <tableColumn id="3" xr3:uid="{20FF4816-C34F-41D9-99D2-17B3BB8F5653}" name="ASESOR"/>
    <tableColumn id="4" xr3:uid="{348E2507-E8FF-4E9C-9844-679D76D9144F}" name="RECUPERO"/>
    <tableColumn id="5" xr3:uid="{42625339-8FE7-49A5-82AC-5EDD10C3C984}" name="ALCANCE">
      <calculatedColumnFormula>D1_ENERO[[#This Row],[RECUPERO]]/VLOOKUP(F3,$H:$I,2,0)</calculatedColumnFormula>
    </tableColumn>
    <tableColumn id="6" xr3:uid="{BD1A5411-32FB-4DF7-B264-96C059BE5C56}" name="SUPER2">
      <calculatedColumnFormula>D1_ENERO[[#This Row],[SUPER]]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28084AB-621C-4783-8356-5123AEA7EA59}" name="META_ENERO_2025" displayName="META_ENERO_2025" ref="H2:I9" totalsRowShown="0">
  <autoFilter ref="H2:I9" xr:uid="{028084AB-621C-4783-8356-5123AEA7EA59}"/>
  <tableColumns count="2">
    <tableColumn id="1" xr3:uid="{A40640F1-1631-4321-B815-36A1B6D611C0}" name="SUPER"/>
    <tableColumn id="2" xr3:uid="{652B1FB7-B0C1-465B-8BF2-582F3A848B21}" name="M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L8:R113" totalsRowShown="0" headerRowBorderDxfId="174" tableBorderDxfId="173">
  <autoFilter ref="L8:R113" xr:uid="{F9313B9F-39C6-4A12-8F5B-FED5B42DCC51}"/>
  <tableColumns count="7">
    <tableColumn id="5" xr3:uid="{FA3754C1-7783-47D9-BDD2-5CBAA00B577B}" name="ORDEN"/>
    <tableColumn id="2" xr3:uid="{8AB5D9E7-4408-4FC9-BFF6-A0452692116C}" name="AL_AC" dataDxfId="172"/>
    <tableColumn id="3" xr3:uid="{16F39E06-76AE-43AD-903E-9F641E37CB06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921ECE34-7E7A-4AD2-A406-39E1FD056F78}" name="ASER_" dataDxfId="171">
      <calculatedColumnFormula>SETIEMBRE_2025!#REF!</calculatedColumnFormula>
    </tableColumn>
    <tableColumn id="1" xr3:uid="{EEB18830-CD66-4BAC-81C5-B5940467DF41}" name="SUPERVISOR" dataDxfId="170">
      <calculatedColumnFormula>IF(DATA_ENERO_2025[[#This Row],[ASER_]]="","",F3)</calculatedColumnFormula>
    </tableColumn>
    <tableColumn id="6" xr3:uid="{087774B2-9699-454D-B0E9-E9D62B239262}" name="RECUPERO" dataDxfId="169">
      <calculatedColumnFormula>IF(DATA_ENERO_2025[[#This Row],[SUPERVISOR]]="","",D3)</calculatedColumnFormula>
    </tableColumn>
    <tableColumn id="7" xr3:uid="{B938E452-5678-4623-B9AD-47B290EB3B56}" name="META" dataDxfId="168">
      <calculatedColumnFormula>IF(DATA_ENERO_2025[[#This Row],[RECUPERO]]="","",VLOOKUP(DATA_ENERO_2025[[#This Row],[SUPERVISOR]],$H:$I,2,0))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" displayName="D1_FEBRERO" ref="A2:F107" totalsRowShown="0">
  <autoFilter ref="A2:F107" xr:uid="{B161DA1C-A389-4FF1-9E9E-C88018522EAC}"/>
  <tableColumns count="6">
    <tableColumn id="1" xr3:uid="{194DAAA7-3304-4E4C-9D6E-9CFF2A67ED22}" name="SUPER"/>
    <tableColumn id="2" xr3:uid="{26FE8EBB-B21D-443D-8AA8-93EEB7685413}" name="Columna1">
      <calculatedColumnFormula>TRIM(C3)</calculatedColumnFormula>
    </tableColumn>
    <tableColumn id="3" xr3:uid="{9CB7A8A2-1BAD-49EB-99FB-0E0FFB717623}" name="ASESOR"/>
    <tableColumn id="4" xr3:uid="{9C9CD75D-2F18-45F6-A4CC-6F35C5DC59B6}" name="RECUPERO"/>
    <tableColumn id="5" xr3:uid="{44178C41-B41B-4820-A8E8-222FE453335F}" name="ALCANCE" dataDxfId="167">
      <calculatedColumnFormula>D1_FEBRERO[[#This Row],[RECUPERO]]/VLOOKUP(F3,$H:$I,2,0)</calculatedColumnFormula>
    </tableColumn>
    <tableColumn id="6" xr3:uid="{AC6EB590-A7E8-408F-A892-A1851BCCF0B5}" name="SUPER2">
      <calculatedColumnFormula>D1_FEBRERO[[#This Row],[SUPER]]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F4F60F-FA69-4EA7-8AEE-15E5E4D6ACC9}" name="META_FEBRERO_2025" displayName="META_FEBRERO_2025" ref="H2:I9" totalsRowShown="0">
  <autoFilter ref="H2:I9" xr:uid="{C9F4F60F-FA69-4EA7-8AEE-15E5E4D6ACC9}"/>
  <tableColumns count="2">
    <tableColumn id="1" xr3:uid="{F0EBE325-C475-4066-A5EA-C235A401DD96}" name="SUPER"/>
    <tableColumn id="2" xr3:uid="{04128EC5-346E-439D-AC1E-AE444376A98C}" name="MET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L8:R113" totalsRowShown="0" headerRowBorderDxfId="166" tableBorderDxfId="165">
  <autoFilter ref="L8:R113" xr:uid="{89A51909-AC95-49E8-8345-D544ACD1F830}"/>
  <tableColumns count="7">
    <tableColumn id="5" xr3:uid="{40E3AFC6-DA00-4BDE-B781-E9F019F29AB7}" name="ORDEN"/>
    <tableColumn id="2" xr3:uid="{DAC112DC-4F95-46E1-A307-6AA9F60DB951}" name="AL_AC" dataDxfId="164"/>
    <tableColumn id="3" xr3:uid="{AE4A1FA5-3083-4CA4-B657-D2D0F2E20004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2DEECC0D-71BF-41A9-824B-A80398D76E39}" name="ASER_" dataDxfId="163">
      <calculatedColumnFormula>SETIEMBRE_2025!#REF!</calculatedColumnFormula>
    </tableColumn>
    <tableColumn id="1" xr3:uid="{16B2CCFD-0F54-4846-AA70-4C06CEC9176C}" name="SUPERVISOR" dataDxfId="162">
      <calculatedColumnFormula>IF(DATA_FEBRERO_2025[[#This Row],[ASER_]]="","",F3)</calculatedColumnFormula>
    </tableColumn>
    <tableColumn id="6" xr3:uid="{2DE1A6CE-7493-4B20-83EE-59078393B5AF}" name="RECUPERO" dataDxfId="161">
      <calculatedColumnFormula>IF(DATA_FEBRERO_2025[[#This Row],[SUPERVISOR]]="","",D3)</calculatedColumnFormula>
    </tableColumn>
    <tableColumn id="7" xr3:uid="{24FB90FB-A888-41AB-9B19-627A74DA2062}" name="META" dataDxfId="160">
      <calculatedColumnFormula>IF(DATA_FEBRERO_2025[[#This Row],[RECUPERO]]="","",VLOOKUP(DATA_FEBRERO_2025[[#This Row],[SUPERVISOR]],$H:$I,2,0))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" displayName="D1_MARZO" ref="A2:F107" totalsRowShown="0">
  <autoFilter ref="A2:F107" xr:uid="{E9885E5F-45E0-410D-9674-725F11306A85}"/>
  <tableColumns count="6">
    <tableColumn id="1" xr3:uid="{0593917A-1291-450C-951C-78D9EC4BEB05}" name="SUPER"/>
    <tableColumn id="2" xr3:uid="{8CE134D2-655B-4065-BCE4-1E92F58C9834}" name="Columna1">
      <calculatedColumnFormula>TRIM(C3)</calculatedColumnFormula>
    </tableColumn>
    <tableColumn id="3" xr3:uid="{63694922-673E-40A9-ABE9-A1BB5D442FC5}" name="ASESOR"/>
    <tableColumn id="4" xr3:uid="{AA26A274-EA12-45E3-9488-E564DCE594A7}" name="RECUPERO"/>
    <tableColumn id="5" xr3:uid="{C9BC0167-A73A-4B66-AB0E-BCC22F3CD7BF}" name="ALCANCE" dataDxfId="159">
      <calculatedColumnFormula>D1_MARZO[[#This Row],[RECUPERO]]/VLOOKUP(F3,$H:$I,2,0)</calculatedColumnFormula>
    </tableColumn>
    <tableColumn id="6" xr3:uid="{32E44CF1-7B46-45AA-916C-7D5322097EFD}" name="SUPER2">
      <calculatedColumnFormula>D1_MARZO[[#This Row],[SUPER]]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C74629-C330-448D-8358-306B974DE385}" name="META_MARZO_2025" displayName="META_MARZO_2025" ref="H2:I9" totalsRowShown="0">
  <autoFilter ref="H2:I9" xr:uid="{84C74629-C330-448D-8358-306B974DE385}"/>
  <tableColumns count="2">
    <tableColumn id="1" xr3:uid="{1FEDE697-E5C8-46CD-B008-EE513DAC956A}" name="SUPER"/>
    <tableColumn id="2" xr3:uid="{8AAC2A5F-3499-4102-B1A6-D0C8D0789882}" name="MET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L8:R113" totalsRowShown="0" headerRowBorderDxfId="158" tableBorderDxfId="157">
  <autoFilter ref="L8:R113" xr:uid="{46A1AC28-8F5A-449B-BE41-0BD3EA45E5F4}"/>
  <tableColumns count="7">
    <tableColumn id="5" xr3:uid="{6486697E-FF7A-4591-A5AD-172915A244D0}" name="ORDEN"/>
    <tableColumn id="2" xr3:uid="{291F0275-242F-4948-BE64-7F8C6727586A}" name="AL_AC" dataDxfId="156"/>
    <tableColumn id="3" xr3:uid="{6050B278-B3D2-4B4C-8475-D701C9B8AB1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EC8B2F79-5491-4CF8-BF04-C2BEE19EAB91}" name="ASER_" dataDxfId="155">
      <calculatedColumnFormula>SETIEMBRE_2025!#REF!</calculatedColumnFormula>
    </tableColumn>
    <tableColumn id="1" xr3:uid="{A94CCC19-556A-4124-8949-24896CDBE45E}" name="SUPERVISOR" dataDxfId="154">
      <calculatedColumnFormula>IF(DATA_MARZO_2025[[#This Row],[ASER_]]="","",F3)</calculatedColumnFormula>
    </tableColumn>
    <tableColumn id="6" xr3:uid="{EBBFD24C-8909-45B0-B8CB-4ED73B62F2AB}" name="RECUPERO" dataDxfId="153">
      <calculatedColumnFormula>IF(DATA_MARZO_2025[[#This Row],[SUPERVISOR]]="","",D3)</calculatedColumnFormula>
    </tableColumn>
    <tableColumn id="7" xr3:uid="{D5702432-6067-40C7-B647-63D5EBDD13C2}" name="META" dataDxfId="152">
      <calculatedColumnFormula>IF(DATA_MARZO_2025[[#This Row],[RECUPERO]]="","",VLOOKUP(DATA_MARZO_2025[[#This Row],[SUPERVISOR]],$H:$I,2,0))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" displayName="D1_ABRIL" ref="A2:F122" totalsRowShown="0">
  <autoFilter ref="A2:F122" xr:uid="{4BD3AD9B-187F-444D-9B69-D2DA04E4A01E}"/>
  <tableColumns count="6">
    <tableColumn id="1" xr3:uid="{68211AFE-4147-4442-BDF7-CC740B01FA3C}" name="SUPER"/>
    <tableColumn id="2" xr3:uid="{D51D513B-04F6-4185-A044-49B743ABD514}" name="Columna1">
      <calculatedColumnFormula>TRIM(C3)</calculatedColumnFormula>
    </tableColumn>
    <tableColumn id="3" xr3:uid="{91F4F1B2-268A-492D-8490-AD940FC38FC7}" name="ASESOR"/>
    <tableColumn id="4" xr3:uid="{796AC97D-33DF-4278-BDC8-E283DF2D6F8C}" name="RECUPERO"/>
    <tableColumn id="5" xr3:uid="{D789E66F-CC8C-4715-A998-7AE532E85E8A}" name="ALCANCE" dataDxfId="151">
      <calculatedColumnFormula>D1_ABRIL[[#This Row],[RECUPERO]]/VLOOKUP(F3,$H:$I,2,0)</calculatedColumnFormula>
    </tableColumn>
    <tableColumn id="6" xr3:uid="{3455DB8A-5A64-4A8F-8153-2471763CA60D}" name="SUPER2">
      <calculatedColumnFormula>D1_ABRIL[[#This Row],[SUPER]]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17BDFFA-634B-403D-A0BF-A975A72B4797}" name="META_ABRIL_2025" displayName="META_ABRIL_2025" ref="H2:I10" totalsRowShown="0">
  <autoFilter ref="H2:I10" xr:uid="{317BDFFA-634B-403D-A0BF-A975A72B4797}"/>
  <tableColumns count="2">
    <tableColumn id="1" xr3:uid="{A62564BD-8350-4EB7-8AC9-B55D879B06BF}" name="SUPER"/>
    <tableColumn id="2" xr3:uid="{8BDF90FC-C724-4200-9E82-09708F8CA8F4}" name="MET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L8:R128" totalsRowShown="0" headerRowBorderDxfId="150" tableBorderDxfId="149">
  <autoFilter ref="L8:R128" xr:uid="{4A270262-D445-41EE-9E8E-99052505C698}"/>
  <tableColumns count="7">
    <tableColumn id="5" xr3:uid="{7DCCE7D7-602C-46C5-914E-E7BE083329A3}" name="ORDEN"/>
    <tableColumn id="2" xr3:uid="{ED28E462-F988-4D79-8917-612828B3B45E}" name="AL_AC" dataDxfId="148"/>
    <tableColumn id="3" xr3:uid="{1B1E8B7A-D562-46FD-89DE-12ADBC7146F2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6D33B8AF-7CAE-4FC5-8346-3D1A1781A050}" name="ASER_" dataDxfId="147">
      <calculatedColumnFormula>SETIEMBRE_2025!#REF!</calculatedColumnFormula>
    </tableColumn>
    <tableColumn id="1" xr3:uid="{B2C9AE52-4849-4DBA-83AD-3E350CC25C2D}" name="SUPERVISOR" dataDxfId="146">
      <calculatedColumnFormula>IF(DATA_ABRIL_2025[[#This Row],[ASER_]]="","",F3)</calculatedColumnFormula>
    </tableColumn>
    <tableColumn id="6" xr3:uid="{9C2D93B7-85A2-4E07-8DD4-3C81F7BF7EBF}" name="RECUPERO" dataDxfId="145">
      <calculatedColumnFormula>IF(DATA_ABRIL_2025[[#This Row],[SUPERVISOR]]="","",D3)</calculatedColumnFormula>
    </tableColumn>
    <tableColumn id="7" xr3:uid="{8F4173FF-BB8D-4C61-A5E9-1B6F872C619C}" name="META" dataDxfId="144">
      <calculatedColumnFormula>IF(DATA_ABRIL_2025[[#This Row],[RECUPERO]]="","",VLOOKUP(DATA_ABRIL_2025[[#This Row],[SUPERVISOR]],$H:$I,2,0))</calculatedColumnFormula>
    </tableColumn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" displayName="D1_MAYO" ref="A2:F122" totalsRowShown="0">
  <autoFilter ref="A2:F122" xr:uid="{4C741D8E-BF5F-47B0-9DC2-611AD28D3273}"/>
  <tableColumns count="6">
    <tableColumn id="1" xr3:uid="{E152AEAC-0614-4AEE-89A1-C0945D3B66A9}" name="SUPER"/>
    <tableColumn id="2" xr3:uid="{A339CB3C-4A69-436B-9231-4EBB2149CD4A}" name="Columna1">
      <calculatedColumnFormula>TRIM(C3)</calculatedColumnFormula>
    </tableColumn>
    <tableColumn id="3" xr3:uid="{808825E8-928F-40C5-BB2B-D49A4451356F}" name="ASESOR"/>
    <tableColumn id="4" xr3:uid="{4F30B4EF-5496-4464-9B60-C442DE0D4AD3}" name="RECUPERO"/>
    <tableColumn id="5" xr3:uid="{5FAC7613-1036-4D50-9A09-AB4F41D88D12}" name="ALCANCE" dataDxfId="143">
      <calculatedColumnFormula>D1_MAYO[[#This Row],[RECUPERO]]/VLOOKUP(F3,$H:$I,2,0)</calculatedColumnFormula>
    </tableColumn>
    <tableColumn id="6" xr3:uid="{373B07DA-C176-4486-843D-36C5A3043867}" name="SUPER2">
      <calculatedColumnFormula>D1_MAYO[[#This Row],[SUPER]]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83629EB-935A-4BE2-AAD5-D371898EC94B}" name="META_MAYO_2025" displayName="META_MAYO_2025" ref="H2:I10" totalsRowShown="0">
  <autoFilter ref="H2:I10" xr:uid="{683629EB-935A-4BE2-AAD5-D371898EC94B}"/>
  <tableColumns count="2">
    <tableColumn id="1" xr3:uid="{E577D68C-0BAF-47DF-86D2-75CF52EC1F40}" name="SUPER"/>
    <tableColumn id="2" xr3:uid="{A18ADF2A-C19F-479A-85DC-B089EBE1A1FB}" name="ME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L8:R128" totalsRowShown="0" headerRowBorderDxfId="142" tableBorderDxfId="141">
  <autoFilter ref="L8:R128" xr:uid="{3430F05E-BC8F-402B-8A1E-08930825C5B5}"/>
  <tableColumns count="7">
    <tableColumn id="5" xr3:uid="{C0C0DC4C-762F-4EFB-912E-26F063D1126A}" name="ORDEN"/>
    <tableColumn id="2" xr3:uid="{C6ACB1FD-DF21-4A7E-80CD-085902D05EAD}" name="AL_AC" dataDxfId="140"/>
    <tableColumn id="3" xr3:uid="{8551335D-BE40-494B-A806-42FAA211C20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36910F71-69E2-4AEC-B8CA-2C37E31DD6F2}" name="ASER_" dataDxfId="139">
      <calculatedColumnFormula>SETIEMBRE_2025!#REF!</calculatedColumnFormula>
    </tableColumn>
    <tableColumn id="1" xr3:uid="{1F17A9F8-FF2D-4D38-ADF0-9C21DD7CE96D}" name="SUPERVISOR" dataDxfId="138">
      <calculatedColumnFormula>IF(DATA_MAYO_2025[[#This Row],[ASER_]]="","",F3)</calculatedColumnFormula>
    </tableColumn>
    <tableColumn id="6" xr3:uid="{85DC5B94-4FF7-4224-A993-E56A00A5F6DA}" name="RECUPERO" dataDxfId="137">
      <calculatedColumnFormula>IF(DATA_MAYO_2025[[#This Row],[SUPERVISOR]]="","",D3)</calculatedColumnFormula>
    </tableColumn>
    <tableColumn id="7" xr3:uid="{E2EB46E1-D5BC-46B2-859F-8C05EBBE26F5}" name="META" dataDxfId="136">
      <calculatedColumnFormula>IF(DATA_MAYO_2025[[#This Row],[RECUPERO]]="","",VLOOKUP(DATA_MAYO_2025[[#This Row],[SUPERVISOR]],$H:$I,2,0))</calculatedColumnFormula>
    </tableColumn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" displayName="D1_JUNIO" ref="A2:F122" totalsRowShown="0">
  <autoFilter ref="A2:F122" xr:uid="{64C0DE59-0F83-4A2B-97E4-DFA4A01B849B}"/>
  <tableColumns count="6">
    <tableColumn id="1" xr3:uid="{BE333B5A-1A5B-4E73-9860-1AA45E4E9980}" name="SUPER"/>
    <tableColumn id="2" xr3:uid="{877210DA-3F05-4E03-80B9-BC02A44F0C24}" name="Columna1">
      <calculatedColumnFormula>TRIM(C3)</calculatedColumnFormula>
    </tableColumn>
    <tableColumn id="3" xr3:uid="{7DD4B70A-E8F7-43D2-86C8-77AB892B7A01}" name="ASESOR"/>
    <tableColumn id="4" xr3:uid="{C8B374A9-FA66-4CE7-BEA1-33A15E8F71DA}" name="RECUPERO"/>
    <tableColumn id="5" xr3:uid="{1BF578D9-FB1B-48B0-B732-40F721FD7C19}" name="ALCANCE" dataDxfId="135">
      <calculatedColumnFormula>D1_JUNIO[[#This Row],[RECUPERO]]/VLOOKUP(F3,$H:$I,2,0)</calculatedColumnFormula>
    </tableColumn>
    <tableColumn id="6" xr3:uid="{CA995F17-DCA5-4D19-B2E1-FD9362121A39}" name="SUPER2">
      <calculatedColumnFormula>D1_JUNIO[[#This Row],[SUPER]]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42A6DC7-37BA-47B7-9FD5-8E0639117684}" name="META_JUNIO_2025" displayName="META_JUNIO_2025" ref="H2:I10" totalsRowShown="0">
  <autoFilter ref="H2:I10" xr:uid="{842A6DC7-37BA-47B7-9FD5-8E0639117684}"/>
  <tableColumns count="2">
    <tableColumn id="1" xr3:uid="{5D574963-6EDC-4834-8D8D-37828494ACF1}" name="SUPER"/>
    <tableColumn id="2" xr3:uid="{902553D3-A2E1-4B05-9836-3B529530181C}" name="META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L8:R128" totalsRowShown="0" headerRowBorderDxfId="134" tableBorderDxfId="133">
  <autoFilter ref="L8:R128" xr:uid="{97B1AEE0-937A-4085-8A6E-FCEB23E4FC30}"/>
  <tableColumns count="7">
    <tableColumn id="5" xr3:uid="{51BAE0B5-0B6B-479F-A086-97F6F840605B}" name="ORDEN"/>
    <tableColumn id="2" xr3:uid="{1850D85D-70AA-4C8C-B259-0C0B744B6CE0}" name="AL_AC" dataDxfId="132"/>
    <tableColumn id="3" xr3:uid="{78E201C6-658E-4437-AC52-3D0E669D8389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281452D0-62A2-48EC-8B26-E671FD115D59}" name="ASER_" dataDxfId="131">
      <calculatedColumnFormula>SETIEMBRE_2025!#REF!</calculatedColumnFormula>
    </tableColumn>
    <tableColumn id="1" xr3:uid="{C1D03C86-C680-4F57-A317-59AA1FC8881C}" name="SUPERVISOR" dataDxfId="130">
      <calculatedColumnFormula>IF(DATA_JUNIO_2025[[#This Row],[ASER_]]="","",F3)</calculatedColumnFormula>
    </tableColumn>
    <tableColumn id="6" xr3:uid="{3AD4A449-DB0B-4879-AD61-28FA40E45717}" name="RECUPERO" dataDxfId="129">
      <calculatedColumnFormula>IF(DATA_JUNIO_2025[[#This Row],[SUPERVISOR]]="","",D3)</calculatedColumnFormula>
    </tableColumn>
    <tableColumn id="7" xr3:uid="{2BD9FB92-38FC-44A8-B5F2-890569E48C37}" name="META" dataDxfId="128">
      <calculatedColumnFormula>IF(DATA_JUNIO_2025[[#This Row],[RECUPERO]]="","",VLOOKUP(DATA_JUNIO_2025[[#This Row],[SUPERVISOR]],$H:$I,2,0))</calculatedColumnFormula>
    </tableColumn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L8:R104" totalsRowShown="0" headerRowBorderDxfId="127" tableBorderDxfId="126">
  <autoFilter ref="L8:R104" xr:uid="{13D0755C-A8D1-41FD-8722-0AA4CD765999}"/>
  <tableColumns count="7">
    <tableColumn id="1" xr3:uid="{E22903C5-112C-4BC5-B710-C40CCECDB3E4}" name="POS_"/>
    <tableColumn id="2" xr3:uid="{72C3FA18-E65D-4943-AF0A-CD7AC5502A56}" name="AL_AC" dataDxfId="125">
      <calculatedColumnFormula>E3</calculatedColumnFormula>
    </tableColumn>
    <tableColumn id="3" xr3:uid="{1754C817-3C23-490F-BEA3-3ACD2AC34A65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0471132D-C890-40E3-9BA3-13E8277CB45D}" name="ASER_" dataDxfId="124">
      <calculatedColumnFormula>IF(DATA_JULIO_2025[[#This Row],[CLASIFICACIÓN]]="","","SIN APLICACIONES")</calculatedColumnFormula>
    </tableColumn>
    <tableColumn id="5" xr3:uid="{635B51D1-72B4-46A4-B795-4985950C2B5D}" name="SUPERVISOR" dataDxfId="123">
      <calculatedColumnFormula>IF(DATA_JULIO_2025[[#This Row],[ASER_]]="","",F3)</calculatedColumnFormula>
    </tableColumn>
    <tableColumn id="6" xr3:uid="{BCDF5A35-E274-481A-8FAA-7585E0413D78}" name="RECUPERO" dataDxfId="122">
      <calculatedColumnFormula>IF(DATA_JULIO_2025[[#This Row],[SUPERVISOR]]="","",D3)</calculatedColumnFormula>
    </tableColumn>
    <tableColumn id="7" xr3:uid="{8DE1FEE0-51D3-4EA8-A46E-89BEBA12056E}" name="META" dataDxfId="121">
      <calculatedColumnFormula>IF(DATA_JULIO_2025[[#This Row],[RECUPERO]]="","",VLOOKUP(DATA_JULIO_2025[[#This Row],[SUPERVISOR]],$H:$I,2,0))</calculatedColumnFormula>
    </tableColumn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" displayName="D1_JULIO" ref="A2:F98" totalsRowShown="0" headerRowDxfId="120" dataDxfId="118" headerRowBorderDxfId="119" tableBorderDxfId="117">
  <autoFilter ref="A2:F98" xr:uid="{F460AB3C-55A7-4610-B74D-44400B82E396}"/>
  <tableColumns count="6">
    <tableColumn id="1" xr3:uid="{174E92CC-5FBB-42E6-ABBA-A2148115201A}" name="SUPER" dataDxfId="116"/>
    <tableColumn id="6" xr3:uid="{D87E1435-21B2-485D-8BCD-1C27FC523EEA}" name="Columna1" dataDxfId="115">
      <calculatedColumnFormula>TRIM(D1_JULIO[[#This Row],[ASESOR]])</calculatedColumnFormula>
    </tableColumn>
    <tableColumn id="2" xr3:uid="{FC570054-965C-4F29-B04A-C58608AEAECA}" name="ASESOR" dataDxfId="114"/>
    <tableColumn id="3" xr3:uid="{CF023A93-4AFB-4349-9235-179A60BC2249}" name="RECUPERO" dataDxfId="113"/>
    <tableColumn id="4" xr3:uid="{6F567985-92B6-498E-BDE9-81AA438ECD22}" name="ALCANCE" dataDxfId="112">
      <calculatedColumnFormula>D1_JULIO[[#This Row],[RECUPERO]]/VLOOKUP(F3,$H:$I,2,0)</calculatedColumnFormula>
    </tableColumn>
    <tableColumn id="5" xr3:uid="{2DFC340F-6B74-4E64-B475-782D4A5F8B3E}" name="SUPER2" dataDxfId="111">
      <calculatedColumnFormula>D1_JULIO[[#This Row],[SUPER]]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938B38-43D5-4DA2-89E9-66F93B239422}" name="META_JULIO_2025" displayName="META_JULIO_2025" ref="H2:I10" totalsRowShown="0" headerRowDxfId="110" dataDxfId="109">
  <autoFilter ref="H2:I10" xr:uid="{A8938B38-43D5-4DA2-89E9-66F93B239422}"/>
  <tableColumns count="2">
    <tableColumn id="1" xr3:uid="{A10EFFE8-FC7C-4E2A-A383-EA6383B5998F}" name="SUPER" dataDxfId="108"/>
    <tableColumn id="2" xr3:uid="{3DFBB43F-D58E-4191-BD61-9DC8042F3625}" name="META" dataDxfId="10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" displayName="D1_AGOSTO" ref="A2:F98" totalsRowShown="0" headerRowDxfId="106" dataDxfId="104" headerRowBorderDxfId="105" tableBorderDxfId="103">
  <autoFilter ref="A2:F98" xr:uid="{816CEBCE-101B-42C2-A45C-8113A647428A}"/>
  <tableColumns count="6">
    <tableColumn id="1" xr3:uid="{596664E6-24CF-4AF3-A84D-121AC4745B4C}" name="SUPER" dataDxfId="102"/>
    <tableColumn id="6" xr3:uid="{CA4B13E9-2CAB-42E2-A028-4DFB844CF726}" name="Columna1" dataDxfId="101">
      <calculatedColumnFormula>TRIM(D1_AGOSTO[[#This Row],[ASESOR]])</calculatedColumnFormula>
    </tableColumn>
    <tableColumn id="2" xr3:uid="{B3C2F90C-6F59-4998-9F82-960596BF09D8}" name="ASESOR" dataDxfId="100"/>
    <tableColumn id="3" xr3:uid="{6CE379C4-19C8-4C90-81DB-EA83E873B03A}" name="RECUPERO" dataDxfId="99"/>
    <tableColumn id="4" xr3:uid="{9AE19661-0B03-4D03-9661-4B81FCE456D3}" name="ALCANCE" dataDxfId="98">
      <calculatedColumnFormula>D1_AGOSTO[[#This Row],[RECUPERO]]/VLOOKUP(F3,$H:$I,2,0)</calculatedColumnFormula>
    </tableColumn>
    <tableColumn id="5" xr3:uid="{9CCAC285-FD2E-415B-BE6E-AD7E20CECF29}" name="SUPER2" dataDxfId="97">
      <calculatedColumnFormula>D1_AGOSTO[[#This Row],[SUPER]]</calculatedColumnFormula>
    </tableColumn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8986F0-A008-451C-A74B-CD787AEDD670}" name="META_AGOSTO_2025" displayName="META_AGOSTO_2025" ref="H2:I10" totalsRowShown="0" headerRowDxfId="96" dataDxfId="95">
  <autoFilter ref="H2:I10" xr:uid="{FE8986F0-A008-451C-A74B-CD787AEDD670}"/>
  <tableColumns count="2">
    <tableColumn id="1" xr3:uid="{D6A73016-B9CD-4F3A-8862-6100900A75A8}" name="SUPER" dataDxfId="94"/>
    <tableColumn id="2" xr3:uid="{F3335546-A4CC-4DDB-906D-A6EC5B14A943}" name="META" dataDxfId="9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L8:R104" totalsRowShown="0" headerRowBorderDxfId="92" tableBorderDxfId="91">
  <autoFilter ref="L8:R104" xr:uid="{DB356FA9-1639-4BCD-8041-CDF840B60928}"/>
  <tableColumns count="7">
    <tableColumn id="5" xr3:uid="{1484B0D7-D66C-40AD-8C67-9ADDF395EA90}" name="ORDEN"/>
    <tableColumn id="2" xr3:uid="{1BEFB030-F8FC-467E-8D03-CF9E8433E11F}" name="AL_AC" dataDxfId="90"/>
    <tableColumn id="3" xr3:uid="{88C3CECE-F881-4C05-BA2B-95B253894A39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B7ABA233-3B45-4E2E-81FB-FA5E5B50F6FC}" name="ASER_" dataDxfId="89">
      <calculatedColumnFormula>SETIEMBRE_2025!#REF!</calculatedColumnFormula>
    </tableColumn>
    <tableColumn id="1" xr3:uid="{F581F4DA-B6F3-4641-93F9-FB4CABD3B045}" name="SUPERVISOR" dataDxfId="88">
      <calculatedColumnFormula>IF(DATA_AGOSTO_2025[[#This Row],[ASER_]]="","",F3)</calculatedColumnFormula>
    </tableColumn>
    <tableColumn id="6" xr3:uid="{40820BC6-7E2D-416A-AC23-B4520FC0957D}" name="RECUPERO" dataDxfId="87">
      <calculatedColumnFormula>IF(DATA_AGOSTO_2025[[#This Row],[SUPERVISOR]]="","",D3)</calculatedColumnFormula>
    </tableColumn>
    <tableColumn id="7" xr3:uid="{F7BC8835-EC2E-4047-8AE9-C742ABE03445}" name="META" dataDxfId="86">
      <calculatedColumnFormula>IF(DATA_AGOSTO_2025[[#This Row],[RECUPERO]]="","",VLOOKUP(DATA_AGOSTO_2025[[#This Row],[SUPERVISOR]],$H:$I,2,0))</calculatedColumnFormula>
    </tableColumn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" displayName="D1_SETIEMBRE" ref="A2:F98" totalsRowShown="0" headerRowDxfId="85" dataDxfId="83" headerRowBorderDxfId="84" tableBorderDxfId="82">
  <autoFilter ref="A2:F98" xr:uid="{111BC5E6-A71D-437E-ABD5-0E09FCDEF3FD}"/>
  <tableColumns count="6">
    <tableColumn id="1" xr3:uid="{EABDBA5F-3C1B-4AC8-8F40-8C9EED5560F3}" name="SUPER" dataDxfId="81"/>
    <tableColumn id="6" xr3:uid="{C37701A2-99CA-45B9-AA89-63D54C88C5B9}" name="Columna1" dataDxfId="80">
      <calculatedColumnFormula>TRIM(D1_SETIEMBRE[[#This Row],[ASESOR]])</calculatedColumnFormula>
    </tableColumn>
    <tableColumn id="2" xr3:uid="{8360BA59-782B-4699-ABEA-458A3C9299AD}" name="ASESOR" dataDxfId="79"/>
    <tableColumn id="3" xr3:uid="{BD5C8833-8CBB-40D9-BC66-F164208CFEC0}" name="RECUPERO" dataDxfId="78"/>
    <tableColumn id="4" xr3:uid="{91470BB1-1A8E-4802-9D93-28E5A1DF6790}" name="ALCANCE" dataDxfId="77"/>
    <tableColumn id="5" xr3:uid="{2B49EE5D-87EB-458C-99B1-7F94B8EDDE4B}" name="SUPER2" dataDxfId="76">
      <calculatedColumnFormula>D1_SETIEMBRE[[#This Row],[SUPER]]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AD636041-8478-4CEC-A658-207E0F594A60}" name="META_SETIEMBRE_2025" displayName="META_SETIEMBRE_2025" ref="H2:I80" totalsRowShown="0" headerRowDxfId="75" dataDxfId="74">
  <autoFilter ref="H2:I80" xr:uid="{AD636041-8478-4CEC-A658-207E0F594A60}"/>
  <tableColumns count="2">
    <tableColumn id="1" xr3:uid="{9B92E522-8FC3-454F-B58A-71B964FD1737}" name="ASESOR" dataDxfId="73"/>
    <tableColumn id="2" xr3:uid="{11D84168-B735-4557-9B6C-D5125DC112BB}" name="META" dataDxfId="72">
      <calculatedColumnFormula>VLOOKUP(META_SETIEMBRE_2025[[#This Row],[ASESOR]],$B:$E,3,0)/VLOOKUP(META_SETIEMBRE_2025[[#This Row],[ASESOR]],$B:$E,4,0)</calculatedColumnFormula>
    </tableColumn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L8:R104" totalsRowShown="0" headerRowBorderDxfId="71" tableBorderDxfId="70">
  <autoFilter ref="L8:R104" xr:uid="{91775BD2-E36D-479B-95DE-48127C3410BC}"/>
  <tableColumns count="7">
    <tableColumn id="5" xr3:uid="{1CF4BE0E-4FAB-49C6-9223-65C01E260771}" name="ORDEN"/>
    <tableColumn id="2" xr3:uid="{033A6CF7-EC22-4EEE-8FF0-8C343161421D}" name="AL_AC" dataDxfId="69"/>
    <tableColumn id="3" xr3:uid="{2234E43A-FB04-4BD5-A5FB-BE681630D39D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98491906-C3E6-4CCF-96D0-36184A648156}" name="ASER_" dataDxfId="68">
      <calculatedColumnFormula>SETIEMBRE_2025!#REF!</calculatedColumnFormula>
    </tableColumn>
    <tableColumn id="1" xr3:uid="{E68E03C4-584B-48EC-AA41-D10E171DF6E2}" name="SUPERVISOR" dataDxfId="67">
      <calculatedColumnFormula>IF(DATA_SETIEMBRE_2025[[#This Row],[ASER_]]="","",F3)</calculatedColumnFormula>
    </tableColumn>
    <tableColumn id="6" xr3:uid="{8FEE60A3-7153-47ED-82A3-25E3E95BD5B9}" name="RECUPERO" dataDxfId="66">
      <calculatedColumnFormula>IF(DATA_SETIEMBRE_2025[[#This Row],[SUPERVISOR]]="","",D3)</calculatedColumnFormula>
    </tableColumn>
    <tableColumn id="7" xr3:uid="{E04CAAD7-B73B-4C55-948C-E9B5C27C468E}" name="META" dataDxfId="65">
      <calculatedColumnFormula>IF(DATA_SETIEMBRE_2025[[#This Row],[RECUPERO]]="","",VLOOKUP(DATA_SETIEMBRE_2025[[#This Row],[ASER_]],$H:$I,2,0))</calculatedColumnFormula>
    </tableColumn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" displayName="D1_OCTUBRE" ref="A2:F122" totalsRowShown="0">
  <autoFilter ref="A2:F122" xr:uid="{4538E234-E304-4CD8-A847-B72CD7C8B45D}"/>
  <tableColumns count="6">
    <tableColumn id="1" xr3:uid="{50470B3C-4850-458E-BED8-112F63BB3ACF}" name="SUPER"/>
    <tableColumn id="2" xr3:uid="{F731A8EB-194B-44CE-89D7-4F18061B7145}" name="ASESOR_CRR">
      <calculatedColumnFormula>TRIM(D1_OCTUBRE[[#This Row],[ASESOR]])</calculatedColumnFormula>
    </tableColumn>
    <tableColumn id="3" xr3:uid="{6FF7DD0E-9E2A-41C7-B49D-2C313D6FADFD}" name="ASESOR"/>
    <tableColumn id="4" xr3:uid="{E417C796-F642-4AC0-8458-3581DED35D66}" name="RECUPERO"/>
    <tableColumn id="5" xr3:uid="{2D06A3B4-3271-49A3-9C7C-FFC311CAB0D8}" name="ALCANCE"/>
    <tableColumn id="6" xr3:uid="{7C83291E-5126-4377-B991-EBB23328360F}" name="SUPER2">
      <calculatedColumnFormula>D1_OCTUBRE[[#This Row],[SUPER]]</calculatedColumnFormula>
    </tableColumn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39BC1C58-FFF0-4F17-A945-322548D1C515}" name="META_OCTUBRE_2025" displayName="META_OCTUBRE_2025" ref="H2:I10" totalsRowShown="0" headerRowDxfId="64" dataDxfId="63" tableBorderDxfId="62">
  <autoFilter ref="H2:I10" xr:uid="{39BC1C58-FFF0-4F17-A945-322548D1C515}"/>
  <tableColumns count="2">
    <tableColumn id="1" xr3:uid="{48CCFA65-B8EC-4AC0-A7AB-F92B3BF0DDBB}" name="EQUIPO" dataDxfId="61"/>
    <tableColumn id="2" xr3:uid="{2F769AB8-ABEA-43F5-85FA-F4F57FE7C169}" name="META" dataDxfId="6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L8:AN128" totalsRowShown="0" headerRowBorderDxfId="27" tableBorderDxfId="28">
  <autoFilter ref="L8:AN128" xr:uid="{9F0A99F2-3C50-482B-B8B8-6D475831019E}"/>
  <tableColumns count="29">
    <tableColumn id="5" xr3:uid="{1B15A4FD-BDA6-4277-BE48-B00A72E8A68D}" name="ORDEN"/>
    <tableColumn id="2" xr3:uid="{FD017399-1781-4BF7-BF22-C61DBDB7CC6F}" name="AL_AC" dataDxfId="26"/>
    <tableColumn id="3" xr3:uid="{EE681579-D463-48E9-A57F-B73D04925E37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B03F71B4-D73E-47CB-8F19-B1EBCB980D51}" name="ASER_" dataDxfId="25">
      <calculatedColumnFormula>SETIEMBRE_2025!#REF!</calculatedColumnFormula>
    </tableColumn>
    <tableColumn id="1" xr3:uid="{DDD85E5B-35ED-4EC0-8A85-7316C4176729}" name="SUPERVISOR" dataDxfId="24">
      <calculatedColumnFormula>IF(DATA_OCTUBRE_2025[[#This Row],[ASER_]]="","",F3)</calculatedColumnFormula>
    </tableColumn>
    <tableColumn id="6" xr3:uid="{3B45E8CF-4BCD-492C-B1A3-3E157855AA4E}" name="RECUPERO" dataDxfId="23">
      <calculatedColumnFormula>IF(DATA_OCTUBRE_2025[[#This Row],[SUPERVISOR]]="","",D3)</calculatedColumnFormula>
    </tableColumn>
    <tableColumn id="7" xr3:uid="{2D762908-0860-493B-A482-9514EAD41E9B}" name="META" dataDxfId="22">
      <calculatedColumnFormula>IF(DATA_OCTUBRE_2025[[#This Row],[RECUPERO]]="","",VLOOKUP(DATA_OCTUBRE_2025[[#This Row],[SUPERVISOR]],$H:$I,2,0))</calculatedColumnFormula>
    </tableColumn>
    <tableColumn id="8" xr3:uid="{DADEF8E1-B4EF-4A54-BDEA-772F65B2659B}" name="1-Oct" dataDxfId="0"/>
    <tableColumn id="9" xr3:uid="{09759773-B387-4885-980B-3377FCF2784C}" name="2-Oct" dataDxfId="21"/>
    <tableColumn id="10" xr3:uid="{0BEF3C74-7822-4935-9DEF-DBB8EF94B2E8}" name="3-Oct" dataDxfId="20"/>
    <tableColumn id="11" xr3:uid="{AB623BA8-8BC3-4899-82B4-0D2F75C64AC1}" name="6-Oct" dataDxfId="19"/>
    <tableColumn id="12" xr3:uid="{F3FF380C-FA1C-400D-953D-2426EC1D78FF}" name="7-Oct" dataDxfId="18"/>
    <tableColumn id="13" xr3:uid="{513A526B-B8DC-4F0A-BB71-A3C5DCBEE598}" name="9-Oct" dataDxfId="17"/>
    <tableColumn id="14" xr3:uid="{FE79AC7F-62E7-4115-BE1B-AAF936521653}" name="10-Oct" dataDxfId="16"/>
    <tableColumn id="15" xr3:uid="{68C170E4-F271-468B-91F8-3408D287CC52}" name="13-Oct" dataDxfId="15"/>
    <tableColumn id="16" xr3:uid="{AD7DCB27-1227-49CE-B962-67316F312A49}" name="14-Oct" dataDxfId="14"/>
    <tableColumn id="17" xr3:uid="{A28A426F-20DF-4E28-817D-D45F6DE67B10}" name="15-Oct" dataDxfId="13"/>
    <tableColumn id="18" xr3:uid="{E8A185AF-1E28-4F0F-9855-74F54DBD006B}" name="16-Oct" dataDxfId="12"/>
    <tableColumn id="19" xr3:uid="{63732328-29EA-40C6-ACD8-4B4DD4B4CF86}" name="17-Oct" dataDxfId="11"/>
    <tableColumn id="20" xr3:uid="{310FCF67-D23C-4020-A281-2A5E20DFB23F}" name="20-Oct" dataDxfId="10"/>
    <tableColumn id="21" xr3:uid="{C17C4587-18F5-4FBD-868F-EBEC86A07A20}" name="21-Oct" dataDxfId="9"/>
    <tableColumn id="22" xr3:uid="{A943FEC5-F867-455B-820F-28C4395DB276}" name="22-Oct" dataDxfId="8"/>
    <tableColumn id="23" xr3:uid="{A8FFD2FC-7F1E-4386-AF41-D5EEEF19CDD0}" name="23-Oct" dataDxfId="7"/>
    <tableColumn id="24" xr3:uid="{ADF6FE87-D285-4286-AA45-3909EFB078E5}" name="24-Oct" dataDxfId="6"/>
    <tableColumn id="25" xr3:uid="{2F0BE83F-F151-4F99-839F-143CA77B5B85}" name="27-Oct" dataDxfId="5"/>
    <tableColumn id="26" xr3:uid="{380107E6-E719-4EEB-80BE-3FC920AAB0D8}" name="28-Oct" dataDxfId="4"/>
    <tableColumn id="27" xr3:uid="{E4578405-DBB6-4571-976F-D9686E90472D}" name="29-Oct" dataDxfId="3"/>
    <tableColumn id="28" xr3:uid="{C03A0B6A-D740-474A-B5C0-16AD1C50D0EF}" name="30-Oct" dataDxfId="2"/>
    <tableColumn id="29" xr3:uid="{ABC45238-95B8-44E1-B32D-323E0E09BD1E}" name="31-Oct" dataDxfId="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NOVIEMBRE_2025" displayName="DATA_NOVIEMBRE_2025" ref="L8:AM98" totalsRowShown="0" headerRowBorderDxfId="59" tableBorderDxfId="58">
  <autoFilter ref="L8:AM98" xr:uid="{C43AC382-896C-48E3-967E-003D8C3BB4E1}"/>
  <tableColumns count="28">
    <tableColumn id="5" xr3:uid="{5EF1BDF5-5D92-451B-B3FE-9C0C3F273754}" name="ORDEN"/>
    <tableColumn id="2" xr3:uid="{6F4F1AB6-BBA7-498F-8826-77193C5F7DE1}" name="AL_AC" dataDxfId="57"/>
    <tableColumn id="3" xr3:uid="{5B364BF8-EC26-46F2-AE51-3F83141DA05A}" name="CLASIFICACIÓN">
      <calculatedColumnFormula array="1">IFERROR(_xlfn.IFS(M9&gt;100%,"&gt;100%",AND(M9&lt;100%,M9&gt;70%),"&gt;70%",AND(M9&lt;70%,M9&gt;40%),"&gt;40%",AND(M9&lt;40%,M9&gt;0%),"&gt;0%"),"")</calculatedColumnFormula>
    </tableColumn>
    <tableColumn id="4" xr3:uid="{DA0D3C8E-070D-4088-AECD-5F2EBC6508EA}" name="ASER_" dataDxfId="56">
      <calculatedColumnFormula>SETIEMBRE_2025!#REF!</calculatedColumnFormula>
    </tableColumn>
    <tableColumn id="1" xr3:uid="{9CEE94D1-F610-44F2-BECC-051BA76BFF42}" name="SUPERVISOR" dataDxfId="55">
      <calculatedColumnFormula>IF(DATA_NOVIEMBRE_2025[[#This Row],[ASER_]]="","",F3)</calculatedColumnFormula>
    </tableColumn>
    <tableColumn id="6" xr3:uid="{3562AB11-2CE4-4155-B81B-115DFB69AAAB}" name="RECUPERO" dataDxfId="54">
      <calculatedColumnFormula>IF(DATA_NOVIEMBRE_2025[[#This Row],[SUPERVISOR]]="","",D3)</calculatedColumnFormula>
    </tableColumn>
    <tableColumn id="7" xr3:uid="{AC7A2592-ACAD-4ED6-8351-E4B65FF33302}" name="META" dataDxfId="53">
      <calculatedColumnFormula>IF(DATA_NOVIEMBRE_2025[[#This Row],[RECUPERO]]="","",VLOOKUP(DATA_NOVIEMBRE_2025[[#This Row],[SUPERVISOR]],$H:$I,2,0))</calculatedColumnFormula>
    </tableColumn>
    <tableColumn id="8" xr3:uid="{D7FBF1F2-5A46-485F-925D-86EC9088EE46}" name="3-Nov" dataDxfId="29"/>
    <tableColumn id="9" xr3:uid="{98D48677-E650-4067-8686-1CC9080B6D71}" name="4-Nov" dataDxfId="49"/>
    <tableColumn id="10" xr3:uid="{A974A4A9-21AF-43B2-9C93-C6F103E8C411}" name="5-Nov" dataDxfId="48"/>
    <tableColumn id="11" xr3:uid="{D058D028-4AAB-47B9-A7D3-876CEDD146AA}" name="6-Nov" dataDxfId="47"/>
    <tableColumn id="12" xr3:uid="{307618CA-E43D-42A3-8C03-88388003A5BF}" name="7-Nov" dataDxfId="46"/>
    <tableColumn id="13" xr3:uid="{65D16E27-3C15-4385-9A4F-B28821EF4DF6}" name="10-Nov" dataDxfId="45"/>
    <tableColumn id="14" xr3:uid="{5A29EA5C-756B-4F6D-B764-BBEF2AB98C7D}" name="11-Nov" dataDxfId="44"/>
    <tableColumn id="15" xr3:uid="{3B9CE493-BFF8-40F7-8EBA-E6D80D76579A}" name="12-Nov" dataDxfId="43"/>
    <tableColumn id="16" xr3:uid="{AEBDE2A8-76B9-42D9-9059-4EA0D9C9EF1E}" name="13-Nov" dataDxfId="42"/>
    <tableColumn id="17" xr3:uid="{0874DB56-268A-4369-AFDE-AC61ECA55C23}" name="14-Nov" dataDxfId="41"/>
    <tableColumn id="18" xr3:uid="{E7197C37-94F8-4DE8-B898-F87CE13A355A}" name="17-Nov" dataDxfId="40"/>
    <tableColumn id="19" xr3:uid="{0266C1AC-EA27-4324-B7B0-8AB3B4A997D1}" name="18-Nov" dataDxfId="39"/>
    <tableColumn id="20" xr3:uid="{645E39B2-DC80-4E66-9458-0C362658FA9E}" name="19-Nov" dataDxfId="38"/>
    <tableColumn id="21" xr3:uid="{D0A909F0-E9C1-4BFB-A1C7-251196BA5DC0}" name="20-Nov" dataDxfId="37"/>
    <tableColumn id="22" xr3:uid="{CD196172-6AE3-4DE5-A06F-949E71EBEB0F}" name="21-Nov" dataDxfId="36"/>
    <tableColumn id="23" xr3:uid="{F4228B36-78DF-4ADD-88C1-72728A3AEB39}" name="24-Nov" dataDxfId="35"/>
    <tableColumn id="24" xr3:uid="{E94F1207-568E-4B89-8DB0-06CEBC5513E0}" name="25-Nov" dataDxfId="34"/>
    <tableColumn id="25" xr3:uid="{8DA8D870-2FE5-422D-A1EF-11DB81F83097}" name="26-Nov" dataDxfId="33"/>
    <tableColumn id="26" xr3:uid="{05239370-8193-46BE-88F4-2AF50C4EE933}" name="27-Nov" dataDxfId="32"/>
    <tableColumn id="27" xr3:uid="{4E2EACE7-D086-48AE-8978-61BE828A248B}" name="28-Nov" dataDxfId="31"/>
    <tableColumn id="28" xr3:uid="{E248E0E8-22FB-49C9-96AB-D19BD6FF27FC}" name="29-Nov" dataDxfId="30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NOVIEMBRE" displayName="D1_NOVIEMBRE" ref="A2:F92" totalsRowShown="0">
  <autoFilter ref="A2:F92" xr:uid="{AB1967BC-98FE-49B9-B96E-7F91454A75DF}"/>
  <tableColumns count="6">
    <tableColumn id="1" xr3:uid="{E8C9BFA3-A821-4545-B3F0-1D85338E10F0}" name="SUPER"/>
    <tableColumn id="2" xr3:uid="{3FE812CA-3CC6-4126-82E1-67F5FCA4D1F0}" name="ASESOR_CRR" dataDxfId="52">
      <calculatedColumnFormula>TRIM(D1_NOVIEMBRE[[#This Row],[ASESOR]])</calculatedColumnFormula>
    </tableColumn>
    <tableColumn id="3" xr3:uid="{F1B64A76-95A5-4F5B-B635-6563315B9D26}" name="ASESOR"/>
    <tableColumn id="4" xr3:uid="{5F21D798-6962-4BF2-AAD7-57B722912C07}" name="RECUPERO"/>
    <tableColumn id="5" xr3:uid="{7C7088C3-8DB2-45AA-8DFC-FF615EA517B7}" name="ALCANCE" dataDxfId="51">
      <calculatedColumnFormula>IF(AND(D1_NOVIEMBRE[[#This Row],[ASESOR]]&lt;&gt;"",D1_NOVIEMBRE[[#This Row],[RECUPERO]]=0),0.00001,IF(D1_NOVIEMBRE[[#This Row],[ASESOR]]="",0,D1_NOVIEMBRE[[#This Row],[RECUPERO]]/VLOOKUP(D1_NOVIEMBRE[[#This Row],[SUPER2]],META_NOVIEMBRE_2025[],2,0)))</calculatedColumnFormula>
    </tableColumn>
    <tableColumn id="6" xr3:uid="{FDA33CC7-DBD6-405E-8DC1-CD361647FB76}" name="SUPER2" dataDxfId="50">
      <calculatedColumnFormula>IFERROR(VLOOKUP(D1_NOVIEMBRE[[#This Row],[ASESOR_CRR]],Tabla1[],2,0),D1_NOVIEMBRE[[#This Row],[SUPER]])</calculatedColumnFormula>
    </tableColumn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7112316-C14B-4F11-8CD1-D2AC55BDD331}" name="META_NOVIEMBRE_2025" displayName="META_NOVIEMBRE_2025" ref="H2:I9" totalsRowShown="0">
  <autoFilter ref="H2:I9" xr:uid="{57112316-C14B-4F11-8CD1-D2AC55BDD331}"/>
  <tableColumns count="2">
    <tableColumn id="1" xr3:uid="{926B8BDE-1BE2-40AB-B600-63FAC50AEBE0}" name="EQUIPO"/>
    <tableColumn id="2" xr3:uid="{4587E383-4FDD-4F62-AB07-3F44EFB3488A}" name="MET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CAC49-AC1B-4325-8D1D-AF0C1A320360}" name="Tabla1" displayName="Tabla1" ref="H17:I30" totalsRowShown="0">
  <autoFilter ref="H17:I30" xr:uid="{9FBCAC49-AC1B-4325-8D1D-AF0C1A320360}"/>
  <tableColumns count="2">
    <tableColumn id="1" xr3:uid="{75F42702-C0D2-4FE5-8412-53D918A210E8}" name="ASESOR"/>
    <tableColumn id="2" xr3:uid="{1F9059E9-4D4F-408C-98D3-F8247BFAC206}" name="CART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Relationship Id="rId4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R113"/>
  <sheetViews>
    <sheetView zoomScale="85" zoomScaleNormal="85" workbookViewId="0">
      <selection activeCell="C20" sqref="C20"/>
    </sheetView>
  </sheetViews>
  <sheetFormatPr baseColWidth="10" defaultRowHeight="15" x14ac:dyDescent="0.25"/>
  <cols>
    <col min="1" max="1" width="9.28515625" customWidth="1"/>
    <col min="2" max="3" width="22.7109375" customWidth="1"/>
    <col min="4" max="4" width="13.42578125" customWidth="1"/>
    <col min="5" max="5" width="12" customWidth="1"/>
    <col min="6" max="6" width="10.28515625" customWidth="1"/>
    <col min="7" max="7" width="11.42578125" customWidth="1"/>
    <col min="8" max="8" width="9.42578125" customWidth="1"/>
    <col min="9" max="9" width="8.140625" customWidth="1"/>
    <col min="10" max="11" width="11.42578125" customWidth="1"/>
    <col min="12" max="12" width="10" customWidth="1"/>
    <col min="13" max="13" width="11.140625" customWidth="1"/>
    <col min="14" max="14" width="19.85546875" customWidth="1"/>
    <col min="15" max="15" width="22.7109375" customWidth="1"/>
    <col min="16" max="16" width="11.42578125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5</v>
      </c>
      <c r="B3" t="str">
        <f>TRIM(C3)</f>
        <v>ANTHONY TORRES</v>
      </c>
      <c r="C3" t="s">
        <v>69</v>
      </c>
      <c r="D3">
        <v>49746</v>
      </c>
      <c r="E3" t="s">
        <v>142</v>
      </c>
      <c r="F3" t="str">
        <f>D1_ENERO[[#This Row],[SUPER]]</f>
        <v>JORDAN</v>
      </c>
      <c r="H3" t="s">
        <v>5</v>
      </c>
      <c r="I3">
        <v>58000</v>
      </c>
    </row>
    <row r="4" spans="1:18" x14ac:dyDescent="0.25">
      <c r="A4" t="s">
        <v>5</v>
      </c>
      <c r="B4" t="str">
        <f t="shared" ref="B4:B67" si="0">TRIM(C4)</f>
        <v>ANTHONY VICENTE</v>
      </c>
      <c r="C4" t="s">
        <v>85</v>
      </c>
      <c r="D4">
        <v>108853</v>
      </c>
      <c r="E4">
        <f>D1_ENERO[[#This Row],[RECUPERO]]/VLOOKUP(F4,$H:$I,2,0)</f>
        <v>1.8767758620689656</v>
      </c>
      <c r="F4" t="str">
        <f>D1_ENERO[[#This Row],[SUPER]]</f>
        <v>JORDAN</v>
      </c>
      <c r="H4" t="s">
        <v>2</v>
      </c>
      <c r="I4">
        <v>22000</v>
      </c>
    </row>
    <row r="5" spans="1:18" x14ac:dyDescent="0.35">
      <c r="A5" t="s">
        <v>5</v>
      </c>
      <c r="B5" t="str">
        <f t="shared" si="0"/>
        <v>AURORA FAUSTOR</v>
      </c>
      <c r="C5" t="s">
        <v>67</v>
      </c>
      <c r="D5">
        <v>58015</v>
      </c>
      <c r="E5">
        <f>D1_ENERO[[#This Row],[RECUPERO]]/VLOOKUP(F5,$H:$I,2,0)</f>
        <v>1.0002586206896551</v>
      </c>
      <c r="F5" t="str">
        <f>D1_ENERO[[#This Row],[SUPER]]</f>
        <v>JORDAN</v>
      </c>
      <c r="H5" t="s">
        <v>6</v>
      </c>
      <c r="I5">
        <v>21000</v>
      </c>
    </row>
    <row r="6" spans="1:18" x14ac:dyDescent="0.25">
      <c r="A6" t="s">
        <v>5</v>
      </c>
      <c r="B6" t="str">
        <f t="shared" si="0"/>
        <v>GIANFRANCO PINEDO</v>
      </c>
      <c r="C6" t="s">
        <v>13</v>
      </c>
      <c r="D6">
        <v>49437</v>
      </c>
      <c r="E6">
        <f>D1_ENERO[[#This Row],[RECUPERO]]/VLOOKUP(F6,$H:$I,2,0)</f>
        <v>0.85236206896551725</v>
      </c>
      <c r="F6" t="str">
        <f>D1_ENERO[[#This Row],[SUPER]]</f>
        <v>JORDAN</v>
      </c>
      <c r="H6" t="s">
        <v>9</v>
      </c>
      <c r="I6">
        <v>21000</v>
      </c>
    </row>
    <row r="7" spans="1:18" x14ac:dyDescent="0.25">
      <c r="A7" t="s">
        <v>5</v>
      </c>
      <c r="B7" t="str">
        <f t="shared" si="0"/>
        <v>GILBERTO PURIZACA</v>
      </c>
      <c r="C7" t="s">
        <v>66</v>
      </c>
      <c r="D7">
        <v>43408</v>
      </c>
      <c r="E7">
        <f>D1_ENERO[[#This Row],[RECUPERO]]/VLOOKUP(F7,$H:$I,2,0)</f>
        <v>0.74841379310344824</v>
      </c>
      <c r="F7" t="str">
        <f>D1_ENERO[[#This Row],[SUPER]]</f>
        <v>JORDAN</v>
      </c>
      <c r="H7" t="s">
        <v>4</v>
      </c>
      <c r="I7">
        <v>58000</v>
      </c>
    </row>
    <row r="8" spans="1:18" x14ac:dyDescent="0.25">
      <c r="A8" t="s">
        <v>5</v>
      </c>
      <c r="B8" t="str">
        <f t="shared" si="0"/>
        <v>JERSON RIVERA</v>
      </c>
      <c r="C8" t="s">
        <v>123</v>
      </c>
      <c r="D8">
        <v>37772</v>
      </c>
      <c r="E8">
        <f>D1_ENERO[[#This Row],[RECUPERO]]/VLOOKUP(F8,$H:$I,2,0)</f>
        <v>0.65124137931034487</v>
      </c>
      <c r="F8" t="str">
        <f>D1_ENERO[[#This Row],[SUPER]]</f>
        <v>JORDAN</v>
      </c>
      <c r="H8" t="s">
        <v>122</v>
      </c>
      <c r="I8">
        <v>16500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5</v>
      </c>
      <c r="B9" t="str">
        <f t="shared" si="0"/>
        <v>MARGARITA PIANCHACHI</v>
      </c>
      <c r="C9" t="s">
        <v>17</v>
      </c>
      <c r="D9">
        <v>41562</v>
      </c>
      <c r="E9">
        <f>D1_ENERO[[#This Row],[RECUPERO]]/VLOOKUP(F9,$H:$I,2,0)</f>
        <v>0.71658620689655173</v>
      </c>
      <c r="F9" t="str">
        <f>D1_ENERO[[#This Row],[SUPER]]</f>
        <v>JORDAN</v>
      </c>
      <c r="H9" t="s">
        <v>3</v>
      </c>
      <c r="I9">
        <v>58000</v>
      </c>
      <c r="L9">
        <v>1</v>
      </c>
      <c r="M9" s="1" t="str">
        <f>E3</f>
        <v>|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ANTHONY TORRES</v>
      </c>
      <c r="P9" t="str">
        <f>IF(DATA_ENERO_2025[[#This Row],[ASER_]]="","",F3)</f>
        <v>JORDAN</v>
      </c>
      <c r="Q9">
        <f>IF(DATA_ENERO_2025[[#This Row],[SUPERVISOR]]="","",D3)</f>
        <v>49746</v>
      </c>
      <c r="R9">
        <f>IF(DATA_ENERO_2025[[#This Row],[RECUPERO]]="","",VLOOKUP(DATA_ENERO_2025[[#This Row],[SUPERVISOR]],$H:$I,2,0))</f>
        <v>58000</v>
      </c>
    </row>
    <row r="10" spans="1:18" x14ac:dyDescent="0.25">
      <c r="A10" t="s">
        <v>5</v>
      </c>
      <c r="B10" t="str">
        <f t="shared" si="0"/>
        <v>MELISSA GUERRERO</v>
      </c>
      <c r="C10" t="s">
        <v>62</v>
      </c>
      <c r="D10">
        <v>60483</v>
      </c>
      <c r="E10">
        <f>D1_ENERO[[#This Row],[RECUPERO]]/VLOOKUP(F10,$H:$I,2,0)</f>
        <v>1.0428103448275863</v>
      </c>
      <c r="F10" t="str">
        <f>D1_ENERO[[#This Row],[SUPER]]</f>
        <v>JORDAN</v>
      </c>
      <c r="L10">
        <v>2</v>
      </c>
      <c r="M10" s="1">
        <f t="shared" ref="M10:M73" si="1">E4</f>
        <v>1.8767758620689656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2">B4</f>
        <v>ANTHONY VICENTE</v>
      </c>
      <c r="P10" t="str">
        <f>IF(DATA_ENERO_2025[[#This Row],[ASER_]]="","",F4)</f>
        <v>JORDAN</v>
      </c>
      <c r="Q10">
        <f>IF(DATA_ENERO_2025[[#This Row],[SUPERVISOR]]="","",D4)</f>
        <v>108853</v>
      </c>
      <c r="R10">
        <f>IF(DATA_ENERO_2025[[#This Row],[RECUPERO]]="","",VLOOKUP(DATA_ENERO_2025[[#This Row],[SUPERVISOR]],$H:$I,2,0))</f>
        <v>58000</v>
      </c>
    </row>
    <row r="11" spans="1:18" x14ac:dyDescent="0.25">
      <c r="A11" t="s">
        <v>5</v>
      </c>
      <c r="B11" t="str">
        <f t="shared" si="0"/>
        <v/>
      </c>
      <c r="E11">
        <f>D1_ENERO[[#This Row],[RECUPERO]]/VLOOKUP(F11,$H:$I,2,0)</f>
        <v>0</v>
      </c>
      <c r="F11" t="str">
        <f>D1_ENERO[[#This Row],[SUPER]]</f>
        <v>JORDAN</v>
      </c>
      <c r="L11">
        <v>3</v>
      </c>
      <c r="M11" s="1">
        <f t="shared" si="1"/>
        <v>1.0002586206896551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AURORA FAUSTOR</v>
      </c>
      <c r="P11" t="str">
        <f>IF(DATA_ENERO_2025[[#This Row],[ASER_]]="","",F5)</f>
        <v>JORDAN</v>
      </c>
      <c r="Q11">
        <f>IF(DATA_ENERO_2025[[#This Row],[SUPERVISOR]]="","",D5)</f>
        <v>58015</v>
      </c>
      <c r="R11">
        <f>IF(DATA_ENERO_2025[[#This Row],[RECUPERO]]="","",VLOOKUP(DATA_ENERO_2025[[#This Row],[SUPERVISOR]],$H:$I,2,0))</f>
        <v>58000</v>
      </c>
    </row>
    <row r="12" spans="1:18" x14ac:dyDescent="0.25">
      <c r="A12" t="s">
        <v>5</v>
      </c>
      <c r="B12" t="str">
        <f t="shared" si="0"/>
        <v/>
      </c>
      <c r="E12">
        <f>D1_ENERO[[#This Row],[RECUPERO]]/VLOOKUP(F12,$H:$I,2,0)</f>
        <v>0</v>
      </c>
      <c r="F12" t="str">
        <f>D1_ENERO[[#This Row],[SUPER]]</f>
        <v>JORDAN</v>
      </c>
      <c r="L12">
        <v>4</v>
      </c>
      <c r="M12" s="1">
        <f t="shared" si="1"/>
        <v>0.85236206896551725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2"/>
        <v>GIANFRANCO PINEDO</v>
      </c>
      <c r="P12" t="str">
        <f>IF(DATA_ENERO_2025[[#This Row],[ASER_]]="","",F6)</f>
        <v>JORDAN</v>
      </c>
      <c r="Q12">
        <f>IF(DATA_ENERO_2025[[#This Row],[SUPERVISOR]]="","",D6)</f>
        <v>49437</v>
      </c>
      <c r="R12">
        <f>IF(DATA_ENERO_2025[[#This Row],[RECUPERO]]="","",VLOOKUP(DATA_ENERO_2025[[#This Row],[SUPERVISOR]],$H:$I,2,0))</f>
        <v>58000</v>
      </c>
    </row>
    <row r="13" spans="1:18" x14ac:dyDescent="0.25">
      <c r="A13" t="s">
        <v>5</v>
      </c>
      <c r="B13" t="str">
        <f t="shared" si="0"/>
        <v/>
      </c>
      <c r="E13">
        <f>D1_ENERO[[#This Row],[RECUPERO]]/VLOOKUP(F13,$H:$I,2,0)</f>
        <v>0</v>
      </c>
      <c r="F13" t="str">
        <f>D1_ENERO[[#This Row],[SUPER]]</f>
        <v>JORDAN</v>
      </c>
      <c r="H13" s="11"/>
      <c r="L13">
        <v>5</v>
      </c>
      <c r="M13" s="1">
        <f t="shared" si="1"/>
        <v>0.74841379310344824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GILBERTO PURIZACA</v>
      </c>
      <c r="P13" t="str">
        <f>IF(DATA_ENERO_2025[[#This Row],[ASER_]]="","",F7)</f>
        <v>JORDAN</v>
      </c>
      <c r="Q13">
        <f>IF(DATA_ENERO_2025[[#This Row],[SUPERVISOR]]="","",D7)</f>
        <v>43408</v>
      </c>
      <c r="R13">
        <f>IF(DATA_ENERO_2025[[#This Row],[RECUPERO]]="","",VLOOKUP(DATA_ENERO_2025[[#This Row],[SUPERVISOR]],$H:$I,2,0))</f>
        <v>58000</v>
      </c>
    </row>
    <row r="14" spans="1:18" x14ac:dyDescent="0.25">
      <c r="A14" t="s">
        <v>5</v>
      </c>
      <c r="B14" t="str">
        <f t="shared" si="0"/>
        <v/>
      </c>
      <c r="E14">
        <f>D1_ENERO[[#This Row],[RECUPERO]]/VLOOKUP(F14,$H:$I,2,0)</f>
        <v>0</v>
      </c>
      <c r="F14" t="str">
        <f>D1_ENERO[[#This Row],[SUPER]]</f>
        <v>JORDAN</v>
      </c>
      <c r="H14" s="11"/>
      <c r="L14">
        <v>6</v>
      </c>
      <c r="M14" s="1">
        <f t="shared" si="1"/>
        <v>0.65124137931034487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JERSON RIVERA</v>
      </c>
      <c r="P14" t="str">
        <f>IF(DATA_ENERO_2025[[#This Row],[ASER_]]="","",F8)</f>
        <v>JORDAN</v>
      </c>
      <c r="Q14">
        <f>IF(DATA_ENERO_2025[[#This Row],[SUPERVISOR]]="","",D8)</f>
        <v>37772</v>
      </c>
      <c r="R14">
        <f>IF(DATA_ENERO_2025[[#This Row],[RECUPERO]]="","",VLOOKUP(DATA_ENERO_2025[[#This Row],[SUPERVISOR]],$H:$I,2,0))</f>
        <v>58000</v>
      </c>
    </row>
    <row r="15" spans="1:18" x14ac:dyDescent="0.25">
      <c r="A15" t="s">
        <v>5</v>
      </c>
      <c r="B15" t="str">
        <f t="shared" si="0"/>
        <v/>
      </c>
      <c r="E15">
        <f>D1_ENERO[[#This Row],[RECUPERO]]/VLOOKUP(F15,$H:$I,2,0)</f>
        <v>0</v>
      </c>
      <c r="F15" t="str">
        <f>D1_ENERO[[#This Row],[SUPER]]</f>
        <v>JORDAN</v>
      </c>
      <c r="L15">
        <v>7</v>
      </c>
      <c r="M15" s="1">
        <f t="shared" si="1"/>
        <v>0.71658620689655173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2"/>
        <v>MARGARITA PIANCHACHI</v>
      </c>
      <c r="P15" t="str">
        <f>IF(DATA_ENERO_2025[[#This Row],[ASER_]]="","",F9)</f>
        <v>JORDAN</v>
      </c>
      <c r="Q15">
        <f>IF(DATA_ENERO_2025[[#This Row],[SUPERVISOR]]="","",D9)</f>
        <v>41562</v>
      </c>
      <c r="R15">
        <f>IF(DATA_ENERO_2025[[#This Row],[RECUPERO]]="","",VLOOKUP(DATA_ENERO_2025[[#This Row],[SUPERVISOR]],$H:$I,2,0))</f>
        <v>58000</v>
      </c>
    </row>
    <row r="16" spans="1:18" x14ac:dyDescent="0.25">
      <c r="A16" t="s">
        <v>5</v>
      </c>
      <c r="B16" t="str">
        <f t="shared" si="0"/>
        <v/>
      </c>
      <c r="E16">
        <f>D1_ENERO[[#This Row],[RECUPERO]]/VLOOKUP(F16,$H:$I,2,0)</f>
        <v>0</v>
      </c>
      <c r="F16" t="str">
        <f>D1_ENERO[[#This Row],[SUPER]]</f>
        <v>JORDAN</v>
      </c>
      <c r="L16">
        <v>8</v>
      </c>
      <c r="M16" s="1">
        <f t="shared" si="1"/>
        <v>1.0428103448275863</v>
      </c>
      <c r="N16" t="str" cm="1">
        <f t="array" ref="N16">IFERROR(_xlfn.IFS(M16&gt;100%,"&gt;100%",AND(M16&lt;100%,M16&gt;70%),"&gt;70%",AND(M16&lt;70%,M16&gt;40%),"&gt;40%",AND(M16&lt;40%,M16&gt;0%),"&gt;0%"),"")</f>
        <v>&gt;100%</v>
      </c>
      <c r="O16" t="str">
        <f t="shared" si="2"/>
        <v>MELISSA GUERRERO</v>
      </c>
      <c r="P16" t="str">
        <f>IF(DATA_ENERO_2025[[#This Row],[ASER_]]="","",F10)</f>
        <v>JORDAN</v>
      </c>
      <c r="Q16">
        <f>IF(DATA_ENERO_2025[[#This Row],[SUPERVISOR]]="","",D10)</f>
        <v>60483</v>
      </c>
      <c r="R16">
        <f>IF(DATA_ENERO_2025[[#This Row],[RECUPERO]]="","",VLOOKUP(DATA_ENERO_2025[[#This Row],[SUPERVISOR]],$H:$I,2,0))</f>
        <v>58000</v>
      </c>
    </row>
    <row r="17" spans="1:18" x14ac:dyDescent="0.25">
      <c r="A17" t="s">
        <v>5</v>
      </c>
      <c r="B17" t="str">
        <f t="shared" si="0"/>
        <v/>
      </c>
      <c r="E17">
        <f>D1_ENERO[[#This Row],[RECUPERO]]/VLOOKUP(F17,$H:$I,2,0)</f>
        <v>0</v>
      </c>
      <c r="F17" t="str">
        <f>D1_ENERO[[#This Row],[SUPER]]</f>
        <v>JORDAN</v>
      </c>
      <c r="L17">
        <v>9</v>
      </c>
      <c r="M17" s="1">
        <f t="shared" si="1"/>
        <v>0</v>
      </c>
      <c r="N17" t="str" cm="1">
        <f t="array" ref="N17">IFERROR(_xlfn.IFS(M17&gt;100%,"&gt;100%",AND(M17&lt;100%,M17&gt;70%),"&gt;70%",AND(M17&lt;70%,M17&gt;40%),"&gt;40%",AND(M17&lt;40%,M17&gt;0%),"&gt;0%"),"")</f>
        <v/>
      </c>
      <c r="O17" t="str">
        <f t="shared" si="2"/>
        <v/>
      </c>
      <c r="P17" t="str">
        <f>IF(DATA_ENERO_2025[[#This Row],[ASER_]]="","",F11)</f>
        <v/>
      </c>
      <c r="Q17" t="str">
        <f>IF(DATA_ENERO_2025[[#This Row],[SUPERVISOR]]="","",D11)</f>
        <v/>
      </c>
      <c r="R17" t="str">
        <f>IF(DATA_ENERO_2025[[#This Row],[RECUPERO]]="","",VLOOKUP(DATA_ENERO_2025[[#This Row],[SUPERVISOR]],$H:$I,2,0))</f>
        <v/>
      </c>
    </row>
    <row r="18" spans="1:18" x14ac:dyDescent="0.25">
      <c r="A18" t="s">
        <v>2</v>
      </c>
      <c r="B18" t="str">
        <f t="shared" si="0"/>
        <v>CHRISTIAN ALVARADO</v>
      </c>
      <c r="C18" t="s">
        <v>41</v>
      </c>
      <c r="D18">
        <v>6602</v>
      </c>
      <c r="E18">
        <f>D1_ENERO[[#This Row],[RECUPERO]]/VLOOKUP(F18,$H:$I,2,0)</f>
        <v>0.30009090909090907</v>
      </c>
      <c r="F18" t="str">
        <f>D1_ENERO[[#This Row],[SUPER]]</f>
        <v>JORGE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P18" t="str">
        <f>IF(DATA_ENERO_2025[[#This Row],[ASER_]]="","",F12)</f>
        <v/>
      </c>
      <c r="Q18" t="str">
        <f>IF(DATA_ENERO_2025[[#This Row],[SUPERVISOR]]="","",D12)</f>
        <v/>
      </c>
      <c r="R18" t="str">
        <f>IF(DATA_ENERO_2025[[#This Row],[RECUPERO]]="","",VLOOKUP(DATA_ENERO_2025[[#This Row],[SUPERVISOR]],$H:$I,2,0))</f>
        <v/>
      </c>
    </row>
    <row r="19" spans="1:18" x14ac:dyDescent="0.25">
      <c r="A19" t="s">
        <v>2</v>
      </c>
      <c r="B19" t="str">
        <f t="shared" si="0"/>
        <v>FRANS TACSI</v>
      </c>
      <c r="C19" t="s">
        <v>16</v>
      </c>
      <c r="D19">
        <v>11031</v>
      </c>
      <c r="E19">
        <f>D1_ENERO[[#This Row],[RECUPERO]]/VLOOKUP(F19,$H:$I,2,0)</f>
        <v>0.50140909090909092</v>
      </c>
      <c r="F19" t="str">
        <f>D1_ENERO[[#This Row],[SUPER]]</f>
        <v>JORGE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P19" t="str">
        <f>IF(DATA_ENERO_2025[[#This Row],[ASER_]]="","",F13)</f>
        <v/>
      </c>
      <c r="Q19" t="str">
        <f>IF(DATA_ENERO_2025[[#This Row],[SUPERVISOR]]="","",D13)</f>
        <v/>
      </c>
      <c r="R19" t="str">
        <f>IF(DATA_ENERO_2025[[#This Row],[RECUPERO]]="","",VLOOKUP(DATA_ENERO_2025[[#This Row],[SUPERVISOR]],$H:$I,2,0))</f>
        <v/>
      </c>
    </row>
    <row r="20" spans="1:18" x14ac:dyDescent="0.25">
      <c r="A20" t="s">
        <v>2</v>
      </c>
      <c r="B20" t="str">
        <f t="shared" si="0"/>
        <v>GENESIS VICUNA</v>
      </c>
      <c r="C20" t="s">
        <v>12</v>
      </c>
      <c r="D20">
        <v>22960</v>
      </c>
      <c r="E20">
        <f>D1_ENERO[[#This Row],[RECUPERO]]/VLOOKUP(F20,$H:$I,2,0)</f>
        <v>1.0436363636363637</v>
      </c>
      <c r="F20" t="str">
        <f>D1_ENERO[[#This Row],[SUPER]]</f>
        <v>JORGE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IF(DATA_ENERO_2025[[#This Row],[ASER_]]="","",F14)</f>
        <v/>
      </c>
      <c r="Q20" t="str">
        <f>IF(DATA_ENERO_2025[[#This Row],[SUPERVISOR]]="","",D14)</f>
        <v/>
      </c>
      <c r="R20" t="str">
        <f>IF(DATA_ENERO_2025[[#This Row],[RECUPERO]]="","",VLOOKUP(DATA_ENERO_2025[[#This Row],[SUPERVISOR]],$H:$I,2,0))</f>
        <v/>
      </c>
    </row>
    <row r="21" spans="1:18" x14ac:dyDescent="0.25">
      <c r="A21" t="s">
        <v>2</v>
      </c>
      <c r="B21" t="str">
        <f t="shared" si="0"/>
        <v>GIANNINA AGUILAR</v>
      </c>
      <c r="C21" t="s">
        <v>32</v>
      </c>
      <c r="D21">
        <v>11965.2</v>
      </c>
      <c r="E21">
        <f>D1_ENERO[[#This Row],[RECUPERO]]/VLOOKUP(F21,$H:$I,2,0)</f>
        <v>0.54387272727272729</v>
      </c>
      <c r="F21" t="str">
        <f>D1_ENERO[[#This Row],[SUPER]]</f>
        <v>JORGE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IF(DATA_ENERO_2025[[#This Row],[ASER_]]="","",F15)</f>
        <v/>
      </c>
      <c r="Q21" t="str">
        <f>IF(DATA_ENERO_2025[[#This Row],[SUPERVISOR]]="","",D15)</f>
        <v/>
      </c>
      <c r="R21" t="str">
        <f>IF(DATA_ENERO_2025[[#This Row],[RECUPERO]]="","",VLOOKUP(DATA_ENERO_2025[[#This Row],[SUPERVISOR]],$H:$I,2,0))</f>
        <v/>
      </c>
    </row>
    <row r="22" spans="1:18" x14ac:dyDescent="0.25">
      <c r="A22" t="s">
        <v>2</v>
      </c>
      <c r="B22" t="str">
        <f t="shared" si="0"/>
        <v>JENY LAZARO</v>
      </c>
      <c r="C22" t="s">
        <v>26</v>
      </c>
      <c r="D22">
        <v>24370</v>
      </c>
      <c r="E22">
        <f>D1_ENERO[[#This Row],[RECUPERO]]/VLOOKUP(F22,$H:$I,2,0)</f>
        <v>1.1077272727272727</v>
      </c>
      <c r="F22" t="str">
        <f>D1_ENERO[[#This Row],[SUPER]]</f>
        <v>JORGE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IF(DATA_ENERO_2025[[#This Row],[ASER_]]="","",F16)</f>
        <v/>
      </c>
      <c r="Q22" t="str">
        <f>IF(DATA_ENERO_2025[[#This Row],[SUPERVISOR]]="","",D16)</f>
        <v/>
      </c>
      <c r="R22" t="str">
        <f>IF(DATA_ENERO_2025[[#This Row],[RECUPERO]]="","",VLOOKUP(DATA_ENERO_2025[[#This Row],[SUPERVISOR]],$H:$I,2,0))</f>
        <v/>
      </c>
    </row>
    <row r="23" spans="1:18" x14ac:dyDescent="0.25">
      <c r="A23" t="s">
        <v>2</v>
      </c>
      <c r="B23" t="str">
        <f t="shared" si="0"/>
        <v>JOANA GIL</v>
      </c>
      <c r="C23" t="s">
        <v>111</v>
      </c>
      <c r="D23">
        <v>14324</v>
      </c>
      <c r="E23">
        <f>D1_ENERO[[#This Row],[RECUPERO]]/VLOOKUP(F23,$H:$I,2,0)</f>
        <v>0.65109090909090905</v>
      </c>
      <c r="F23" t="str">
        <f>D1_ENERO[[#This Row],[SUPER]]</f>
        <v>JORGE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IF(DATA_ENERO_2025[[#This Row],[ASER_]]="","",F17)</f>
        <v/>
      </c>
      <c r="Q23" t="str">
        <f>IF(DATA_ENERO_2025[[#This Row],[SUPERVISOR]]="","",D17)</f>
        <v/>
      </c>
      <c r="R23" t="str">
        <f>IF(DATA_ENERO_2025[[#This Row],[RECUPERO]]="","",VLOOKUP(DATA_ENERO_2025[[#This Row],[SUPERVISOR]],$H:$I,2,0))</f>
        <v/>
      </c>
    </row>
    <row r="24" spans="1:18" x14ac:dyDescent="0.25">
      <c r="A24" t="s">
        <v>2</v>
      </c>
      <c r="B24" t="str">
        <f t="shared" si="0"/>
        <v>JUAN ALANOCCA</v>
      </c>
      <c r="C24" t="s">
        <v>77</v>
      </c>
      <c r="D24">
        <v>12598</v>
      </c>
      <c r="E24">
        <f>D1_ENERO[[#This Row],[RECUPERO]]/VLOOKUP(F24,$H:$I,2,0)</f>
        <v>0.57263636363636361</v>
      </c>
      <c r="F24" t="str">
        <f>D1_ENERO[[#This Row],[SUPER]]</f>
        <v>JORGE</v>
      </c>
      <c r="L24">
        <v>1</v>
      </c>
      <c r="M24" s="1">
        <f t="shared" si="1"/>
        <v>0.30009090909090907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CHRISTIAN ALVARADO</v>
      </c>
      <c r="P24" t="str">
        <f>IF(DATA_ENERO_2025[[#This Row],[ASER_]]="","",F18)</f>
        <v>JORGE</v>
      </c>
      <c r="Q24">
        <f>IF(DATA_ENERO_2025[[#This Row],[SUPERVISOR]]="","",D18)</f>
        <v>6602</v>
      </c>
      <c r="R24">
        <f>IF(DATA_ENERO_2025[[#This Row],[RECUPERO]]="","",VLOOKUP(DATA_ENERO_2025[[#This Row],[SUPERVISOR]],$H:$I,2,0))</f>
        <v>22000</v>
      </c>
    </row>
    <row r="25" spans="1:18" x14ac:dyDescent="0.25">
      <c r="A25" t="s">
        <v>2</v>
      </c>
      <c r="B25" t="str">
        <f t="shared" si="0"/>
        <v>KATYUSCA LEVANO</v>
      </c>
      <c r="C25" t="s">
        <v>46</v>
      </c>
      <c r="D25">
        <v>8570</v>
      </c>
      <c r="E25">
        <f>D1_ENERO[[#This Row],[RECUPERO]]/VLOOKUP(F25,$H:$I,2,0)</f>
        <v>0.38954545454545453</v>
      </c>
      <c r="F25" t="str">
        <f>D1_ENERO[[#This Row],[SUPER]]</f>
        <v>JORGE</v>
      </c>
      <c r="L25">
        <v>2</v>
      </c>
      <c r="M25" s="1">
        <f t="shared" si="1"/>
        <v>0.50140909090909092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FRANS TACSI</v>
      </c>
      <c r="P25" t="str">
        <f>IF(DATA_ENERO_2025[[#This Row],[ASER_]]="","",F19)</f>
        <v>JORGE</v>
      </c>
      <c r="Q25">
        <f>IF(DATA_ENERO_2025[[#This Row],[SUPERVISOR]]="","",D19)</f>
        <v>11031</v>
      </c>
      <c r="R25">
        <f>IF(DATA_ENERO_2025[[#This Row],[RECUPERO]]="","",VLOOKUP(DATA_ENERO_2025[[#This Row],[SUPERVISOR]],$H:$I,2,0))</f>
        <v>22000</v>
      </c>
    </row>
    <row r="26" spans="1:18" x14ac:dyDescent="0.25">
      <c r="A26" t="s">
        <v>2</v>
      </c>
      <c r="B26" t="str">
        <f t="shared" si="0"/>
        <v>NARDIA URPIS</v>
      </c>
      <c r="C26" t="s">
        <v>74</v>
      </c>
      <c r="D26">
        <v>7800.6</v>
      </c>
      <c r="E26">
        <f>D1_ENERO[[#This Row],[RECUPERO]]/VLOOKUP(F26,$H:$I,2,0)</f>
        <v>0.35457272727272726</v>
      </c>
      <c r="F26" t="str">
        <f>D1_ENERO[[#This Row],[SUPER]]</f>
        <v>JORGE</v>
      </c>
      <c r="L26">
        <v>3</v>
      </c>
      <c r="M26" s="1">
        <f t="shared" si="1"/>
        <v>1.0436363636363637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GENESIS VICUNA</v>
      </c>
      <c r="P26" t="str">
        <f>IF(DATA_ENERO_2025[[#This Row],[ASER_]]="","",F20)</f>
        <v>JORGE</v>
      </c>
      <c r="Q26">
        <f>IF(DATA_ENERO_2025[[#This Row],[SUPERVISOR]]="","",D20)</f>
        <v>22960</v>
      </c>
      <c r="R26">
        <f>IF(DATA_ENERO_2025[[#This Row],[RECUPERO]]="","",VLOOKUP(DATA_ENERO_2025[[#This Row],[SUPERVISOR]],$H:$I,2,0))</f>
        <v>22000</v>
      </c>
    </row>
    <row r="27" spans="1:18" x14ac:dyDescent="0.25">
      <c r="A27" t="s">
        <v>2</v>
      </c>
      <c r="B27" t="str">
        <f t="shared" si="0"/>
        <v>PAMELA ALBITES</v>
      </c>
      <c r="C27" t="s">
        <v>124</v>
      </c>
      <c r="D27">
        <v>2928</v>
      </c>
      <c r="E27">
        <f>D1_ENERO[[#This Row],[RECUPERO]]/VLOOKUP(F27,$H:$I,2,0)</f>
        <v>0.13309090909090909</v>
      </c>
      <c r="F27" t="str">
        <f>D1_ENERO[[#This Row],[SUPER]]</f>
        <v>JORGE</v>
      </c>
      <c r="L27">
        <v>4</v>
      </c>
      <c r="M27" s="1">
        <f t="shared" si="1"/>
        <v>0.54387272727272729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2"/>
        <v>GIANNINA AGUILAR</v>
      </c>
      <c r="P27" t="str">
        <f>IF(DATA_ENERO_2025[[#This Row],[ASER_]]="","",F21)</f>
        <v>JORGE</v>
      </c>
      <c r="Q27">
        <f>IF(DATA_ENERO_2025[[#This Row],[SUPERVISOR]]="","",D21)</f>
        <v>11965.2</v>
      </c>
      <c r="R27">
        <f>IF(DATA_ENERO_2025[[#This Row],[RECUPERO]]="","",VLOOKUP(DATA_ENERO_2025[[#This Row],[SUPERVISOR]],$H:$I,2,0))</f>
        <v>22000</v>
      </c>
    </row>
    <row r="28" spans="1:18" x14ac:dyDescent="0.25">
      <c r="A28" t="s">
        <v>2</v>
      </c>
      <c r="B28" t="str">
        <f t="shared" si="0"/>
        <v>URSULA CENTENO</v>
      </c>
      <c r="C28" t="s">
        <v>78</v>
      </c>
      <c r="D28">
        <v>8106</v>
      </c>
      <c r="E28">
        <f>D1_ENERO[[#This Row],[RECUPERO]]/VLOOKUP(F28,$H:$I,2,0)</f>
        <v>0.36845454545454548</v>
      </c>
      <c r="F28" t="str">
        <f>D1_ENERO[[#This Row],[SUPER]]</f>
        <v>JORGE</v>
      </c>
      <c r="L28">
        <v>5</v>
      </c>
      <c r="M28" s="1">
        <f t="shared" si="1"/>
        <v>1.1077272727272727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2"/>
        <v>JENY LAZARO</v>
      </c>
      <c r="P28" t="str">
        <f>IF(DATA_ENERO_2025[[#This Row],[ASER_]]="","",F22)</f>
        <v>JORGE</v>
      </c>
      <c r="Q28">
        <f>IF(DATA_ENERO_2025[[#This Row],[SUPERVISOR]]="","",D22)</f>
        <v>24370</v>
      </c>
      <c r="R28">
        <f>IF(DATA_ENERO_2025[[#This Row],[RECUPERO]]="","",VLOOKUP(DATA_ENERO_2025[[#This Row],[SUPERVISOR]],$H:$I,2,0))</f>
        <v>22000</v>
      </c>
    </row>
    <row r="29" spans="1:18" x14ac:dyDescent="0.25">
      <c r="A29" t="s">
        <v>2</v>
      </c>
      <c r="B29" t="str">
        <f t="shared" si="0"/>
        <v/>
      </c>
      <c r="E29">
        <f>D1_ENERO[[#This Row],[RECUPERO]]/VLOOKUP(F29,$H:$I,2,0)</f>
        <v>0</v>
      </c>
      <c r="F29" t="str">
        <f>D1_ENERO[[#This Row],[SUPER]]</f>
        <v>JORGE</v>
      </c>
      <c r="L29">
        <v>6</v>
      </c>
      <c r="M29" s="1">
        <f t="shared" si="1"/>
        <v>0.65109090909090905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2"/>
        <v>JOANA GIL</v>
      </c>
      <c r="P29" t="str">
        <f>IF(DATA_ENERO_2025[[#This Row],[ASER_]]="","",F23)</f>
        <v>JORGE</v>
      </c>
      <c r="Q29">
        <f>IF(DATA_ENERO_2025[[#This Row],[SUPERVISOR]]="","",D23)</f>
        <v>14324</v>
      </c>
      <c r="R29">
        <f>IF(DATA_ENERO_2025[[#This Row],[RECUPERO]]="","",VLOOKUP(DATA_ENERO_2025[[#This Row],[SUPERVISOR]],$H:$I,2,0))</f>
        <v>22000</v>
      </c>
    </row>
    <row r="30" spans="1:18" x14ac:dyDescent="0.25">
      <c r="A30" t="s">
        <v>2</v>
      </c>
      <c r="B30" t="str">
        <f t="shared" si="0"/>
        <v/>
      </c>
      <c r="E30">
        <f>D1_ENERO[[#This Row],[RECUPERO]]/VLOOKUP(F30,$H:$I,2,0)</f>
        <v>0</v>
      </c>
      <c r="F30" t="str">
        <f>D1_ENERO[[#This Row],[SUPER]]</f>
        <v>JORGE</v>
      </c>
      <c r="L30">
        <v>7</v>
      </c>
      <c r="M30" s="1">
        <f t="shared" si="1"/>
        <v>0.57263636363636361</v>
      </c>
      <c r="N30" t="str" cm="1">
        <f t="array" ref="N30">IFERROR(_xlfn.IFS(M30&gt;100%,"&gt;100%",AND(M30&lt;100%,M30&gt;70%),"&gt;70%",AND(M30&lt;70%,M30&gt;40%),"&gt;40%",AND(M30&lt;40%,M30&gt;0%),"&gt;0%"),"")</f>
        <v>&gt;40%</v>
      </c>
      <c r="O30" t="str">
        <f t="shared" si="2"/>
        <v>JUAN ALANOCCA</v>
      </c>
      <c r="P30" t="str">
        <f>IF(DATA_ENERO_2025[[#This Row],[ASER_]]="","",F24)</f>
        <v>JORGE</v>
      </c>
      <c r="Q30">
        <f>IF(DATA_ENERO_2025[[#This Row],[SUPERVISOR]]="","",D24)</f>
        <v>12598</v>
      </c>
      <c r="R30">
        <f>IF(DATA_ENERO_2025[[#This Row],[RECUPERO]]="","",VLOOKUP(DATA_ENERO_2025[[#This Row],[SUPERVISOR]],$H:$I,2,0))</f>
        <v>22000</v>
      </c>
    </row>
    <row r="31" spans="1:18" x14ac:dyDescent="0.25">
      <c r="A31" t="s">
        <v>2</v>
      </c>
      <c r="B31" t="str">
        <f t="shared" si="0"/>
        <v/>
      </c>
      <c r="E31">
        <f>D1_ENERO[[#This Row],[RECUPERO]]/VLOOKUP(F31,$H:$I,2,0)</f>
        <v>0</v>
      </c>
      <c r="F31" t="str">
        <f>D1_ENERO[[#This Row],[SUPER]]</f>
        <v>JORGE</v>
      </c>
      <c r="L31">
        <v>8</v>
      </c>
      <c r="M31" s="1">
        <f t="shared" si="1"/>
        <v>0.38954545454545453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KATYUSCA LEVANO</v>
      </c>
      <c r="P31" t="str">
        <f>IF(DATA_ENERO_2025[[#This Row],[ASER_]]="","",F25)</f>
        <v>JORGE</v>
      </c>
      <c r="Q31">
        <f>IF(DATA_ENERO_2025[[#This Row],[SUPERVISOR]]="","",D25)</f>
        <v>8570</v>
      </c>
      <c r="R31">
        <f>IF(DATA_ENERO_2025[[#This Row],[RECUPERO]]="","",VLOOKUP(DATA_ENERO_2025[[#This Row],[SUPERVISOR]],$H:$I,2,0))</f>
        <v>22000</v>
      </c>
    </row>
    <row r="32" spans="1:18" x14ac:dyDescent="0.25">
      <c r="A32" t="s">
        <v>2</v>
      </c>
      <c r="B32" t="str">
        <f t="shared" si="0"/>
        <v/>
      </c>
      <c r="E32">
        <f>D1_ENERO[[#This Row],[RECUPERO]]/VLOOKUP(F32,$H:$I,2,0)</f>
        <v>0</v>
      </c>
      <c r="F32" t="str">
        <f>D1_ENERO[[#This Row],[SUPER]]</f>
        <v>JORGE</v>
      </c>
      <c r="L32">
        <v>9</v>
      </c>
      <c r="M32" s="1">
        <f t="shared" si="1"/>
        <v>0.35457272727272726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2"/>
        <v>NARDIA URPIS</v>
      </c>
      <c r="P32" t="str">
        <f>IF(DATA_ENERO_2025[[#This Row],[ASER_]]="","",F26)</f>
        <v>JORGE</v>
      </c>
      <c r="Q32">
        <f>IF(DATA_ENERO_2025[[#This Row],[SUPERVISOR]]="","",D26)</f>
        <v>7800.6</v>
      </c>
      <c r="R32">
        <f>IF(DATA_ENERO_2025[[#This Row],[RECUPERO]]="","",VLOOKUP(DATA_ENERO_2025[[#This Row],[SUPERVISOR]],$H:$I,2,0))</f>
        <v>22000</v>
      </c>
    </row>
    <row r="33" spans="1:18" x14ac:dyDescent="0.25">
      <c r="A33" t="s">
        <v>6</v>
      </c>
      <c r="B33" t="str">
        <f t="shared" si="0"/>
        <v>BRYAN VELASQUEZ</v>
      </c>
      <c r="C33" t="s">
        <v>125</v>
      </c>
      <c r="D33">
        <v>33850</v>
      </c>
      <c r="E33">
        <f>D1_ENERO[[#This Row],[RECUPERO]]/VLOOKUP(F33,$H:$I,2,0)</f>
        <v>1.611904761904762</v>
      </c>
      <c r="F33" t="str">
        <f>D1_ENERO[[#This Row],[SUPER]]</f>
        <v>KENNETH</v>
      </c>
      <c r="L33">
        <v>10</v>
      </c>
      <c r="M33" s="1">
        <f t="shared" si="1"/>
        <v>0.13309090909090909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2"/>
        <v>PAMELA ALBITES</v>
      </c>
      <c r="P33" t="str">
        <f>IF(DATA_ENERO_2025[[#This Row],[ASER_]]="","",F27)</f>
        <v>JORGE</v>
      </c>
      <c r="Q33">
        <f>IF(DATA_ENERO_2025[[#This Row],[SUPERVISOR]]="","",D27)</f>
        <v>2928</v>
      </c>
      <c r="R33">
        <f>IF(DATA_ENERO_2025[[#This Row],[RECUPERO]]="","",VLOOKUP(DATA_ENERO_2025[[#This Row],[SUPERVISOR]],$H:$I,2,0))</f>
        <v>22000</v>
      </c>
    </row>
    <row r="34" spans="1:18" x14ac:dyDescent="0.25">
      <c r="A34" t="s">
        <v>6</v>
      </c>
      <c r="B34" t="str">
        <f t="shared" si="0"/>
        <v>CARMEN PUMA</v>
      </c>
      <c r="C34" t="s">
        <v>19</v>
      </c>
      <c r="D34">
        <v>13700</v>
      </c>
      <c r="E34">
        <f>D1_ENERO[[#This Row],[RECUPERO]]/VLOOKUP(F34,$H:$I,2,0)</f>
        <v>0.65238095238095239</v>
      </c>
      <c r="F34" t="str">
        <f>D1_ENERO[[#This Row],[SUPER]]</f>
        <v>KENNETH</v>
      </c>
      <c r="L34">
        <v>11</v>
      </c>
      <c r="M34" s="1">
        <f t="shared" si="1"/>
        <v>0.36845454545454548</v>
      </c>
      <c r="N34" t="str" cm="1">
        <f t="array" ref="N34">IFERROR(_xlfn.IFS(M34&gt;100%,"&gt;100%",AND(M34&lt;100%,M34&gt;70%),"&gt;70%",AND(M34&lt;70%,M34&gt;40%),"&gt;40%",AND(M34&lt;40%,M34&gt;0%),"&gt;0%"),"")</f>
        <v>&gt;0%</v>
      </c>
      <c r="O34" t="str">
        <f t="shared" si="2"/>
        <v>URSULA CENTENO</v>
      </c>
      <c r="P34" t="str">
        <f>IF(DATA_ENERO_2025[[#This Row],[ASER_]]="","",F28)</f>
        <v>JORGE</v>
      </c>
      <c r="Q34">
        <f>IF(DATA_ENERO_2025[[#This Row],[SUPERVISOR]]="","",D28)</f>
        <v>8106</v>
      </c>
      <c r="R34">
        <f>IF(DATA_ENERO_2025[[#This Row],[RECUPERO]]="","",VLOOKUP(DATA_ENERO_2025[[#This Row],[SUPERVISOR]],$H:$I,2,0))</f>
        <v>22000</v>
      </c>
    </row>
    <row r="35" spans="1:18" x14ac:dyDescent="0.25">
      <c r="A35" t="s">
        <v>6</v>
      </c>
      <c r="B35" t="str">
        <f t="shared" si="0"/>
        <v>JIMENA MEDINA</v>
      </c>
      <c r="C35" t="s">
        <v>37</v>
      </c>
      <c r="D35">
        <v>22334</v>
      </c>
      <c r="E35">
        <f>D1_ENERO[[#This Row],[RECUPERO]]/VLOOKUP(F35,$H:$I,2,0)</f>
        <v>1.0635238095238095</v>
      </c>
      <c r="F35" t="str">
        <f>D1_ENERO[[#This Row],[SUPER]]</f>
        <v>KENNETH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IF(DATA_ENERO_2025[[#This Row],[ASER_]]="","",F29)</f>
        <v/>
      </c>
      <c r="Q35" t="str">
        <f>IF(DATA_ENERO_2025[[#This Row],[SUPERVISOR]]="","",D29)</f>
        <v/>
      </c>
      <c r="R35" t="str">
        <f>IF(DATA_ENERO_2025[[#This Row],[RECUPERO]]="","",VLOOKUP(DATA_ENERO_2025[[#This Row],[SUPERVISOR]],$H:$I,2,0))</f>
        <v/>
      </c>
    </row>
    <row r="36" spans="1:18" x14ac:dyDescent="0.25">
      <c r="A36" t="s">
        <v>6</v>
      </c>
      <c r="B36" t="str">
        <f t="shared" si="0"/>
        <v>JUAN LOZA</v>
      </c>
      <c r="C36" t="s">
        <v>35</v>
      </c>
      <c r="D36">
        <v>21390</v>
      </c>
      <c r="E36">
        <f>D1_ENERO[[#This Row],[RECUPERO]]/VLOOKUP(F36,$H:$I,2,0)</f>
        <v>1.0185714285714285</v>
      </c>
      <c r="F36" t="str">
        <f>D1_ENERO[[#This Row],[SUPER]]</f>
        <v>KENNETH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IF(DATA_ENERO_2025[[#This Row],[ASER_]]="","",F30)</f>
        <v/>
      </c>
      <c r="Q36" t="str">
        <f>IF(DATA_ENERO_2025[[#This Row],[SUPERVISOR]]="","",D30)</f>
        <v/>
      </c>
      <c r="R36" t="str">
        <f>IF(DATA_ENERO_2025[[#This Row],[RECUPERO]]="","",VLOOKUP(DATA_ENERO_2025[[#This Row],[SUPERVISOR]],$H:$I,2,0))</f>
        <v/>
      </c>
    </row>
    <row r="37" spans="1:18" x14ac:dyDescent="0.25">
      <c r="A37" t="s">
        <v>6</v>
      </c>
      <c r="B37" t="str">
        <f t="shared" si="0"/>
        <v>KIARA CANEPA</v>
      </c>
      <c r="C37" t="s">
        <v>50</v>
      </c>
      <c r="D37">
        <v>5202</v>
      </c>
      <c r="E37">
        <f>D1_ENERO[[#This Row],[RECUPERO]]/VLOOKUP(F37,$H:$I,2,0)</f>
        <v>0.24771428571428572</v>
      </c>
      <c r="F37" t="str">
        <f>D1_ENERO[[#This Row],[SUPER]]</f>
        <v>KENNETH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IF(DATA_ENERO_2025[[#This Row],[ASER_]]="","",F31)</f>
        <v/>
      </c>
      <c r="Q37" t="str">
        <f>IF(DATA_ENERO_2025[[#This Row],[SUPERVISOR]]="","",D31)</f>
        <v/>
      </c>
      <c r="R37" t="str">
        <f>IF(DATA_ENERO_2025[[#This Row],[RECUPERO]]="","",VLOOKUP(DATA_ENERO_2025[[#This Row],[SUPERVISOR]],$H:$I,2,0))</f>
        <v/>
      </c>
    </row>
    <row r="38" spans="1:18" x14ac:dyDescent="0.25">
      <c r="A38" t="s">
        <v>6</v>
      </c>
      <c r="B38" t="str">
        <f t="shared" si="0"/>
        <v>LUIS CENTENO</v>
      </c>
      <c r="C38" t="s">
        <v>31</v>
      </c>
      <c r="D38">
        <v>23230</v>
      </c>
      <c r="E38">
        <f>D1_ENERO[[#This Row],[RECUPERO]]/VLOOKUP(F38,$H:$I,2,0)</f>
        <v>1.1061904761904762</v>
      </c>
      <c r="F38" t="str">
        <f>D1_ENERO[[#This Row],[SUPER]]</f>
        <v>KENNETH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IF(DATA_ENERO_2025[[#This Row],[ASER_]]="","",F32)</f>
        <v/>
      </c>
      <c r="Q38" t="str">
        <f>IF(DATA_ENERO_2025[[#This Row],[SUPERVISOR]]="","",D32)</f>
        <v/>
      </c>
      <c r="R38" t="str">
        <f>IF(DATA_ENERO_2025[[#This Row],[RECUPERO]]="","",VLOOKUP(DATA_ENERO_2025[[#This Row],[SUPERVISOR]],$H:$I,2,0))</f>
        <v/>
      </c>
    </row>
    <row r="39" spans="1:18" x14ac:dyDescent="0.25">
      <c r="A39" t="s">
        <v>6</v>
      </c>
      <c r="B39" t="str">
        <f t="shared" si="0"/>
        <v>MARIA GONZALES</v>
      </c>
      <c r="C39" t="s">
        <v>126</v>
      </c>
      <c r="D39">
        <v>35998</v>
      </c>
      <c r="E39">
        <f>D1_ENERO[[#This Row],[RECUPERO]]/VLOOKUP(F39,$H:$I,2,0)</f>
        <v>1.7141904761904763</v>
      </c>
      <c r="F39" t="str">
        <f>D1_ENERO[[#This Row],[SUPER]]</f>
        <v>KENNETH</v>
      </c>
      <c r="L39">
        <v>1</v>
      </c>
      <c r="M39" s="1">
        <f t="shared" si="1"/>
        <v>1.611904761904762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2"/>
        <v>BRYAN VELASQUEZ</v>
      </c>
      <c r="P39" t="str">
        <f>IF(DATA_ENERO_2025[[#This Row],[ASER_]]="","",F33)</f>
        <v>KENNETH</v>
      </c>
      <c r="Q39">
        <f>IF(DATA_ENERO_2025[[#This Row],[SUPERVISOR]]="","",D33)</f>
        <v>33850</v>
      </c>
      <c r="R39">
        <f>IF(DATA_ENERO_2025[[#This Row],[RECUPERO]]="","",VLOOKUP(DATA_ENERO_2025[[#This Row],[SUPERVISOR]],$H:$I,2,0))</f>
        <v>21000</v>
      </c>
    </row>
    <row r="40" spans="1:18" x14ac:dyDescent="0.25">
      <c r="A40" t="s">
        <v>6</v>
      </c>
      <c r="B40" t="str">
        <f t="shared" si="0"/>
        <v>MAURICIO MARTINEZ</v>
      </c>
      <c r="C40" t="s">
        <v>127</v>
      </c>
      <c r="D40">
        <v>23860</v>
      </c>
      <c r="E40">
        <f>D1_ENERO[[#This Row],[RECUPERO]]/VLOOKUP(F40,$H:$I,2,0)</f>
        <v>1.1361904761904762</v>
      </c>
      <c r="F40" t="str">
        <f>D1_ENERO[[#This Row],[SUPER]]</f>
        <v>KENNETH</v>
      </c>
      <c r="L40">
        <v>2</v>
      </c>
      <c r="M40" s="1">
        <f t="shared" si="1"/>
        <v>0.65238095238095239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CARMEN PUMA</v>
      </c>
      <c r="P40" t="str">
        <f>IF(DATA_ENERO_2025[[#This Row],[ASER_]]="","",F34)</f>
        <v>KENNETH</v>
      </c>
      <c r="Q40">
        <f>IF(DATA_ENERO_2025[[#This Row],[SUPERVISOR]]="","",D34)</f>
        <v>13700</v>
      </c>
      <c r="R40">
        <f>IF(DATA_ENERO_2025[[#This Row],[RECUPERO]]="","",VLOOKUP(DATA_ENERO_2025[[#This Row],[SUPERVISOR]],$H:$I,2,0))</f>
        <v>21000</v>
      </c>
    </row>
    <row r="41" spans="1:18" x14ac:dyDescent="0.25">
      <c r="A41" t="s">
        <v>6</v>
      </c>
      <c r="B41" t="str">
        <f t="shared" si="0"/>
        <v>MEDALITH NESTARES</v>
      </c>
      <c r="C41" t="s">
        <v>36</v>
      </c>
      <c r="D41">
        <v>22358</v>
      </c>
      <c r="E41">
        <f>D1_ENERO[[#This Row],[RECUPERO]]/VLOOKUP(F41,$H:$I,2,0)</f>
        <v>1.0646666666666667</v>
      </c>
      <c r="F41" t="str">
        <f>D1_ENERO[[#This Row],[SUPER]]</f>
        <v>KENNETH</v>
      </c>
      <c r="L41">
        <v>3</v>
      </c>
      <c r="M41" s="1">
        <f t="shared" si="1"/>
        <v>1.0635238095238095</v>
      </c>
      <c r="N41" t="str" cm="1">
        <f t="array" ref="N41">IFERROR(_xlfn.IFS(M41&gt;100%,"&gt;100%",AND(M41&lt;100%,M41&gt;70%),"&gt;70%",AND(M41&lt;70%,M41&gt;40%),"&gt;40%",AND(M41&lt;40%,M41&gt;0%),"&gt;0%"),"")</f>
        <v>&gt;100%</v>
      </c>
      <c r="O41" t="str">
        <f t="shared" si="2"/>
        <v>JIMENA MEDINA</v>
      </c>
      <c r="P41" t="str">
        <f>IF(DATA_ENERO_2025[[#This Row],[ASER_]]="","",F35)</f>
        <v>KENNETH</v>
      </c>
      <c r="Q41">
        <f>IF(DATA_ENERO_2025[[#This Row],[SUPERVISOR]]="","",D35)</f>
        <v>22334</v>
      </c>
      <c r="R41">
        <f>IF(DATA_ENERO_2025[[#This Row],[RECUPERO]]="","",VLOOKUP(DATA_ENERO_2025[[#This Row],[SUPERVISOR]],$H:$I,2,0))</f>
        <v>21000</v>
      </c>
    </row>
    <row r="42" spans="1:18" x14ac:dyDescent="0.25">
      <c r="A42" t="s">
        <v>6</v>
      </c>
      <c r="B42" t="str">
        <f t="shared" si="0"/>
        <v>STWUAR MACURI</v>
      </c>
      <c r="C42" t="s">
        <v>34</v>
      </c>
      <c r="D42">
        <v>15667</v>
      </c>
      <c r="E42">
        <f>D1_ENERO[[#This Row],[RECUPERO]]/VLOOKUP(F42,$H:$I,2,0)</f>
        <v>0.74604761904761907</v>
      </c>
      <c r="F42" t="str">
        <f>D1_ENERO[[#This Row],[SUPER]]</f>
        <v>KENNETH</v>
      </c>
      <c r="L42">
        <v>4</v>
      </c>
      <c r="M42" s="1">
        <f t="shared" si="1"/>
        <v>1.0185714285714285</v>
      </c>
      <c r="N42" t="str" cm="1">
        <f t="array" ref="N42">IFERROR(_xlfn.IFS(M42&gt;100%,"&gt;100%",AND(M42&lt;100%,M42&gt;70%),"&gt;70%",AND(M42&lt;70%,M42&gt;40%),"&gt;40%",AND(M42&lt;40%,M42&gt;0%),"&gt;0%"),"")</f>
        <v>&gt;100%</v>
      </c>
      <c r="O42" t="str">
        <f t="shared" si="2"/>
        <v>JUAN LOZA</v>
      </c>
      <c r="P42" t="str">
        <f>IF(DATA_ENERO_2025[[#This Row],[ASER_]]="","",F36)</f>
        <v>KENNETH</v>
      </c>
      <c r="Q42">
        <f>IF(DATA_ENERO_2025[[#This Row],[SUPERVISOR]]="","",D36)</f>
        <v>21390</v>
      </c>
      <c r="R42">
        <f>IF(DATA_ENERO_2025[[#This Row],[RECUPERO]]="","",VLOOKUP(DATA_ENERO_2025[[#This Row],[SUPERVISOR]],$H:$I,2,0))</f>
        <v>21000</v>
      </c>
    </row>
    <row r="43" spans="1:18" x14ac:dyDescent="0.25">
      <c r="A43" t="s">
        <v>6</v>
      </c>
      <c r="B43" t="str">
        <f t="shared" si="0"/>
        <v>VICTOR RAMIREZ</v>
      </c>
      <c r="C43" t="s">
        <v>76</v>
      </c>
      <c r="D43">
        <v>0</v>
      </c>
      <c r="E43">
        <f>D1_ENERO[[#This Row],[RECUPERO]]/VLOOKUP(F43,$H:$I,2,0)</f>
        <v>0</v>
      </c>
      <c r="F43" t="str">
        <f>D1_ENERO[[#This Row],[SUPER]]</f>
        <v>KENNETH</v>
      </c>
      <c r="L43">
        <v>5</v>
      </c>
      <c r="M43" s="1">
        <f t="shared" si="1"/>
        <v>0.24771428571428572</v>
      </c>
      <c r="N43" t="str" cm="1">
        <f t="array" ref="N43">IFERROR(_xlfn.IFS(M43&gt;100%,"&gt;100%",AND(M43&lt;100%,M43&gt;70%),"&gt;70%",AND(M43&lt;70%,M43&gt;40%),"&gt;40%",AND(M43&lt;40%,M43&gt;0%),"&gt;0%"),"")</f>
        <v>&gt;0%</v>
      </c>
      <c r="O43" t="str">
        <f t="shared" si="2"/>
        <v>KIARA CANEPA</v>
      </c>
      <c r="P43" t="str">
        <f>IF(DATA_ENERO_2025[[#This Row],[ASER_]]="","",F37)</f>
        <v>KENNETH</v>
      </c>
      <c r="Q43">
        <f>IF(DATA_ENERO_2025[[#This Row],[SUPERVISOR]]="","",D37)</f>
        <v>5202</v>
      </c>
      <c r="R43">
        <f>IF(DATA_ENERO_2025[[#This Row],[RECUPERO]]="","",VLOOKUP(DATA_ENERO_2025[[#This Row],[SUPERVISOR]],$H:$I,2,0))</f>
        <v>21000</v>
      </c>
    </row>
    <row r="44" spans="1:18" x14ac:dyDescent="0.25">
      <c r="A44" t="s">
        <v>6</v>
      </c>
      <c r="B44" t="str">
        <f t="shared" si="0"/>
        <v/>
      </c>
      <c r="E44">
        <f>D1_ENERO[[#This Row],[RECUPERO]]/VLOOKUP(F44,$H:$I,2,0)</f>
        <v>0</v>
      </c>
      <c r="F44" t="str">
        <f>D1_ENERO[[#This Row],[SUPER]]</f>
        <v>KENNETH</v>
      </c>
      <c r="L44">
        <v>6</v>
      </c>
      <c r="M44" s="1">
        <f t="shared" si="1"/>
        <v>1.1061904761904762</v>
      </c>
      <c r="N44" t="str" cm="1">
        <f t="array" ref="N44">IFERROR(_xlfn.IFS(M44&gt;100%,"&gt;100%",AND(M44&lt;100%,M44&gt;70%),"&gt;70%",AND(M44&lt;70%,M44&gt;40%),"&gt;40%",AND(M44&lt;40%,M44&gt;0%),"&gt;0%"),"")</f>
        <v>&gt;100%</v>
      </c>
      <c r="O44" t="str">
        <f t="shared" si="2"/>
        <v>LUIS CENTENO</v>
      </c>
      <c r="P44" t="str">
        <f>IF(DATA_ENERO_2025[[#This Row],[ASER_]]="","",F38)</f>
        <v>KENNETH</v>
      </c>
      <c r="Q44">
        <f>IF(DATA_ENERO_2025[[#This Row],[SUPERVISOR]]="","",D38)</f>
        <v>23230</v>
      </c>
      <c r="R44">
        <f>IF(DATA_ENERO_2025[[#This Row],[RECUPERO]]="","",VLOOKUP(DATA_ENERO_2025[[#This Row],[SUPERVISOR]],$H:$I,2,0))</f>
        <v>21000</v>
      </c>
    </row>
    <row r="45" spans="1:18" x14ac:dyDescent="0.25">
      <c r="A45" t="s">
        <v>6</v>
      </c>
      <c r="B45" t="str">
        <f t="shared" si="0"/>
        <v/>
      </c>
      <c r="E45">
        <f>D1_ENERO[[#This Row],[RECUPERO]]/VLOOKUP(F45,$H:$I,2,0)</f>
        <v>0</v>
      </c>
      <c r="F45" t="str">
        <f>D1_ENERO[[#This Row],[SUPER]]</f>
        <v>KENNETH</v>
      </c>
      <c r="L45">
        <v>7</v>
      </c>
      <c r="M45" s="1">
        <f t="shared" si="1"/>
        <v>1.7141904761904763</v>
      </c>
      <c r="N45" t="str" cm="1">
        <f t="array" ref="N45">IFERROR(_xlfn.IFS(M45&gt;100%,"&gt;100%",AND(M45&lt;100%,M45&gt;70%),"&gt;70%",AND(M45&lt;70%,M45&gt;40%),"&gt;40%",AND(M45&lt;40%,M45&gt;0%),"&gt;0%"),"")</f>
        <v>&gt;100%</v>
      </c>
      <c r="O45" t="str">
        <f t="shared" si="2"/>
        <v>MARIA GONZALES</v>
      </c>
      <c r="P45" t="str">
        <f>IF(DATA_ENERO_2025[[#This Row],[ASER_]]="","",F39)</f>
        <v>KENNETH</v>
      </c>
      <c r="Q45">
        <f>IF(DATA_ENERO_2025[[#This Row],[SUPERVISOR]]="","",D39)</f>
        <v>35998</v>
      </c>
      <c r="R45">
        <f>IF(DATA_ENERO_2025[[#This Row],[RECUPERO]]="","",VLOOKUP(DATA_ENERO_2025[[#This Row],[SUPERVISOR]],$H:$I,2,0))</f>
        <v>21000</v>
      </c>
    </row>
    <row r="46" spans="1:18" x14ac:dyDescent="0.25">
      <c r="A46" t="s">
        <v>6</v>
      </c>
      <c r="B46" t="str">
        <f t="shared" si="0"/>
        <v/>
      </c>
      <c r="E46">
        <f>D1_ENERO[[#This Row],[RECUPERO]]/VLOOKUP(F46,$H:$I,2,0)</f>
        <v>0</v>
      </c>
      <c r="F46" t="str">
        <f>D1_ENERO[[#This Row],[SUPER]]</f>
        <v>KENNETH</v>
      </c>
      <c r="L46">
        <v>8</v>
      </c>
      <c r="M46" s="1">
        <f t="shared" si="1"/>
        <v>1.1361904761904762</v>
      </c>
      <c r="N46" t="str" cm="1">
        <f t="array" ref="N46">IFERROR(_xlfn.IFS(M46&gt;100%,"&gt;100%",AND(M46&lt;100%,M46&gt;70%),"&gt;70%",AND(M46&lt;70%,M46&gt;40%),"&gt;40%",AND(M46&lt;40%,M46&gt;0%),"&gt;0%"),"")</f>
        <v>&gt;100%</v>
      </c>
      <c r="O46" t="str">
        <f t="shared" si="2"/>
        <v>MAURICIO MARTINEZ</v>
      </c>
      <c r="P46" t="str">
        <f>IF(DATA_ENERO_2025[[#This Row],[ASER_]]="","",F40)</f>
        <v>KENNETH</v>
      </c>
      <c r="Q46">
        <f>IF(DATA_ENERO_2025[[#This Row],[SUPERVISOR]]="","",D40)</f>
        <v>23860</v>
      </c>
      <c r="R46">
        <f>IF(DATA_ENERO_2025[[#This Row],[RECUPERO]]="","",VLOOKUP(DATA_ENERO_2025[[#This Row],[SUPERVISOR]],$H:$I,2,0))</f>
        <v>21000</v>
      </c>
    </row>
    <row r="47" spans="1:18" x14ac:dyDescent="0.25">
      <c r="A47" t="s">
        <v>6</v>
      </c>
      <c r="B47" t="str">
        <f t="shared" si="0"/>
        <v/>
      </c>
      <c r="E47">
        <f>D1_ENERO[[#This Row],[RECUPERO]]/VLOOKUP(F47,$H:$I,2,0)</f>
        <v>0</v>
      </c>
      <c r="F47" t="str">
        <f>D1_ENERO[[#This Row],[SUPER]]</f>
        <v>KENNETH</v>
      </c>
      <c r="L47">
        <v>9</v>
      </c>
      <c r="M47" s="1">
        <f t="shared" si="1"/>
        <v>1.0646666666666667</v>
      </c>
      <c r="N47" t="str" cm="1">
        <f t="array" ref="N47">IFERROR(_xlfn.IFS(M47&gt;100%,"&gt;100%",AND(M47&lt;100%,M47&gt;70%),"&gt;70%",AND(M47&lt;70%,M47&gt;40%),"&gt;40%",AND(M47&lt;40%,M47&gt;0%),"&gt;0%"),"")</f>
        <v>&gt;100%</v>
      </c>
      <c r="O47" t="str">
        <f t="shared" si="2"/>
        <v>MEDALITH NESTARES</v>
      </c>
      <c r="P47" t="str">
        <f>IF(DATA_ENERO_2025[[#This Row],[ASER_]]="","",F41)</f>
        <v>KENNETH</v>
      </c>
      <c r="Q47">
        <f>IF(DATA_ENERO_2025[[#This Row],[SUPERVISOR]]="","",D41)</f>
        <v>22358</v>
      </c>
      <c r="R47">
        <f>IF(DATA_ENERO_2025[[#This Row],[RECUPERO]]="","",VLOOKUP(DATA_ENERO_2025[[#This Row],[SUPERVISOR]],$H:$I,2,0))</f>
        <v>21000</v>
      </c>
    </row>
    <row r="48" spans="1:18" x14ac:dyDescent="0.25">
      <c r="A48" t="s">
        <v>9</v>
      </c>
      <c r="B48" t="str">
        <f t="shared" si="0"/>
        <v>ALEJANDRA AVILA</v>
      </c>
      <c r="C48" t="s">
        <v>21</v>
      </c>
      <c r="D48">
        <v>10062</v>
      </c>
      <c r="E48">
        <f>D1_ENERO[[#This Row],[RECUPERO]]/VLOOKUP(F48,$H:$I,2,0)</f>
        <v>0.47914285714285715</v>
      </c>
      <c r="F48" t="str">
        <f>D1_ENERO[[#This Row],[SUPER]]</f>
        <v>LUIS</v>
      </c>
      <c r="L48">
        <v>10</v>
      </c>
      <c r="M48" s="1">
        <f t="shared" si="1"/>
        <v>0.74604761904761907</v>
      </c>
      <c r="N48" t="str" cm="1">
        <f t="array" ref="N48">IFERROR(_xlfn.IFS(M48&gt;100%,"&gt;100%",AND(M48&lt;100%,M48&gt;70%),"&gt;70%",AND(M48&lt;70%,M48&gt;40%),"&gt;40%",AND(M48&lt;40%,M48&gt;0%),"&gt;0%"),"")</f>
        <v>&gt;70%</v>
      </c>
      <c r="O48" t="str">
        <f t="shared" si="2"/>
        <v>STWUAR MACURI</v>
      </c>
      <c r="P48" t="str">
        <f>IF(DATA_ENERO_2025[[#This Row],[ASER_]]="","",F42)</f>
        <v>KENNETH</v>
      </c>
      <c r="Q48">
        <f>IF(DATA_ENERO_2025[[#This Row],[SUPERVISOR]]="","",D42)</f>
        <v>15667</v>
      </c>
      <c r="R48">
        <f>IF(DATA_ENERO_2025[[#This Row],[RECUPERO]]="","",VLOOKUP(DATA_ENERO_2025[[#This Row],[SUPERVISOR]],$H:$I,2,0))</f>
        <v>21000</v>
      </c>
    </row>
    <row r="49" spans="1:18" x14ac:dyDescent="0.25">
      <c r="A49" t="s">
        <v>9</v>
      </c>
      <c r="B49" t="str">
        <f t="shared" si="0"/>
        <v>ANDERSON RODRIGUEZ</v>
      </c>
      <c r="C49" t="s">
        <v>15</v>
      </c>
      <c r="D49">
        <v>13010.3</v>
      </c>
      <c r="E49">
        <f>D1_ENERO[[#This Row],[RECUPERO]]/VLOOKUP(F49,$H:$I,2,0)</f>
        <v>0.61953809523809522</v>
      </c>
      <c r="F49" t="str">
        <f>D1_ENERO[[#This Row],[SUPER]]</f>
        <v>LUIS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>VICTOR RAMIREZ</v>
      </c>
      <c r="P49" t="str">
        <f>IF(DATA_ENERO_2025[[#This Row],[ASER_]]="","",F43)</f>
        <v>KENNETH</v>
      </c>
      <c r="Q49">
        <f>IF(DATA_ENERO_2025[[#This Row],[SUPERVISOR]]="","",D43)</f>
        <v>0</v>
      </c>
      <c r="R49">
        <f>IF(DATA_ENERO_2025[[#This Row],[RECUPERO]]="","",VLOOKUP(DATA_ENERO_2025[[#This Row],[SUPERVISOR]],$H:$I,2,0))</f>
        <v>21000</v>
      </c>
    </row>
    <row r="50" spans="1:18" x14ac:dyDescent="0.25">
      <c r="A50" t="s">
        <v>9</v>
      </c>
      <c r="B50" t="str">
        <f t="shared" si="0"/>
        <v>CRISTINA TICONA</v>
      </c>
      <c r="C50" t="s">
        <v>61</v>
      </c>
      <c r="D50">
        <v>0</v>
      </c>
      <c r="E50">
        <f>D1_ENERO[[#This Row],[RECUPERO]]/VLOOKUP(F50,$H:$I,2,0)</f>
        <v>0</v>
      </c>
      <c r="F50" t="str">
        <f>D1_ENERO[[#This Row],[SUPER]]</f>
        <v>LUIS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  <c r="P50" t="str">
        <f>IF(DATA_ENERO_2025[[#This Row],[ASER_]]="","",F44)</f>
        <v/>
      </c>
      <c r="Q50" t="str">
        <f>IF(DATA_ENERO_2025[[#This Row],[SUPERVISOR]]="","",D44)</f>
        <v/>
      </c>
      <c r="R50" t="str">
        <f>IF(DATA_ENERO_2025[[#This Row],[RECUPERO]]="","",VLOOKUP(DATA_ENERO_2025[[#This Row],[SUPERVISOR]],$H:$I,2,0))</f>
        <v/>
      </c>
    </row>
    <row r="51" spans="1:18" x14ac:dyDescent="0.25">
      <c r="A51" t="s">
        <v>9</v>
      </c>
      <c r="B51" t="str">
        <f t="shared" si="0"/>
        <v>GABRIELA APONTE</v>
      </c>
      <c r="C51" t="s">
        <v>27</v>
      </c>
      <c r="D51">
        <v>1300</v>
      </c>
      <c r="E51">
        <f>D1_ENERO[[#This Row],[RECUPERO]]/VLOOKUP(F51,$H:$I,2,0)</f>
        <v>6.1904761904761907E-2</v>
      </c>
      <c r="F51" t="str">
        <f>D1_ENERO[[#This Row],[SUPER]]</f>
        <v>LUIS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IF(DATA_ENERO_2025[[#This Row],[ASER_]]="","",F45)</f>
        <v/>
      </c>
      <c r="Q51" t="str">
        <f>IF(DATA_ENERO_2025[[#This Row],[SUPERVISOR]]="","",D45)</f>
        <v/>
      </c>
      <c r="R51" t="str">
        <f>IF(DATA_ENERO_2025[[#This Row],[RECUPERO]]="","",VLOOKUP(DATA_ENERO_2025[[#This Row],[SUPERVISOR]],$H:$I,2,0))</f>
        <v/>
      </c>
    </row>
    <row r="52" spans="1:18" x14ac:dyDescent="0.25">
      <c r="A52" t="s">
        <v>9</v>
      </c>
      <c r="B52" t="str">
        <f t="shared" si="0"/>
        <v>GERALDINE ARROYO</v>
      </c>
      <c r="C52" t="s">
        <v>51</v>
      </c>
      <c r="D52">
        <v>1600</v>
      </c>
      <c r="E52">
        <f>D1_ENERO[[#This Row],[RECUPERO]]/VLOOKUP(F52,$H:$I,2,0)</f>
        <v>7.6190476190476197E-2</v>
      </c>
      <c r="F52" t="str">
        <f>D1_ENERO[[#This Row],[SUPER]]</f>
        <v>LUIS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IF(DATA_ENERO_2025[[#This Row],[ASER_]]="","",F46)</f>
        <v/>
      </c>
      <c r="Q52" t="str">
        <f>IF(DATA_ENERO_2025[[#This Row],[SUPERVISOR]]="","",D46)</f>
        <v/>
      </c>
      <c r="R52" t="str">
        <f>IF(DATA_ENERO_2025[[#This Row],[RECUPERO]]="","",VLOOKUP(DATA_ENERO_2025[[#This Row],[SUPERVISOR]],$H:$I,2,0))</f>
        <v/>
      </c>
    </row>
    <row r="53" spans="1:18" x14ac:dyDescent="0.25">
      <c r="A53" t="s">
        <v>9</v>
      </c>
      <c r="B53" t="str">
        <f t="shared" si="0"/>
        <v>GIULIANA QUISPE</v>
      </c>
      <c r="C53" t="s">
        <v>71</v>
      </c>
      <c r="D53">
        <v>19251.400000000001</v>
      </c>
      <c r="E53">
        <f>D1_ENERO[[#This Row],[RECUPERO]]/VLOOKUP(F53,$H:$I,2,0)</f>
        <v>0.9167333333333334</v>
      </c>
      <c r="F53" t="str">
        <f>D1_ENERO[[#This Row],[SUPER]]</f>
        <v>LUIS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IF(DATA_ENERO_2025[[#This Row],[ASER_]]="","",F47)</f>
        <v/>
      </c>
      <c r="Q53" t="str">
        <f>IF(DATA_ENERO_2025[[#This Row],[SUPERVISOR]]="","",D47)</f>
        <v/>
      </c>
      <c r="R53" t="str">
        <f>IF(DATA_ENERO_2025[[#This Row],[RECUPERO]]="","",VLOOKUP(DATA_ENERO_2025[[#This Row],[SUPERVISOR]],$H:$I,2,0))</f>
        <v/>
      </c>
    </row>
    <row r="54" spans="1:18" x14ac:dyDescent="0.25">
      <c r="A54" t="s">
        <v>9</v>
      </c>
      <c r="B54" t="str">
        <f t="shared" si="0"/>
        <v>HAROLD FLORES</v>
      </c>
      <c r="C54" t="s">
        <v>42</v>
      </c>
      <c r="D54">
        <v>10707.3</v>
      </c>
      <c r="E54">
        <f>D1_ENERO[[#This Row],[RECUPERO]]/VLOOKUP(F54,$H:$I,2,0)</f>
        <v>0.50987142857142853</v>
      </c>
      <c r="F54" t="str">
        <f>D1_ENERO[[#This Row],[SUPER]]</f>
        <v>LUIS</v>
      </c>
      <c r="L54">
        <v>1</v>
      </c>
      <c r="M54" s="1">
        <f t="shared" si="1"/>
        <v>0.47914285714285715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ALEJANDRA AVILA</v>
      </c>
      <c r="P54" t="str">
        <f>IF(DATA_ENERO_2025[[#This Row],[ASER_]]="","",F48)</f>
        <v>LUIS</v>
      </c>
      <c r="Q54">
        <f>IF(DATA_ENERO_2025[[#This Row],[SUPERVISOR]]="","",D48)</f>
        <v>10062</v>
      </c>
      <c r="R54">
        <f>IF(DATA_ENERO_2025[[#This Row],[RECUPERO]]="","",VLOOKUP(DATA_ENERO_2025[[#This Row],[SUPERVISOR]],$H:$I,2,0))</f>
        <v>21000</v>
      </c>
    </row>
    <row r="55" spans="1:18" x14ac:dyDescent="0.25">
      <c r="A55" t="s">
        <v>9</v>
      </c>
      <c r="B55" t="str">
        <f t="shared" si="0"/>
        <v>LUIS VALLADARES</v>
      </c>
      <c r="C55" t="s">
        <v>29</v>
      </c>
      <c r="D55">
        <v>25300.5</v>
      </c>
      <c r="E55">
        <f>D1_ENERO[[#This Row],[RECUPERO]]/VLOOKUP(F55,$H:$I,2,0)</f>
        <v>1.2047857142857143</v>
      </c>
      <c r="F55" t="str">
        <f>D1_ENERO[[#This Row],[SUPER]]</f>
        <v>LUIS</v>
      </c>
      <c r="L55">
        <v>2</v>
      </c>
      <c r="M55" s="1">
        <f t="shared" si="1"/>
        <v>0.61953809523809522</v>
      </c>
      <c r="N55" t="str" cm="1">
        <f t="array" ref="N55">IFERROR(_xlfn.IFS(M55&gt;100%,"&gt;100%",AND(M55&lt;100%,M55&gt;70%),"&gt;70%",AND(M55&lt;70%,M55&gt;40%),"&gt;40%",AND(M55&lt;40%,M55&gt;0%),"&gt;0%"),"")</f>
        <v>&gt;40%</v>
      </c>
      <c r="O55" t="str">
        <f t="shared" si="2"/>
        <v>ANDERSON RODRIGUEZ</v>
      </c>
      <c r="P55" t="str">
        <f>IF(DATA_ENERO_2025[[#This Row],[ASER_]]="","",F49)</f>
        <v>LUIS</v>
      </c>
      <c r="Q55">
        <f>IF(DATA_ENERO_2025[[#This Row],[SUPERVISOR]]="","",D49)</f>
        <v>13010.3</v>
      </c>
      <c r="R55">
        <f>IF(DATA_ENERO_2025[[#This Row],[RECUPERO]]="","",VLOOKUP(DATA_ENERO_2025[[#This Row],[SUPERVISOR]],$H:$I,2,0))</f>
        <v>21000</v>
      </c>
    </row>
    <row r="56" spans="1:18" x14ac:dyDescent="0.25">
      <c r="A56" t="s">
        <v>9</v>
      </c>
      <c r="B56" t="str">
        <f t="shared" si="0"/>
        <v>MARCELIT LOPEZ</v>
      </c>
      <c r="C56" t="s">
        <v>128</v>
      </c>
      <c r="D56">
        <v>0</v>
      </c>
      <c r="E56">
        <f>D1_ENERO[[#This Row],[RECUPERO]]/VLOOKUP(F56,$H:$I,2,0)</f>
        <v>0</v>
      </c>
      <c r="F56" t="str">
        <f>D1_ENERO[[#This Row],[SUPER]]</f>
        <v>LUIS</v>
      </c>
      <c r="L56">
        <v>3</v>
      </c>
      <c r="M56" s="1">
        <f t="shared" si="1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2"/>
        <v>CRISTINA TICONA</v>
      </c>
      <c r="P56" t="str">
        <f>IF(DATA_ENERO_2025[[#This Row],[ASER_]]="","",F50)</f>
        <v>LUIS</v>
      </c>
      <c r="Q56">
        <f>IF(DATA_ENERO_2025[[#This Row],[SUPERVISOR]]="","",D50)</f>
        <v>0</v>
      </c>
      <c r="R56">
        <f>IF(DATA_ENERO_2025[[#This Row],[RECUPERO]]="","",VLOOKUP(DATA_ENERO_2025[[#This Row],[SUPERVISOR]],$H:$I,2,0))</f>
        <v>21000</v>
      </c>
    </row>
    <row r="57" spans="1:18" x14ac:dyDescent="0.25">
      <c r="A57" t="s">
        <v>9</v>
      </c>
      <c r="B57" t="str">
        <f t="shared" si="0"/>
        <v>MERLY CORONEL</v>
      </c>
      <c r="C57" t="s">
        <v>70</v>
      </c>
      <c r="D57">
        <v>17335.099999999999</v>
      </c>
      <c r="E57">
        <f>D1_ENERO[[#This Row],[RECUPERO]]/VLOOKUP(F57,$H:$I,2,0)</f>
        <v>0.82548095238095232</v>
      </c>
      <c r="F57" t="str">
        <f>D1_ENERO[[#This Row],[SUPER]]</f>
        <v>LUIS</v>
      </c>
      <c r="L57">
        <v>4</v>
      </c>
      <c r="M57" s="1">
        <f t="shared" si="1"/>
        <v>6.1904761904761907E-2</v>
      </c>
      <c r="N57" t="str" cm="1">
        <f t="array" ref="N57">IFERROR(_xlfn.IFS(M57&gt;100%,"&gt;100%",AND(M57&lt;100%,M57&gt;70%),"&gt;70%",AND(M57&lt;70%,M57&gt;40%),"&gt;40%",AND(M57&lt;40%,M57&gt;0%),"&gt;0%"),"")</f>
        <v>&gt;0%</v>
      </c>
      <c r="O57" t="str">
        <f t="shared" si="2"/>
        <v>GABRIELA APONTE</v>
      </c>
      <c r="P57" t="str">
        <f>IF(DATA_ENERO_2025[[#This Row],[ASER_]]="","",F51)</f>
        <v>LUIS</v>
      </c>
      <c r="Q57">
        <f>IF(DATA_ENERO_2025[[#This Row],[SUPERVISOR]]="","",D51)</f>
        <v>1300</v>
      </c>
      <c r="R57">
        <f>IF(DATA_ENERO_2025[[#This Row],[RECUPERO]]="","",VLOOKUP(DATA_ENERO_2025[[#This Row],[SUPERVISOR]],$H:$I,2,0))</f>
        <v>21000</v>
      </c>
    </row>
    <row r="58" spans="1:18" x14ac:dyDescent="0.25">
      <c r="A58" t="s">
        <v>9</v>
      </c>
      <c r="B58" t="str">
        <f t="shared" si="0"/>
        <v>ROCIO TERRONES</v>
      </c>
      <c r="C58" t="s">
        <v>107</v>
      </c>
      <c r="D58">
        <v>11961.3</v>
      </c>
      <c r="E58">
        <f>D1_ENERO[[#This Row],[RECUPERO]]/VLOOKUP(F58,$H:$I,2,0)</f>
        <v>0.56958571428571425</v>
      </c>
      <c r="F58" t="str">
        <f>D1_ENERO[[#This Row],[SUPER]]</f>
        <v>LUIS</v>
      </c>
      <c r="L58">
        <v>5</v>
      </c>
      <c r="M58" s="1">
        <f t="shared" si="1"/>
        <v>7.6190476190476197E-2</v>
      </c>
      <c r="N58" t="str" cm="1">
        <f t="array" ref="N58">IFERROR(_xlfn.IFS(M58&gt;100%,"&gt;100%",AND(M58&lt;100%,M58&gt;70%),"&gt;70%",AND(M58&lt;70%,M58&gt;40%),"&gt;40%",AND(M58&lt;40%,M58&gt;0%),"&gt;0%"),"")</f>
        <v>&gt;0%</v>
      </c>
      <c r="O58" t="str">
        <f t="shared" si="2"/>
        <v>GERALDINE ARROYO</v>
      </c>
      <c r="P58" t="str">
        <f>IF(DATA_ENERO_2025[[#This Row],[ASER_]]="","",F52)</f>
        <v>LUIS</v>
      </c>
      <c r="Q58">
        <f>IF(DATA_ENERO_2025[[#This Row],[SUPERVISOR]]="","",D52)</f>
        <v>1600</v>
      </c>
      <c r="R58">
        <f>IF(DATA_ENERO_2025[[#This Row],[RECUPERO]]="","",VLOOKUP(DATA_ENERO_2025[[#This Row],[SUPERVISOR]],$H:$I,2,0))</f>
        <v>21000</v>
      </c>
    </row>
    <row r="59" spans="1:18" x14ac:dyDescent="0.25">
      <c r="A59" t="s">
        <v>9</v>
      </c>
      <c r="B59" t="str">
        <f t="shared" si="0"/>
        <v>SARITA GARAY</v>
      </c>
      <c r="C59" t="s">
        <v>73</v>
      </c>
      <c r="D59">
        <v>8821</v>
      </c>
      <c r="E59">
        <f>D1_ENERO[[#This Row],[RECUPERO]]/VLOOKUP(F59,$H:$I,2,0)</f>
        <v>0.42004761904761906</v>
      </c>
      <c r="F59" t="str">
        <f>D1_ENERO[[#This Row],[SUPER]]</f>
        <v>LUIS</v>
      </c>
      <c r="L59">
        <v>6</v>
      </c>
      <c r="M59" s="1">
        <f t="shared" si="1"/>
        <v>0.9167333333333334</v>
      </c>
      <c r="N59" t="str" cm="1">
        <f t="array" ref="N59">IFERROR(_xlfn.IFS(M59&gt;100%,"&gt;100%",AND(M59&lt;100%,M59&gt;70%),"&gt;70%",AND(M59&lt;70%,M59&gt;40%),"&gt;40%",AND(M59&lt;40%,M59&gt;0%),"&gt;0%"),"")</f>
        <v>&gt;70%</v>
      </c>
      <c r="O59" t="str">
        <f t="shared" si="2"/>
        <v>GIULIANA QUISPE</v>
      </c>
      <c r="P59" t="str">
        <f>IF(DATA_ENERO_2025[[#This Row],[ASER_]]="","",F53)</f>
        <v>LUIS</v>
      </c>
      <c r="Q59">
        <f>IF(DATA_ENERO_2025[[#This Row],[SUPERVISOR]]="","",D53)</f>
        <v>19251.400000000001</v>
      </c>
      <c r="R59">
        <f>IF(DATA_ENERO_2025[[#This Row],[RECUPERO]]="","",VLOOKUP(DATA_ENERO_2025[[#This Row],[SUPERVISOR]],$H:$I,2,0))</f>
        <v>21000</v>
      </c>
    </row>
    <row r="60" spans="1:18" x14ac:dyDescent="0.25">
      <c r="A60" t="s">
        <v>9</v>
      </c>
      <c r="B60" t="str">
        <f t="shared" si="0"/>
        <v>VERONICA HUARCA</v>
      </c>
      <c r="C60" t="s">
        <v>48</v>
      </c>
      <c r="D60">
        <v>9457.2999999999993</v>
      </c>
      <c r="E60">
        <f>D1_ENERO[[#This Row],[RECUPERO]]/VLOOKUP(F60,$H:$I,2,0)</f>
        <v>0.450347619047619</v>
      </c>
      <c r="F60" t="str">
        <f>D1_ENERO[[#This Row],[SUPER]]</f>
        <v>LUIS</v>
      </c>
      <c r="L60">
        <v>7</v>
      </c>
      <c r="M60" s="1">
        <f t="shared" si="1"/>
        <v>0.50987142857142853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HAROLD FLORES</v>
      </c>
      <c r="P60" t="str">
        <f>IF(DATA_ENERO_2025[[#This Row],[ASER_]]="","",F54)</f>
        <v>LUIS</v>
      </c>
      <c r="Q60">
        <f>IF(DATA_ENERO_2025[[#This Row],[SUPERVISOR]]="","",D54)</f>
        <v>10707.3</v>
      </c>
      <c r="R60">
        <f>IF(DATA_ENERO_2025[[#This Row],[RECUPERO]]="","",VLOOKUP(DATA_ENERO_2025[[#This Row],[SUPERVISOR]],$H:$I,2,0))</f>
        <v>21000</v>
      </c>
    </row>
    <row r="61" spans="1:18" x14ac:dyDescent="0.25">
      <c r="A61" t="s">
        <v>9</v>
      </c>
      <c r="B61" t="str">
        <f t="shared" si="0"/>
        <v/>
      </c>
      <c r="E61">
        <f>D1_ENERO[[#This Row],[RECUPERO]]/VLOOKUP(F61,$H:$I,2,0)</f>
        <v>0</v>
      </c>
      <c r="F61" t="str">
        <f>D1_ENERO[[#This Row],[SUPER]]</f>
        <v>LUIS</v>
      </c>
      <c r="L61">
        <v>8</v>
      </c>
      <c r="M61" s="1">
        <f t="shared" si="1"/>
        <v>1.2047857142857143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2"/>
        <v>LUIS VALLADARES</v>
      </c>
      <c r="P61" t="str">
        <f>IF(DATA_ENERO_2025[[#This Row],[ASER_]]="","",F55)</f>
        <v>LUIS</v>
      </c>
      <c r="Q61">
        <f>IF(DATA_ENERO_2025[[#This Row],[SUPERVISOR]]="","",D55)</f>
        <v>25300.5</v>
      </c>
      <c r="R61">
        <f>IF(DATA_ENERO_2025[[#This Row],[RECUPERO]]="","",VLOOKUP(DATA_ENERO_2025[[#This Row],[SUPERVISOR]],$H:$I,2,0))</f>
        <v>21000</v>
      </c>
    </row>
    <row r="62" spans="1:18" x14ac:dyDescent="0.25">
      <c r="A62" t="s">
        <v>9</v>
      </c>
      <c r="B62" t="str">
        <f t="shared" si="0"/>
        <v/>
      </c>
      <c r="E62">
        <f>D1_ENERO[[#This Row],[RECUPERO]]/VLOOKUP(F62,$H:$I,2,0)</f>
        <v>0</v>
      </c>
      <c r="F62" t="str">
        <f>D1_ENERO[[#This Row],[SUPER]]</f>
        <v>LUIS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>MARCELIT LOPEZ</v>
      </c>
      <c r="P62" t="str">
        <f>IF(DATA_ENERO_2025[[#This Row],[ASER_]]="","",F56)</f>
        <v>LUIS</v>
      </c>
      <c r="Q62">
        <f>IF(DATA_ENERO_2025[[#This Row],[SUPERVISOR]]="","",D56)</f>
        <v>0</v>
      </c>
      <c r="R62">
        <f>IF(DATA_ENERO_2025[[#This Row],[RECUPERO]]="","",VLOOKUP(DATA_ENERO_2025[[#This Row],[SUPERVISOR]],$H:$I,2,0))</f>
        <v>21000</v>
      </c>
    </row>
    <row r="63" spans="1:18" x14ac:dyDescent="0.25">
      <c r="A63" t="s">
        <v>4</v>
      </c>
      <c r="B63" t="str">
        <f t="shared" si="0"/>
        <v>ALEJANDRO GONZALES</v>
      </c>
      <c r="C63" t="s">
        <v>116</v>
      </c>
      <c r="D63">
        <v>0</v>
      </c>
      <c r="E63">
        <f>D1_ENERO[[#This Row],[RECUPERO]]/VLOOKUP(F63,$H:$I,2,0)</f>
        <v>0</v>
      </c>
      <c r="F63" t="str">
        <f>D1_ENERO[[#This Row],[SUPER]]</f>
        <v>MELINA</v>
      </c>
      <c r="L63">
        <v>10</v>
      </c>
      <c r="M63" s="1">
        <f t="shared" si="1"/>
        <v>0.82548095238095232</v>
      </c>
      <c r="N63" t="str" cm="1">
        <f t="array" ref="N63">IFERROR(_xlfn.IFS(M63&gt;100%,"&gt;100%",AND(M63&lt;100%,M63&gt;70%),"&gt;70%",AND(M63&lt;70%,M63&gt;40%),"&gt;40%",AND(M63&lt;40%,M63&gt;0%),"&gt;0%"),"")</f>
        <v>&gt;70%</v>
      </c>
      <c r="O63" t="str">
        <f t="shared" si="2"/>
        <v>MERLY CORONEL</v>
      </c>
      <c r="P63" t="str">
        <f>IF(DATA_ENERO_2025[[#This Row],[ASER_]]="","",F57)</f>
        <v>LUIS</v>
      </c>
      <c r="Q63">
        <f>IF(DATA_ENERO_2025[[#This Row],[SUPERVISOR]]="","",D57)</f>
        <v>17335.099999999999</v>
      </c>
      <c r="R63">
        <f>IF(DATA_ENERO_2025[[#This Row],[RECUPERO]]="","",VLOOKUP(DATA_ENERO_2025[[#This Row],[SUPERVISOR]],$H:$I,2,0))</f>
        <v>21000</v>
      </c>
    </row>
    <row r="64" spans="1:18" x14ac:dyDescent="0.25">
      <c r="A64" t="s">
        <v>4</v>
      </c>
      <c r="B64" t="str">
        <f t="shared" si="0"/>
        <v>ANALUCIA PONCE</v>
      </c>
      <c r="C64" t="s">
        <v>60</v>
      </c>
      <c r="D64">
        <v>78684</v>
      </c>
      <c r="E64">
        <f>D1_ENERO[[#This Row],[RECUPERO]]/VLOOKUP(F64,$H:$I,2,0)</f>
        <v>1.3566206896551725</v>
      </c>
      <c r="F64" t="str">
        <f>D1_ENERO[[#This Row],[SUPER]]</f>
        <v>MELINA</v>
      </c>
      <c r="L64">
        <v>11</v>
      </c>
      <c r="M64" s="1">
        <f t="shared" si="1"/>
        <v>0.56958571428571425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2"/>
        <v>ROCIO TERRONES</v>
      </c>
      <c r="P64" t="str">
        <f>IF(DATA_ENERO_2025[[#This Row],[ASER_]]="","",F58)</f>
        <v>LUIS</v>
      </c>
      <c r="Q64">
        <f>IF(DATA_ENERO_2025[[#This Row],[SUPERVISOR]]="","",D58)</f>
        <v>11961.3</v>
      </c>
      <c r="R64">
        <f>IF(DATA_ENERO_2025[[#This Row],[RECUPERO]]="","",VLOOKUP(DATA_ENERO_2025[[#This Row],[SUPERVISOR]],$H:$I,2,0))</f>
        <v>21000</v>
      </c>
    </row>
    <row r="65" spans="1:18" x14ac:dyDescent="0.25">
      <c r="A65" t="s">
        <v>4</v>
      </c>
      <c r="B65" t="str">
        <f t="shared" si="0"/>
        <v>DARYL FERREL</v>
      </c>
      <c r="C65" t="s">
        <v>40</v>
      </c>
      <c r="D65">
        <v>22008.61</v>
      </c>
      <c r="E65">
        <f>D1_ENERO[[#This Row],[RECUPERO]]/VLOOKUP(F65,$H:$I,2,0)</f>
        <v>0.37945879310344827</v>
      </c>
      <c r="F65" t="str">
        <f>D1_ENERO[[#This Row],[SUPER]]</f>
        <v>MELINA</v>
      </c>
      <c r="L65">
        <v>12</v>
      </c>
      <c r="M65" s="1">
        <f t="shared" si="1"/>
        <v>0.42004761904761906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2"/>
        <v>SARITA GARAY</v>
      </c>
      <c r="P65" t="str">
        <f>IF(DATA_ENERO_2025[[#This Row],[ASER_]]="","",F59)</f>
        <v>LUIS</v>
      </c>
      <c r="Q65">
        <f>IF(DATA_ENERO_2025[[#This Row],[SUPERVISOR]]="","",D59)</f>
        <v>8821</v>
      </c>
      <c r="R65">
        <f>IF(DATA_ENERO_2025[[#This Row],[RECUPERO]]="","",VLOOKUP(DATA_ENERO_2025[[#This Row],[SUPERVISOR]],$H:$I,2,0))</f>
        <v>21000</v>
      </c>
    </row>
    <row r="66" spans="1:18" x14ac:dyDescent="0.25">
      <c r="A66" t="s">
        <v>4</v>
      </c>
      <c r="B66" t="str">
        <f t="shared" si="0"/>
        <v>DAVID SANCHEZ</v>
      </c>
      <c r="C66" t="s">
        <v>81</v>
      </c>
      <c r="D66">
        <v>23861</v>
      </c>
      <c r="E66">
        <f>D1_ENERO[[#This Row],[RECUPERO]]/VLOOKUP(F66,$H:$I,2,0)</f>
        <v>0.41139655172413792</v>
      </c>
      <c r="F66" t="str">
        <f>D1_ENERO[[#This Row],[SUPER]]</f>
        <v>MELINA</v>
      </c>
      <c r="L66">
        <v>13</v>
      </c>
      <c r="M66" s="1">
        <f t="shared" si="1"/>
        <v>0.450347619047619</v>
      </c>
      <c r="N66" t="str" cm="1">
        <f t="array" ref="N66">IFERROR(_xlfn.IFS(M66&gt;100%,"&gt;100%",AND(M66&lt;100%,M66&gt;70%),"&gt;70%",AND(M66&lt;70%,M66&gt;40%),"&gt;40%",AND(M66&lt;40%,M66&gt;0%),"&gt;0%"),"")</f>
        <v>&gt;40%</v>
      </c>
      <c r="O66" t="str">
        <f t="shared" si="2"/>
        <v>VERONICA HUARCA</v>
      </c>
      <c r="P66" t="str">
        <f>IF(DATA_ENERO_2025[[#This Row],[ASER_]]="","",F60)</f>
        <v>LUIS</v>
      </c>
      <c r="Q66">
        <f>IF(DATA_ENERO_2025[[#This Row],[SUPERVISOR]]="","",D60)</f>
        <v>9457.2999999999993</v>
      </c>
      <c r="R66">
        <f>IF(DATA_ENERO_2025[[#This Row],[RECUPERO]]="","",VLOOKUP(DATA_ENERO_2025[[#This Row],[SUPERVISOR]],$H:$I,2,0))</f>
        <v>21000</v>
      </c>
    </row>
    <row r="67" spans="1:18" x14ac:dyDescent="0.25">
      <c r="A67" t="s">
        <v>4</v>
      </c>
      <c r="B67" t="str">
        <f t="shared" si="0"/>
        <v>JEREMIAS ROJAS</v>
      </c>
      <c r="C67" t="s">
        <v>129</v>
      </c>
      <c r="D67">
        <v>49322.67</v>
      </c>
      <c r="E67">
        <f>D1_ENERO[[#This Row],[RECUPERO]]/VLOOKUP(F67,$H:$I,2,0)</f>
        <v>0.85039086206896553</v>
      </c>
      <c r="F67" t="str">
        <f>D1_ENERO[[#This Row],[SUPER]]</f>
        <v>MELINA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IF(DATA_ENERO_2025[[#This Row],[ASER_]]="","",F61)</f>
        <v/>
      </c>
      <c r="Q67" t="str">
        <f>IF(DATA_ENERO_2025[[#This Row],[SUPERVISOR]]="","",D61)</f>
        <v/>
      </c>
      <c r="R67" t="str">
        <f>IF(DATA_ENERO_2025[[#This Row],[RECUPERO]]="","",VLOOKUP(DATA_ENERO_2025[[#This Row],[SUPERVISOR]],$H:$I,2,0))</f>
        <v/>
      </c>
    </row>
    <row r="68" spans="1:18" x14ac:dyDescent="0.25">
      <c r="A68" t="s">
        <v>4</v>
      </c>
      <c r="B68" t="str">
        <f t="shared" ref="B68:B107" si="3">TRIM(C68)</f>
        <v>JHOVANA TORRES</v>
      </c>
      <c r="C68" t="s">
        <v>20</v>
      </c>
      <c r="D68">
        <v>24191.91</v>
      </c>
      <c r="E68">
        <f>D1_ENERO[[#This Row],[RECUPERO]]/VLOOKUP(F68,$H:$I,2,0)</f>
        <v>0.41710189655172414</v>
      </c>
      <c r="F68" t="str">
        <f>D1_ENERO[[#This Row],[SUPER]]</f>
        <v>MELINA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IF(DATA_ENERO_2025[[#This Row],[ASER_]]="","",F62)</f>
        <v/>
      </c>
      <c r="Q68" t="str">
        <f>IF(DATA_ENERO_2025[[#This Row],[SUPERVISOR]]="","",D62)</f>
        <v/>
      </c>
      <c r="R68" t="str">
        <f>IF(DATA_ENERO_2025[[#This Row],[RECUPERO]]="","",VLOOKUP(DATA_ENERO_2025[[#This Row],[SUPERVISOR]],$H:$I,2,0))</f>
        <v/>
      </c>
    </row>
    <row r="69" spans="1:18" x14ac:dyDescent="0.25">
      <c r="A69" t="s">
        <v>4</v>
      </c>
      <c r="B69" t="str">
        <f t="shared" si="3"/>
        <v>MARIA TINTAYA</v>
      </c>
      <c r="C69" t="s">
        <v>75</v>
      </c>
      <c r="D69">
        <v>83209.83</v>
      </c>
      <c r="E69">
        <f>D1_ENERO[[#This Row],[RECUPERO]]/VLOOKUP(F69,$H:$I,2,0)</f>
        <v>1.4346522413793104</v>
      </c>
      <c r="F69" t="str">
        <f>D1_ENERO[[#This Row],[SUPER]]</f>
        <v>MELINA</v>
      </c>
      <c r="L69">
        <v>1</v>
      </c>
      <c r="M69" s="1">
        <f t="shared" si="1"/>
        <v>0</v>
      </c>
      <c r="N69" t="str" cm="1">
        <f t="array" ref="N69">IFERROR(_xlfn.IFS(M69&gt;100%,"&gt;100%",AND(M69&lt;100%,M69&gt;70%),"&gt;70%",AND(M69&lt;70%,M69&gt;40%),"&gt;40%",AND(M69&lt;40%,M69&gt;0%),"&gt;0%"),"")</f>
        <v/>
      </c>
      <c r="O69" t="str">
        <f t="shared" si="2"/>
        <v>ALEJANDRO GONZALES</v>
      </c>
      <c r="P69" t="str">
        <f>IF(DATA_ENERO_2025[[#This Row],[ASER_]]="","",F63)</f>
        <v>MELINA</v>
      </c>
      <c r="Q69">
        <f>IF(DATA_ENERO_2025[[#This Row],[SUPERVISOR]]="","",D63)</f>
        <v>0</v>
      </c>
      <c r="R69">
        <f>IF(DATA_ENERO_2025[[#This Row],[RECUPERO]]="","",VLOOKUP(DATA_ENERO_2025[[#This Row],[SUPERVISOR]],$H:$I,2,0))</f>
        <v>58000</v>
      </c>
    </row>
    <row r="70" spans="1:18" x14ac:dyDescent="0.25">
      <c r="A70" t="s">
        <v>4</v>
      </c>
      <c r="B70" t="str">
        <f t="shared" si="3"/>
        <v>MILAGROS QUIO</v>
      </c>
      <c r="C70" t="s">
        <v>11</v>
      </c>
      <c r="D70">
        <v>47644</v>
      </c>
      <c r="E70">
        <f>D1_ENERO[[#This Row],[RECUPERO]]/VLOOKUP(F70,$H:$I,2,0)</f>
        <v>0.82144827586206892</v>
      </c>
      <c r="F70" t="str">
        <f>D1_ENERO[[#This Row],[SUPER]]</f>
        <v>MELINA</v>
      </c>
      <c r="L70">
        <v>2</v>
      </c>
      <c r="M70" s="1">
        <f t="shared" si="1"/>
        <v>1.3566206896551725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ANALUCIA PONCE</v>
      </c>
      <c r="P70" t="str">
        <f>IF(DATA_ENERO_2025[[#This Row],[ASER_]]="","",F64)</f>
        <v>MELINA</v>
      </c>
      <c r="Q70">
        <f>IF(DATA_ENERO_2025[[#This Row],[SUPERVISOR]]="","",D64)</f>
        <v>78684</v>
      </c>
      <c r="R70">
        <f>IF(DATA_ENERO_2025[[#This Row],[RECUPERO]]="","",VLOOKUP(DATA_ENERO_2025[[#This Row],[SUPERVISOR]],$H:$I,2,0))</f>
        <v>58000</v>
      </c>
    </row>
    <row r="71" spans="1:18" x14ac:dyDescent="0.25">
      <c r="A71" t="s">
        <v>4</v>
      </c>
      <c r="B71" t="str">
        <f t="shared" si="3"/>
        <v>PIERINA TESEN</v>
      </c>
      <c r="C71" t="s">
        <v>59</v>
      </c>
      <c r="D71">
        <v>111621.2</v>
      </c>
      <c r="E71">
        <f>D1_ENERO[[#This Row],[RECUPERO]]/VLOOKUP(F71,$H:$I,2,0)</f>
        <v>1.9245034482758621</v>
      </c>
      <c r="F71" t="str">
        <f>D1_ENERO[[#This Row],[SUPER]]</f>
        <v>MELINA</v>
      </c>
      <c r="L71">
        <v>3</v>
      </c>
      <c r="M71" s="1">
        <f t="shared" si="1"/>
        <v>0.37945879310344827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2"/>
        <v>DARYL FERREL</v>
      </c>
      <c r="P71" t="str">
        <f>IF(DATA_ENERO_2025[[#This Row],[ASER_]]="","",F65)</f>
        <v>MELINA</v>
      </c>
      <c r="Q71">
        <f>IF(DATA_ENERO_2025[[#This Row],[SUPERVISOR]]="","",D65)</f>
        <v>22008.61</v>
      </c>
      <c r="R71">
        <f>IF(DATA_ENERO_2025[[#This Row],[RECUPERO]]="","",VLOOKUP(DATA_ENERO_2025[[#This Row],[SUPERVISOR]],$H:$I,2,0))</f>
        <v>58000</v>
      </c>
    </row>
    <row r="72" spans="1:18" x14ac:dyDescent="0.25">
      <c r="A72" t="s">
        <v>4</v>
      </c>
      <c r="B72" t="str">
        <f t="shared" si="3"/>
        <v/>
      </c>
      <c r="E72">
        <f>D1_ENERO[[#This Row],[RECUPERO]]/VLOOKUP(F72,$H:$I,2,0)</f>
        <v>0</v>
      </c>
      <c r="F72" t="str">
        <f>D1_ENERO[[#This Row],[SUPER]]</f>
        <v>MELINA</v>
      </c>
      <c r="L72">
        <v>4</v>
      </c>
      <c r="M72" s="1">
        <f t="shared" si="1"/>
        <v>0.41139655172413792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2"/>
        <v>DAVID SANCHEZ</v>
      </c>
      <c r="P72" t="str">
        <f>IF(DATA_ENERO_2025[[#This Row],[ASER_]]="","",F66)</f>
        <v>MELINA</v>
      </c>
      <c r="Q72">
        <f>IF(DATA_ENERO_2025[[#This Row],[SUPERVISOR]]="","",D66)</f>
        <v>23861</v>
      </c>
      <c r="R72">
        <f>IF(DATA_ENERO_2025[[#This Row],[RECUPERO]]="","",VLOOKUP(DATA_ENERO_2025[[#This Row],[SUPERVISOR]],$H:$I,2,0))</f>
        <v>58000</v>
      </c>
    </row>
    <row r="73" spans="1:18" x14ac:dyDescent="0.25">
      <c r="A73" t="s">
        <v>4</v>
      </c>
      <c r="B73" t="str">
        <f t="shared" si="3"/>
        <v/>
      </c>
      <c r="E73">
        <f>D1_ENERO[[#This Row],[RECUPERO]]/VLOOKUP(F73,$H:$I,2,0)</f>
        <v>0</v>
      </c>
      <c r="F73" t="str">
        <f>D1_ENERO[[#This Row],[SUPER]]</f>
        <v>MELINA</v>
      </c>
      <c r="L73">
        <v>5</v>
      </c>
      <c r="M73" s="1">
        <f t="shared" si="1"/>
        <v>0.85039086206896553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JEREMIAS ROJAS</v>
      </c>
      <c r="P73" t="str">
        <f>IF(DATA_ENERO_2025[[#This Row],[ASER_]]="","",F67)</f>
        <v>MELINA</v>
      </c>
      <c r="Q73">
        <f>IF(DATA_ENERO_2025[[#This Row],[SUPERVISOR]]="","",D67)</f>
        <v>49322.67</v>
      </c>
      <c r="R73">
        <f>IF(DATA_ENERO_2025[[#This Row],[RECUPERO]]="","",VLOOKUP(DATA_ENERO_2025[[#This Row],[SUPERVISOR]],$H:$I,2,0))</f>
        <v>58000</v>
      </c>
    </row>
    <row r="74" spans="1:18" x14ac:dyDescent="0.25">
      <c r="A74" t="s">
        <v>4</v>
      </c>
      <c r="B74" t="str">
        <f t="shared" si="3"/>
        <v/>
      </c>
      <c r="E74">
        <f>D1_ENERO[[#This Row],[RECUPERO]]/VLOOKUP(F74,$H:$I,2,0)</f>
        <v>0</v>
      </c>
      <c r="F74" t="str">
        <f>D1_ENERO[[#This Row],[SUPER]]</f>
        <v>MELINA</v>
      </c>
      <c r="L74">
        <v>6</v>
      </c>
      <c r="M74" s="1">
        <f t="shared" ref="M74:M113" si="4">E68</f>
        <v>0.41710189655172414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13" si="5">B68</f>
        <v>JHOVANA TORRES</v>
      </c>
      <c r="P74" t="str">
        <f>IF(DATA_ENERO_2025[[#This Row],[ASER_]]="","",F68)</f>
        <v>MELINA</v>
      </c>
      <c r="Q74">
        <f>IF(DATA_ENERO_2025[[#This Row],[SUPERVISOR]]="","",D68)</f>
        <v>24191.91</v>
      </c>
      <c r="R74">
        <f>IF(DATA_ENERO_2025[[#This Row],[RECUPERO]]="","",VLOOKUP(DATA_ENERO_2025[[#This Row],[SUPERVISOR]],$H:$I,2,0))</f>
        <v>58000</v>
      </c>
    </row>
    <row r="75" spans="1:18" x14ac:dyDescent="0.25">
      <c r="A75" t="s">
        <v>4</v>
      </c>
      <c r="B75" t="str">
        <f t="shared" si="3"/>
        <v/>
      </c>
      <c r="E75">
        <f>D1_ENERO[[#This Row],[RECUPERO]]/VLOOKUP(F75,$H:$I,2,0)</f>
        <v>0</v>
      </c>
      <c r="F75" t="str">
        <f>D1_ENERO[[#This Row],[SUPER]]</f>
        <v>MELINA</v>
      </c>
      <c r="L75">
        <v>7</v>
      </c>
      <c r="M75" s="1">
        <f t="shared" si="4"/>
        <v>1.4346522413793104</v>
      </c>
      <c r="N75" t="str" cm="1">
        <f t="array" ref="N75">IFERROR(_xlfn.IFS(M75&gt;100%,"&gt;100%",AND(M75&lt;100%,M75&gt;70%),"&gt;70%",AND(M75&lt;70%,M75&gt;40%),"&gt;40%",AND(M75&lt;40%,M75&gt;0%),"&gt;0%"),"")</f>
        <v>&gt;100%</v>
      </c>
      <c r="O75" t="str">
        <f t="shared" si="5"/>
        <v>MARIA TINTAYA</v>
      </c>
      <c r="P75" t="str">
        <f>IF(DATA_ENERO_2025[[#This Row],[ASER_]]="","",F69)</f>
        <v>MELINA</v>
      </c>
      <c r="Q75">
        <f>IF(DATA_ENERO_2025[[#This Row],[SUPERVISOR]]="","",D69)</f>
        <v>83209.83</v>
      </c>
      <c r="R75">
        <f>IF(DATA_ENERO_2025[[#This Row],[RECUPERO]]="","",VLOOKUP(DATA_ENERO_2025[[#This Row],[SUPERVISOR]],$H:$I,2,0))</f>
        <v>58000</v>
      </c>
    </row>
    <row r="76" spans="1:18" x14ac:dyDescent="0.25">
      <c r="A76" t="s">
        <v>4</v>
      </c>
      <c r="B76" t="str">
        <f t="shared" si="3"/>
        <v/>
      </c>
      <c r="E76">
        <f>D1_ENERO[[#This Row],[RECUPERO]]/VLOOKUP(F76,$H:$I,2,0)</f>
        <v>0</v>
      </c>
      <c r="F76" t="str">
        <f>D1_ENERO[[#This Row],[SUPER]]</f>
        <v>MELINA</v>
      </c>
      <c r="L76">
        <v>8</v>
      </c>
      <c r="M76" s="1">
        <f t="shared" si="4"/>
        <v>0.82144827586206892</v>
      </c>
      <c r="N76" t="str" cm="1">
        <f t="array" ref="N76">IFERROR(_xlfn.IFS(M76&gt;100%,"&gt;100%",AND(M76&lt;100%,M76&gt;70%),"&gt;70%",AND(M76&lt;70%,M76&gt;40%),"&gt;40%",AND(M76&lt;40%,M76&gt;0%),"&gt;0%"),"")</f>
        <v>&gt;70%</v>
      </c>
      <c r="O76" t="str">
        <f t="shared" si="5"/>
        <v>MILAGROS QUIO</v>
      </c>
      <c r="P76" t="str">
        <f>IF(DATA_ENERO_2025[[#This Row],[ASER_]]="","",F70)</f>
        <v>MELINA</v>
      </c>
      <c r="Q76">
        <f>IF(DATA_ENERO_2025[[#This Row],[SUPERVISOR]]="","",D70)</f>
        <v>47644</v>
      </c>
      <c r="R76">
        <f>IF(DATA_ENERO_2025[[#This Row],[RECUPERO]]="","",VLOOKUP(DATA_ENERO_2025[[#This Row],[SUPERVISOR]],$H:$I,2,0))</f>
        <v>58000</v>
      </c>
    </row>
    <row r="77" spans="1:18" x14ac:dyDescent="0.25">
      <c r="A77" t="s">
        <v>4</v>
      </c>
      <c r="B77" t="str">
        <f t="shared" si="3"/>
        <v/>
      </c>
      <c r="E77">
        <f>D1_ENERO[[#This Row],[RECUPERO]]/VLOOKUP(F77,$H:$I,2,0)</f>
        <v>0</v>
      </c>
      <c r="F77" t="str">
        <f>D1_ENERO[[#This Row],[SUPER]]</f>
        <v>MELINA</v>
      </c>
      <c r="L77">
        <v>9</v>
      </c>
      <c r="M77" s="1">
        <f t="shared" si="4"/>
        <v>1.9245034482758621</v>
      </c>
      <c r="N77" t="str" cm="1">
        <f t="array" ref="N77">IFERROR(_xlfn.IFS(M77&gt;100%,"&gt;100%",AND(M77&lt;100%,M77&gt;70%),"&gt;70%",AND(M77&lt;70%,M77&gt;40%),"&gt;40%",AND(M77&lt;40%,M77&gt;0%),"&gt;0%"),"")</f>
        <v>&gt;100%</v>
      </c>
      <c r="O77" t="str">
        <f t="shared" si="5"/>
        <v>PIERINA TESEN</v>
      </c>
      <c r="P77" t="str">
        <f>IF(DATA_ENERO_2025[[#This Row],[ASER_]]="","",F71)</f>
        <v>MELINA</v>
      </c>
      <c r="Q77">
        <f>IF(DATA_ENERO_2025[[#This Row],[SUPERVISOR]]="","",D71)</f>
        <v>111621.2</v>
      </c>
      <c r="R77">
        <f>IF(DATA_ENERO_2025[[#This Row],[RECUPERO]]="","",VLOOKUP(DATA_ENERO_2025[[#This Row],[SUPERVISOR]],$H:$I,2,0))</f>
        <v>58000</v>
      </c>
    </row>
    <row r="78" spans="1:18" x14ac:dyDescent="0.25">
      <c r="A78" t="s">
        <v>122</v>
      </c>
      <c r="B78" t="str">
        <f t="shared" si="3"/>
        <v>ALEIDITH GUEVARA</v>
      </c>
      <c r="C78" t="s">
        <v>18</v>
      </c>
      <c r="D78">
        <v>18262</v>
      </c>
      <c r="E78">
        <f>D1_ENERO[[#This Row],[RECUPERO]]/VLOOKUP(F78,$H:$I,2,0)</f>
        <v>1.1067878787878789</v>
      </c>
      <c r="F78" t="str">
        <f>D1_ENERO[[#This Row],[SUPER]]</f>
        <v>MELITA</v>
      </c>
      <c r="L78">
        <v>10</v>
      </c>
      <c r="M78" s="1">
        <f t="shared" si="4"/>
        <v>0</v>
      </c>
      <c r="N78" t="str" cm="1">
        <f t="array" ref="N78">IFERROR(_xlfn.IFS(M78&gt;100%,"&gt;100%",AND(M78&lt;100%,M78&gt;70%),"&gt;70%",AND(M78&lt;70%,M78&gt;40%),"&gt;40%",AND(M78&lt;40%,M78&gt;0%),"&gt;0%"),"")</f>
        <v/>
      </c>
      <c r="O78" t="str">
        <f t="shared" si="5"/>
        <v/>
      </c>
      <c r="P78" t="str">
        <f>IF(DATA_ENERO_2025[[#This Row],[ASER_]]="","",F72)</f>
        <v/>
      </c>
      <c r="Q78" t="str">
        <f>IF(DATA_ENERO_2025[[#This Row],[SUPERVISOR]]="","",D72)</f>
        <v/>
      </c>
      <c r="R78" t="str">
        <f>IF(DATA_ENERO_2025[[#This Row],[RECUPERO]]="","",VLOOKUP(DATA_ENERO_2025[[#This Row],[SUPERVISOR]],$H:$I,2,0))</f>
        <v/>
      </c>
    </row>
    <row r="79" spans="1:18" x14ac:dyDescent="0.25">
      <c r="A79" t="s">
        <v>122</v>
      </c>
      <c r="B79" t="str">
        <f t="shared" si="3"/>
        <v>BRINA SOTO</v>
      </c>
      <c r="C79" t="s">
        <v>14</v>
      </c>
      <c r="D79">
        <v>18788</v>
      </c>
      <c r="E79">
        <f>D1_ENERO[[#This Row],[RECUPERO]]/VLOOKUP(F79,$H:$I,2,0)</f>
        <v>1.1386666666666667</v>
      </c>
      <c r="F79" t="str">
        <f>D1_ENERO[[#This Row],[SUPER]]</f>
        <v>MELITA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  <c r="P79" t="str">
        <f>IF(DATA_ENERO_2025[[#This Row],[ASER_]]="","",F73)</f>
        <v/>
      </c>
      <c r="Q79" t="str">
        <f>IF(DATA_ENERO_2025[[#This Row],[SUPERVISOR]]="","",D73)</f>
        <v/>
      </c>
      <c r="R79" t="str">
        <f>IF(DATA_ENERO_2025[[#This Row],[RECUPERO]]="","",VLOOKUP(DATA_ENERO_2025[[#This Row],[SUPERVISOR]],$H:$I,2,0))</f>
        <v/>
      </c>
    </row>
    <row r="80" spans="1:18" x14ac:dyDescent="0.25">
      <c r="A80" t="s">
        <v>122</v>
      </c>
      <c r="B80" t="str">
        <f t="shared" si="3"/>
        <v>DANIEL ZAPATA</v>
      </c>
      <c r="C80" t="s">
        <v>80</v>
      </c>
      <c r="D80">
        <v>19834</v>
      </c>
      <c r="E80">
        <f>D1_ENERO[[#This Row],[RECUPERO]]/VLOOKUP(F80,$H:$I,2,0)</f>
        <v>1.2020606060606061</v>
      </c>
      <c r="F80" t="str">
        <f>D1_ENERO[[#This Row],[SUPER]]</f>
        <v>MELITA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  <c r="P80" t="str">
        <f>IF(DATA_ENERO_2025[[#This Row],[ASER_]]="","",F74)</f>
        <v/>
      </c>
      <c r="Q80" t="str">
        <f>IF(DATA_ENERO_2025[[#This Row],[SUPERVISOR]]="","",D74)</f>
        <v/>
      </c>
      <c r="R80" t="str">
        <f>IF(DATA_ENERO_2025[[#This Row],[RECUPERO]]="","",VLOOKUP(DATA_ENERO_2025[[#This Row],[SUPERVISOR]],$H:$I,2,0))</f>
        <v/>
      </c>
    </row>
    <row r="81" spans="1:18" x14ac:dyDescent="0.25">
      <c r="A81" t="s">
        <v>122</v>
      </c>
      <c r="B81" t="str">
        <f t="shared" si="3"/>
        <v>FRANCO HUAMANI</v>
      </c>
      <c r="C81" t="s">
        <v>24</v>
      </c>
      <c r="D81">
        <v>0</v>
      </c>
      <c r="E81">
        <f>D1_ENERO[[#This Row],[RECUPERO]]/VLOOKUP(F81,$H:$I,2,0)</f>
        <v>0</v>
      </c>
      <c r="F81" t="str">
        <f>D1_ENERO[[#This Row],[SUPER]]</f>
        <v>MELITA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IF(DATA_ENERO_2025[[#This Row],[ASER_]]="","",F75)</f>
        <v/>
      </c>
      <c r="Q81" t="str">
        <f>IF(DATA_ENERO_2025[[#This Row],[SUPERVISOR]]="","",D75)</f>
        <v/>
      </c>
      <c r="R81" t="str">
        <f>IF(DATA_ENERO_2025[[#This Row],[RECUPERO]]="","",VLOOKUP(DATA_ENERO_2025[[#This Row],[SUPERVISOR]],$H:$I,2,0))</f>
        <v/>
      </c>
    </row>
    <row r="82" spans="1:18" x14ac:dyDescent="0.25">
      <c r="A82" t="s">
        <v>122</v>
      </c>
      <c r="B82" t="str">
        <f t="shared" si="3"/>
        <v>ISABEL BEJARANO</v>
      </c>
      <c r="C82" t="s">
        <v>83</v>
      </c>
      <c r="D82">
        <v>14285</v>
      </c>
      <c r="E82">
        <f>D1_ENERO[[#This Row],[RECUPERO]]/VLOOKUP(F82,$H:$I,2,0)</f>
        <v>0.86575757575757573</v>
      </c>
      <c r="F82" t="str">
        <f>D1_ENERO[[#This Row],[SUPER]]</f>
        <v>MELITA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IF(DATA_ENERO_2025[[#This Row],[ASER_]]="","",F76)</f>
        <v/>
      </c>
      <c r="Q82" t="str">
        <f>IF(DATA_ENERO_2025[[#This Row],[SUPERVISOR]]="","",D76)</f>
        <v/>
      </c>
      <c r="R82" t="str">
        <f>IF(DATA_ENERO_2025[[#This Row],[RECUPERO]]="","",VLOOKUP(DATA_ENERO_2025[[#This Row],[SUPERVISOR]],$H:$I,2,0))</f>
        <v/>
      </c>
    </row>
    <row r="83" spans="1:18" x14ac:dyDescent="0.25">
      <c r="A83" t="s">
        <v>122</v>
      </c>
      <c r="B83" t="str">
        <f t="shared" si="3"/>
        <v>JANETH PORTOCARRERO</v>
      </c>
      <c r="C83" t="s">
        <v>49</v>
      </c>
      <c r="D83">
        <v>18962</v>
      </c>
      <c r="E83">
        <f>D1_ENERO[[#This Row],[RECUPERO]]/VLOOKUP(F83,$H:$I,2,0)</f>
        <v>1.1492121212121211</v>
      </c>
      <c r="F83" t="str">
        <f>D1_ENERO[[#This Row],[SUPER]]</f>
        <v>MELITA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IF(DATA_ENERO_2025[[#This Row],[ASER_]]="","",F77)</f>
        <v/>
      </c>
      <c r="Q83" t="str">
        <f>IF(DATA_ENERO_2025[[#This Row],[SUPERVISOR]]="","",D77)</f>
        <v/>
      </c>
      <c r="R83" t="str">
        <f>IF(DATA_ENERO_2025[[#This Row],[RECUPERO]]="","",VLOOKUP(DATA_ENERO_2025[[#This Row],[SUPERVISOR]],$H:$I,2,0))</f>
        <v/>
      </c>
    </row>
    <row r="84" spans="1:18" x14ac:dyDescent="0.25">
      <c r="A84" t="s">
        <v>122</v>
      </c>
      <c r="B84" t="str">
        <f t="shared" si="3"/>
        <v>JESSICA MELGAREJO</v>
      </c>
      <c r="C84" t="s">
        <v>99</v>
      </c>
      <c r="D84">
        <v>9410</v>
      </c>
      <c r="E84">
        <f>D1_ENERO[[#This Row],[RECUPERO]]/VLOOKUP(F84,$H:$I,2,0)</f>
        <v>0.57030303030303031</v>
      </c>
      <c r="F84" t="str">
        <f>D1_ENERO[[#This Row],[SUPER]]</f>
        <v>MELITA</v>
      </c>
      <c r="L84">
        <v>1</v>
      </c>
      <c r="M84" s="1">
        <f t="shared" si="4"/>
        <v>1.1067878787878789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ALEIDITH GUEVARA</v>
      </c>
      <c r="P84" t="str">
        <f>IF(DATA_ENERO_2025[[#This Row],[ASER_]]="","",F78)</f>
        <v>MELITA</v>
      </c>
      <c r="Q84">
        <f>IF(DATA_ENERO_2025[[#This Row],[SUPERVISOR]]="","",D78)</f>
        <v>18262</v>
      </c>
      <c r="R84">
        <f>IF(DATA_ENERO_2025[[#This Row],[RECUPERO]]="","",VLOOKUP(DATA_ENERO_2025[[#This Row],[SUPERVISOR]],$H:$I,2,0))</f>
        <v>16500</v>
      </c>
    </row>
    <row r="85" spans="1:18" x14ac:dyDescent="0.25">
      <c r="A85" t="s">
        <v>122</v>
      </c>
      <c r="B85" t="str">
        <f t="shared" si="3"/>
        <v>JHONATAN CHAVEZ</v>
      </c>
      <c r="C85" t="s">
        <v>65</v>
      </c>
      <c r="D85">
        <v>2630</v>
      </c>
      <c r="E85">
        <f>D1_ENERO[[#This Row],[RECUPERO]]/VLOOKUP(F85,$H:$I,2,0)</f>
        <v>0.15939393939393939</v>
      </c>
      <c r="F85" t="str">
        <f>D1_ENERO[[#This Row],[SUPER]]</f>
        <v>MELITA</v>
      </c>
      <c r="L85">
        <v>2</v>
      </c>
      <c r="M85" s="1">
        <f t="shared" si="4"/>
        <v>1.1386666666666667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BRINA SOTO</v>
      </c>
      <c r="P85" t="str">
        <f>IF(DATA_ENERO_2025[[#This Row],[ASER_]]="","",F79)</f>
        <v>MELITA</v>
      </c>
      <c r="Q85">
        <f>IF(DATA_ENERO_2025[[#This Row],[SUPERVISOR]]="","",D79)</f>
        <v>18788</v>
      </c>
      <c r="R85">
        <f>IF(DATA_ENERO_2025[[#This Row],[RECUPERO]]="","",VLOOKUP(DATA_ENERO_2025[[#This Row],[SUPERVISOR]],$H:$I,2,0))</f>
        <v>16500</v>
      </c>
    </row>
    <row r="86" spans="1:18" x14ac:dyDescent="0.25">
      <c r="A86" t="s">
        <v>122</v>
      </c>
      <c r="B86" t="str">
        <f t="shared" si="3"/>
        <v>LINDA TUESTA</v>
      </c>
      <c r="C86" t="s">
        <v>33</v>
      </c>
      <c r="D86">
        <v>12405.4</v>
      </c>
      <c r="E86">
        <f>D1_ENERO[[#This Row],[RECUPERO]]/VLOOKUP(F86,$H:$I,2,0)</f>
        <v>0.7518424242424242</v>
      </c>
      <c r="F86" t="str">
        <f>D1_ENERO[[#This Row],[SUPER]]</f>
        <v>MELITA</v>
      </c>
      <c r="L86">
        <v>3</v>
      </c>
      <c r="M86" s="1">
        <f t="shared" si="4"/>
        <v>1.2020606060606061</v>
      </c>
      <c r="N86" t="str" cm="1">
        <f t="array" ref="N86">IFERROR(_xlfn.IFS(M86&gt;100%,"&gt;100%",AND(M86&lt;100%,M86&gt;70%),"&gt;70%",AND(M86&lt;70%,M86&gt;40%),"&gt;40%",AND(M86&lt;40%,M86&gt;0%),"&gt;0%"),"")</f>
        <v>&gt;100%</v>
      </c>
      <c r="O86" t="str">
        <f t="shared" si="5"/>
        <v>DANIEL ZAPATA</v>
      </c>
      <c r="P86" t="str">
        <f>IF(DATA_ENERO_2025[[#This Row],[ASER_]]="","",F80)</f>
        <v>MELITA</v>
      </c>
      <c r="Q86">
        <f>IF(DATA_ENERO_2025[[#This Row],[SUPERVISOR]]="","",D80)</f>
        <v>19834</v>
      </c>
      <c r="R86">
        <f>IF(DATA_ENERO_2025[[#This Row],[RECUPERO]]="","",VLOOKUP(DATA_ENERO_2025[[#This Row],[SUPERVISOR]],$H:$I,2,0))</f>
        <v>16500</v>
      </c>
    </row>
    <row r="87" spans="1:18" x14ac:dyDescent="0.25">
      <c r="A87" t="s">
        <v>122</v>
      </c>
      <c r="B87" t="str">
        <f t="shared" si="3"/>
        <v>LUCERO JORDAN</v>
      </c>
      <c r="C87" t="s">
        <v>68</v>
      </c>
      <c r="D87">
        <v>17533</v>
      </c>
      <c r="E87">
        <f>D1_ENERO[[#This Row],[RECUPERO]]/VLOOKUP(F87,$H:$I,2,0)</f>
        <v>1.0626060606060606</v>
      </c>
      <c r="F87" t="str">
        <f>D1_ENERO[[#This Row],[SUPER]]</f>
        <v>MELITA</v>
      </c>
      <c r="L87">
        <v>4</v>
      </c>
      <c r="M87" s="1">
        <f t="shared" si="4"/>
        <v>0</v>
      </c>
      <c r="N87" t="str" cm="1">
        <f t="array" ref="N87">IFERROR(_xlfn.IFS(M87&gt;100%,"&gt;100%",AND(M87&lt;100%,M87&gt;70%),"&gt;70%",AND(M87&lt;70%,M87&gt;40%),"&gt;40%",AND(M87&lt;40%,M87&gt;0%),"&gt;0%"),"")</f>
        <v/>
      </c>
      <c r="O87" t="str">
        <f t="shared" si="5"/>
        <v>FRANCO HUAMANI</v>
      </c>
      <c r="P87" t="str">
        <f>IF(DATA_ENERO_2025[[#This Row],[ASER_]]="","",F81)</f>
        <v>MELITA</v>
      </c>
      <c r="Q87">
        <f>IF(DATA_ENERO_2025[[#This Row],[SUPERVISOR]]="","",D81)</f>
        <v>0</v>
      </c>
      <c r="R87">
        <f>IF(DATA_ENERO_2025[[#This Row],[RECUPERO]]="","",VLOOKUP(DATA_ENERO_2025[[#This Row],[SUPERVISOR]],$H:$I,2,0))</f>
        <v>16500</v>
      </c>
    </row>
    <row r="88" spans="1:18" x14ac:dyDescent="0.25">
      <c r="A88" t="s">
        <v>122</v>
      </c>
      <c r="B88" t="str">
        <f t="shared" si="3"/>
        <v/>
      </c>
      <c r="E88">
        <f>D1_ENERO[[#This Row],[RECUPERO]]/VLOOKUP(F88,$H:$I,2,0)</f>
        <v>0</v>
      </c>
      <c r="F88" t="str">
        <f>D1_ENERO[[#This Row],[SUPER]]</f>
        <v>MELITA</v>
      </c>
      <c r="L88">
        <v>5</v>
      </c>
      <c r="M88" s="1">
        <f t="shared" si="4"/>
        <v>0.86575757575757573</v>
      </c>
      <c r="N88" t="str" cm="1">
        <f t="array" ref="N88">IFERROR(_xlfn.IFS(M88&gt;100%,"&gt;100%",AND(M88&lt;100%,M88&gt;70%),"&gt;70%",AND(M88&lt;70%,M88&gt;40%),"&gt;40%",AND(M88&lt;40%,M88&gt;0%),"&gt;0%"),"")</f>
        <v>&gt;70%</v>
      </c>
      <c r="O88" t="str">
        <f t="shared" si="5"/>
        <v>ISABEL BEJARANO</v>
      </c>
      <c r="P88" t="str">
        <f>IF(DATA_ENERO_2025[[#This Row],[ASER_]]="","",F82)</f>
        <v>MELITA</v>
      </c>
      <c r="Q88">
        <f>IF(DATA_ENERO_2025[[#This Row],[SUPERVISOR]]="","",D82)</f>
        <v>14285</v>
      </c>
      <c r="R88">
        <f>IF(DATA_ENERO_2025[[#This Row],[RECUPERO]]="","",VLOOKUP(DATA_ENERO_2025[[#This Row],[SUPERVISOR]],$H:$I,2,0))</f>
        <v>16500</v>
      </c>
    </row>
    <row r="89" spans="1:18" x14ac:dyDescent="0.25">
      <c r="A89" t="s">
        <v>122</v>
      </c>
      <c r="B89" t="str">
        <f t="shared" si="3"/>
        <v/>
      </c>
      <c r="E89">
        <f>D1_ENERO[[#This Row],[RECUPERO]]/VLOOKUP(F89,$H:$I,2,0)</f>
        <v>0</v>
      </c>
      <c r="F89" t="str">
        <f>D1_ENERO[[#This Row],[SUPER]]</f>
        <v>MELITA</v>
      </c>
      <c r="L89">
        <v>6</v>
      </c>
      <c r="M89" s="1">
        <f t="shared" si="4"/>
        <v>1.1492121212121211</v>
      </c>
      <c r="N89" t="str" cm="1">
        <f t="array" ref="N89">IFERROR(_xlfn.IFS(M89&gt;100%,"&gt;100%",AND(M89&lt;100%,M89&gt;70%),"&gt;70%",AND(M89&lt;70%,M89&gt;40%),"&gt;40%",AND(M89&lt;40%,M89&gt;0%),"&gt;0%"),"")</f>
        <v>&gt;100%</v>
      </c>
      <c r="O89" t="str">
        <f t="shared" si="5"/>
        <v>JANETH PORTOCARRERO</v>
      </c>
      <c r="P89" t="str">
        <f>IF(DATA_ENERO_2025[[#This Row],[ASER_]]="","",F83)</f>
        <v>MELITA</v>
      </c>
      <c r="Q89">
        <f>IF(DATA_ENERO_2025[[#This Row],[SUPERVISOR]]="","",D83)</f>
        <v>18962</v>
      </c>
      <c r="R89">
        <f>IF(DATA_ENERO_2025[[#This Row],[RECUPERO]]="","",VLOOKUP(DATA_ENERO_2025[[#This Row],[SUPERVISOR]],$H:$I,2,0))</f>
        <v>16500</v>
      </c>
    </row>
    <row r="90" spans="1:18" x14ac:dyDescent="0.25">
      <c r="A90" t="s">
        <v>122</v>
      </c>
      <c r="B90" t="str">
        <f t="shared" si="3"/>
        <v/>
      </c>
      <c r="E90">
        <f>D1_ENERO[[#This Row],[RECUPERO]]/VLOOKUP(F90,$H:$I,2,0)</f>
        <v>0</v>
      </c>
      <c r="F90" t="str">
        <f>D1_ENERO[[#This Row],[SUPER]]</f>
        <v>MELITA</v>
      </c>
      <c r="L90">
        <v>7</v>
      </c>
      <c r="M90" s="1">
        <f t="shared" si="4"/>
        <v>0.57030303030303031</v>
      </c>
      <c r="N90" t="str" cm="1">
        <f t="array" ref="N90">IFERROR(_xlfn.IFS(M90&gt;100%,"&gt;100%",AND(M90&lt;100%,M90&gt;70%),"&gt;70%",AND(M90&lt;70%,M90&gt;40%),"&gt;40%",AND(M90&lt;40%,M90&gt;0%),"&gt;0%"),"")</f>
        <v>&gt;40%</v>
      </c>
      <c r="O90" t="str">
        <f t="shared" si="5"/>
        <v>JESSICA MELGAREJO</v>
      </c>
      <c r="P90" t="str">
        <f>IF(DATA_ENERO_2025[[#This Row],[ASER_]]="","",F84)</f>
        <v>MELITA</v>
      </c>
      <c r="Q90">
        <f>IF(DATA_ENERO_2025[[#This Row],[SUPERVISOR]]="","",D84)</f>
        <v>9410</v>
      </c>
      <c r="R90">
        <f>IF(DATA_ENERO_2025[[#This Row],[RECUPERO]]="","",VLOOKUP(DATA_ENERO_2025[[#This Row],[SUPERVISOR]],$H:$I,2,0))</f>
        <v>16500</v>
      </c>
    </row>
    <row r="91" spans="1:18" x14ac:dyDescent="0.25">
      <c r="A91" t="s">
        <v>122</v>
      </c>
      <c r="B91" t="str">
        <f t="shared" si="3"/>
        <v/>
      </c>
      <c r="E91">
        <f>D1_ENERO[[#This Row],[RECUPERO]]/VLOOKUP(F91,$H:$I,2,0)</f>
        <v>0</v>
      </c>
      <c r="F91" t="str">
        <f>D1_ENERO[[#This Row],[SUPER]]</f>
        <v>MELITA</v>
      </c>
      <c r="L91">
        <v>8</v>
      </c>
      <c r="M91" s="1">
        <f t="shared" si="4"/>
        <v>0.15939393939393939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JHONATAN CHAVEZ</v>
      </c>
      <c r="P91" t="str">
        <f>IF(DATA_ENERO_2025[[#This Row],[ASER_]]="","",F85)</f>
        <v>MELITA</v>
      </c>
      <c r="Q91">
        <f>IF(DATA_ENERO_2025[[#This Row],[SUPERVISOR]]="","",D85)</f>
        <v>2630</v>
      </c>
      <c r="R91">
        <f>IF(DATA_ENERO_2025[[#This Row],[RECUPERO]]="","",VLOOKUP(DATA_ENERO_2025[[#This Row],[SUPERVISOR]],$H:$I,2,0))</f>
        <v>16500</v>
      </c>
    </row>
    <row r="92" spans="1:18" x14ac:dyDescent="0.25">
      <c r="A92" t="s">
        <v>122</v>
      </c>
      <c r="B92" t="str">
        <f t="shared" si="3"/>
        <v/>
      </c>
      <c r="E92">
        <f>D1_ENERO[[#This Row],[RECUPERO]]/VLOOKUP(F92,$H:$I,2,0)</f>
        <v>0</v>
      </c>
      <c r="F92" t="str">
        <f>D1_ENERO[[#This Row],[SUPER]]</f>
        <v>MELITA</v>
      </c>
      <c r="L92">
        <v>9</v>
      </c>
      <c r="M92" s="1">
        <f t="shared" si="4"/>
        <v>0.7518424242424242</v>
      </c>
      <c r="N92" t="str" cm="1">
        <f t="array" ref="N92">IFERROR(_xlfn.IFS(M92&gt;100%,"&gt;100%",AND(M92&lt;100%,M92&gt;70%),"&gt;70%",AND(M92&lt;70%,M92&gt;40%),"&gt;40%",AND(M92&lt;40%,M92&gt;0%),"&gt;0%"),"")</f>
        <v>&gt;70%</v>
      </c>
      <c r="O92" t="str">
        <f t="shared" si="5"/>
        <v>LINDA TUESTA</v>
      </c>
      <c r="P92" t="str">
        <f>IF(DATA_ENERO_2025[[#This Row],[ASER_]]="","",F86)</f>
        <v>MELITA</v>
      </c>
      <c r="Q92">
        <f>IF(DATA_ENERO_2025[[#This Row],[SUPERVISOR]]="","",D86)</f>
        <v>12405.4</v>
      </c>
      <c r="R92">
        <f>IF(DATA_ENERO_2025[[#This Row],[RECUPERO]]="","",VLOOKUP(DATA_ENERO_2025[[#This Row],[SUPERVISOR]],$H:$I,2,0))</f>
        <v>16500</v>
      </c>
    </row>
    <row r="93" spans="1:18" x14ac:dyDescent="0.25">
      <c r="A93" t="s">
        <v>3</v>
      </c>
      <c r="B93" t="str">
        <f t="shared" si="3"/>
        <v>ALEJANDRA QUISPE</v>
      </c>
      <c r="C93" t="s">
        <v>58</v>
      </c>
      <c r="D93">
        <v>35091.5</v>
      </c>
      <c r="E93">
        <f>D1_ENERO[[#This Row],[RECUPERO]]/VLOOKUP(F93,$H:$I,2,0)</f>
        <v>0.60502586206896547</v>
      </c>
      <c r="F93" t="str">
        <f>D1_ENERO[[#This Row],[SUPER]]</f>
        <v>SANDY</v>
      </c>
      <c r="L93">
        <v>10</v>
      </c>
      <c r="M93" s="1">
        <f t="shared" si="4"/>
        <v>1.0626060606060606</v>
      </c>
      <c r="N93" t="str" cm="1">
        <f t="array" ref="N93">IFERROR(_xlfn.IFS(M93&gt;100%,"&gt;100%",AND(M93&lt;100%,M93&gt;70%),"&gt;70%",AND(M93&lt;70%,M93&gt;40%),"&gt;40%",AND(M93&lt;40%,M93&gt;0%),"&gt;0%"),"")</f>
        <v>&gt;100%</v>
      </c>
      <c r="O93" t="str">
        <f t="shared" si="5"/>
        <v>LUCERO JORDAN</v>
      </c>
      <c r="P93" t="str">
        <f>IF(DATA_ENERO_2025[[#This Row],[ASER_]]="","",F87)</f>
        <v>MELITA</v>
      </c>
      <c r="Q93">
        <f>IF(DATA_ENERO_2025[[#This Row],[SUPERVISOR]]="","",D87)</f>
        <v>17533</v>
      </c>
      <c r="R93">
        <f>IF(DATA_ENERO_2025[[#This Row],[RECUPERO]]="","",VLOOKUP(DATA_ENERO_2025[[#This Row],[SUPERVISOR]],$H:$I,2,0))</f>
        <v>16500</v>
      </c>
    </row>
    <row r="94" spans="1:18" x14ac:dyDescent="0.25">
      <c r="A94" t="s">
        <v>3</v>
      </c>
      <c r="B94" t="str">
        <f t="shared" si="3"/>
        <v>EVELY TENORIO</v>
      </c>
      <c r="C94" t="s">
        <v>22</v>
      </c>
      <c r="D94">
        <v>0</v>
      </c>
      <c r="E94">
        <f>D1_ENERO[[#This Row],[RECUPERO]]/VLOOKUP(F94,$H:$I,2,0)</f>
        <v>0</v>
      </c>
      <c r="F94" t="str">
        <f>D1_ENERO[[#This Row],[SUPER]]</f>
        <v>SANDY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IF(DATA_ENERO_2025[[#This Row],[ASER_]]="","",F88)</f>
        <v/>
      </c>
      <c r="Q94" t="str">
        <f>IF(DATA_ENERO_2025[[#This Row],[SUPERVISOR]]="","",D88)</f>
        <v/>
      </c>
      <c r="R94" t="str">
        <f>IF(DATA_ENERO_2025[[#This Row],[RECUPERO]]="","",VLOOKUP(DATA_ENERO_2025[[#This Row],[SUPERVISOR]],$H:$I,2,0))</f>
        <v/>
      </c>
    </row>
    <row r="95" spans="1:18" x14ac:dyDescent="0.25">
      <c r="A95" t="s">
        <v>3</v>
      </c>
      <c r="B95" t="str">
        <f t="shared" si="3"/>
        <v>JAIR MARTINEZ</v>
      </c>
      <c r="C95" t="s">
        <v>57</v>
      </c>
      <c r="D95">
        <v>37285.699999999997</v>
      </c>
      <c r="E95">
        <f>D1_ENERO[[#This Row],[RECUPERO]]/VLOOKUP(F95,$H:$I,2,0)</f>
        <v>0.64285689655172407</v>
      </c>
      <c r="F95" t="str">
        <f>D1_ENERO[[#This Row],[SUPER]]</f>
        <v>SANDY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IF(DATA_ENERO_2025[[#This Row],[ASER_]]="","",F89)</f>
        <v/>
      </c>
      <c r="Q95" t="str">
        <f>IF(DATA_ENERO_2025[[#This Row],[SUPERVISOR]]="","",D89)</f>
        <v/>
      </c>
      <c r="R95" t="str">
        <f>IF(DATA_ENERO_2025[[#This Row],[RECUPERO]]="","",VLOOKUP(DATA_ENERO_2025[[#This Row],[SUPERVISOR]],$H:$I,2,0))</f>
        <v/>
      </c>
    </row>
    <row r="96" spans="1:18" x14ac:dyDescent="0.25">
      <c r="A96" t="s">
        <v>3</v>
      </c>
      <c r="B96" t="str">
        <f t="shared" si="3"/>
        <v>JOSUE CHOCCE</v>
      </c>
      <c r="C96" t="s">
        <v>130</v>
      </c>
      <c r="D96">
        <v>9113</v>
      </c>
      <c r="E96">
        <f>D1_ENERO[[#This Row],[RECUPERO]]/VLOOKUP(F96,$H:$I,2,0)</f>
        <v>0.15712068965517242</v>
      </c>
      <c r="F96" t="str">
        <f>D1_ENERO[[#This Row],[SUPER]]</f>
        <v>SANDY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IF(DATA_ENERO_2025[[#This Row],[ASER_]]="","",F90)</f>
        <v/>
      </c>
      <c r="Q96" t="str">
        <f>IF(DATA_ENERO_2025[[#This Row],[SUPERVISOR]]="","",D90)</f>
        <v/>
      </c>
      <c r="R96" t="str">
        <f>IF(DATA_ENERO_2025[[#This Row],[RECUPERO]]="","",VLOOKUP(DATA_ENERO_2025[[#This Row],[SUPERVISOR]],$H:$I,2,0))</f>
        <v/>
      </c>
    </row>
    <row r="97" spans="1:18" x14ac:dyDescent="0.25">
      <c r="A97" t="s">
        <v>3</v>
      </c>
      <c r="B97" t="str">
        <f t="shared" si="3"/>
        <v>LISELY MERA</v>
      </c>
      <c r="C97" t="s">
        <v>23</v>
      </c>
      <c r="D97">
        <v>70030</v>
      </c>
      <c r="E97">
        <f>D1_ENERO[[#This Row],[RECUPERO]]/VLOOKUP(F97,$H:$I,2,0)</f>
        <v>1.2074137931034483</v>
      </c>
      <c r="F97" t="str">
        <f>D1_ENERO[[#This Row],[SUPER]]</f>
        <v>SANDY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IF(DATA_ENERO_2025[[#This Row],[ASER_]]="","",F91)</f>
        <v/>
      </c>
      <c r="Q97" t="str">
        <f>IF(DATA_ENERO_2025[[#This Row],[SUPERVISOR]]="","",D91)</f>
        <v/>
      </c>
      <c r="R97" t="str">
        <f>IF(DATA_ENERO_2025[[#This Row],[RECUPERO]]="","",VLOOKUP(DATA_ENERO_2025[[#This Row],[SUPERVISOR]],$H:$I,2,0))</f>
        <v/>
      </c>
    </row>
    <row r="98" spans="1:18" x14ac:dyDescent="0.25">
      <c r="A98" t="s">
        <v>3</v>
      </c>
      <c r="B98" t="str">
        <f t="shared" si="3"/>
        <v>MALORY MONTEBLANCO</v>
      </c>
      <c r="C98" t="s">
        <v>25</v>
      </c>
      <c r="D98">
        <v>53508</v>
      </c>
      <c r="E98">
        <f>D1_ENERO[[#This Row],[RECUPERO]]/VLOOKUP(F98,$H:$I,2,0)</f>
        <v>0.92255172413793107</v>
      </c>
      <c r="F98" t="str">
        <f>D1_ENERO[[#This Row],[SUPER]]</f>
        <v>SANDY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IF(DATA_ENERO_2025[[#This Row],[ASER_]]="","",F92)</f>
        <v/>
      </c>
      <c r="Q98" t="str">
        <f>IF(DATA_ENERO_2025[[#This Row],[SUPERVISOR]]="","",D92)</f>
        <v/>
      </c>
      <c r="R98" t="str">
        <f>IF(DATA_ENERO_2025[[#This Row],[RECUPERO]]="","",VLOOKUP(DATA_ENERO_2025[[#This Row],[SUPERVISOR]],$H:$I,2,0))</f>
        <v/>
      </c>
    </row>
    <row r="99" spans="1:18" x14ac:dyDescent="0.25">
      <c r="A99" t="s">
        <v>3</v>
      </c>
      <c r="B99" t="str">
        <f t="shared" si="3"/>
        <v>RICHARD RODRIGUEZ</v>
      </c>
      <c r="C99" t="s">
        <v>63</v>
      </c>
      <c r="D99">
        <v>49852.9</v>
      </c>
      <c r="E99">
        <f>D1_ENERO[[#This Row],[RECUPERO]]/VLOOKUP(F99,$H:$I,2,0)</f>
        <v>0.85953275862068967</v>
      </c>
      <c r="F99" t="str">
        <f>D1_ENERO[[#This Row],[SUPER]]</f>
        <v>SANDY</v>
      </c>
      <c r="L99">
        <v>1</v>
      </c>
      <c r="M99" s="1">
        <f t="shared" si="4"/>
        <v>0.60502586206896547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5"/>
        <v>ALEJANDRA QUISPE</v>
      </c>
      <c r="P99" t="str">
        <f>IF(DATA_ENERO_2025[[#This Row],[ASER_]]="","",F93)</f>
        <v>SANDY</v>
      </c>
      <c r="Q99">
        <f>IF(DATA_ENERO_2025[[#This Row],[SUPERVISOR]]="","",D93)</f>
        <v>35091.5</v>
      </c>
      <c r="R99">
        <f>IF(DATA_ENERO_2025[[#This Row],[RECUPERO]]="","",VLOOKUP(DATA_ENERO_2025[[#This Row],[SUPERVISOR]],$H:$I,2,0))</f>
        <v>58000</v>
      </c>
    </row>
    <row r="100" spans="1:18" x14ac:dyDescent="0.25">
      <c r="A100" t="s">
        <v>3</v>
      </c>
      <c r="B100" t="str">
        <f t="shared" si="3"/>
        <v>TERRY ECHEVARRIA</v>
      </c>
      <c r="C100" t="s">
        <v>30</v>
      </c>
      <c r="D100">
        <v>34037</v>
      </c>
      <c r="E100">
        <f>D1_ENERO[[#This Row],[RECUPERO]]/VLOOKUP(F100,$H:$I,2,0)</f>
        <v>0.58684482758620693</v>
      </c>
      <c r="F100" t="str">
        <f>D1_ENERO[[#This Row],[SUPER]]</f>
        <v>SANDY</v>
      </c>
      <c r="L100">
        <v>2</v>
      </c>
      <c r="M100" s="1">
        <f t="shared" si="4"/>
        <v>0</v>
      </c>
      <c r="N100" t="str" cm="1">
        <f t="array" ref="N100">IFERROR(_xlfn.IFS(M100&gt;100%,"&gt;100%",AND(M100&lt;100%,M100&gt;70%),"&gt;70%",AND(M100&lt;70%,M100&gt;40%),"&gt;40%",AND(M100&lt;40%,M100&gt;0%),"&gt;0%"),"")</f>
        <v/>
      </c>
      <c r="O100" t="str">
        <f t="shared" si="5"/>
        <v>EVELY TENORIO</v>
      </c>
      <c r="P100" t="str">
        <f>IF(DATA_ENERO_2025[[#This Row],[ASER_]]="","",F94)</f>
        <v>SANDY</v>
      </c>
      <c r="Q100">
        <f>IF(DATA_ENERO_2025[[#This Row],[SUPERVISOR]]="","",D94)</f>
        <v>0</v>
      </c>
      <c r="R100">
        <f>IF(DATA_ENERO_2025[[#This Row],[RECUPERO]]="","",VLOOKUP(DATA_ENERO_2025[[#This Row],[SUPERVISOR]],$H:$I,2,0))</f>
        <v>58000</v>
      </c>
    </row>
    <row r="101" spans="1:18" x14ac:dyDescent="0.25">
      <c r="A101" t="s">
        <v>3</v>
      </c>
      <c r="B101" t="str">
        <f t="shared" si="3"/>
        <v>VERONICA TASAYCO</v>
      </c>
      <c r="C101" t="s">
        <v>10</v>
      </c>
      <c r="D101">
        <v>34037</v>
      </c>
      <c r="E101">
        <f>D1_ENERO[[#This Row],[RECUPERO]]/VLOOKUP(F101,$H:$I,2,0)</f>
        <v>0.58684482758620693</v>
      </c>
      <c r="F101" t="str">
        <f>D1_ENERO[[#This Row],[SUPER]]</f>
        <v>SANDY</v>
      </c>
      <c r="L101">
        <v>3</v>
      </c>
      <c r="M101" s="1">
        <f t="shared" si="4"/>
        <v>0.64285689655172407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5"/>
        <v>JAIR MARTINEZ</v>
      </c>
      <c r="P101" t="str">
        <f>IF(DATA_ENERO_2025[[#This Row],[ASER_]]="","",F95)</f>
        <v>SANDY</v>
      </c>
      <c r="Q101">
        <f>IF(DATA_ENERO_2025[[#This Row],[SUPERVISOR]]="","",D95)</f>
        <v>37285.699999999997</v>
      </c>
      <c r="R101">
        <f>IF(DATA_ENERO_2025[[#This Row],[RECUPERO]]="","",VLOOKUP(DATA_ENERO_2025[[#This Row],[SUPERVISOR]],$H:$I,2,0))</f>
        <v>58000</v>
      </c>
    </row>
    <row r="102" spans="1:18" x14ac:dyDescent="0.25">
      <c r="A102" t="s">
        <v>3</v>
      </c>
      <c r="B102" t="str">
        <f t="shared" si="3"/>
        <v/>
      </c>
      <c r="E102">
        <f>D1_ENERO[[#This Row],[RECUPERO]]/VLOOKUP(F102,$H:$I,2,0)</f>
        <v>0</v>
      </c>
      <c r="F102" t="str">
        <f>D1_ENERO[[#This Row],[SUPER]]</f>
        <v>SANDY</v>
      </c>
      <c r="L102">
        <v>4</v>
      </c>
      <c r="M102" s="1">
        <f t="shared" si="4"/>
        <v>0.15712068965517242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5"/>
        <v>JOSUE CHOCCE</v>
      </c>
      <c r="P102" t="str">
        <f>IF(DATA_ENERO_2025[[#This Row],[ASER_]]="","",F96)</f>
        <v>SANDY</v>
      </c>
      <c r="Q102">
        <f>IF(DATA_ENERO_2025[[#This Row],[SUPERVISOR]]="","",D96)</f>
        <v>9113</v>
      </c>
      <c r="R102">
        <f>IF(DATA_ENERO_2025[[#This Row],[RECUPERO]]="","",VLOOKUP(DATA_ENERO_2025[[#This Row],[SUPERVISOR]],$H:$I,2,0))</f>
        <v>58000</v>
      </c>
    </row>
    <row r="103" spans="1:18" x14ac:dyDescent="0.25">
      <c r="A103" t="s">
        <v>3</v>
      </c>
      <c r="B103" t="str">
        <f t="shared" si="3"/>
        <v/>
      </c>
      <c r="E103">
        <f>D1_ENERO[[#This Row],[RECUPERO]]/VLOOKUP(F103,$H:$I,2,0)</f>
        <v>0</v>
      </c>
      <c r="F103" t="str">
        <f>D1_ENERO[[#This Row],[SUPER]]</f>
        <v>SANDY</v>
      </c>
      <c r="L103">
        <v>5</v>
      </c>
      <c r="M103" s="1">
        <f t="shared" si="4"/>
        <v>1.2074137931034483</v>
      </c>
      <c r="N103" t="str" cm="1">
        <f t="array" ref="N103">IFERROR(_xlfn.IFS(M103&gt;100%,"&gt;100%",AND(M103&lt;100%,M103&gt;70%),"&gt;70%",AND(M103&lt;70%,M103&gt;40%),"&gt;40%",AND(M103&lt;40%,M103&gt;0%),"&gt;0%"),"")</f>
        <v>&gt;100%</v>
      </c>
      <c r="O103" t="str">
        <f t="shared" si="5"/>
        <v>LISELY MERA</v>
      </c>
      <c r="P103" t="str">
        <f>IF(DATA_ENERO_2025[[#This Row],[ASER_]]="","",F97)</f>
        <v>SANDY</v>
      </c>
      <c r="Q103">
        <f>IF(DATA_ENERO_2025[[#This Row],[SUPERVISOR]]="","",D97)</f>
        <v>70030</v>
      </c>
      <c r="R103">
        <f>IF(DATA_ENERO_2025[[#This Row],[RECUPERO]]="","",VLOOKUP(DATA_ENERO_2025[[#This Row],[SUPERVISOR]],$H:$I,2,0))</f>
        <v>58000</v>
      </c>
    </row>
    <row r="104" spans="1:18" x14ac:dyDescent="0.25">
      <c r="A104" t="s">
        <v>3</v>
      </c>
      <c r="B104" t="str">
        <f t="shared" si="3"/>
        <v/>
      </c>
      <c r="E104">
        <f>D1_ENERO[[#This Row],[RECUPERO]]/VLOOKUP(F104,$H:$I,2,0)</f>
        <v>0</v>
      </c>
      <c r="F104" t="str">
        <f>D1_ENERO[[#This Row],[SUPER]]</f>
        <v>SANDY</v>
      </c>
      <c r="L104">
        <v>6</v>
      </c>
      <c r="M104" s="1">
        <f t="shared" si="4"/>
        <v>0.92255172413793107</v>
      </c>
      <c r="N104" t="str" cm="1">
        <f t="array" ref="N104">IFERROR(_xlfn.IFS(M104&gt;100%,"&gt;100%",AND(M104&lt;100%,M104&gt;70%),"&gt;70%",AND(M104&lt;70%,M104&gt;40%),"&gt;40%",AND(M104&lt;40%,M104&gt;0%),"&gt;0%"),"")</f>
        <v>&gt;70%</v>
      </c>
      <c r="O104" t="str">
        <f t="shared" si="5"/>
        <v>MALORY MONTEBLANCO</v>
      </c>
      <c r="P104" t="str">
        <f>IF(DATA_ENERO_2025[[#This Row],[ASER_]]="","",F98)</f>
        <v>SANDY</v>
      </c>
      <c r="Q104">
        <f>IF(DATA_ENERO_2025[[#This Row],[SUPERVISOR]]="","",D98)</f>
        <v>53508</v>
      </c>
      <c r="R104">
        <f>IF(DATA_ENERO_2025[[#This Row],[RECUPERO]]="","",VLOOKUP(DATA_ENERO_2025[[#This Row],[SUPERVISOR]],$H:$I,2,0))</f>
        <v>58000</v>
      </c>
    </row>
    <row r="105" spans="1:18" x14ac:dyDescent="0.25">
      <c r="A105" t="s">
        <v>3</v>
      </c>
      <c r="B105" t="str">
        <f t="shared" si="3"/>
        <v/>
      </c>
      <c r="E105">
        <f>D1_ENERO[[#This Row],[RECUPERO]]/VLOOKUP(F105,$H:$I,2,0)</f>
        <v>0</v>
      </c>
      <c r="F105" t="str">
        <f>D1_ENERO[[#This Row],[SUPER]]</f>
        <v>SANDY</v>
      </c>
      <c r="L105">
        <v>7</v>
      </c>
      <c r="M105" s="1">
        <f t="shared" si="4"/>
        <v>0.85953275862068967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RICHARD RODRIGUEZ</v>
      </c>
      <c r="P105" t="str">
        <f>IF(DATA_ENERO_2025[[#This Row],[ASER_]]="","",F99)</f>
        <v>SANDY</v>
      </c>
      <c r="Q105">
        <f>IF(DATA_ENERO_2025[[#This Row],[SUPERVISOR]]="","",D99)</f>
        <v>49852.9</v>
      </c>
      <c r="R105">
        <f>IF(DATA_ENERO_2025[[#This Row],[RECUPERO]]="","",VLOOKUP(DATA_ENERO_2025[[#This Row],[SUPERVISOR]],$H:$I,2,0))</f>
        <v>58000</v>
      </c>
    </row>
    <row r="106" spans="1:18" x14ac:dyDescent="0.25">
      <c r="A106" t="s">
        <v>3</v>
      </c>
      <c r="B106" t="str">
        <f t="shared" si="3"/>
        <v/>
      </c>
      <c r="E106">
        <f>D1_ENERO[[#This Row],[RECUPERO]]/VLOOKUP(F106,$H:$I,2,0)</f>
        <v>0</v>
      </c>
      <c r="F106" t="str">
        <f>D1_ENERO[[#This Row],[SUPER]]</f>
        <v>SANDY</v>
      </c>
      <c r="L106">
        <v>8</v>
      </c>
      <c r="M106" s="1">
        <f t="shared" si="4"/>
        <v>0.58684482758620693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TERRY ECHEVARRIA</v>
      </c>
      <c r="P106" t="str">
        <f>IF(DATA_ENERO_2025[[#This Row],[ASER_]]="","",F100)</f>
        <v>SANDY</v>
      </c>
      <c r="Q106">
        <f>IF(DATA_ENERO_2025[[#This Row],[SUPERVISOR]]="","",D100)</f>
        <v>34037</v>
      </c>
      <c r="R106">
        <f>IF(DATA_ENERO_2025[[#This Row],[RECUPERO]]="","",VLOOKUP(DATA_ENERO_2025[[#This Row],[SUPERVISOR]],$H:$I,2,0))</f>
        <v>58000</v>
      </c>
    </row>
    <row r="107" spans="1:18" x14ac:dyDescent="0.25">
      <c r="A107" t="s">
        <v>3</v>
      </c>
      <c r="B107" t="str">
        <f t="shared" si="3"/>
        <v/>
      </c>
      <c r="E107">
        <f>D1_ENERO[[#This Row],[RECUPERO]]/VLOOKUP(F107,$H:$I,2,0)</f>
        <v>0</v>
      </c>
      <c r="F107" t="str">
        <f>D1_ENERO[[#This Row],[SUPER]]</f>
        <v>SANDY</v>
      </c>
      <c r="L107">
        <v>9</v>
      </c>
      <c r="M107" s="1">
        <f t="shared" si="4"/>
        <v>0.58684482758620693</v>
      </c>
      <c r="N107" t="str" cm="1">
        <f t="array" ref="N107">IFERROR(_xlfn.IFS(M107&gt;100%,"&gt;100%",AND(M107&lt;100%,M107&gt;70%),"&gt;70%",AND(M107&lt;70%,M107&gt;40%),"&gt;40%",AND(M107&lt;40%,M107&gt;0%),"&gt;0%"),"")</f>
        <v>&gt;40%</v>
      </c>
      <c r="O107" t="str">
        <f t="shared" si="5"/>
        <v>VERONICA TASAYCO</v>
      </c>
      <c r="P107" t="str">
        <f>IF(DATA_ENERO_2025[[#This Row],[ASER_]]="","",F101)</f>
        <v>SANDY</v>
      </c>
      <c r="Q107">
        <f>IF(DATA_ENERO_2025[[#This Row],[SUPERVISOR]]="","",D101)</f>
        <v>34037</v>
      </c>
      <c r="R107">
        <f>IF(DATA_ENERO_2025[[#This Row],[RECUPERO]]="","",VLOOKUP(DATA_ENERO_2025[[#This Row],[SUPERVISOR]],$H:$I,2,0))</f>
        <v>58000</v>
      </c>
    </row>
    <row r="108" spans="1:18" x14ac:dyDescent="0.25"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/>
      </c>
      <c r="P108" t="str">
        <f>IF(DATA_ENERO_2025[[#This Row],[ASER_]]="","",F102)</f>
        <v/>
      </c>
      <c r="Q108" t="str">
        <f>IF(DATA_ENERO_2025[[#This Row],[SUPERVISOR]]="","",D102)</f>
        <v/>
      </c>
      <c r="R108" t="str">
        <f>IF(DATA_ENERO_2025[[#This Row],[RECUPERO]]="","",VLOOKUP(DATA_ENERO_2025[[#This Row],[SUPERVISOR]],$H:$I,2,0))</f>
        <v/>
      </c>
    </row>
    <row r="109" spans="1:18" x14ac:dyDescent="0.25"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  <c r="P109" t="str">
        <f>IF(DATA_ENERO_2025[[#This Row],[ASER_]]="","",F103)</f>
        <v/>
      </c>
      <c r="Q109" t="str">
        <f>IF(DATA_ENERO_2025[[#This Row],[SUPERVISOR]]="","",D103)</f>
        <v/>
      </c>
      <c r="R109" t="str">
        <f>IF(DATA_ENERO_2025[[#This Row],[RECUPERO]]="","",VLOOKUP(DATA_ENERO_2025[[#This Row],[SUPERVISOR]],$H:$I,2,0))</f>
        <v/>
      </c>
    </row>
    <row r="110" spans="1:18" x14ac:dyDescent="0.25"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  <c r="P110" t="str">
        <f>IF(DATA_ENERO_2025[[#This Row],[ASER_]]="","",F104)</f>
        <v/>
      </c>
      <c r="Q110" t="str">
        <f>IF(DATA_ENERO_2025[[#This Row],[SUPERVISOR]]="","",D104)</f>
        <v/>
      </c>
      <c r="R110" t="str">
        <f>IF(DATA_ENERO_2025[[#This Row],[RECUPERO]]="","",VLOOKUP(DATA_ENERO_2025[[#This Row],[SUPERVISOR]],$H:$I,2,0))</f>
        <v/>
      </c>
    </row>
    <row r="111" spans="1:18" x14ac:dyDescent="0.25"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  <c r="P111" t="str">
        <f>IF(DATA_ENERO_2025[[#This Row],[ASER_]]="","",F105)</f>
        <v/>
      </c>
      <c r="Q111" t="str">
        <f>IF(DATA_ENERO_2025[[#This Row],[SUPERVISOR]]="","",D105)</f>
        <v/>
      </c>
      <c r="R111" t="str">
        <f>IF(DATA_ENERO_2025[[#This Row],[RECUPERO]]="","",VLOOKUP(DATA_ENERO_2025[[#This Row],[SUPERVISOR]],$H:$I,2,0))</f>
        <v/>
      </c>
    </row>
    <row r="112" spans="1:18" x14ac:dyDescent="0.25"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  <c r="P112" t="str">
        <f>IF(DATA_ENERO_2025[[#This Row],[ASER_]]="","",F106)</f>
        <v/>
      </c>
      <c r="Q112" t="str">
        <f>IF(DATA_ENERO_2025[[#This Row],[SUPERVISOR]]="","",D106)</f>
        <v/>
      </c>
      <c r="R112" t="str">
        <f>IF(DATA_ENERO_2025[[#This Row],[RECUPERO]]="","",VLOOKUP(DATA_ENERO_2025[[#This Row],[SUPERVISOR]],$H:$I,2,0))</f>
        <v/>
      </c>
    </row>
    <row r="113" spans="12:18" x14ac:dyDescent="0.25"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  <c r="P113" t="str">
        <f>IF(DATA_ENERO_2025[[#This Row],[ASER_]]="","",F107)</f>
        <v/>
      </c>
      <c r="Q113" t="str">
        <f>IF(DATA_ENERO_2025[[#This Row],[SUPERVISOR]]="","",D107)</f>
        <v/>
      </c>
      <c r="R113" t="str">
        <f>IF(DATA_ENERO_2025[[#This Row],[RECUPERO]]="","",VLOOKUP(DATA_ENERO_2025[[#This Row],[SUPERVISOR]],$H:$I,2,0))</f>
        <v/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R113"/>
  <sheetViews>
    <sheetView topLeftCell="C1" zoomScale="85" zoomScaleNormal="85" workbookViewId="0">
      <selection activeCell="E3" sqref="E3"/>
    </sheetView>
  </sheetViews>
  <sheetFormatPr baseColWidth="10" defaultRowHeight="15" x14ac:dyDescent="0.25"/>
  <cols>
    <col min="1" max="1" width="9.28515625" customWidth="1"/>
    <col min="2" max="3" width="22.7109375" customWidth="1"/>
    <col min="4" max="4" width="13.42578125" customWidth="1"/>
    <col min="5" max="5" width="12" customWidth="1"/>
    <col min="6" max="6" width="10.28515625" customWidth="1"/>
    <col min="7" max="7" width="11.42578125" customWidth="1"/>
    <col min="8" max="8" width="9.42578125" customWidth="1"/>
    <col min="9" max="9" width="8.140625" customWidth="1"/>
    <col min="10" max="11" width="11.42578125" customWidth="1"/>
    <col min="12" max="12" width="10" customWidth="1"/>
    <col min="13" max="13" width="11.140625" customWidth="1"/>
    <col min="14" max="14" width="19.85546875" customWidth="1"/>
    <col min="15" max="15" width="22.7109375" customWidth="1"/>
    <col min="16" max="16" width="11.42578125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3</v>
      </c>
      <c r="B3" t="str">
        <f>TRIM(C3)</f>
        <v>ALEJANDRA QUISPE</v>
      </c>
      <c r="C3" t="s">
        <v>58</v>
      </c>
      <c r="D3">
        <v>32937.5</v>
      </c>
      <c r="E3">
        <f>D1_FEBRERO[[#This Row],[RECUPERO]]/VLOOKUP(F3,$H:$I,2,0)</f>
        <v>0.56788793103448276</v>
      </c>
      <c r="F3" t="str">
        <f>D1_FEBRERO[[#This Row],[SUPER]]</f>
        <v>SANDY</v>
      </c>
      <c r="H3" t="s">
        <v>5</v>
      </c>
      <c r="I3">
        <v>58000</v>
      </c>
    </row>
    <row r="4" spans="1:18" x14ac:dyDescent="0.25">
      <c r="A4" t="s">
        <v>3</v>
      </c>
      <c r="B4" t="str">
        <f t="shared" ref="B4:B67" si="0">TRIM(C4)</f>
        <v>ERIKA VILLAR</v>
      </c>
      <c r="C4" t="s">
        <v>72</v>
      </c>
      <c r="D4">
        <v>36965</v>
      </c>
      <c r="E4">
        <f>D1_FEBRERO[[#This Row],[RECUPERO]]/VLOOKUP(F4,$H:$I,2,0)</f>
        <v>0.63732758620689656</v>
      </c>
      <c r="F4" t="str">
        <f>D1_FEBRERO[[#This Row],[SUPER]]</f>
        <v>SANDY</v>
      </c>
      <c r="H4" t="s">
        <v>2</v>
      </c>
      <c r="I4">
        <v>22000</v>
      </c>
    </row>
    <row r="5" spans="1:18" x14ac:dyDescent="0.35">
      <c r="A5" t="s">
        <v>3</v>
      </c>
      <c r="B5" t="str">
        <f t="shared" si="0"/>
        <v>EVELY TENORIO</v>
      </c>
      <c r="C5" t="s">
        <v>22</v>
      </c>
      <c r="D5">
        <v>73140.799999999901</v>
      </c>
      <c r="E5">
        <f>D1_FEBRERO[[#This Row],[RECUPERO]]/VLOOKUP(F5,$H:$I,2,0)</f>
        <v>1.2610482758620674</v>
      </c>
      <c r="F5" t="str">
        <f>D1_FEBRERO[[#This Row],[SUPER]]</f>
        <v>SANDY</v>
      </c>
      <c r="H5" t="s">
        <v>6</v>
      </c>
      <c r="I5">
        <v>21000</v>
      </c>
    </row>
    <row r="6" spans="1:18" x14ac:dyDescent="0.25">
      <c r="A6" t="s">
        <v>3</v>
      </c>
      <c r="B6" t="str">
        <f t="shared" si="0"/>
        <v>JAIR MARTINEZ</v>
      </c>
      <c r="C6" t="s">
        <v>57</v>
      </c>
      <c r="D6">
        <v>49471</v>
      </c>
      <c r="E6">
        <f>D1_FEBRERO[[#This Row],[RECUPERO]]/VLOOKUP(F6,$H:$I,2,0)</f>
        <v>0.85294827586206901</v>
      </c>
      <c r="F6" t="str">
        <f>D1_FEBRERO[[#This Row],[SUPER]]</f>
        <v>SANDY</v>
      </c>
      <c r="H6" t="s">
        <v>9</v>
      </c>
      <c r="I6">
        <v>21000</v>
      </c>
    </row>
    <row r="7" spans="1:18" x14ac:dyDescent="0.25">
      <c r="A7" t="s">
        <v>3</v>
      </c>
      <c r="B7" t="str">
        <f t="shared" si="0"/>
        <v>LISELY MERA</v>
      </c>
      <c r="C7" t="s">
        <v>23</v>
      </c>
      <c r="D7">
        <v>112847.5</v>
      </c>
      <c r="E7">
        <f>D1_FEBRERO[[#This Row],[RECUPERO]]/VLOOKUP(F7,$H:$I,2,0)</f>
        <v>1.9456465517241379</v>
      </c>
      <c r="F7" t="str">
        <f>D1_FEBRERO[[#This Row],[SUPER]]</f>
        <v>SANDY</v>
      </c>
      <c r="H7" t="s">
        <v>4</v>
      </c>
      <c r="I7">
        <v>58000</v>
      </c>
    </row>
    <row r="8" spans="1:18" x14ac:dyDescent="0.25">
      <c r="A8" t="s">
        <v>3</v>
      </c>
      <c r="B8" t="str">
        <f t="shared" si="0"/>
        <v>RICHARD RODRIGUEZ</v>
      </c>
      <c r="C8" t="s">
        <v>63</v>
      </c>
      <c r="D8">
        <v>36454.699999999997</v>
      </c>
      <c r="E8">
        <f>D1_FEBRERO[[#This Row],[RECUPERO]]/VLOOKUP(F8,$H:$I,2,0)</f>
        <v>0.62852931034482751</v>
      </c>
      <c r="F8" t="str">
        <f>D1_FEBRERO[[#This Row],[SUPER]]</f>
        <v>SANDY</v>
      </c>
      <c r="H8" t="s">
        <v>122</v>
      </c>
      <c r="I8">
        <v>16500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3</v>
      </c>
      <c r="B9" t="str">
        <f t="shared" si="0"/>
        <v>TERRY ECHEVARRIA</v>
      </c>
      <c r="C9" t="s">
        <v>30</v>
      </c>
      <c r="D9">
        <v>30382</v>
      </c>
      <c r="E9">
        <f>D1_FEBRERO[[#This Row],[RECUPERO]]/VLOOKUP(F9,$H:$I,2,0)</f>
        <v>0.52382758620689651</v>
      </c>
      <c r="F9" t="str">
        <f>D1_FEBRERO[[#This Row],[SUPER]]</f>
        <v>SANDY</v>
      </c>
      <c r="H9" t="s">
        <v>3</v>
      </c>
      <c r="I9">
        <v>58000</v>
      </c>
      <c r="L9">
        <v>1</v>
      </c>
      <c r="M9" s="1">
        <f>E3</f>
        <v>0.56788793103448276</v>
      </c>
      <c r="N9" t="str" cm="1">
        <f t="array" ref="N9">IFERROR(_xlfn.IFS(M9&gt;100%,"&gt;100%",AND(M9&lt;100%,M9&gt;70%),"&gt;70%",AND(M9&lt;70%,M9&gt;40%),"&gt;40%",AND(M9&lt;40%,M9&gt;0%),"&gt;0%"),"")</f>
        <v>&gt;40%</v>
      </c>
      <c r="O9" t="str">
        <f>B3</f>
        <v>ALEJANDRA QUISPE</v>
      </c>
      <c r="P9" t="str">
        <f>IF(DATA_FEBRERO_2025[[#This Row],[ASER_]]="","",F3)</f>
        <v>SANDY</v>
      </c>
      <c r="Q9">
        <f>IF(DATA_FEBRERO_2025[[#This Row],[SUPERVISOR]]="","",D3)</f>
        <v>32937.5</v>
      </c>
      <c r="R9">
        <f>IF(DATA_FEBRERO_2025[[#This Row],[RECUPERO]]="","",VLOOKUP(DATA_FEBRERO_2025[[#This Row],[SUPERVISOR]],$H:$I,2,0))</f>
        <v>58000</v>
      </c>
    </row>
    <row r="10" spans="1:18" x14ac:dyDescent="0.25">
      <c r="A10" t="s">
        <v>3</v>
      </c>
      <c r="B10" t="str">
        <f t="shared" si="0"/>
        <v>VERONICA TASAYCO</v>
      </c>
      <c r="C10" t="s">
        <v>10</v>
      </c>
      <c r="D10">
        <v>34881</v>
      </c>
      <c r="E10">
        <f>D1_FEBRERO[[#This Row],[RECUPERO]]/VLOOKUP(F10,$H:$I,2,0)</f>
        <v>0.60139655172413797</v>
      </c>
      <c r="F10" t="str">
        <f>D1_FEBRERO[[#This Row],[SUPER]]</f>
        <v>SANDY</v>
      </c>
      <c r="L10">
        <v>2</v>
      </c>
      <c r="M10" s="1">
        <f t="shared" ref="M10:M73" si="1">E4</f>
        <v>0.63732758620689656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ERIKA VILLAR</v>
      </c>
      <c r="P10" t="str">
        <f>IF(DATA_FEBRERO_2025[[#This Row],[ASER_]]="","",F4)</f>
        <v>SANDY</v>
      </c>
      <c r="Q10">
        <f>IF(DATA_FEBRERO_2025[[#This Row],[SUPERVISOR]]="","",D4)</f>
        <v>36965</v>
      </c>
      <c r="R10">
        <f>IF(DATA_FEBRERO_2025[[#This Row],[RECUPERO]]="","",VLOOKUP(DATA_FEBRERO_2025[[#This Row],[SUPERVISOR]],$H:$I,2,0))</f>
        <v>58000</v>
      </c>
    </row>
    <row r="11" spans="1:18" x14ac:dyDescent="0.25">
      <c r="A11" t="s">
        <v>3</v>
      </c>
      <c r="B11" t="str">
        <f t="shared" si="0"/>
        <v>VICTOR RAMIREZ</v>
      </c>
      <c r="C11" t="s">
        <v>76</v>
      </c>
      <c r="D11">
        <v>68790</v>
      </c>
      <c r="E11">
        <f>D1_FEBRERO[[#This Row],[RECUPERO]]/VLOOKUP(F11,$H:$I,2,0)</f>
        <v>1.1860344827586207</v>
      </c>
      <c r="F11" t="str">
        <f>D1_FEBRERO[[#This Row],[SUPER]]</f>
        <v>SANDY</v>
      </c>
      <c r="L11">
        <v>3</v>
      </c>
      <c r="M11" s="1">
        <f t="shared" si="1"/>
        <v>1.2610482758620674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P11" t="str">
        <f>IF(DATA_FEBRERO_2025[[#This Row],[ASER_]]="","",F5)</f>
        <v>SANDY</v>
      </c>
      <c r="Q11">
        <f>IF(DATA_FEBRERO_2025[[#This Row],[SUPERVISOR]]="","",D5)</f>
        <v>73140.799999999901</v>
      </c>
      <c r="R11">
        <f>IF(DATA_FEBRERO_2025[[#This Row],[RECUPERO]]="","",VLOOKUP(DATA_FEBRERO_2025[[#This Row],[SUPERVISOR]],$H:$I,2,0))</f>
        <v>58000</v>
      </c>
    </row>
    <row r="12" spans="1:18" x14ac:dyDescent="0.25">
      <c r="A12" t="s">
        <v>3</v>
      </c>
      <c r="B12" t="str">
        <f t="shared" si="0"/>
        <v/>
      </c>
      <c r="E12">
        <f>D1_FEBRERO[[#This Row],[RECUPERO]]/VLOOKUP(F12,$H:$I,2,0)</f>
        <v>0</v>
      </c>
      <c r="F12" t="str">
        <f>D1_FEBRERO[[#This Row],[SUPER]]</f>
        <v>SANDY</v>
      </c>
      <c r="L12">
        <v>4</v>
      </c>
      <c r="M12" s="1">
        <f t="shared" si="1"/>
        <v>0.85294827586206901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2"/>
        <v>JAIR MARTINEZ</v>
      </c>
      <c r="P12" t="str">
        <f>IF(DATA_FEBRERO_2025[[#This Row],[ASER_]]="","",F6)</f>
        <v>SANDY</v>
      </c>
      <c r="Q12">
        <f>IF(DATA_FEBRERO_2025[[#This Row],[SUPERVISOR]]="","",D6)</f>
        <v>49471</v>
      </c>
      <c r="R12">
        <f>IF(DATA_FEBRERO_2025[[#This Row],[RECUPERO]]="","",VLOOKUP(DATA_FEBRERO_2025[[#This Row],[SUPERVISOR]],$H:$I,2,0))</f>
        <v>58000</v>
      </c>
    </row>
    <row r="13" spans="1:18" x14ac:dyDescent="0.25">
      <c r="A13" t="s">
        <v>3</v>
      </c>
      <c r="B13" t="str">
        <f t="shared" si="0"/>
        <v/>
      </c>
      <c r="E13">
        <f>D1_FEBRERO[[#This Row],[RECUPERO]]/VLOOKUP(F13,$H:$I,2,0)</f>
        <v>0</v>
      </c>
      <c r="F13" t="str">
        <f>D1_FEBRERO[[#This Row],[SUPER]]</f>
        <v>SANDY</v>
      </c>
      <c r="H13" s="11"/>
      <c r="L13">
        <v>5</v>
      </c>
      <c r="M13" s="1">
        <f t="shared" si="1"/>
        <v>1.9456465517241379</v>
      </c>
      <c r="N13" t="str" cm="1">
        <f t="array" ref="N13">IFERROR(_xlfn.IFS(M13&gt;100%,"&gt;100%",AND(M13&lt;100%,M13&gt;70%),"&gt;70%",AND(M13&lt;70%,M13&gt;40%),"&gt;40%",AND(M13&lt;40%,M13&gt;0%),"&gt;0%"),"")</f>
        <v>&gt;100%</v>
      </c>
      <c r="O13" t="str">
        <f t="shared" si="2"/>
        <v>LISELY MERA</v>
      </c>
      <c r="P13" t="str">
        <f>IF(DATA_FEBRERO_2025[[#This Row],[ASER_]]="","",F7)</f>
        <v>SANDY</v>
      </c>
      <c r="Q13">
        <f>IF(DATA_FEBRERO_2025[[#This Row],[SUPERVISOR]]="","",D7)</f>
        <v>112847.5</v>
      </c>
      <c r="R13">
        <f>IF(DATA_FEBRERO_2025[[#This Row],[RECUPERO]]="","",VLOOKUP(DATA_FEBRERO_2025[[#This Row],[SUPERVISOR]],$H:$I,2,0))</f>
        <v>58000</v>
      </c>
    </row>
    <row r="14" spans="1:18" x14ac:dyDescent="0.25">
      <c r="A14" t="s">
        <v>3</v>
      </c>
      <c r="B14" t="str">
        <f t="shared" si="0"/>
        <v/>
      </c>
      <c r="E14">
        <f>D1_FEBRERO[[#This Row],[RECUPERO]]/VLOOKUP(F14,$H:$I,2,0)</f>
        <v>0</v>
      </c>
      <c r="F14" t="str">
        <f>D1_FEBRERO[[#This Row],[SUPER]]</f>
        <v>SANDY</v>
      </c>
      <c r="H14" s="11"/>
      <c r="L14">
        <v>6</v>
      </c>
      <c r="M14" s="1">
        <f t="shared" si="1"/>
        <v>0.62852931034482751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RICHARD RODRIGUEZ</v>
      </c>
      <c r="P14" t="str">
        <f>IF(DATA_FEBRERO_2025[[#This Row],[ASER_]]="","",F8)</f>
        <v>SANDY</v>
      </c>
      <c r="Q14">
        <f>IF(DATA_FEBRERO_2025[[#This Row],[SUPERVISOR]]="","",D8)</f>
        <v>36454.699999999997</v>
      </c>
      <c r="R14">
        <f>IF(DATA_FEBRERO_2025[[#This Row],[RECUPERO]]="","",VLOOKUP(DATA_FEBRERO_2025[[#This Row],[SUPERVISOR]],$H:$I,2,0))</f>
        <v>58000</v>
      </c>
    </row>
    <row r="15" spans="1:18" x14ac:dyDescent="0.25">
      <c r="A15" t="s">
        <v>3</v>
      </c>
      <c r="B15" t="str">
        <f t="shared" si="0"/>
        <v/>
      </c>
      <c r="E15">
        <f>D1_FEBRERO[[#This Row],[RECUPERO]]/VLOOKUP(F15,$H:$I,2,0)</f>
        <v>0</v>
      </c>
      <c r="F15" t="str">
        <f>D1_FEBRERO[[#This Row],[SUPER]]</f>
        <v>SANDY</v>
      </c>
      <c r="L15">
        <v>7</v>
      </c>
      <c r="M15" s="1">
        <f t="shared" si="1"/>
        <v>0.52382758620689651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2"/>
        <v>TERRY ECHEVARRIA</v>
      </c>
      <c r="P15" t="str">
        <f>IF(DATA_FEBRERO_2025[[#This Row],[ASER_]]="","",F9)</f>
        <v>SANDY</v>
      </c>
      <c r="Q15">
        <f>IF(DATA_FEBRERO_2025[[#This Row],[SUPERVISOR]]="","",D9)</f>
        <v>30382</v>
      </c>
      <c r="R15">
        <f>IF(DATA_FEBRERO_2025[[#This Row],[RECUPERO]]="","",VLOOKUP(DATA_FEBRERO_2025[[#This Row],[SUPERVISOR]],$H:$I,2,0))</f>
        <v>58000</v>
      </c>
    </row>
    <row r="16" spans="1:18" x14ac:dyDescent="0.25">
      <c r="A16" t="s">
        <v>3</v>
      </c>
      <c r="B16" t="str">
        <f t="shared" si="0"/>
        <v/>
      </c>
      <c r="E16">
        <f>D1_FEBRERO[[#This Row],[RECUPERO]]/VLOOKUP(F16,$H:$I,2,0)</f>
        <v>0</v>
      </c>
      <c r="F16" t="str">
        <f>D1_FEBRERO[[#This Row],[SUPER]]</f>
        <v>SANDY</v>
      </c>
      <c r="L16">
        <v>8</v>
      </c>
      <c r="M16" s="1">
        <f t="shared" si="1"/>
        <v>0.60139655172413797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2"/>
        <v>VERONICA TASAYCO</v>
      </c>
      <c r="P16" t="str">
        <f>IF(DATA_FEBRERO_2025[[#This Row],[ASER_]]="","",F10)</f>
        <v>SANDY</v>
      </c>
      <c r="Q16">
        <f>IF(DATA_FEBRERO_2025[[#This Row],[SUPERVISOR]]="","",D10)</f>
        <v>34881</v>
      </c>
      <c r="R16">
        <f>IF(DATA_FEBRERO_2025[[#This Row],[RECUPERO]]="","",VLOOKUP(DATA_FEBRERO_2025[[#This Row],[SUPERVISOR]],$H:$I,2,0))</f>
        <v>58000</v>
      </c>
    </row>
    <row r="17" spans="1:18" x14ac:dyDescent="0.25">
      <c r="A17" t="s">
        <v>3</v>
      </c>
      <c r="B17" t="str">
        <f t="shared" si="0"/>
        <v/>
      </c>
      <c r="E17">
        <f>D1_FEBRERO[[#This Row],[RECUPERO]]/VLOOKUP(F17,$H:$I,2,0)</f>
        <v>0</v>
      </c>
      <c r="F17" t="str">
        <f>D1_FEBRERO[[#This Row],[SUPER]]</f>
        <v>SANDY</v>
      </c>
      <c r="L17">
        <v>9</v>
      </c>
      <c r="M17" s="1">
        <f t="shared" si="1"/>
        <v>1.1860344827586207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VICTOR RAMIREZ</v>
      </c>
      <c r="P17" t="str">
        <f>IF(DATA_FEBRERO_2025[[#This Row],[ASER_]]="","",F11)</f>
        <v>SANDY</v>
      </c>
      <c r="Q17">
        <f>IF(DATA_FEBRERO_2025[[#This Row],[SUPERVISOR]]="","",D11)</f>
        <v>68790</v>
      </c>
      <c r="R17">
        <f>IF(DATA_FEBRERO_2025[[#This Row],[RECUPERO]]="","",VLOOKUP(DATA_FEBRERO_2025[[#This Row],[SUPERVISOR]],$H:$I,2,0))</f>
        <v>58000</v>
      </c>
    </row>
    <row r="18" spans="1:18" x14ac:dyDescent="0.25">
      <c r="A18" t="s">
        <v>4</v>
      </c>
      <c r="B18" t="str">
        <f t="shared" si="0"/>
        <v>ALEJANDRO GONZALES</v>
      </c>
      <c r="C18" t="s">
        <v>116</v>
      </c>
      <c r="D18">
        <v>22339</v>
      </c>
      <c r="E18">
        <f>D1_FEBRERO[[#This Row],[RECUPERO]]/VLOOKUP(F18,$H:$I,2,0)</f>
        <v>0.3851551724137931</v>
      </c>
      <c r="F18" t="str">
        <f>D1_FEBRERO[[#This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P18" t="str">
        <f>IF(DATA_FEBRERO_2025[[#This Row],[ASER_]]="","",F12)</f>
        <v/>
      </c>
      <c r="Q18" t="str">
        <f>IF(DATA_FEBRERO_2025[[#This Row],[SUPERVISOR]]="","",D12)</f>
        <v/>
      </c>
      <c r="R18" t="str">
        <f>IF(DATA_FEBRERO_2025[[#This Row],[RECUPERO]]="","",VLOOKUP(DATA_FEBRERO_2025[[#This Row],[SUPERVISOR]],$H:$I,2,0))</f>
        <v/>
      </c>
    </row>
    <row r="19" spans="1:18" x14ac:dyDescent="0.25">
      <c r="A19" t="s">
        <v>4</v>
      </c>
      <c r="B19" t="str">
        <f t="shared" si="0"/>
        <v>ANALUCIA PONCE</v>
      </c>
      <c r="C19" t="s">
        <v>60</v>
      </c>
      <c r="D19">
        <v>38304</v>
      </c>
      <c r="E19">
        <f>D1_FEBRERO[[#This Row],[RECUPERO]]/VLOOKUP(F19,$H:$I,2,0)</f>
        <v>0.66041379310344828</v>
      </c>
      <c r="F19" t="str">
        <f>D1_FEBRERO[[#This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P19" t="str">
        <f>IF(DATA_FEBRERO_2025[[#This Row],[ASER_]]="","",F13)</f>
        <v/>
      </c>
      <c r="Q19" t="str">
        <f>IF(DATA_FEBRERO_2025[[#This Row],[SUPERVISOR]]="","",D13)</f>
        <v/>
      </c>
      <c r="R19" t="str">
        <f>IF(DATA_FEBRERO_2025[[#This Row],[RECUPERO]]="","",VLOOKUP(DATA_FEBRERO_2025[[#This Row],[SUPERVISOR]],$H:$I,2,0))</f>
        <v/>
      </c>
    </row>
    <row r="20" spans="1:18" x14ac:dyDescent="0.25">
      <c r="A20" t="s">
        <v>4</v>
      </c>
      <c r="B20" t="str">
        <f t="shared" si="0"/>
        <v>DARYL FERREL</v>
      </c>
      <c r="C20" t="s">
        <v>40</v>
      </c>
      <c r="D20">
        <v>23314.75</v>
      </c>
      <c r="E20">
        <f>D1_FEBRERO[[#This Row],[RECUPERO]]/VLOOKUP(F20,$H:$I,2,0)</f>
        <v>0.40197844827586204</v>
      </c>
      <c r="F20" t="str">
        <f>D1_FEBRERO[[#This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IF(DATA_FEBRERO_2025[[#This Row],[ASER_]]="","",F14)</f>
        <v/>
      </c>
      <c r="Q20" t="str">
        <f>IF(DATA_FEBRERO_2025[[#This Row],[SUPERVISOR]]="","",D14)</f>
        <v/>
      </c>
      <c r="R20" t="str">
        <f>IF(DATA_FEBRERO_2025[[#This Row],[RECUPERO]]="","",VLOOKUP(DATA_FEBRERO_2025[[#This Row],[SUPERVISOR]],$H:$I,2,0))</f>
        <v/>
      </c>
    </row>
    <row r="21" spans="1:18" x14ac:dyDescent="0.25">
      <c r="A21" t="s">
        <v>4</v>
      </c>
      <c r="B21" t="str">
        <f t="shared" si="0"/>
        <v>DAVID SANCHEZ</v>
      </c>
      <c r="C21" t="s">
        <v>81</v>
      </c>
      <c r="D21">
        <v>11363</v>
      </c>
      <c r="E21">
        <f>D1_FEBRERO[[#This Row],[RECUPERO]]/VLOOKUP(F21,$H:$I,2,0)</f>
        <v>0.19591379310344828</v>
      </c>
      <c r="F21" t="str">
        <f>D1_FEBRERO[[#This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IF(DATA_FEBRERO_2025[[#This Row],[ASER_]]="","",F15)</f>
        <v/>
      </c>
      <c r="Q21" t="str">
        <f>IF(DATA_FEBRERO_2025[[#This Row],[SUPERVISOR]]="","",D15)</f>
        <v/>
      </c>
      <c r="R21" t="str">
        <f>IF(DATA_FEBRERO_2025[[#This Row],[RECUPERO]]="","",VLOOKUP(DATA_FEBRERO_2025[[#This Row],[SUPERVISOR]],$H:$I,2,0))</f>
        <v/>
      </c>
    </row>
    <row r="22" spans="1:18" x14ac:dyDescent="0.25">
      <c r="A22" t="s">
        <v>4</v>
      </c>
      <c r="B22" t="str">
        <f t="shared" si="0"/>
        <v>JHOVANA TORRES</v>
      </c>
      <c r="C22" t="s">
        <v>20</v>
      </c>
      <c r="D22">
        <v>14000</v>
      </c>
      <c r="E22">
        <f>D1_FEBRERO[[#This Row],[RECUPERO]]/VLOOKUP(F22,$H:$I,2,0)</f>
        <v>0.2413793103448276</v>
      </c>
      <c r="F22" t="str">
        <f>D1_FEBRERO[[#This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IF(DATA_FEBRERO_2025[[#This Row],[ASER_]]="","",F16)</f>
        <v/>
      </c>
      <c r="Q22" t="str">
        <f>IF(DATA_FEBRERO_2025[[#This Row],[SUPERVISOR]]="","",D16)</f>
        <v/>
      </c>
      <c r="R22" t="str">
        <f>IF(DATA_FEBRERO_2025[[#This Row],[RECUPERO]]="","",VLOOKUP(DATA_FEBRERO_2025[[#This Row],[SUPERVISOR]],$H:$I,2,0))</f>
        <v/>
      </c>
    </row>
    <row r="23" spans="1:18" x14ac:dyDescent="0.25">
      <c r="A23" t="s">
        <v>4</v>
      </c>
      <c r="B23" t="str">
        <f t="shared" si="0"/>
        <v>LUIS VALLADARES</v>
      </c>
      <c r="C23" t="s">
        <v>29</v>
      </c>
      <c r="D23">
        <v>28485.1</v>
      </c>
      <c r="E23">
        <f>D1_FEBRERO[[#This Row],[RECUPERO]]/VLOOKUP(F23,$H:$I,2,0)</f>
        <v>0.4911224137931034</v>
      </c>
      <c r="F23" t="str">
        <f>D1_FEBRERO[[#This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IF(DATA_FEBRERO_2025[[#This Row],[ASER_]]="","",F17)</f>
        <v/>
      </c>
      <c r="Q23" t="str">
        <f>IF(DATA_FEBRERO_2025[[#This Row],[SUPERVISOR]]="","",D17)</f>
        <v/>
      </c>
      <c r="R23" t="str">
        <f>IF(DATA_FEBRERO_2025[[#This Row],[RECUPERO]]="","",VLOOKUP(DATA_FEBRERO_2025[[#This Row],[SUPERVISOR]],$H:$I,2,0))</f>
        <v/>
      </c>
    </row>
    <row r="24" spans="1:18" x14ac:dyDescent="0.25">
      <c r="A24" t="s">
        <v>4</v>
      </c>
      <c r="B24" t="str">
        <f t="shared" si="0"/>
        <v>MARIA TINTAYA</v>
      </c>
      <c r="C24" t="s">
        <v>75</v>
      </c>
      <c r="D24">
        <v>51718</v>
      </c>
      <c r="E24">
        <f>D1_FEBRERO[[#This Row],[RECUPERO]]/VLOOKUP(F24,$H:$I,2,0)</f>
        <v>0.89168965517241383</v>
      </c>
      <c r="F24" t="str">
        <f>D1_FEBRERO[[#This Row],[SUPER]]</f>
        <v>MELINA</v>
      </c>
      <c r="L24">
        <v>1</v>
      </c>
      <c r="M24" s="1">
        <f t="shared" si="1"/>
        <v>0.3851551724137931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ALEJANDRO GONZALES</v>
      </c>
      <c r="P24" t="str">
        <f>IF(DATA_FEBRERO_2025[[#This Row],[ASER_]]="","",F18)</f>
        <v>MELINA</v>
      </c>
      <c r="Q24">
        <f>IF(DATA_FEBRERO_2025[[#This Row],[SUPERVISOR]]="","",D18)</f>
        <v>22339</v>
      </c>
      <c r="R24">
        <f>IF(DATA_FEBRERO_2025[[#This Row],[RECUPERO]]="","",VLOOKUP(DATA_FEBRERO_2025[[#This Row],[SUPERVISOR]],$H:$I,2,0))</f>
        <v>58000</v>
      </c>
    </row>
    <row r="25" spans="1:18" x14ac:dyDescent="0.25">
      <c r="A25" t="s">
        <v>4</v>
      </c>
      <c r="B25" t="str">
        <f t="shared" si="0"/>
        <v>MILAGROS QUIO</v>
      </c>
      <c r="C25" t="s">
        <v>11</v>
      </c>
      <c r="D25">
        <v>49078</v>
      </c>
      <c r="E25">
        <f>D1_FEBRERO[[#This Row],[RECUPERO]]/VLOOKUP(F25,$H:$I,2,0)</f>
        <v>0.84617241379310348</v>
      </c>
      <c r="F25" t="str">
        <f>D1_FEBRERO[[#This Row],[SUPER]]</f>
        <v>MELINA</v>
      </c>
      <c r="L25">
        <v>2</v>
      </c>
      <c r="M25" s="1">
        <f t="shared" si="1"/>
        <v>0.66041379310344828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ANALUCIA PONCE</v>
      </c>
      <c r="P25" t="str">
        <f>IF(DATA_FEBRERO_2025[[#This Row],[ASER_]]="","",F19)</f>
        <v>MELINA</v>
      </c>
      <c r="Q25">
        <f>IF(DATA_FEBRERO_2025[[#This Row],[SUPERVISOR]]="","",D19)</f>
        <v>38304</v>
      </c>
      <c r="R25">
        <f>IF(DATA_FEBRERO_2025[[#This Row],[RECUPERO]]="","",VLOOKUP(DATA_FEBRERO_2025[[#This Row],[SUPERVISOR]],$H:$I,2,0))</f>
        <v>58000</v>
      </c>
    </row>
    <row r="26" spans="1:18" x14ac:dyDescent="0.25">
      <c r="A26" t="s">
        <v>4</v>
      </c>
      <c r="B26" t="str">
        <f t="shared" si="0"/>
        <v>PIERINA TESEN</v>
      </c>
      <c r="C26" t="s">
        <v>59</v>
      </c>
      <c r="D26">
        <v>63455.519999999997</v>
      </c>
      <c r="E26">
        <f>D1_FEBRERO[[#This Row],[RECUPERO]]/VLOOKUP(F26,$H:$I,2,0)</f>
        <v>1.0940606896551723</v>
      </c>
      <c r="F26" t="str">
        <f>D1_FEBRERO[[#This Row],[SUPER]]</f>
        <v>MELINA</v>
      </c>
      <c r="L26">
        <v>3</v>
      </c>
      <c r="M26" s="1">
        <f t="shared" si="1"/>
        <v>0.40197844827586204</v>
      </c>
      <c r="N26" t="str" cm="1">
        <f t="array" ref="N26">IFERROR(_xlfn.IFS(M26&gt;100%,"&gt;100%",AND(M26&lt;100%,M26&gt;70%),"&gt;70%",AND(M26&lt;70%,M26&gt;40%),"&gt;40%",AND(M26&lt;40%,M26&gt;0%),"&gt;0%"),"")</f>
        <v>&gt;40%</v>
      </c>
      <c r="O26" t="str">
        <f t="shared" si="2"/>
        <v>DARYL FERREL</v>
      </c>
      <c r="P26" t="str">
        <f>IF(DATA_FEBRERO_2025[[#This Row],[ASER_]]="","",F20)</f>
        <v>MELINA</v>
      </c>
      <c r="Q26">
        <f>IF(DATA_FEBRERO_2025[[#This Row],[SUPERVISOR]]="","",D20)</f>
        <v>23314.75</v>
      </c>
      <c r="R26">
        <f>IF(DATA_FEBRERO_2025[[#This Row],[RECUPERO]]="","",VLOOKUP(DATA_FEBRERO_2025[[#This Row],[SUPERVISOR]],$H:$I,2,0))</f>
        <v>58000</v>
      </c>
    </row>
    <row r="27" spans="1:18" x14ac:dyDescent="0.25">
      <c r="A27" t="s">
        <v>4</v>
      </c>
      <c r="B27" t="str">
        <f t="shared" si="0"/>
        <v/>
      </c>
      <c r="E27">
        <f>D1_FEBRERO[[#This Row],[RECUPERO]]/VLOOKUP(F27,$H:$I,2,0)</f>
        <v>0</v>
      </c>
      <c r="F27" t="str">
        <f>D1_FEBRERO[[#This Row],[SUPER]]</f>
        <v>MELINA</v>
      </c>
      <c r="L27">
        <v>4</v>
      </c>
      <c r="M27" s="1">
        <f t="shared" si="1"/>
        <v>0.19591379310344828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2"/>
        <v>DAVID SANCHEZ</v>
      </c>
      <c r="P27" t="str">
        <f>IF(DATA_FEBRERO_2025[[#This Row],[ASER_]]="","",F21)</f>
        <v>MELINA</v>
      </c>
      <c r="Q27">
        <f>IF(DATA_FEBRERO_2025[[#This Row],[SUPERVISOR]]="","",D21)</f>
        <v>11363</v>
      </c>
      <c r="R27">
        <f>IF(DATA_FEBRERO_2025[[#This Row],[RECUPERO]]="","",VLOOKUP(DATA_FEBRERO_2025[[#This Row],[SUPERVISOR]],$H:$I,2,0))</f>
        <v>58000</v>
      </c>
    </row>
    <row r="28" spans="1:18" x14ac:dyDescent="0.25">
      <c r="A28" t="s">
        <v>4</v>
      </c>
      <c r="B28" t="str">
        <f t="shared" si="0"/>
        <v/>
      </c>
      <c r="E28">
        <f>D1_FEBRERO[[#This Row],[RECUPERO]]/VLOOKUP(F28,$H:$I,2,0)</f>
        <v>0</v>
      </c>
      <c r="F28" t="str">
        <f>D1_FEBRERO[[#This Row],[SUPER]]</f>
        <v>MELINA</v>
      </c>
      <c r="L28">
        <v>5</v>
      </c>
      <c r="M28" s="1">
        <f t="shared" si="1"/>
        <v>0.2413793103448276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2"/>
        <v>JHOVANA TORRES</v>
      </c>
      <c r="P28" t="str">
        <f>IF(DATA_FEBRERO_2025[[#This Row],[ASER_]]="","",F22)</f>
        <v>MELINA</v>
      </c>
      <c r="Q28">
        <f>IF(DATA_FEBRERO_2025[[#This Row],[SUPERVISOR]]="","",D22)</f>
        <v>14000</v>
      </c>
      <c r="R28">
        <f>IF(DATA_FEBRERO_2025[[#This Row],[RECUPERO]]="","",VLOOKUP(DATA_FEBRERO_2025[[#This Row],[SUPERVISOR]],$H:$I,2,0))</f>
        <v>58000</v>
      </c>
    </row>
    <row r="29" spans="1:18" x14ac:dyDescent="0.25">
      <c r="A29" t="s">
        <v>4</v>
      </c>
      <c r="B29" t="str">
        <f t="shared" si="0"/>
        <v/>
      </c>
      <c r="E29">
        <f>D1_FEBRERO[[#This Row],[RECUPERO]]/VLOOKUP(F29,$H:$I,2,0)</f>
        <v>0</v>
      </c>
      <c r="F29" t="str">
        <f>D1_FEBRERO[[#This Row],[SUPER]]</f>
        <v>MELINA</v>
      </c>
      <c r="L29">
        <v>6</v>
      </c>
      <c r="M29" s="1">
        <f t="shared" si="1"/>
        <v>0.4911224137931034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2"/>
        <v>LUIS VALLADARES</v>
      </c>
      <c r="P29" t="str">
        <f>IF(DATA_FEBRERO_2025[[#This Row],[ASER_]]="","",F23)</f>
        <v>MELINA</v>
      </c>
      <c r="Q29">
        <f>IF(DATA_FEBRERO_2025[[#This Row],[SUPERVISOR]]="","",D23)</f>
        <v>28485.1</v>
      </c>
      <c r="R29">
        <f>IF(DATA_FEBRERO_2025[[#This Row],[RECUPERO]]="","",VLOOKUP(DATA_FEBRERO_2025[[#This Row],[SUPERVISOR]],$H:$I,2,0))</f>
        <v>58000</v>
      </c>
    </row>
    <row r="30" spans="1:18" x14ac:dyDescent="0.25">
      <c r="A30" t="s">
        <v>4</v>
      </c>
      <c r="B30" t="str">
        <f t="shared" si="0"/>
        <v/>
      </c>
      <c r="E30">
        <f>D1_FEBRERO[[#This Row],[RECUPERO]]/VLOOKUP(F30,$H:$I,2,0)</f>
        <v>0</v>
      </c>
      <c r="F30" t="str">
        <f>D1_FEBRERO[[#This Row],[SUPER]]</f>
        <v>MELINA</v>
      </c>
      <c r="L30">
        <v>7</v>
      </c>
      <c r="M30" s="1">
        <f t="shared" si="1"/>
        <v>0.89168965517241383</v>
      </c>
      <c r="N30" t="str" cm="1">
        <f t="array" ref="N30">IFERROR(_xlfn.IFS(M30&gt;100%,"&gt;100%",AND(M30&lt;100%,M30&gt;70%),"&gt;70%",AND(M30&lt;70%,M30&gt;40%),"&gt;40%",AND(M30&lt;40%,M30&gt;0%),"&gt;0%"),"")</f>
        <v>&gt;70%</v>
      </c>
      <c r="O30" t="str">
        <f t="shared" si="2"/>
        <v>MARIA TINTAYA</v>
      </c>
      <c r="P30" t="str">
        <f>IF(DATA_FEBRERO_2025[[#This Row],[ASER_]]="","",F24)</f>
        <v>MELINA</v>
      </c>
      <c r="Q30">
        <f>IF(DATA_FEBRERO_2025[[#This Row],[SUPERVISOR]]="","",D24)</f>
        <v>51718</v>
      </c>
      <c r="R30">
        <f>IF(DATA_FEBRERO_2025[[#This Row],[RECUPERO]]="","",VLOOKUP(DATA_FEBRERO_2025[[#This Row],[SUPERVISOR]],$H:$I,2,0))</f>
        <v>58000</v>
      </c>
    </row>
    <row r="31" spans="1:18" x14ac:dyDescent="0.25">
      <c r="A31" t="s">
        <v>4</v>
      </c>
      <c r="B31" t="str">
        <f t="shared" si="0"/>
        <v/>
      </c>
      <c r="E31">
        <f>D1_FEBRERO[[#This Row],[RECUPERO]]/VLOOKUP(F31,$H:$I,2,0)</f>
        <v>0</v>
      </c>
      <c r="F31" t="str">
        <f>D1_FEBRERO[[#This Row],[SUPER]]</f>
        <v>MELINA</v>
      </c>
      <c r="L31">
        <v>8</v>
      </c>
      <c r="M31" s="1">
        <f t="shared" si="1"/>
        <v>0.84617241379310348</v>
      </c>
      <c r="N31" t="str" cm="1">
        <f t="array" ref="N31">IFERROR(_xlfn.IFS(M31&gt;100%,"&gt;100%",AND(M31&lt;100%,M31&gt;70%),"&gt;70%",AND(M31&lt;70%,M31&gt;40%),"&gt;40%",AND(M31&lt;40%,M31&gt;0%),"&gt;0%"),"")</f>
        <v>&gt;70%</v>
      </c>
      <c r="O31" t="str">
        <f t="shared" si="2"/>
        <v>MILAGROS QUIO</v>
      </c>
      <c r="P31" t="str">
        <f>IF(DATA_FEBRERO_2025[[#This Row],[ASER_]]="","",F25)</f>
        <v>MELINA</v>
      </c>
      <c r="Q31">
        <f>IF(DATA_FEBRERO_2025[[#This Row],[SUPERVISOR]]="","",D25)</f>
        <v>49078</v>
      </c>
      <c r="R31">
        <f>IF(DATA_FEBRERO_2025[[#This Row],[RECUPERO]]="","",VLOOKUP(DATA_FEBRERO_2025[[#This Row],[SUPERVISOR]],$H:$I,2,0))</f>
        <v>58000</v>
      </c>
    </row>
    <row r="32" spans="1:18" x14ac:dyDescent="0.25">
      <c r="A32" t="s">
        <v>4</v>
      </c>
      <c r="B32" t="str">
        <f t="shared" si="0"/>
        <v/>
      </c>
      <c r="E32">
        <f>D1_FEBRERO[[#This Row],[RECUPERO]]/VLOOKUP(F32,$H:$I,2,0)</f>
        <v>0</v>
      </c>
      <c r="F32" t="str">
        <f>D1_FEBRERO[[#This Row],[SUPER]]</f>
        <v>MELINA</v>
      </c>
      <c r="L32">
        <v>9</v>
      </c>
      <c r="M32" s="1">
        <f t="shared" si="1"/>
        <v>1.0940606896551723</v>
      </c>
      <c r="N32" t="str" cm="1">
        <f t="array" ref="N32">IFERROR(_xlfn.IFS(M32&gt;100%,"&gt;100%",AND(M32&lt;100%,M32&gt;70%),"&gt;70%",AND(M32&lt;70%,M32&gt;40%),"&gt;40%",AND(M32&lt;40%,M32&gt;0%),"&gt;0%"),"")</f>
        <v>&gt;100%</v>
      </c>
      <c r="O32" t="str">
        <f t="shared" si="2"/>
        <v>PIERINA TESEN</v>
      </c>
      <c r="P32" t="str">
        <f>IF(DATA_FEBRERO_2025[[#This Row],[ASER_]]="","",F26)</f>
        <v>MELINA</v>
      </c>
      <c r="Q32">
        <f>IF(DATA_FEBRERO_2025[[#This Row],[SUPERVISOR]]="","",D26)</f>
        <v>63455.519999999997</v>
      </c>
      <c r="R32">
        <f>IF(DATA_FEBRERO_2025[[#This Row],[RECUPERO]]="","",VLOOKUP(DATA_FEBRERO_2025[[#This Row],[SUPERVISOR]],$H:$I,2,0))</f>
        <v>58000</v>
      </c>
    </row>
    <row r="33" spans="1:18" x14ac:dyDescent="0.25">
      <c r="A33" t="s">
        <v>2</v>
      </c>
      <c r="B33" t="str">
        <f t="shared" si="0"/>
        <v>CHRISTIAN ALVARADO</v>
      </c>
      <c r="C33" t="s">
        <v>41</v>
      </c>
      <c r="D33">
        <v>13776</v>
      </c>
      <c r="E33">
        <f>D1_FEBRERO[[#This Row],[RECUPERO]]/VLOOKUP(F33,$H:$I,2,0)</f>
        <v>0.62618181818181817</v>
      </c>
      <c r="F33" t="str">
        <f>D1_FEBRERO[[#This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P33" t="str">
        <f>IF(DATA_FEBRERO_2025[[#This Row],[ASER_]]="","",F27)</f>
        <v/>
      </c>
      <c r="Q33" t="str">
        <f>IF(DATA_FEBRERO_2025[[#This Row],[SUPERVISOR]]="","",D27)</f>
        <v/>
      </c>
      <c r="R33" t="str">
        <f>IF(DATA_FEBRERO_2025[[#This Row],[RECUPERO]]="","",VLOOKUP(DATA_FEBRERO_2025[[#This Row],[SUPERVISOR]],$H:$I,2,0))</f>
        <v/>
      </c>
    </row>
    <row r="34" spans="1:18" x14ac:dyDescent="0.25">
      <c r="A34" t="s">
        <v>2</v>
      </c>
      <c r="B34" t="str">
        <f t="shared" si="0"/>
        <v>FRANS TACSI</v>
      </c>
      <c r="C34" t="s">
        <v>16</v>
      </c>
      <c r="D34">
        <v>29166</v>
      </c>
      <c r="E34">
        <f>D1_FEBRERO[[#This Row],[RECUPERO]]/VLOOKUP(F34,$H:$I,2,0)</f>
        <v>1.3257272727272726</v>
      </c>
      <c r="F34" t="str">
        <f>D1_FEBRERO[[#This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P34" t="str">
        <f>IF(DATA_FEBRERO_2025[[#This Row],[ASER_]]="","",F28)</f>
        <v/>
      </c>
      <c r="Q34" t="str">
        <f>IF(DATA_FEBRERO_2025[[#This Row],[SUPERVISOR]]="","",D28)</f>
        <v/>
      </c>
      <c r="R34" t="str">
        <f>IF(DATA_FEBRERO_2025[[#This Row],[RECUPERO]]="","",VLOOKUP(DATA_FEBRERO_2025[[#This Row],[SUPERVISOR]],$H:$I,2,0))</f>
        <v/>
      </c>
    </row>
    <row r="35" spans="1:18" x14ac:dyDescent="0.25">
      <c r="A35" t="s">
        <v>2</v>
      </c>
      <c r="B35" t="str">
        <f t="shared" si="0"/>
        <v>GENESIS VICUNA</v>
      </c>
      <c r="C35" t="s">
        <v>12</v>
      </c>
      <c r="D35">
        <v>22042.6</v>
      </c>
      <c r="E35">
        <f>D1_FEBRERO[[#This Row],[RECUPERO]]/VLOOKUP(F35,$H:$I,2,0)</f>
        <v>1.0019363636363636</v>
      </c>
      <c r="F35" t="str">
        <f>D1_FEBRERO[[#This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IF(DATA_FEBRERO_2025[[#This Row],[ASER_]]="","",F29)</f>
        <v/>
      </c>
      <c r="Q35" t="str">
        <f>IF(DATA_FEBRERO_2025[[#This Row],[SUPERVISOR]]="","",D29)</f>
        <v/>
      </c>
      <c r="R35" t="str">
        <f>IF(DATA_FEBRERO_2025[[#This Row],[RECUPERO]]="","",VLOOKUP(DATA_FEBRERO_2025[[#This Row],[SUPERVISOR]],$H:$I,2,0))</f>
        <v/>
      </c>
    </row>
    <row r="36" spans="1:18" x14ac:dyDescent="0.25">
      <c r="A36" t="s">
        <v>2</v>
      </c>
      <c r="B36" t="str">
        <f t="shared" si="0"/>
        <v>GIANNINA AGUILAR</v>
      </c>
      <c r="C36" t="s">
        <v>32</v>
      </c>
      <c r="D36">
        <v>12364</v>
      </c>
      <c r="E36">
        <f>D1_FEBRERO[[#This Row],[RECUPERO]]/VLOOKUP(F36,$H:$I,2,0)</f>
        <v>0.56200000000000006</v>
      </c>
      <c r="F36" t="str">
        <f>D1_FEBRERO[[#This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IF(DATA_FEBRERO_2025[[#This Row],[ASER_]]="","",F30)</f>
        <v/>
      </c>
      <c r="Q36" t="str">
        <f>IF(DATA_FEBRERO_2025[[#This Row],[SUPERVISOR]]="","",D30)</f>
        <v/>
      </c>
      <c r="R36" t="str">
        <f>IF(DATA_FEBRERO_2025[[#This Row],[RECUPERO]]="","",VLOOKUP(DATA_FEBRERO_2025[[#This Row],[SUPERVISOR]],$H:$I,2,0))</f>
        <v/>
      </c>
    </row>
    <row r="37" spans="1:18" x14ac:dyDescent="0.25">
      <c r="A37" t="s">
        <v>2</v>
      </c>
      <c r="B37" t="str">
        <f t="shared" si="0"/>
        <v>JENY LAZARO</v>
      </c>
      <c r="C37" t="s">
        <v>26</v>
      </c>
      <c r="D37">
        <v>19225.2</v>
      </c>
      <c r="E37">
        <f>D1_FEBRERO[[#This Row],[RECUPERO]]/VLOOKUP(F37,$H:$I,2,0)</f>
        <v>0.87387272727272736</v>
      </c>
      <c r="F37" t="str">
        <f>D1_FEBRERO[[#This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IF(DATA_FEBRERO_2025[[#This Row],[ASER_]]="","",F31)</f>
        <v/>
      </c>
      <c r="Q37" t="str">
        <f>IF(DATA_FEBRERO_2025[[#This Row],[SUPERVISOR]]="","",D31)</f>
        <v/>
      </c>
      <c r="R37" t="str">
        <f>IF(DATA_FEBRERO_2025[[#This Row],[RECUPERO]]="","",VLOOKUP(DATA_FEBRERO_2025[[#This Row],[SUPERVISOR]],$H:$I,2,0))</f>
        <v/>
      </c>
    </row>
    <row r="38" spans="1:18" x14ac:dyDescent="0.25">
      <c r="A38" t="s">
        <v>2</v>
      </c>
      <c r="B38" t="str">
        <f t="shared" si="0"/>
        <v>JUAN ALANOCCA</v>
      </c>
      <c r="C38" t="s">
        <v>77</v>
      </c>
      <c r="D38">
        <v>10843</v>
      </c>
      <c r="E38">
        <f>D1_FEBRERO[[#This Row],[RECUPERO]]/VLOOKUP(F38,$H:$I,2,0)</f>
        <v>0.49286363636363634</v>
      </c>
      <c r="F38" t="str">
        <f>D1_FEBRERO[[#This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IF(DATA_FEBRERO_2025[[#This Row],[ASER_]]="","",F32)</f>
        <v/>
      </c>
      <c r="Q38" t="str">
        <f>IF(DATA_FEBRERO_2025[[#This Row],[SUPERVISOR]]="","",D32)</f>
        <v/>
      </c>
      <c r="R38" t="str">
        <f>IF(DATA_FEBRERO_2025[[#This Row],[RECUPERO]]="","",VLOOKUP(DATA_FEBRERO_2025[[#This Row],[SUPERVISOR]],$H:$I,2,0))</f>
        <v/>
      </c>
    </row>
    <row r="39" spans="1:18" x14ac:dyDescent="0.25">
      <c r="A39" t="s">
        <v>2</v>
      </c>
      <c r="B39" t="str">
        <f t="shared" si="0"/>
        <v>KATYUSCA LEVANO</v>
      </c>
      <c r="C39" t="s">
        <v>46</v>
      </c>
      <c r="D39">
        <v>2200</v>
      </c>
      <c r="E39">
        <f>D1_FEBRERO[[#This Row],[RECUPERO]]/VLOOKUP(F39,$H:$I,2,0)</f>
        <v>0.1</v>
      </c>
      <c r="F39" t="str">
        <f>D1_FEBRERO[[#This Row],[SUPER]]</f>
        <v>JORGE</v>
      </c>
      <c r="L39">
        <v>1</v>
      </c>
      <c r="M39" s="1">
        <f t="shared" si="1"/>
        <v>0.62618181818181817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CHRISTIAN ALVARADO</v>
      </c>
      <c r="P39" t="str">
        <f>IF(DATA_FEBRERO_2025[[#This Row],[ASER_]]="","",F33)</f>
        <v>JORGE</v>
      </c>
      <c r="Q39">
        <f>IF(DATA_FEBRERO_2025[[#This Row],[SUPERVISOR]]="","",D33)</f>
        <v>13776</v>
      </c>
      <c r="R39">
        <f>IF(DATA_FEBRERO_2025[[#This Row],[RECUPERO]]="","",VLOOKUP(DATA_FEBRERO_2025[[#This Row],[SUPERVISOR]],$H:$I,2,0))</f>
        <v>22000</v>
      </c>
    </row>
    <row r="40" spans="1:18" x14ac:dyDescent="0.25">
      <c r="A40" t="s">
        <v>2</v>
      </c>
      <c r="B40" t="str">
        <f t="shared" si="0"/>
        <v>NARDIA URPIS</v>
      </c>
      <c r="C40" t="s">
        <v>74</v>
      </c>
      <c r="D40">
        <v>14892.8</v>
      </c>
      <c r="E40">
        <f>D1_FEBRERO[[#This Row],[RECUPERO]]/VLOOKUP(F40,$H:$I,2,0)</f>
        <v>0.67694545454545452</v>
      </c>
      <c r="F40" t="str">
        <f>D1_FEBRERO[[#This Row],[SUPER]]</f>
        <v>JORGE</v>
      </c>
      <c r="L40">
        <v>2</v>
      </c>
      <c r="M40" s="1">
        <f t="shared" si="1"/>
        <v>1.3257272727272726</v>
      </c>
      <c r="N40" t="str" cm="1">
        <f t="array" ref="N40">IFERROR(_xlfn.IFS(M40&gt;100%,"&gt;100%",AND(M40&lt;100%,M40&gt;70%),"&gt;70%",AND(M40&lt;70%,M40&gt;40%),"&gt;40%",AND(M40&lt;40%,M40&gt;0%),"&gt;0%"),"")</f>
        <v>&gt;100%</v>
      </c>
      <c r="O40" t="str">
        <f t="shared" si="2"/>
        <v>FRANS TACSI</v>
      </c>
      <c r="P40" t="str">
        <f>IF(DATA_FEBRERO_2025[[#This Row],[ASER_]]="","",F34)</f>
        <v>JORGE</v>
      </c>
      <c r="Q40">
        <f>IF(DATA_FEBRERO_2025[[#This Row],[SUPERVISOR]]="","",D34)</f>
        <v>29166</v>
      </c>
      <c r="R40">
        <f>IF(DATA_FEBRERO_2025[[#This Row],[RECUPERO]]="","",VLOOKUP(DATA_FEBRERO_2025[[#This Row],[SUPERVISOR]],$H:$I,2,0))</f>
        <v>22000</v>
      </c>
    </row>
    <row r="41" spans="1:18" x14ac:dyDescent="0.25">
      <c r="A41" t="s">
        <v>2</v>
      </c>
      <c r="B41" t="str">
        <f t="shared" si="0"/>
        <v>ORIANA ARANA</v>
      </c>
      <c r="C41" t="s">
        <v>133</v>
      </c>
      <c r="D41">
        <v>600</v>
      </c>
      <c r="E41">
        <f>D1_FEBRERO[[#This Row],[RECUPERO]]/VLOOKUP(F41,$H:$I,2,0)</f>
        <v>2.7272727272727271E-2</v>
      </c>
      <c r="F41" t="str">
        <f>D1_FEBRERO[[#This Row],[SUPER]]</f>
        <v>JORGE</v>
      </c>
      <c r="L41">
        <v>3</v>
      </c>
      <c r="M41" s="1">
        <f t="shared" si="1"/>
        <v>1.0019363636363636</v>
      </c>
      <c r="N41" t="str" cm="1">
        <f t="array" ref="N41">IFERROR(_xlfn.IFS(M41&gt;100%,"&gt;100%",AND(M41&lt;100%,M41&gt;70%),"&gt;70%",AND(M41&lt;70%,M41&gt;40%),"&gt;40%",AND(M41&lt;40%,M41&gt;0%),"&gt;0%"),"")</f>
        <v>&gt;100%</v>
      </c>
      <c r="O41" t="str">
        <f t="shared" si="2"/>
        <v>GENESIS VICUNA</v>
      </c>
      <c r="P41" t="str">
        <f>IF(DATA_FEBRERO_2025[[#This Row],[ASER_]]="","",F35)</f>
        <v>JORGE</v>
      </c>
      <c r="Q41">
        <f>IF(DATA_FEBRERO_2025[[#This Row],[SUPERVISOR]]="","",D35)</f>
        <v>22042.6</v>
      </c>
      <c r="R41">
        <f>IF(DATA_FEBRERO_2025[[#This Row],[RECUPERO]]="","",VLOOKUP(DATA_FEBRERO_2025[[#This Row],[SUPERVISOR]],$H:$I,2,0))</f>
        <v>22000</v>
      </c>
    </row>
    <row r="42" spans="1:18" x14ac:dyDescent="0.25">
      <c r="A42" t="s">
        <v>2</v>
      </c>
      <c r="B42" t="str">
        <f t="shared" si="0"/>
        <v>PAMELA ALBITES</v>
      </c>
      <c r="C42" t="s">
        <v>124</v>
      </c>
      <c r="D42">
        <v>7792</v>
      </c>
      <c r="E42">
        <f>D1_FEBRERO[[#This Row],[RECUPERO]]/VLOOKUP(F42,$H:$I,2,0)</f>
        <v>0.35418181818181821</v>
      </c>
      <c r="F42" t="str">
        <f>D1_FEBRERO[[#This Row],[SUPER]]</f>
        <v>JORGE</v>
      </c>
      <c r="L42">
        <v>4</v>
      </c>
      <c r="M42" s="1">
        <f t="shared" si="1"/>
        <v>0.56200000000000006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GIANNINA AGUILAR</v>
      </c>
      <c r="P42" t="str">
        <f>IF(DATA_FEBRERO_2025[[#This Row],[ASER_]]="","",F36)</f>
        <v>JORGE</v>
      </c>
      <c r="Q42">
        <f>IF(DATA_FEBRERO_2025[[#This Row],[SUPERVISOR]]="","",D36)</f>
        <v>12364</v>
      </c>
      <c r="R42">
        <f>IF(DATA_FEBRERO_2025[[#This Row],[RECUPERO]]="","",VLOOKUP(DATA_FEBRERO_2025[[#This Row],[SUPERVISOR]],$H:$I,2,0))</f>
        <v>22000</v>
      </c>
    </row>
    <row r="43" spans="1:18" x14ac:dyDescent="0.25">
      <c r="A43" t="s">
        <v>2</v>
      </c>
      <c r="B43" t="str">
        <f t="shared" si="0"/>
        <v>URSULA CENTENO</v>
      </c>
      <c r="C43" t="s">
        <v>78</v>
      </c>
      <c r="D43">
        <v>15560</v>
      </c>
      <c r="E43">
        <f>D1_FEBRERO[[#This Row],[RECUPERO]]/VLOOKUP(F43,$H:$I,2,0)</f>
        <v>0.70727272727272728</v>
      </c>
      <c r="F43" t="str">
        <f>D1_FEBRERO[[#This Row],[SUPER]]</f>
        <v>JORGE</v>
      </c>
      <c r="L43">
        <v>5</v>
      </c>
      <c r="M43" s="1">
        <f t="shared" si="1"/>
        <v>0.87387272727272736</v>
      </c>
      <c r="N43" t="str" cm="1">
        <f t="array" ref="N43">IFERROR(_xlfn.IFS(M43&gt;100%,"&gt;100%",AND(M43&lt;100%,M43&gt;70%),"&gt;70%",AND(M43&lt;70%,M43&gt;40%),"&gt;40%",AND(M43&lt;40%,M43&gt;0%),"&gt;0%"),"")</f>
        <v>&gt;70%</v>
      </c>
      <c r="O43" t="str">
        <f t="shared" si="2"/>
        <v>JENY LAZARO</v>
      </c>
      <c r="P43" t="str">
        <f>IF(DATA_FEBRERO_2025[[#This Row],[ASER_]]="","",F37)</f>
        <v>JORGE</v>
      </c>
      <c r="Q43">
        <f>IF(DATA_FEBRERO_2025[[#This Row],[SUPERVISOR]]="","",D37)</f>
        <v>19225.2</v>
      </c>
      <c r="R43">
        <f>IF(DATA_FEBRERO_2025[[#This Row],[RECUPERO]]="","",VLOOKUP(DATA_FEBRERO_2025[[#This Row],[SUPERVISOR]],$H:$I,2,0))</f>
        <v>22000</v>
      </c>
    </row>
    <row r="44" spans="1:18" x14ac:dyDescent="0.25">
      <c r="A44" t="s">
        <v>2</v>
      </c>
      <c r="B44" t="str">
        <f t="shared" si="0"/>
        <v>YENNY INGA</v>
      </c>
      <c r="C44" t="s">
        <v>39</v>
      </c>
      <c r="D44">
        <v>4300</v>
      </c>
      <c r="E44">
        <f>D1_FEBRERO[[#This Row],[RECUPERO]]/VLOOKUP(F44,$H:$I,2,0)</f>
        <v>0.19545454545454546</v>
      </c>
      <c r="F44" t="str">
        <f>D1_FEBRERO[[#This Row],[SUPER]]</f>
        <v>JORGE</v>
      </c>
      <c r="L44">
        <v>6</v>
      </c>
      <c r="M44" s="1">
        <f t="shared" si="1"/>
        <v>0.49286363636363634</v>
      </c>
      <c r="N44" t="str" cm="1">
        <f t="array" ref="N44">IFERROR(_xlfn.IFS(M44&gt;100%,"&gt;100%",AND(M44&lt;100%,M44&gt;70%),"&gt;70%",AND(M44&lt;70%,M44&gt;40%),"&gt;40%",AND(M44&lt;40%,M44&gt;0%),"&gt;0%"),"")</f>
        <v>&gt;40%</v>
      </c>
      <c r="O44" t="str">
        <f t="shared" si="2"/>
        <v>JUAN ALANOCCA</v>
      </c>
      <c r="P44" t="str">
        <f>IF(DATA_FEBRERO_2025[[#This Row],[ASER_]]="","",F38)</f>
        <v>JORGE</v>
      </c>
      <c r="Q44">
        <f>IF(DATA_FEBRERO_2025[[#This Row],[SUPERVISOR]]="","",D38)</f>
        <v>10843</v>
      </c>
      <c r="R44">
        <f>IF(DATA_FEBRERO_2025[[#This Row],[RECUPERO]]="","",VLOOKUP(DATA_FEBRERO_2025[[#This Row],[SUPERVISOR]],$H:$I,2,0))</f>
        <v>22000</v>
      </c>
    </row>
    <row r="45" spans="1:18" x14ac:dyDescent="0.25">
      <c r="A45" t="s">
        <v>2</v>
      </c>
      <c r="B45" t="str">
        <f t="shared" si="0"/>
        <v/>
      </c>
      <c r="E45">
        <f>D1_FEBRERO[[#This Row],[RECUPERO]]/VLOOKUP(F45,$H:$I,2,0)</f>
        <v>0</v>
      </c>
      <c r="F45" t="str">
        <f>D1_FEBRERO[[#This Row],[SUPER]]</f>
        <v>JORGE</v>
      </c>
      <c r="L45">
        <v>7</v>
      </c>
      <c r="M45" s="1">
        <f t="shared" si="1"/>
        <v>0.1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2"/>
        <v>KATYUSCA LEVANO</v>
      </c>
      <c r="P45" t="str">
        <f>IF(DATA_FEBRERO_2025[[#This Row],[ASER_]]="","",F39)</f>
        <v>JORGE</v>
      </c>
      <c r="Q45">
        <f>IF(DATA_FEBRERO_2025[[#This Row],[SUPERVISOR]]="","",D39)</f>
        <v>2200</v>
      </c>
      <c r="R45">
        <f>IF(DATA_FEBRERO_2025[[#This Row],[RECUPERO]]="","",VLOOKUP(DATA_FEBRERO_2025[[#This Row],[SUPERVISOR]],$H:$I,2,0))</f>
        <v>22000</v>
      </c>
    </row>
    <row r="46" spans="1:18" x14ac:dyDescent="0.25">
      <c r="A46" t="s">
        <v>2</v>
      </c>
      <c r="B46" t="str">
        <f t="shared" si="0"/>
        <v/>
      </c>
      <c r="E46">
        <f>D1_FEBRERO[[#This Row],[RECUPERO]]/VLOOKUP(F46,$H:$I,2,0)</f>
        <v>0</v>
      </c>
      <c r="F46" t="str">
        <f>D1_FEBRERO[[#This Row],[SUPER]]</f>
        <v>JORGE</v>
      </c>
      <c r="L46">
        <v>8</v>
      </c>
      <c r="M46" s="1">
        <f t="shared" si="1"/>
        <v>0.67694545454545452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2"/>
        <v>NARDIA URPIS</v>
      </c>
      <c r="P46" t="str">
        <f>IF(DATA_FEBRERO_2025[[#This Row],[ASER_]]="","",F40)</f>
        <v>JORGE</v>
      </c>
      <c r="Q46">
        <f>IF(DATA_FEBRERO_2025[[#This Row],[SUPERVISOR]]="","",D40)</f>
        <v>14892.8</v>
      </c>
      <c r="R46">
        <f>IF(DATA_FEBRERO_2025[[#This Row],[RECUPERO]]="","",VLOOKUP(DATA_FEBRERO_2025[[#This Row],[SUPERVISOR]],$H:$I,2,0))</f>
        <v>22000</v>
      </c>
    </row>
    <row r="47" spans="1:18" x14ac:dyDescent="0.25">
      <c r="A47" t="s">
        <v>2</v>
      </c>
      <c r="B47" t="str">
        <f t="shared" si="0"/>
        <v/>
      </c>
      <c r="E47">
        <f>D1_FEBRERO[[#This Row],[RECUPERO]]/VLOOKUP(F47,$H:$I,2,0)</f>
        <v>0</v>
      </c>
      <c r="F47" t="str">
        <f>D1_FEBRERO[[#This Row],[SUPER]]</f>
        <v>JORGE</v>
      </c>
      <c r="L47">
        <v>9</v>
      </c>
      <c r="M47" s="1">
        <f t="shared" si="1"/>
        <v>2.7272727272727271E-2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ORIANA ARANA</v>
      </c>
      <c r="P47" t="str">
        <f>IF(DATA_FEBRERO_2025[[#This Row],[ASER_]]="","",F41)</f>
        <v>JORGE</v>
      </c>
      <c r="Q47">
        <f>IF(DATA_FEBRERO_2025[[#This Row],[SUPERVISOR]]="","",D41)</f>
        <v>600</v>
      </c>
      <c r="R47">
        <f>IF(DATA_FEBRERO_2025[[#This Row],[RECUPERO]]="","",VLOOKUP(DATA_FEBRERO_2025[[#This Row],[SUPERVISOR]],$H:$I,2,0))</f>
        <v>22000</v>
      </c>
    </row>
    <row r="48" spans="1:18" x14ac:dyDescent="0.25">
      <c r="A48" t="s">
        <v>5</v>
      </c>
      <c r="B48" t="str">
        <f t="shared" si="0"/>
        <v>ANTHONY VICENTE</v>
      </c>
      <c r="C48" t="s">
        <v>85</v>
      </c>
      <c r="D48">
        <v>64768.5</v>
      </c>
      <c r="E48">
        <f>D1_FEBRERO[[#This Row],[RECUPERO]]/VLOOKUP(F48,$H:$I,2,0)</f>
        <v>1.1166982758620689</v>
      </c>
      <c r="F48" t="str">
        <f>D1_FEBRERO[[#This Row],[SUPER]]</f>
        <v>JORDAN</v>
      </c>
      <c r="L48">
        <v>10</v>
      </c>
      <c r="M48" s="1">
        <f t="shared" si="1"/>
        <v>0.35418181818181821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2"/>
        <v>PAMELA ALBITES</v>
      </c>
      <c r="P48" t="str">
        <f>IF(DATA_FEBRERO_2025[[#This Row],[ASER_]]="","",F42)</f>
        <v>JORGE</v>
      </c>
      <c r="Q48">
        <f>IF(DATA_FEBRERO_2025[[#This Row],[SUPERVISOR]]="","",D42)</f>
        <v>7792</v>
      </c>
      <c r="R48">
        <f>IF(DATA_FEBRERO_2025[[#This Row],[RECUPERO]]="","",VLOOKUP(DATA_FEBRERO_2025[[#This Row],[SUPERVISOR]],$H:$I,2,0))</f>
        <v>22000</v>
      </c>
    </row>
    <row r="49" spans="1:18" x14ac:dyDescent="0.25">
      <c r="A49" t="s">
        <v>5</v>
      </c>
      <c r="B49" t="str">
        <f t="shared" si="0"/>
        <v>AURORA FAUSTOR</v>
      </c>
      <c r="C49" t="s">
        <v>67</v>
      </c>
      <c r="D49">
        <v>58933</v>
      </c>
      <c r="E49">
        <f>D1_FEBRERO[[#This Row],[RECUPERO]]/VLOOKUP(F49,$H:$I,2,0)</f>
        <v>1.0160862068965517</v>
      </c>
      <c r="F49" t="str">
        <f>D1_FEBRERO[[#This Row],[SUPER]]</f>
        <v>JORDAN</v>
      </c>
      <c r="L49">
        <v>11</v>
      </c>
      <c r="M49" s="1">
        <f t="shared" si="1"/>
        <v>0.70727272727272728</v>
      </c>
      <c r="N49" t="str" cm="1">
        <f t="array" ref="N49">IFERROR(_xlfn.IFS(M49&gt;100%,"&gt;100%",AND(M49&lt;100%,M49&gt;70%),"&gt;70%",AND(M49&lt;70%,M49&gt;40%),"&gt;40%",AND(M49&lt;40%,M49&gt;0%),"&gt;0%"),"")</f>
        <v>&gt;70%</v>
      </c>
      <c r="O49" t="str">
        <f t="shared" si="2"/>
        <v>URSULA CENTENO</v>
      </c>
      <c r="P49" t="str">
        <f>IF(DATA_FEBRERO_2025[[#This Row],[ASER_]]="","",F43)</f>
        <v>JORGE</v>
      </c>
      <c r="Q49">
        <f>IF(DATA_FEBRERO_2025[[#This Row],[SUPERVISOR]]="","",D43)</f>
        <v>15560</v>
      </c>
      <c r="R49">
        <f>IF(DATA_FEBRERO_2025[[#This Row],[RECUPERO]]="","",VLOOKUP(DATA_FEBRERO_2025[[#This Row],[SUPERVISOR]],$H:$I,2,0))</f>
        <v>22000</v>
      </c>
    </row>
    <row r="50" spans="1:18" x14ac:dyDescent="0.25">
      <c r="A50" t="s">
        <v>5</v>
      </c>
      <c r="B50" t="str">
        <f t="shared" si="0"/>
        <v>GIANFRANCO PINEDO</v>
      </c>
      <c r="C50" t="s">
        <v>13</v>
      </c>
      <c r="D50">
        <v>48029.43</v>
      </c>
      <c r="E50">
        <f>D1_FEBRERO[[#This Row],[RECUPERO]]/VLOOKUP(F50,$H:$I,2,0)</f>
        <v>0.8280936206896552</v>
      </c>
      <c r="F50" t="str">
        <f>D1_FEBRERO[[#This Row],[SUPER]]</f>
        <v>JORDAN</v>
      </c>
      <c r="L50">
        <v>12</v>
      </c>
      <c r="M50" s="1">
        <f t="shared" si="1"/>
        <v>0.19545454545454546</v>
      </c>
      <c r="N50" t="str" cm="1">
        <f t="array" ref="N50">IFERROR(_xlfn.IFS(M50&gt;100%,"&gt;100%",AND(M50&lt;100%,M50&gt;70%),"&gt;70%",AND(M50&lt;70%,M50&gt;40%),"&gt;40%",AND(M50&lt;40%,M50&gt;0%),"&gt;0%"),"")</f>
        <v>&gt;0%</v>
      </c>
      <c r="O50" t="str">
        <f t="shared" si="2"/>
        <v>YENNY INGA</v>
      </c>
      <c r="P50" t="str">
        <f>IF(DATA_FEBRERO_2025[[#This Row],[ASER_]]="","",F44)</f>
        <v>JORGE</v>
      </c>
      <c r="Q50">
        <f>IF(DATA_FEBRERO_2025[[#This Row],[SUPERVISOR]]="","",D44)</f>
        <v>4300</v>
      </c>
      <c r="R50">
        <f>IF(DATA_FEBRERO_2025[[#This Row],[RECUPERO]]="","",VLOOKUP(DATA_FEBRERO_2025[[#This Row],[SUPERVISOR]],$H:$I,2,0))</f>
        <v>22000</v>
      </c>
    </row>
    <row r="51" spans="1:18" x14ac:dyDescent="0.25">
      <c r="A51" t="s">
        <v>5</v>
      </c>
      <c r="B51" t="str">
        <f t="shared" si="0"/>
        <v>GILBERTO PURIZACA</v>
      </c>
      <c r="C51" t="s">
        <v>66</v>
      </c>
      <c r="D51">
        <v>39756</v>
      </c>
      <c r="E51">
        <f>D1_FEBRERO[[#This Row],[RECUPERO]]/VLOOKUP(F51,$H:$I,2,0)</f>
        <v>0.68544827586206891</v>
      </c>
      <c r="F51" t="str">
        <f>D1_FEBRERO[[#This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IF(DATA_FEBRERO_2025[[#This Row],[ASER_]]="","",F45)</f>
        <v/>
      </c>
      <c r="Q51" t="str">
        <f>IF(DATA_FEBRERO_2025[[#This Row],[SUPERVISOR]]="","",D45)</f>
        <v/>
      </c>
      <c r="R51" t="str">
        <f>IF(DATA_FEBRERO_2025[[#This Row],[RECUPERO]]="","",VLOOKUP(DATA_FEBRERO_2025[[#This Row],[SUPERVISOR]],$H:$I,2,0))</f>
        <v/>
      </c>
    </row>
    <row r="52" spans="1:18" x14ac:dyDescent="0.25">
      <c r="A52" t="s">
        <v>5</v>
      </c>
      <c r="B52" t="str">
        <f t="shared" si="0"/>
        <v>JERSON RIVERA</v>
      </c>
      <c r="C52" t="s">
        <v>123</v>
      </c>
      <c r="D52">
        <v>24770</v>
      </c>
      <c r="E52">
        <f>D1_FEBRERO[[#This Row],[RECUPERO]]/VLOOKUP(F52,$H:$I,2,0)</f>
        <v>0.42706896551724138</v>
      </c>
      <c r="F52" t="str">
        <f>D1_FEBRERO[[#This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IF(DATA_FEBRERO_2025[[#This Row],[ASER_]]="","",F46)</f>
        <v/>
      </c>
      <c r="Q52" t="str">
        <f>IF(DATA_FEBRERO_2025[[#This Row],[SUPERVISOR]]="","",D46)</f>
        <v/>
      </c>
      <c r="R52" t="str">
        <f>IF(DATA_FEBRERO_2025[[#This Row],[RECUPERO]]="","",VLOOKUP(DATA_FEBRERO_2025[[#This Row],[SUPERVISOR]],$H:$I,2,0))</f>
        <v/>
      </c>
    </row>
    <row r="53" spans="1:18" x14ac:dyDescent="0.25">
      <c r="A53" t="s">
        <v>5</v>
      </c>
      <c r="B53" t="str">
        <f t="shared" si="0"/>
        <v>JOANA GIL</v>
      </c>
      <c r="C53" t="s">
        <v>111</v>
      </c>
      <c r="D53">
        <v>26006</v>
      </c>
      <c r="E53">
        <f>D1_FEBRERO[[#This Row],[RECUPERO]]/VLOOKUP(F53,$H:$I,2,0)</f>
        <v>0.44837931034482759</v>
      </c>
      <c r="F53" t="str">
        <f>D1_FEBRERO[[#This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IF(DATA_FEBRERO_2025[[#This Row],[ASER_]]="","",F47)</f>
        <v/>
      </c>
      <c r="Q53" t="str">
        <f>IF(DATA_FEBRERO_2025[[#This Row],[SUPERVISOR]]="","",D47)</f>
        <v/>
      </c>
      <c r="R53" t="str">
        <f>IF(DATA_FEBRERO_2025[[#This Row],[RECUPERO]]="","",VLOOKUP(DATA_FEBRERO_2025[[#This Row],[SUPERVISOR]],$H:$I,2,0))</f>
        <v/>
      </c>
    </row>
    <row r="54" spans="1:18" x14ac:dyDescent="0.25">
      <c r="A54" t="s">
        <v>5</v>
      </c>
      <c r="B54" t="str">
        <f t="shared" si="0"/>
        <v>MARGARITA PIANCHACHI</v>
      </c>
      <c r="C54" t="s">
        <v>17</v>
      </c>
      <c r="D54">
        <v>30967</v>
      </c>
      <c r="E54">
        <f>D1_FEBRERO[[#This Row],[RECUPERO]]/VLOOKUP(F54,$H:$I,2,0)</f>
        <v>0.53391379310344833</v>
      </c>
      <c r="F54" t="str">
        <f>D1_FEBRERO[[#This Row],[SUPER]]</f>
        <v>JORDAN</v>
      </c>
      <c r="L54">
        <v>1</v>
      </c>
      <c r="M54" s="1">
        <f t="shared" si="1"/>
        <v>1.1166982758620689</v>
      </c>
      <c r="N54" t="str" cm="1">
        <f t="array" ref="N54">IFERROR(_xlfn.IFS(M54&gt;100%,"&gt;100%",AND(M54&lt;100%,M54&gt;70%),"&gt;70%",AND(M54&lt;70%,M54&gt;40%),"&gt;40%",AND(M54&lt;40%,M54&gt;0%),"&gt;0%"),"")</f>
        <v>&gt;100%</v>
      </c>
      <c r="O54" t="str">
        <f t="shared" si="2"/>
        <v>ANTHONY VICENTE</v>
      </c>
      <c r="P54" t="str">
        <f>IF(DATA_FEBRERO_2025[[#This Row],[ASER_]]="","",F48)</f>
        <v>JORDAN</v>
      </c>
      <c r="Q54">
        <f>IF(DATA_FEBRERO_2025[[#This Row],[SUPERVISOR]]="","",D48)</f>
        <v>64768.5</v>
      </c>
      <c r="R54">
        <f>IF(DATA_FEBRERO_2025[[#This Row],[RECUPERO]]="","",VLOOKUP(DATA_FEBRERO_2025[[#This Row],[SUPERVISOR]],$H:$I,2,0))</f>
        <v>58000</v>
      </c>
    </row>
    <row r="55" spans="1:18" x14ac:dyDescent="0.25">
      <c r="A55" t="s">
        <v>5</v>
      </c>
      <c r="B55" t="str">
        <f t="shared" si="0"/>
        <v>MELISSA GUERRERO</v>
      </c>
      <c r="C55" t="s">
        <v>62</v>
      </c>
      <c r="D55">
        <v>44844</v>
      </c>
      <c r="E55">
        <f>D1_FEBRERO[[#This Row],[RECUPERO]]/VLOOKUP(F55,$H:$I,2,0)</f>
        <v>0.77317241379310342</v>
      </c>
      <c r="F55" t="str">
        <f>D1_FEBRERO[[#This Row],[SUPER]]</f>
        <v>JORDAN</v>
      </c>
      <c r="L55">
        <v>2</v>
      </c>
      <c r="M55" s="1">
        <f t="shared" si="1"/>
        <v>1.0160862068965517</v>
      </c>
      <c r="N55" t="str" cm="1">
        <f t="array" ref="N55">IFERROR(_xlfn.IFS(M55&gt;100%,"&gt;100%",AND(M55&lt;100%,M55&gt;70%),"&gt;70%",AND(M55&lt;70%,M55&gt;40%),"&gt;40%",AND(M55&lt;40%,M55&gt;0%),"&gt;0%"),"")</f>
        <v>&gt;100%</v>
      </c>
      <c r="O55" t="str">
        <f t="shared" si="2"/>
        <v>AURORA FAUSTOR</v>
      </c>
      <c r="P55" t="str">
        <f>IF(DATA_FEBRERO_2025[[#This Row],[ASER_]]="","",F49)</f>
        <v>JORDAN</v>
      </c>
      <c r="Q55">
        <f>IF(DATA_FEBRERO_2025[[#This Row],[SUPERVISOR]]="","",D49)</f>
        <v>58933</v>
      </c>
      <c r="R55">
        <f>IF(DATA_FEBRERO_2025[[#This Row],[RECUPERO]]="","",VLOOKUP(DATA_FEBRERO_2025[[#This Row],[SUPERVISOR]],$H:$I,2,0))</f>
        <v>58000</v>
      </c>
    </row>
    <row r="56" spans="1:18" x14ac:dyDescent="0.25">
      <c r="A56" t="s">
        <v>5</v>
      </c>
      <c r="B56" t="str">
        <f t="shared" si="0"/>
        <v>NATALIA MARIN</v>
      </c>
      <c r="C56" t="s">
        <v>79</v>
      </c>
      <c r="D56">
        <v>41415.49</v>
      </c>
      <c r="E56">
        <f>D1_FEBRERO[[#This Row],[RECUPERO]]/VLOOKUP(F56,$H:$I,2,0)</f>
        <v>0.71406017241379305</v>
      </c>
      <c r="F56" t="str">
        <f>D1_FEBRERO[[#This Row],[SUPER]]</f>
        <v>JORDAN</v>
      </c>
      <c r="L56">
        <v>3</v>
      </c>
      <c r="M56" s="1">
        <f t="shared" si="1"/>
        <v>0.8280936206896552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GIANFRANCO PINEDO</v>
      </c>
      <c r="P56" t="str">
        <f>IF(DATA_FEBRERO_2025[[#This Row],[ASER_]]="","",F50)</f>
        <v>JORDAN</v>
      </c>
      <c r="Q56">
        <f>IF(DATA_FEBRERO_2025[[#This Row],[SUPERVISOR]]="","",D50)</f>
        <v>48029.43</v>
      </c>
      <c r="R56">
        <f>IF(DATA_FEBRERO_2025[[#This Row],[RECUPERO]]="","",VLOOKUP(DATA_FEBRERO_2025[[#This Row],[SUPERVISOR]],$H:$I,2,0))</f>
        <v>58000</v>
      </c>
    </row>
    <row r="57" spans="1:18" x14ac:dyDescent="0.25">
      <c r="A57" t="s">
        <v>5</v>
      </c>
      <c r="B57" t="str">
        <f t="shared" si="0"/>
        <v/>
      </c>
      <c r="E57">
        <f>D1_FEBRERO[[#This Row],[RECUPERO]]/VLOOKUP(F57,$H:$I,2,0)</f>
        <v>0</v>
      </c>
      <c r="F57" t="str">
        <f>D1_FEBRERO[[#This Row],[SUPER]]</f>
        <v>JORDAN</v>
      </c>
      <c r="L57">
        <v>4</v>
      </c>
      <c r="M57" s="1">
        <f t="shared" si="1"/>
        <v>0.68544827586206891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GILBERTO PURIZACA</v>
      </c>
      <c r="P57" t="str">
        <f>IF(DATA_FEBRERO_2025[[#This Row],[ASER_]]="","",F51)</f>
        <v>JORDAN</v>
      </c>
      <c r="Q57">
        <f>IF(DATA_FEBRERO_2025[[#This Row],[SUPERVISOR]]="","",D51)</f>
        <v>39756</v>
      </c>
      <c r="R57">
        <f>IF(DATA_FEBRERO_2025[[#This Row],[RECUPERO]]="","",VLOOKUP(DATA_FEBRERO_2025[[#This Row],[SUPERVISOR]],$H:$I,2,0))</f>
        <v>58000</v>
      </c>
    </row>
    <row r="58" spans="1:18" x14ac:dyDescent="0.25">
      <c r="A58" t="s">
        <v>5</v>
      </c>
      <c r="B58" t="str">
        <f t="shared" si="0"/>
        <v/>
      </c>
      <c r="E58">
        <f>D1_FEBRERO[[#This Row],[RECUPERO]]/VLOOKUP(F58,$H:$I,2,0)</f>
        <v>0</v>
      </c>
      <c r="F58" t="str">
        <f>D1_FEBRERO[[#This Row],[SUPER]]</f>
        <v>JORDAN</v>
      </c>
      <c r="L58">
        <v>5</v>
      </c>
      <c r="M58" s="1">
        <f t="shared" si="1"/>
        <v>0.42706896551724138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JERSON RIVERA</v>
      </c>
      <c r="P58" t="str">
        <f>IF(DATA_FEBRERO_2025[[#This Row],[ASER_]]="","",F52)</f>
        <v>JORDAN</v>
      </c>
      <c r="Q58">
        <f>IF(DATA_FEBRERO_2025[[#This Row],[SUPERVISOR]]="","",D52)</f>
        <v>24770</v>
      </c>
      <c r="R58">
        <f>IF(DATA_FEBRERO_2025[[#This Row],[RECUPERO]]="","",VLOOKUP(DATA_FEBRERO_2025[[#This Row],[SUPERVISOR]],$H:$I,2,0))</f>
        <v>58000</v>
      </c>
    </row>
    <row r="59" spans="1:18" x14ac:dyDescent="0.25">
      <c r="A59" t="s">
        <v>5</v>
      </c>
      <c r="B59" t="str">
        <f t="shared" si="0"/>
        <v/>
      </c>
      <c r="E59">
        <f>D1_FEBRERO[[#This Row],[RECUPERO]]/VLOOKUP(F59,$H:$I,2,0)</f>
        <v>0</v>
      </c>
      <c r="F59" t="str">
        <f>D1_FEBRERO[[#This Row],[SUPER]]</f>
        <v>JORDAN</v>
      </c>
      <c r="L59">
        <v>6</v>
      </c>
      <c r="M59" s="1">
        <f t="shared" si="1"/>
        <v>0.44837931034482759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JOANA GIL</v>
      </c>
      <c r="P59" t="str">
        <f>IF(DATA_FEBRERO_2025[[#This Row],[ASER_]]="","",F53)</f>
        <v>JORDAN</v>
      </c>
      <c r="Q59">
        <f>IF(DATA_FEBRERO_2025[[#This Row],[SUPERVISOR]]="","",D53)</f>
        <v>26006</v>
      </c>
      <c r="R59">
        <f>IF(DATA_FEBRERO_2025[[#This Row],[RECUPERO]]="","",VLOOKUP(DATA_FEBRERO_2025[[#This Row],[SUPERVISOR]],$H:$I,2,0))</f>
        <v>58000</v>
      </c>
    </row>
    <row r="60" spans="1:18" x14ac:dyDescent="0.25">
      <c r="A60" t="s">
        <v>5</v>
      </c>
      <c r="B60" t="str">
        <f t="shared" si="0"/>
        <v/>
      </c>
      <c r="E60">
        <f>D1_FEBRERO[[#This Row],[RECUPERO]]/VLOOKUP(F60,$H:$I,2,0)</f>
        <v>0</v>
      </c>
      <c r="F60" t="str">
        <f>D1_FEBRERO[[#This Row],[SUPER]]</f>
        <v>JORDAN</v>
      </c>
      <c r="L60">
        <v>7</v>
      </c>
      <c r="M60" s="1">
        <f t="shared" si="1"/>
        <v>0.53391379310344833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MARGARITA PIANCHACHI</v>
      </c>
      <c r="P60" t="str">
        <f>IF(DATA_FEBRERO_2025[[#This Row],[ASER_]]="","",F54)</f>
        <v>JORDAN</v>
      </c>
      <c r="Q60">
        <f>IF(DATA_FEBRERO_2025[[#This Row],[SUPERVISOR]]="","",D54)</f>
        <v>30967</v>
      </c>
      <c r="R60">
        <f>IF(DATA_FEBRERO_2025[[#This Row],[RECUPERO]]="","",VLOOKUP(DATA_FEBRERO_2025[[#This Row],[SUPERVISOR]],$H:$I,2,0))</f>
        <v>58000</v>
      </c>
    </row>
    <row r="61" spans="1:18" x14ac:dyDescent="0.25">
      <c r="A61" t="s">
        <v>5</v>
      </c>
      <c r="B61" t="str">
        <f t="shared" si="0"/>
        <v/>
      </c>
      <c r="E61">
        <f>D1_FEBRERO[[#This Row],[RECUPERO]]/VLOOKUP(F61,$H:$I,2,0)</f>
        <v>0</v>
      </c>
      <c r="F61" t="str">
        <f>D1_FEBRERO[[#This Row],[SUPER]]</f>
        <v>JORDAN</v>
      </c>
      <c r="L61">
        <v>8</v>
      </c>
      <c r="M61" s="1">
        <f t="shared" si="1"/>
        <v>0.77317241379310342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MELISSA GUERRERO</v>
      </c>
      <c r="P61" t="str">
        <f>IF(DATA_FEBRERO_2025[[#This Row],[ASER_]]="","",F55)</f>
        <v>JORDAN</v>
      </c>
      <c r="Q61">
        <f>IF(DATA_FEBRERO_2025[[#This Row],[SUPERVISOR]]="","",D55)</f>
        <v>44844</v>
      </c>
      <c r="R61">
        <f>IF(DATA_FEBRERO_2025[[#This Row],[RECUPERO]]="","",VLOOKUP(DATA_FEBRERO_2025[[#This Row],[SUPERVISOR]],$H:$I,2,0))</f>
        <v>58000</v>
      </c>
    </row>
    <row r="62" spans="1:18" x14ac:dyDescent="0.25">
      <c r="A62" t="s">
        <v>5</v>
      </c>
      <c r="B62" t="str">
        <f t="shared" si="0"/>
        <v/>
      </c>
      <c r="E62">
        <f>D1_FEBRERO[[#This Row],[RECUPERO]]/VLOOKUP(F62,$H:$I,2,0)</f>
        <v>0</v>
      </c>
      <c r="F62" t="str">
        <f>D1_FEBRERO[[#This Row],[SUPER]]</f>
        <v>JORDAN</v>
      </c>
      <c r="L62">
        <v>9</v>
      </c>
      <c r="M62" s="1">
        <f t="shared" si="1"/>
        <v>0.71406017241379305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2"/>
        <v>NATALIA MARIN</v>
      </c>
      <c r="P62" t="str">
        <f>IF(DATA_FEBRERO_2025[[#This Row],[ASER_]]="","",F56)</f>
        <v>JORDAN</v>
      </c>
      <c r="Q62">
        <f>IF(DATA_FEBRERO_2025[[#This Row],[SUPERVISOR]]="","",D56)</f>
        <v>41415.49</v>
      </c>
      <c r="R62">
        <f>IF(DATA_FEBRERO_2025[[#This Row],[RECUPERO]]="","",VLOOKUP(DATA_FEBRERO_2025[[#This Row],[SUPERVISOR]],$H:$I,2,0))</f>
        <v>58000</v>
      </c>
    </row>
    <row r="63" spans="1:18" x14ac:dyDescent="0.25">
      <c r="A63" t="s">
        <v>6</v>
      </c>
      <c r="B63" t="str">
        <f t="shared" si="0"/>
        <v>BRYAN VELASQUEZ</v>
      </c>
      <c r="C63" t="s">
        <v>125</v>
      </c>
      <c r="D63">
        <v>16800</v>
      </c>
      <c r="E63">
        <f>D1_FEBRERO[[#This Row],[RECUPERO]]/VLOOKUP(F63,$H:$I,2,0)</f>
        <v>0.8</v>
      </c>
      <c r="F63" t="str">
        <f>D1_FEBRERO[[#This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  <c r="P63" t="str">
        <f>IF(DATA_FEBRERO_2025[[#This Row],[ASER_]]="","",F57)</f>
        <v/>
      </c>
      <c r="Q63" t="str">
        <f>IF(DATA_FEBRERO_2025[[#This Row],[SUPERVISOR]]="","",D57)</f>
        <v/>
      </c>
      <c r="R63" t="str">
        <f>IF(DATA_FEBRERO_2025[[#This Row],[RECUPERO]]="","",VLOOKUP(DATA_FEBRERO_2025[[#This Row],[SUPERVISOR]],$H:$I,2,0))</f>
        <v/>
      </c>
    </row>
    <row r="64" spans="1:18" x14ac:dyDescent="0.25">
      <c r="A64" t="s">
        <v>6</v>
      </c>
      <c r="B64" t="str">
        <f t="shared" si="0"/>
        <v>CARMEN PUMA</v>
      </c>
      <c r="C64" t="s">
        <v>19</v>
      </c>
      <c r="D64">
        <v>26643.82</v>
      </c>
      <c r="E64">
        <f>D1_FEBRERO[[#This Row],[RECUPERO]]/VLOOKUP(F64,$H:$I,2,0)</f>
        <v>1.2687533333333334</v>
      </c>
      <c r="F64" t="str">
        <f>D1_FEBRERO[[#This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  <c r="P64" t="str">
        <f>IF(DATA_FEBRERO_2025[[#This Row],[ASER_]]="","",F58)</f>
        <v/>
      </c>
      <c r="Q64" t="str">
        <f>IF(DATA_FEBRERO_2025[[#This Row],[SUPERVISOR]]="","",D58)</f>
        <v/>
      </c>
      <c r="R64" t="str">
        <f>IF(DATA_FEBRERO_2025[[#This Row],[RECUPERO]]="","",VLOOKUP(DATA_FEBRERO_2025[[#This Row],[SUPERVISOR]],$H:$I,2,0))</f>
        <v/>
      </c>
    </row>
    <row r="65" spans="1:18" x14ac:dyDescent="0.25">
      <c r="A65" t="s">
        <v>6</v>
      </c>
      <c r="B65" t="str">
        <f t="shared" si="0"/>
        <v>JIMENA MEDINA</v>
      </c>
      <c r="C65" t="s">
        <v>37</v>
      </c>
      <c r="D65">
        <v>8590</v>
      </c>
      <c r="E65">
        <f>D1_FEBRERO[[#This Row],[RECUPERO]]/VLOOKUP(F65,$H:$I,2,0)</f>
        <v>0.40904761904761905</v>
      </c>
      <c r="F65" t="str">
        <f>D1_FEBRERO[[#This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  <c r="P65" t="str">
        <f>IF(DATA_FEBRERO_2025[[#This Row],[ASER_]]="","",F59)</f>
        <v/>
      </c>
      <c r="Q65" t="str">
        <f>IF(DATA_FEBRERO_2025[[#This Row],[SUPERVISOR]]="","",D59)</f>
        <v/>
      </c>
      <c r="R65" t="str">
        <f>IF(DATA_FEBRERO_2025[[#This Row],[RECUPERO]]="","",VLOOKUP(DATA_FEBRERO_2025[[#This Row],[SUPERVISOR]],$H:$I,2,0))</f>
        <v/>
      </c>
    </row>
    <row r="66" spans="1:18" x14ac:dyDescent="0.25">
      <c r="A66" t="s">
        <v>6</v>
      </c>
      <c r="B66" t="str">
        <f t="shared" si="0"/>
        <v>JUAN LOZA</v>
      </c>
      <c r="C66" t="s">
        <v>35</v>
      </c>
      <c r="D66">
        <v>7640</v>
      </c>
      <c r="E66">
        <f>D1_FEBRERO[[#This Row],[RECUPERO]]/VLOOKUP(F66,$H:$I,2,0)</f>
        <v>0.3638095238095238</v>
      </c>
      <c r="F66" t="str">
        <f>D1_FEBRERO[[#This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  <c r="P66" t="str">
        <f>IF(DATA_FEBRERO_2025[[#This Row],[ASER_]]="","",F60)</f>
        <v/>
      </c>
      <c r="Q66" t="str">
        <f>IF(DATA_FEBRERO_2025[[#This Row],[SUPERVISOR]]="","",D60)</f>
        <v/>
      </c>
      <c r="R66" t="str">
        <f>IF(DATA_FEBRERO_2025[[#This Row],[RECUPERO]]="","",VLOOKUP(DATA_FEBRERO_2025[[#This Row],[SUPERVISOR]],$H:$I,2,0))</f>
        <v/>
      </c>
    </row>
    <row r="67" spans="1:18" x14ac:dyDescent="0.25">
      <c r="A67" t="s">
        <v>6</v>
      </c>
      <c r="B67" t="str">
        <f t="shared" si="0"/>
        <v>LUIS CENTENO</v>
      </c>
      <c r="C67" t="s">
        <v>31</v>
      </c>
      <c r="D67">
        <v>16180</v>
      </c>
      <c r="E67">
        <f>D1_FEBRERO[[#This Row],[RECUPERO]]/VLOOKUP(F67,$H:$I,2,0)</f>
        <v>0.77047619047619043</v>
      </c>
      <c r="F67" t="str">
        <f>D1_FEBRERO[[#This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IF(DATA_FEBRERO_2025[[#This Row],[ASER_]]="","",F61)</f>
        <v/>
      </c>
      <c r="Q67" t="str">
        <f>IF(DATA_FEBRERO_2025[[#This Row],[SUPERVISOR]]="","",D61)</f>
        <v/>
      </c>
      <c r="R67" t="str">
        <f>IF(DATA_FEBRERO_2025[[#This Row],[RECUPERO]]="","",VLOOKUP(DATA_FEBRERO_2025[[#This Row],[SUPERVISOR]],$H:$I,2,0))</f>
        <v/>
      </c>
    </row>
    <row r="68" spans="1:18" x14ac:dyDescent="0.25">
      <c r="A68" t="s">
        <v>6</v>
      </c>
      <c r="B68" t="str">
        <f t="shared" ref="B68:B107" si="3">TRIM(C68)</f>
        <v>MARCO SARMIENTO</v>
      </c>
      <c r="C68" t="s">
        <v>117</v>
      </c>
      <c r="D68">
        <v>8080</v>
      </c>
      <c r="E68">
        <f>D1_FEBRERO[[#This Row],[RECUPERO]]/VLOOKUP(F68,$H:$I,2,0)</f>
        <v>0.38476190476190475</v>
      </c>
      <c r="F68" t="str">
        <f>D1_FEBRERO[[#This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IF(DATA_FEBRERO_2025[[#This Row],[ASER_]]="","",F62)</f>
        <v/>
      </c>
      <c r="Q68" t="str">
        <f>IF(DATA_FEBRERO_2025[[#This Row],[SUPERVISOR]]="","",D62)</f>
        <v/>
      </c>
      <c r="R68" t="str">
        <f>IF(DATA_FEBRERO_2025[[#This Row],[RECUPERO]]="","",VLOOKUP(DATA_FEBRERO_2025[[#This Row],[SUPERVISOR]],$H:$I,2,0))</f>
        <v/>
      </c>
    </row>
    <row r="69" spans="1:18" x14ac:dyDescent="0.25">
      <c r="A69" t="s">
        <v>6</v>
      </c>
      <c r="B69" t="str">
        <f t="shared" si="3"/>
        <v>MARIA GONZALES</v>
      </c>
      <c r="C69" t="s">
        <v>126</v>
      </c>
      <c r="D69">
        <v>3012.5</v>
      </c>
      <c r="E69">
        <f>D1_FEBRERO[[#This Row],[RECUPERO]]/VLOOKUP(F69,$H:$I,2,0)</f>
        <v>0.14345238095238094</v>
      </c>
      <c r="F69" t="str">
        <f>D1_FEBRERO[[#This Row],[SUPER]]</f>
        <v>KENNETH</v>
      </c>
      <c r="L69">
        <v>1</v>
      </c>
      <c r="M69" s="1">
        <f t="shared" si="1"/>
        <v>0.8</v>
      </c>
      <c r="N69" t="str" cm="1">
        <f t="array" ref="N69">IFERROR(_xlfn.IFS(M69&gt;100%,"&gt;100%",AND(M69&lt;100%,M69&gt;70%),"&gt;70%",AND(M69&lt;70%,M69&gt;40%),"&gt;40%",AND(M69&lt;40%,M69&gt;0%),"&gt;0%"),"")</f>
        <v>&gt;70%</v>
      </c>
      <c r="O69" t="str">
        <f t="shared" si="2"/>
        <v>BRYAN VELASQUEZ</v>
      </c>
      <c r="P69" t="str">
        <f>IF(DATA_FEBRERO_2025[[#This Row],[ASER_]]="","",F63)</f>
        <v>KENNETH</v>
      </c>
      <c r="Q69">
        <f>IF(DATA_FEBRERO_2025[[#This Row],[SUPERVISOR]]="","",D63)</f>
        <v>16800</v>
      </c>
      <c r="R69">
        <f>IF(DATA_FEBRERO_2025[[#This Row],[RECUPERO]]="","",VLOOKUP(DATA_FEBRERO_2025[[#This Row],[SUPERVISOR]],$H:$I,2,0))</f>
        <v>21000</v>
      </c>
    </row>
    <row r="70" spans="1:18" x14ac:dyDescent="0.25">
      <c r="A70" t="s">
        <v>6</v>
      </c>
      <c r="B70" t="str">
        <f t="shared" si="3"/>
        <v>MAURICIO MARTINEZ</v>
      </c>
      <c r="C70" t="s">
        <v>127</v>
      </c>
      <c r="D70">
        <v>33375</v>
      </c>
      <c r="E70">
        <f>D1_FEBRERO[[#This Row],[RECUPERO]]/VLOOKUP(F70,$H:$I,2,0)</f>
        <v>1.5892857142857142</v>
      </c>
      <c r="F70" t="str">
        <f>D1_FEBRERO[[#This Row],[SUPER]]</f>
        <v>KENNETH</v>
      </c>
      <c r="L70">
        <v>2</v>
      </c>
      <c r="M70" s="1">
        <f t="shared" si="1"/>
        <v>1.2687533333333334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CARMEN PUMA</v>
      </c>
      <c r="P70" t="str">
        <f>IF(DATA_FEBRERO_2025[[#This Row],[ASER_]]="","",F64)</f>
        <v>KENNETH</v>
      </c>
      <c r="Q70">
        <f>IF(DATA_FEBRERO_2025[[#This Row],[SUPERVISOR]]="","",D64)</f>
        <v>26643.82</v>
      </c>
      <c r="R70">
        <f>IF(DATA_FEBRERO_2025[[#This Row],[RECUPERO]]="","",VLOOKUP(DATA_FEBRERO_2025[[#This Row],[SUPERVISOR]],$H:$I,2,0))</f>
        <v>21000</v>
      </c>
    </row>
    <row r="71" spans="1:18" x14ac:dyDescent="0.25">
      <c r="A71" t="s">
        <v>6</v>
      </c>
      <c r="B71" t="str">
        <f t="shared" si="3"/>
        <v>MICAELA PEREZ</v>
      </c>
      <c r="C71" t="s">
        <v>64</v>
      </c>
      <c r="D71">
        <v>8100</v>
      </c>
      <c r="E71">
        <f>D1_FEBRERO[[#This Row],[RECUPERO]]/VLOOKUP(F71,$H:$I,2,0)</f>
        <v>0.38571428571428573</v>
      </c>
      <c r="F71" t="str">
        <f>D1_FEBRERO[[#This Row],[SUPER]]</f>
        <v>KENNETH</v>
      </c>
      <c r="L71">
        <v>3</v>
      </c>
      <c r="M71" s="1">
        <f t="shared" si="1"/>
        <v>0.40904761904761905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JIMENA MEDINA</v>
      </c>
      <c r="P71" t="str">
        <f>IF(DATA_FEBRERO_2025[[#This Row],[ASER_]]="","",F65)</f>
        <v>KENNETH</v>
      </c>
      <c r="Q71">
        <f>IF(DATA_FEBRERO_2025[[#This Row],[SUPERVISOR]]="","",D65)</f>
        <v>8590</v>
      </c>
      <c r="R71">
        <f>IF(DATA_FEBRERO_2025[[#This Row],[RECUPERO]]="","",VLOOKUP(DATA_FEBRERO_2025[[#This Row],[SUPERVISOR]],$H:$I,2,0))</f>
        <v>21000</v>
      </c>
    </row>
    <row r="72" spans="1:18" x14ac:dyDescent="0.25">
      <c r="A72" t="s">
        <v>6</v>
      </c>
      <c r="B72" t="str">
        <f t="shared" si="3"/>
        <v>STWUAR MACURI</v>
      </c>
      <c r="C72" t="s">
        <v>34</v>
      </c>
      <c r="D72">
        <v>20522</v>
      </c>
      <c r="E72">
        <f>D1_FEBRERO[[#This Row],[RECUPERO]]/VLOOKUP(F72,$H:$I,2,0)</f>
        <v>0.97723809523809524</v>
      </c>
      <c r="F72" t="str">
        <f>D1_FEBRERO[[#This Row],[SUPER]]</f>
        <v>KENNETH</v>
      </c>
      <c r="L72">
        <v>4</v>
      </c>
      <c r="M72" s="1">
        <f t="shared" si="1"/>
        <v>0.3638095238095238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JUAN LOZA</v>
      </c>
      <c r="P72" t="str">
        <f>IF(DATA_FEBRERO_2025[[#This Row],[ASER_]]="","",F66)</f>
        <v>KENNETH</v>
      </c>
      <c r="Q72">
        <f>IF(DATA_FEBRERO_2025[[#This Row],[SUPERVISOR]]="","",D66)</f>
        <v>7640</v>
      </c>
      <c r="R72">
        <f>IF(DATA_FEBRERO_2025[[#This Row],[RECUPERO]]="","",VLOOKUP(DATA_FEBRERO_2025[[#This Row],[SUPERVISOR]],$H:$I,2,0))</f>
        <v>21000</v>
      </c>
    </row>
    <row r="73" spans="1:18" x14ac:dyDescent="0.25">
      <c r="A73" t="s">
        <v>6</v>
      </c>
      <c r="B73" t="str">
        <f t="shared" si="3"/>
        <v/>
      </c>
      <c r="E73">
        <f>D1_FEBRERO[[#This Row],[RECUPERO]]/VLOOKUP(F73,$H:$I,2,0)</f>
        <v>0</v>
      </c>
      <c r="F73" t="str">
        <f>D1_FEBRERO[[#This Row],[SUPER]]</f>
        <v>KENNETH</v>
      </c>
      <c r="L73">
        <v>5</v>
      </c>
      <c r="M73" s="1">
        <f t="shared" si="1"/>
        <v>0.77047619047619043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LUIS CENTENO</v>
      </c>
      <c r="P73" t="str">
        <f>IF(DATA_FEBRERO_2025[[#This Row],[ASER_]]="","",F67)</f>
        <v>KENNETH</v>
      </c>
      <c r="Q73">
        <f>IF(DATA_FEBRERO_2025[[#This Row],[SUPERVISOR]]="","",D67)</f>
        <v>16180</v>
      </c>
      <c r="R73">
        <f>IF(DATA_FEBRERO_2025[[#This Row],[RECUPERO]]="","",VLOOKUP(DATA_FEBRERO_2025[[#This Row],[SUPERVISOR]],$H:$I,2,0))</f>
        <v>21000</v>
      </c>
    </row>
    <row r="74" spans="1:18" x14ac:dyDescent="0.25">
      <c r="A74" t="s">
        <v>6</v>
      </c>
      <c r="B74" t="str">
        <f t="shared" si="3"/>
        <v/>
      </c>
      <c r="E74">
        <f>D1_FEBRERO[[#This Row],[RECUPERO]]/VLOOKUP(F74,$H:$I,2,0)</f>
        <v>0</v>
      </c>
      <c r="F74" t="str">
        <f>D1_FEBRERO[[#This Row],[SUPER]]</f>
        <v>KENNETH</v>
      </c>
      <c r="L74">
        <v>6</v>
      </c>
      <c r="M74" s="1">
        <f t="shared" ref="M74:M113" si="4">E68</f>
        <v>0.38476190476190475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13" si="5">B68</f>
        <v>MARCO SARMIENTO</v>
      </c>
      <c r="P74" t="str">
        <f>IF(DATA_FEBRERO_2025[[#This Row],[ASER_]]="","",F68)</f>
        <v>KENNETH</v>
      </c>
      <c r="Q74">
        <f>IF(DATA_FEBRERO_2025[[#This Row],[SUPERVISOR]]="","",D68)</f>
        <v>8080</v>
      </c>
      <c r="R74">
        <f>IF(DATA_FEBRERO_2025[[#This Row],[RECUPERO]]="","",VLOOKUP(DATA_FEBRERO_2025[[#This Row],[SUPERVISOR]],$H:$I,2,0))</f>
        <v>21000</v>
      </c>
    </row>
    <row r="75" spans="1:18" x14ac:dyDescent="0.25">
      <c r="A75" t="s">
        <v>6</v>
      </c>
      <c r="B75" t="str">
        <f t="shared" si="3"/>
        <v/>
      </c>
      <c r="E75">
        <f>D1_FEBRERO[[#This Row],[RECUPERO]]/VLOOKUP(F75,$H:$I,2,0)</f>
        <v>0</v>
      </c>
      <c r="F75" t="str">
        <f>D1_FEBRERO[[#This Row],[SUPER]]</f>
        <v>KENNETH</v>
      </c>
      <c r="L75">
        <v>7</v>
      </c>
      <c r="M75" s="1">
        <f t="shared" si="4"/>
        <v>0.14345238095238094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MARIA GONZALES</v>
      </c>
      <c r="P75" t="str">
        <f>IF(DATA_FEBRERO_2025[[#This Row],[ASER_]]="","",F69)</f>
        <v>KENNETH</v>
      </c>
      <c r="Q75">
        <f>IF(DATA_FEBRERO_2025[[#This Row],[SUPERVISOR]]="","",D69)</f>
        <v>3012.5</v>
      </c>
      <c r="R75">
        <f>IF(DATA_FEBRERO_2025[[#This Row],[RECUPERO]]="","",VLOOKUP(DATA_FEBRERO_2025[[#This Row],[SUPERVISOR]],$H:$I,2,0))</f>
        <v>21000</v>
      </c>
    </row>
    <row r="76" spans="1:18" x14ac:dyDescent="0.25">
      <c r="A76" t="s">
        <v>6</v>
      </c>
      <c r="B76" t="str">
        <f t="shared" si="3"/>
        <v/>
      </c>
      <c r="E76">
        <f>D1_FEBRERO[[#This Row],[RECUPERO]]/VLOOKUP(F76,$H:$I,2,0)</f>
        <v>0</v>
      </c>
      <c r="F76" t="str">
        <f>D1_FEBRERO[[#This Row],[SUPER]]</f>
        <v>KENNETH</v>
      </c>
      <c r="L76">
        <v>8</v>
      </c>
      <c r="M76" s="1">
        <f t="shared" si="4"/>
        <v>1.5892857142857142</v>
      </c>
      <c r="N76" t="str" cm="1">
        <f t="array" ref="N76">IFERROR(_xlfn.IFS(M76&gt;100%,"&gt;100%",AND(M76&lt;100%,M76&gt;70%),"&gt;70%",AND(M76&lt;70%,M76&gt;40%),"&gt;40%",AND(M76&lt;40%,M76&gt;0%),"&gt;0%"),"")</f>
        <v>&gt;100%</v>
      </c>
      <c r="O76" t="str">
        <f t="shared" si="5"/>
        <v>MAURICIO MARTINEZ</v>
      </c>
      <c r="P76" t="str">
        <f>IF(DATA_FEBRERO_2025[[#This Row],[ASER_]]="","",F70)</f>
        <v>KENNETH</v>
      </c>
      <c r="Q76">
        <f>IF(DATA_FEBRERO_2025[[#This Row],[SUPERVISOR]]="","",D70)</f>
        <v>33375</v>
      </c>
      <c r="R76">
        <f>IF(DATA_FEBRERO_2025[[#This Row],[RECUPERO]]="","",VLOOKUP(DATA_FEBRERO_2025[[#This Row],[SUPERVISOR]],$H:$I,2,0))</f>
        <v>21000</v>
      </c>
    </row>
    <row r="77" spans="1:18" x14ac:dyDescent="0.25">
      <c r="A77" t="s">
        <v>6</v>
      </c>
      <c r="B77" t="str">
        <f t="shared" si="3"/>
        <v/>
      </c>
      <c r="E77">
        <f>D1_FEBRERO[[#This Row],[RECUPERO]]/VLOOKUP(F77,$H:$I,2,0)</f>
        <v>0</v>
      </c>
      <c r="F77" t="str">
        <f>D1_FEBRERO[[#This Row],[SUPER]]</f>
        <v>KENNETH</v>
      </c>
      <c r="L77">
        <v>9</v>
      </c>
      <c r="M77" s="1">
        <f t="shared" si="4"/>
        <v>0.38571428571428573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MICAELA PEREZ</v>
      </c>
      <c r="P77" t="str">
        <f>IF(DATA_FEBRERO_2025[[#This Row],[ASER_]]="","",F71)</f>
        <v>KENNETH</v>
      </c>
      <c r="Q77">
        <f>IF(DATA_FEBRERO_2025[[#This Row],[SUPERVISOR]]="","",D71)</f>
        <v>8100</v>
      </c>
      <c r="R77">
        <f>IF(DATA_FEBRERO_2025[[#This Row],[RECUPERO]]="","",VLOOKUP(DATA_FEBRERO_2025[[#This Row],[SUPERVISOR]],$H:$I,2,0))</f>
        <v>21000</v>
      </c>
    </row>
    <row r="78" spans="1:18" x14ac:dyDescent="0.25">
      <c r="A78" t="s">
        <v>122</v>
      </c>
      <c r="B78" t="str">
        <f t="shared" si="3"/>
        <v>ALEIDITH GUEVARA</v>
      </c>
      <c r="C78" t="s">
        <v>18</v>
      </c>
      <c r="D78">
        <v>18622</v>
      </c>
      <c r="E78">
        <f>D1_FEBRERO[[#This Row],[RECUPERO]]/VLOOKUP(F78,$H:$I,2,0)</f>
        <v>1.1286060606060606</v>
      </c>
      <c r="F78" t="str">
        <f>D1_FEBRERO[[#This Row],[SUPER]]</f>
        <v>MELITA</v>
      </c>
      <c r="L78">
        <v>10</v>
      </c>
      <c r="M78" s="1">
        <f t="shared" si="4"/>
        <v>0.97723809523809524</v>
      </c>
      <c r="N78" t="str" cm="1">
        <f t="array" ref="N78">IFERROR(_xlfn.IFS(M78&gt;100%,"&gt;100%",AND(M78&lt;100%,M78&gt;70%),"&gt;70%",AND(M78&lt;70%,M78&gt;40%),"&gt;40%",AND(M78&lt;40%,M78&gt;0%),"&gt;0%"),"")</f>
        <v>&gt;70%</v>
      </c>
      <c r="O78" t="str">
        <f t="shared" si="5"/>
        <v>STWUAR MACURI</v>
      </c>
      <c r="P78" t="str">
        <f>IF(DATA_FEBRERO_2025[[#This Row],[ASER_]]="","",F72)</f>
        <v>KENNETH</v>
      </c>
      <c r="Q78">
        <f>IF(DATA_FEBRERO_2025[[#This Row],[SUPERVISOR]]="","",D72)</f>
        <v>20522</v>
      </c>
      <c r="R78">
        <f>IF(DATA_FEBRERO_2025[[#This Row],[RECUPERO]]="","",VLOOKUP(DATA_FEBRERO_2025[[#This Row],[SUPERVISOR]],$H:$I,2,0))</f>
        <v>21000</v>
      </c>
    </row>
    <row r="79" spans="1:18" x14ac:dyDescent="0.25">
      <c r="A79" t="s">
        <v>122</v>
      </c>
      <c r="B79" t="str">
        <f t="shared" si="3"/>
        <v>BRINA SOTO</v>
      </c>
      <c r="C79" t="s">
        <v>14</v>
      </c>
      <c r="D79">
        <v>18988</v>
      </c>
      <c r="E79">
        <f>D1_FEBRERO[[#This Row],[RECUPERO]]/VLOOKUP(F79,$H:$I,2,0)</f>
        <v>1.1507878787878787</v>
      </c>
      <c r="F79" t="str">
        <f>D1_FEBRERO[[#This Row],[SUPER]]</f>
        <v>MELITA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  <c r="P79" t="str">
        <f>IF(DATA_FEBRERO_2025[[#This Row],[ASER_]]="","",F73)</f>
        <v/>
      </c>
      <c r="Q79" t="str">
        <f>IF(DATA_FEBRERO_2025[[#This Row],[SUPERVISOR]]="","",D73)</f>
        <v/>
      </c>
      <c r="R79" t="str">
        <f>IF(DATA_FEBRERO_2025[[#This Row],[RECUPERO]]="","",VLOOKUP(DATA_FEBRERO_2025[[#This Row],[SUPERVISOR]],$H:$I,2,0))</f>
        <v/>
      </c>
    </row>
    <row r="80" spans="1:18" x14ac:dyDescent="0.25">
      <c r="A80" t="s">
        <v>122</v>
      </c>
      <c r="B80" t="str">
        <f t="shared" si="3"/>
        <v>CARLOS CALAGUA</v>
      </c>
      <c r="C80" t="s">
        <v>108</v>
      </c>
      <c r="D80">
        <v>2759</v>
      </c>
      <c r="E80">
        <f>D1_FEBRERO[[#This Row],[RECUPERO]]/VLOOKUP(F80,$H:$I,2,0)</f>
        <v>0.1672121212121212</v>
      </c>
      <c r="F80" t="str">
        <f>D1_FEBRERO[[#This Row],[SUPER]]</f>
        <v>MELITA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  <c r="P80" t="str">
        <f>IF(DATA_FEBRERO_2025[[#This Row],[ASER_]]="","",F74)</f>
        <v/>
      </c>
      <c r="Q80" t="str">
        <f>IF(DATA_FEBRERO_2025[[#This Row],[SUPERVISOR]]="","",D74)</f>
        <v/>
      </c>
      <c r="R80" t="str">
        <f>IF(DATA_FEBRERO_2025[[#This Row],[RECUPERO]]="","",VLOOKUP(DATA_FEBRERO_2025[[#This Row],[SUPERVISOR]],$H:$I,2,0))</f>
        <v/>
      </c>
    </row>
    <row r="81" spans="1:18" x14ac:dyDescent="0.25">
      <c r="A81" t="s">
        <v>122</v>
      </c>
      <c r="B81" t="str">
        <f t="shared" si="3"/>
        <v>DANIEL ZAPATA</v>
      </c>
      <c r="C81" t="s">
        <v>80</v>
      </c>
      <c r="D81">
        <v>20275</v>
      </c>
      <c r="E81">
        <f>D1_FEBRERO[[#This Row],[RECUPERO]]/VLOOKUP(F81,$H:$I,2,0)</f>
        <v>1.2287878787878788</v>
      </c>
      <c r="F81" t="str">
        <f>D1_FEBRERO[[#This Row],[SUPER]]</f>
        <v>MELITA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IF(DATA_FEBRERO_2025[[#This Row],[ASER_]]="","",F75)</f>
        <v/>
      </c>
      <c r="Q81" t="str">
        <f>IF(DATA_FEBRERO_2025[[#This Row],[SUPERVISOR]]="","",D75)</f>
        <v/>
      </c>
      <c r="R81" t="str">
        <f>IF(DATA_FEBRERO_2025[[#This Row],[RECUPERO]]="","",VLOOKUP(DATA_FEBRERO_2025[[#This Row],[SUPERVISOR]],$H:$I,2,0))</f>
        <v/>
      </c>
    </row>
    <row r="82" spans="1:18" x14ac:dyDescent="0.25">
      <c r="A82" t="s">
        <v>122</v>
      </c>
      <c r="B82" t="str">
        <f t="shared" si="3"/>
        <v>FRANCO HUAMANI</v>
      </c>
      <c r="C82" t="s">
        <v>24</v>
      </c>
      <c r="D82">
        <v>7944</v>
      </c>
      <c r="E82">
        <f>D1_FEBRERO[[#This Row],[RECUPERO]]/VLOOKUP(F82,$H:$I,2,0)</f>
        <v>0.48145454545454547</v>
      </c>
      <c r="F82" t="str">
        <f>D1_FEBRERO[[#This Row],[SUPER]]</f>
        <v>MELITA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IF(DATA_FEBRERO_2025[[#This Row],[ASER_]]="","",F76)</f>
        <v/>
      </c>
      <c r="Q82" t="str">
        <f>IF(DATA_FEBRERO_2025[[#This Row],[SUPERVISOR]]="","",D76)</f>
        <v/>
      </c>
      <c r="R82" t="str">
        <f>IF(DATA_FEBRERO_2025[[#This Row],[RECUPERO]]="","",VLOOKUP(DATA_FEBRERO_2025[[#This Row],[SUPERVISOR]],$H:$I,2,0))</f>
        <v/>
      </c>
    </row>
    <row r="83" spans="1:18" x14ac:dyDescent="0.25">
      <c r="A83" t="s">
        <v>122</v>
      </c>
      <c r="B83" t="str">
        <f t="shared" si="3"/>
        <v>ISABEL BEJARANO</v>
      </c>
      <c r="C83" t="s">
        <v>83</v>
      </c>
      <c r="D83">
        <v>6892</v>
      </c>
      <c r="E83">
        <f>D1_FEBRERO[[#This Row],[RECUPERO]]/VLOOKUP(F83,$H:$I,2,0)</f>
        <v>0.41769696969696968</v>
      </c>
      <c r="F83" t="str">
        <f>D1_FEBRERO[[#This Row],[SUPER]]</f>
        <v>MELITA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IF(DATA_FEBRERO_2025[[#This Row],[ASER_]]="","",F77)</f>
        <v/>
      </c>
      <c r="Q83" t="str">
        <f>IF(DATA_FEBRERO_2025[[#This Row],[SUPERVISOR]]="","",D77)</f>
        <v/>
      </c>
      <c r="R83" t="str">
        <f>IF(DATA_FEBRERO_2025[[#This Row],[RECUPERO]]="","",VLOOKUP(DATA_FEBRERO_2025[[#This Row],[SUPERVISOR]],$H:$I,2,0))</f>
        <v/>
      </c>
    </row>
    <row r="84" spans="1:18" x14ac:dyDescent="0.25">
      <c r="A84" t="s">
        <v>122</v>
      </c>
      <c r="B84" t="str">
        <f t="shared" si="3"/>
        <v>JANETH PORTOCARRERO</v>
      </c>
      <c r="C84" t="s">
        <v>49</v>
      </c>
      <c r="D84">
        <v>12430</v>
      </c>
      <c r="E84">
        <f>D1_FEBRERO[[#This Row],[RECUPERO]]/VLOOKUP(F84,$H:$I,2,0)</f>
        <v>0.7533333333333333</v>
      </c>
      <c r="F84" t="str">
        <f>D1_FEBRERO[[#This Row],[SUPER]]</f>
        <v>MELITA</v>
      </c>
      <c r="L84">
        <v>1</v>
      </c>
      <c r="M84" s="1">
        <f t="shared" si="4"/>
        <v>1.1286060606060606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ALEIDITH GUEVARA</v>
      </c>
      <c r="P84" t="str">
        <f>IF(DATA_FEBRERO_2025[[#This Row],[ASER_]]="","",F78)</f>
        <v>MELITA</v>
      </c>
      <c r="Q84">
        <f>IF(DATA_FEBRERO_2025[[#This Row],[SUPERVISOR]]="","",D78)</f>
        <v>18622</v>
      </c>
      <c r="R84">
        <f>IF(DATA_FEBRERO_2025[[#This Row],[RECUPERO]]="","",VLOOKUP(DATA_FEBRERO_2025[[#This Row],[SUPERVISOR]],$H:$I,2,0))</f>
        <v>16500</v>
      </c>
    </row>
    <row r="85" spans="1:18" x14ac:dyDescent="0.25">
      <c r="A85" t="s">
        <v>122</v>
      </c>
      <c r="B85" t="str">
        <f t="shared" si="3"/>
        <v>JESSICA MELGAREJO</v>
      </c>
      <c r="C85" t="s">
        <v>99</v>
      </c>
      <c r="D85">
        <v>4860.83</v>
      </c>
      <c r="E85">
        <f>D1_FEBRERO[[#This Row],[RECUPERO]]/VLOOKUP(F85,$H:$I,2,0)</f>
        <v>0.29459575757575757</v>
      </c>
      <c r="F85" t="str">
        <f>D1_FEBRERO[[#This Row],[SUPER]]</f>
        <v>MELITA</v>
      </c>
      <c r="L85">
        <v>2</v>
      </c>
      <c r="M85" s="1">
        <f t="shared" si="4"/>
        <v>1.1507878787878787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BRINA SOTO</v>
      </c>
      <c r="P85" t="str">
        <f>IF(DATA_FEBRERO_2025[[#This Row],[ASER_]]="","",F79)</f>
        <v>MELITA</v>
      </c>
      <c r="Q85">
        <f>IF(DATA_FEBRERO_2025[[#This Row],[SUPERVISOR]]="","",D79)</f>
        <v>18988</v>
      </c>
      <c r="R85">
        <f>IF(DATA_FEBRERO_2025[[#This Row],[RECUPERO]]="","",VLOOKUP(DATA_FEBRERO_2025[[#This Row],[SUPERVISOR]],$H:$I,2,0))</f>
        <v>16500</v>
      </c>
    </row>
    <row r="86" spans="1:18" x14ac:dyDescent="0.25">
      <c r="A86" t="s">
        <v>122</v>
      </c>
      <c r="B86" t="str">
        <f t="shared" si="3"/>
        <v>LINDA TUESTA</v>
      </c>
      <c r="C86" t="s">
        <v>33</v>
      </c>
      <c r="D86">
        <v>7421.8</v>
      </c>
      <c r="E86">
        <f>D1_FEBRERO[[#This Row],[RECUPERO]]/VLOOKUP(F86,$H:$I,2,0)</f>
        <v>0.4498060606060606</v>
      </c>
      <c r="F86" t="str">
        <f>D1_FEBRERO[[#This Row],[SUPER]]</f>
        <v>MELITA</v>
      </c>
      <c r="L86">
        <v>3</v>
      </c>
      <c r="M86" s="1">
        <f t="shared" si="4"/>
        <v>0.1672121212121212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5"/>
        <v>CARLOS CALAGUA</v>
      </c>
      <c r="P86" t="str">
        <f>IF(DATA_FEBRERO_2025[[#This Row],[ASER_]]="","",F80)</f>
        <v>MELITA</v>
      </c>
      <c r="Q86">
        <f>IF(DATA_FEBRERO_2025[[#This Row],[SUPERVISOR]]="","",D80)</f>
        <v>2759</v>
      </c>
      <c r="R86">
        <f>IF(DATA_FEBRERO_2025[[#This Row],[RECUPERO]]="","",VLOOKUP(DATA_FEBRERO_2025[[#This Row],[SUPERVISOR]],$H:$I,2,0))</f>
        <v>16500</v>
      </c>
    </row>
    <row r="87" spans="1:18" x14ac:dyDescent="0.25">
      <c r="A87" t="s">
        <v>122</v>
      </c>
      <c r="B87" t="str">
        <f t="shared" si="3"/>
        <v>LUCERO JORDAN</v>
      </c>
      <c r="C87" t="s">
        <v>68</v>
      </c>
      <c r="D87">
        <v>10970.5</v>
      </c>
      <c r="E87">
        <f>D1_FEBRERO[[#This Row],[RECUPERO]]/VLOOKUP(F87,$H:$I,2,0)</f>
        <v>0.66487878787878785</v>
      </c>
      <c r="F87" t="str">
        <f>D1_FEBRERO[[#This Row],[SUPER]]</f>
        <v>MELITA</v>
      </c>
      <c r="L87">
        <v>4</v>
      </c>
      <c r="M87" s="1">
        <f t="shared" si="4"/>
        <v>1.2287878787878788</v>
      </c>
      <c r="N87" t="str" cm="1">
        <f t="array" ref="N87">IFERROR(_xlfn.IFS(M87&gt;100%,"&gt;100%",AND(M87&lt;100%,M87&gt;70%),"&gt;70%",AND(M87&lt;70%,M87&gt;40%),"&gt;40%",AND(M87&lt;40%,M87&gt;0%),"&gt;0%"),"")</f>
        <v>&gt;100%</v>
      </c>
      <c r="O87" t="str">
        <f t="shared" si="5"/>
        <v>DANIEL ZAPATA</v>
      </c>
      <c r="P87" t="str">
        <f>IF(DATA_FEBRERO_2025[[#This Row],[ASER_]]="","",F81)</f>
        <v>MELITA</v>
      </c>
      <c r="Q87">
        <f>IF(DATA_FEBRERO_2025[[#This Row],[SUPERVISOR]]="","",D81)</f>
        <v>20275</v>
      </c>
      <c r="R87">
        <f>IF(DATA_FEBRERO_2025[[#This Row],[RECUPERO]]="","",VLOOKUP(DATA_FEBRERO_2025[[#This Row],[SUPERVISOR]],$H:$I,2,0))</f>
        <v>16500</v>
      </c>
    </row>
    <row r="88" spans="1:18" x14ac:dyDescent="0.25">
      <c r="A88" t="s">
        <v>122</v>
      </c>
      <c r="B88" t="str">
        <f t="shared" si="3"/>
        <v/>
      </c>
      <c r="E88">
        <f>D1_FEBRERO[[#This Row],[RECUPERO]]/VLOOKUP(F88,$H:$I,2,0)</f>
        <v>0</v>
      </c>
      <c r="F88" t="str">
        <f>D1_FEBRERO[[#This Row],[SUPER]]</f>
        <v>MELITA</v>
      </c>
      <c r="L88">
        <v>5</v>
      </c>
      <c r="M88" s="1">
        <f t="shared" si="4"/>
        <v>0.48145454545454547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FRANCO HUAMANI</v>
      </c>
      <c r="P88" t="str">
        <f>IF(DATA_FEBRERO_2025[[#This Row],[ASER_]]="","",F82)</f>
        <v>MELITA</v>
      </c>
      <c r="Q88">
        <f>IF(DATA_FEBRERO_2025[[#This Row],[SUPERVISOR]]="","",D82)</f>
        <v>7944</v>
      </c>
      <c r="R88">
        <f>IF(DATA_FEBRERO_2025[[#This Row],[RECUPERO]]="","",VLOOKUP(DATA_FEBRERO_2025[[#This Row],[SUPERVISOR]],$H:$I,2,0))</f>
        <v>16500</v>
      </c>
    </row>
    <row r="89" spans="1:18" x14ac:dyDescent="0.25">
      <c r="A89" t="s">
        <v>122</v>
      </c>
      <c r="B89" t="str">
        <f t="shared" si="3"/>
        <v/>
      </c>
      <c r="E89">
        <f>D1_FEBRERO[[#This Row],[RECUPERO]]/VLOOKUP(F89,$H:$I,2,0)</f>
        <v>0</v>
      </c>
      <c r="F89" t="str">
        <f>D1_FEBRERO[[#This Row],[SUPER]]</f>
        <v>MELITA</v>
      </c>
      <c r="L89">
        <v>6</v>
      </c>
      <c r="M89" s="1">
        <f t="shared" si="4"/>
        <v>0.41769696969696968</v>
      </c>
      <c r="N89" t="str" cm="1">
        <f t="array" ref="N89">IFERROR(_xlfn.IFS(M89&gt;100%,"&gt;100%",AND(M89&lt;100%,M89&gt;70%),"&gt;70%",AND(M89&lt;70%,M89&gt;40%),"&gt;40%",AND(M89&lt;40%,M89&gt;0%),"&gt;0%"),"")</f>
        <v>&gt;40%</v>
      </c>
      <c r="O89" t="str">
        <f t="shared" si="5"/>
        <v>ISABEL BEJARANO</v>
      </c>
      <c r="P89" t="str">
        <f>IF(DATA_FEBRERO_2025[[#This Row],[ASER_]]="","",F83)</f>
        <v>MELITA</v>
      </c>
      <c r="Q89">
        <f>IF(DATA_FEBRERO_2025[[#This Row],[SUPERVISOR]]="","",D83)</f>
        <v>6892</v>
      </c>
      <c r="R89">
        <f>IF(DATA_FEBRERO_2025[[#This Row],[RECUPERO]]="","",VLOOKUP(DATA_FEBRERO_2025[[#This Row],[SUPERVISOR]],$H:$I,2,0))</f>
        <v>16500</v>
      </c>
    </row>
    <row r="90" spans="1:18" x14ac:dyDescent="0.25">
      <c r="A90" t="s">
        <v>122</v>
      </c>
      <c r="B90" t="str">
        <f t="shared" si="3"/>
        <v/>
      </c>
      <c r="E90">
        <f>D1_FEBRERO[[#This Row],[RECUPERO]]/VLOOKUP(F90,$H:$I,2,0)</f>
        <v>0</v>
      </c>
      <c r="F90" t="str">
        <f>D1_FEBRERO[[#This Row],[SUPER]]</f>
        <v>MELITA</v>
      </c>
      <c r="L90">
        <v>7</v>
      </c>
      <c r="M90" s="1">
        <f t="shared" si="4"/>
        <v>0.7533333333333333</v>
      </c>
      <c r="N90" t="str" cm="1">
        <f t="array" ref="N90">IFERROR(_xlfn.IFS(M90&gt;100%,"&gt;100%",AND(M90&lt;100%,M90&gt;70%),"&gt;70%",AND(M90&lt;70%,M90&gt;40%),"&gt;40%",AND(M90&lt;40%,M90&gt;0%),"&gt;0%"),"")</f>
        <v>&gt;70%</v>
      </c>
      <c r="O90" t="str">
        <f t="shared" si="5"/>
        <v>JANETH PORTOCARRERO</v>
      </c>
      <c r="P90" t="str">
        <f>IF(DATA_FEBRERO_2025[[#This Row],[ASER_]]="","",F84)</f>
        <v>MELITA</v>
      </c>
      <c r="Q90">
        <f>IF(DATA_FEBRERO_2025[[#This Row],[SUPERVISOR]]="","",D84)</f>
        <v>12430</v>
      </c>
      <c r="R90">
        <f>IF(DATA_FEBRERO_2025[[#This Row],[RECUPERO]]="","",VLOOKUP(DATA_FEBRERO_2025[[#This Row],[SUPERVISOR]],$H:$I,2,0))</f>
        <v>16500</v>
      </c>
    </row>
    <row r="91" spans="1:18" x14ac:dyDescent="0.25">
      <c r="A91" t="s">
        <v>122</v>
      </c>
      <c r="B91" t="str">
        <f t="shared" si="3"/>
        <v/>
      </c>
      <c r="E91">
        <f>D1_FEBRERO[[#This Row],[RECUPERO]]/VLOOKUP(F91,$H:$I,2,0)</f>
        <v>0</v>
      </c>
      <c r="F91" t="str">
        <f>D1_FEBRERO[[#This Row],[SUPER]]</f>
        <v>MELITA</v>
      </c>
      <c r="L91">
        <v>8</v>
      </c>
      <c r="M91" s="1">
        <f t="shared" si="4"/>
        <v>0.29459575757575757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JESSICA MELGAREJO</v>
      </c>
      <c r="P91" t="str">
        <f>IF(DATA_FEBRERO_2025[[#This Row],[ASER_]]="","",F85)</f>
        <v>MELITA</v>
      </c>
      <c r="Q91">
        <f>IF(DATA_FEBRERO_2025[[#This Row],[SUPERVISOR]]="","",D85)</f>
        <v>4860.83</v>
      </c>
      <c r="R91">
        <f>IF(DATA_FEBRERO_2025[[#This Row],[RECUPERO]]="","",VLOOKUP(DATA_FEBRERO_2025[[#This Row],[SUPERVISOR]],$H:$I,2,0))</f>
        <v>16500</v>
      </c>
    </row>
    <row r="92" spans="1:18" x14ac:dyDescent="0.25">
      <c r="A92" t="s">
        <v>122</v>
      </c>
      <c r="B92" t="str">
        <f t="shared" si="3"/>
        <v/>
      </c>
      <c r="E92">
        <f>D1_FEBRERO[[#This Row],[RECUPERO]]/VLOOKUP(F92,$H:$I,2,0)</f>
        <v>0</v>
      </c>
      <c r="F92" t="str">
        <f>D1_FEBRERO[[#This Row],[SUPER]]</f>
        <v>MELITA</v>
      </c>
      <c r="L92">
        <v>9</v>
      </c>
      <c r="M92" s="1">
        <f t="shared" si="4"/>
        <v>0.4498060606060606</v>
      </c>
      <c r="N92" t="str" cm="1">
        <f t="array" ref="N92">IFERROR(_xlfn.IFS(M92&gt;100%,"&gt;100%",AND(M92&lt;100%,M92&gt;70%),"&gt;70%",AND(M92&lt;70%,M92&gt;40%),"&gt;40%",AND(M92&lt;40%,M92&gt;0%),"&gt;0%"),"")</f>
        <v>&gt;40%</v>
      </c>
      <c r="O92" t="str">
        <f t="shared" si="5"/>
        <v>LINDA TUESTA</v>
      </c>
      <c r="P92" t="str">
        <f>IF(DATA_FEBRERO_2025[[#This Row],[ASER_]]="","",F86)</f>
        <v>MELITA</v>
      </c>
      <c r="Q92">
        <f>IF(DATA_FEBRERO_2025[[#This Row],[SUPERVISOR]]="","",D86)</f>
        <v>7421.8</v>
      </c>
      <c r="R92">
        <f>IF(DATA_FEBRERO_2025[[#This Row],[RECUPERO]]="","",VLOOKUP(DATA_FEBRERO_2025[[#This Row],[SUPERVISOR]],$H:$I,2,0))</f>
        <v>16500</v>
      </c>
    </row>
    <row r="93" spans="1:18" x14ac:dyDescent="0.25">
      <c r="A93" t="s">
        <v>9</v>
      </c>
      <c r="B93" t="str">
        <f t="shared" si="3"/>
        <v>ALEJANDRA AVILA</v>
      </c>
      <c r="C93" t="s">
        <v>21</v>
      </c>
      <c r="D93">
        <v>14410</v>
      </c>
      <c r="E93">
        <f>D1_FEBRERO[[#This Row],[RECUPERO]]/VLOOKUP(F93,$H:$I,2,0)</f>
        <v>0.68619047619047624</v>
      </c>
      <c r="F93" t="str">
        <f>D1_FEBRERO[[#This Row],[SUPER]]</f>
        <v>LUIS</v>
      </c>
      <c r="L93">
        <v>10</v>
      </c>
      <c r="M93" s="1">
        <f t="shared" si="4"/>
        <v>0.66487878787878785</v>
      </c>
      <c r="N93" t="str" cm="1">
        <f t="array" ref="N93">IFERROR(_xlfn.IFS(M93&gt;100%,"&gt;100%",AND(M93&lt;100%,M93&gt;70%),"&gt;70%",AND(M93&lt;70%,M93&gt;40%),"&gt;40%",AND(M93&lt;40%,M93&gt;0%),"&gt;0%"),"")</f>
        <v>&gt;40%</v>
      </c>
      <c r="O93" t="str">
        <f t="shared" si="5"/>
        <v>LUCERO JORDAN</v>
      </c>
      <c r="P93" t="str">
        <f>IF(DATA_FEBRERO_2025[[#This Row],[ASER_]]="","",F87)</f>
        <v>MELITA</v>
      </c>
      <c r="Q93">
        <f>IF(DATA_FEBRERO_2025[[#This Row],[SUPERVISOR]]="","",D87)</f>
        <v>10970.5</v>
      </c>
      <c r="R93">
        <f>IF(DATA_FEBRERO_2025[[#This Row],[RECUPERO]]="","",VLOOKUP(DATA_FEBRERO_2025[[#This Row],[SUPERVISOR]],$H:$I,2,0))</f>
        <v>16500</v>
      </c>
    </row>
    <row r="94" spans="1:18" x14ac:dyDescent="0.25">
      <c r="A94" t="s">
        <v>9</v>
      </c>
      <c r="B94" t="str">
        <f t="shared" si="3"/>
        <v>ANDERSON RODRIGUEZ</v>
      </c>
      <c r="C94" t="s">
        <v>15</v>
      </c>
      <c r="D94">
        <v>17218</v>
      </c>
      <c r="E94">
        <f>D1_FEBRERO[[#This Row],[RECUPERO]]/VLOOKUP(F94,$H:$I,2,0)</f>
        <v>0.81990476190476191</v>
      </c>
      <c r="F94" t="str">
        <f>D1_FEBRERO[[#This Row],[SUPER]]</f>
        <v>LUIS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IF(DATA_FEBRERO_2025[[#This Row],[ASER_]]="","",F88)</f>
        <v/>
      </c>
      <c r="Q94" t="str">
        <f>IF(DATA_FEBRERO_2025[[#This Row],[SUPERVISOR]]="","",D88)</f>
        <v/>
      </c>
      <c r="R94" t="str">
        <f>IF(DATA_FEBRERO_2025[[#This Row],[RECUPERO]]="","",VLOOKUP(DATA_FEBRERO_2025[[#This Row],[SUPERVISOR]],$H:$I,2,0))</f>
        <v/>
      </c>
    </row>
    <row r="95" spans="1:18" x14ac:dyDescent="0.25">
      <c r="A95" t="s">
        <v>9</v>
      </c>
      <c r="B95" t="str">
        <f t="shared" si="3"/>
        <v>CRISTINA TICONA</v>
      </c>
      <c r="C95" t="s">
        <v>61</v>
      </c>
      <c r="D95">
        <v>7998</v>
      </c>
      <c r="E95">
        <f>D1_FEBRERO[[#This Row],[RECUPERO]]/VLOOKUP(F95,$H:$I,2,0)</f>
        <v>0.38085714285714284</v>
      </c>
      <c r="F95" t="str">
        <f>D1_FEBRERO[[#This Row],[SUPER]]</f>
        <v>LUIS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IF(DATA_FEBRERO_2025[[#This Row],[ASER_]]="","",F89)</f>
        <v/>
      </c>
      <c r="Q95" t="str">
        <f>IF(DATA_FEBRERO_2025[[#This Row],[SUPERVISOR]]="","",D89)</f>
        <v/>
      </c>
      <c r="R95" t="str">
        <f>IF(DATA_FEBRERO_2025[[#This Row],[RECUPERO]]="","",VLOOKUP(DATA_FEBRERO_2025[[#This Row],[SUPERVISOR]],$H:$I,2,0))</f>
        <v/>
      </c>
    </row>
    <row r="96" spans="1:18" x14ac:dyDescent="0.25">
      <c r="A96" t="s">
        <v>9</v>
      </c>
      <c r="B96" t="str">
        <f t="shared" si="3"/>
        <v>GABRIELA APONTE</v>
      </c>
      <c r="C96" t="s">
        <v>27</v>
      </c>
      <c r="D96">
        <v>10121.5</v>
      </c>
      <c r="E96">
        <f>D1_FEBRERO[[#This Row],[RECUPERO]]/VLOOKUP(F96,$H:$I,2,0)</f>
        <v>0.4819761904761905</v>
      </c>
      <c r="F96" t="str">
        <f>D1_FEBRERO[[#This Row],[SUPER]]</f>
        <v>LUIS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IF(DATA_FEBRERO_2025[[#This Row],[ASER_]]="","",F90)</f>
        <v/>
      </c>
      <c r="Q96" t="str">
        <f>IF(DATA_FEBRERO_2025[[#This Row],[SUPERVISOR]]="","",D90)</f>
        <v/>
      </c>
      <c r="R96" t="str">
        <f>IF(DATA_FEBRERO_2025[[#This Row],[RECUPERO]]="","",VLOOKUP(DATA_FEBRERO_2025[[#This Row],[SUPERVISOR]],$H:$I,2,0))</f>
        <v/>
      </c>
    </row>
    <row r="97" spans="1:18" x14ac:dyDescent="0.25">
      <c r="A97" t="s">
        <v>9</v>
      </c>
      <c r="B97" t="str">
        <f t="shared" si="3"/>
        <v>GERALDINE ARROYO</v>
      </c>
      <c r="C97" t="s">
        <v>51</v>
      </c>
      <c r="D97">
        <v>6400</v>
      </c>
      <c r="E97">
        <f>D1_FEBRERO[[#This Row],[RECUPERO]]/VLOOKUP(F97,$H:$I,2,0)</f>
        <v>0.30476190476190479</v>
      </c>
      <c r="F97" t="str">
        <f>D1_FEBRERO[[#This Row],[SUPER]]</f>
        <v>LUIS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IF(DATA_FEBRERO_2025[[#This Row],[ASER_]]="","",F91)</f>
        <v/>
      </c>
      <c r="Q97" t="str">
        <f>IF(DATA_FEBRERO_2025[[#This Row],[SUPERVISOR]]="","",D91)</f>
        <v/>
      </c>
      <c r="R97" t="str">
        <f>IF(DATA_FEBRERO_2025[[#This Row],[RECUPERO]]="","",VLOOKUP(DATA_FEBRERO_2025[[#This Row],[SUPERVISOR]],$H:$I,2,0))</f>
        <v/>
      </c>
    </row>
    <row r="98" spans="1:18" x14ac:dyDescent="0.25">
      <c r="A98" t="s">
        <v>9</v>
      </c>
      <c r="B98" t="str">
        <f t="shared" si="3"/>
        <v>GIULIANA QUISPE</v>
      </c>
      <c r="C98" t="s">
        <v>71</v>
      </c>
      <c r="D98">
        <v>8830</v>
      </c>
      <c r="E98">
        <f>D1_FEBRERO[[#This Row],[RECUPERO]]/VLOOKUP(F98,$H:$I,2,0)</f>
        <v>0.4204761904761905</v>
      </c>
      <c r="F98" t="str">
        <f>D1_FEBRERO[[#This Row],[SUPER]]</f>
        <v>LUIS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IF(DATA_FEBRERO_2025[[#This Row],[ASER_]]="","",F92)</f>
        <v/>
      </c>
      <c r="Q98" t="str">
        <f>IF(DATA_FEBRERO_2025[[#This Row],[SUPERVISOR]]="","",D92)</f>
        <v/>
      </c>
      <c r="R98" t="str">
        <f>IF(DATA_FEBRERO_2025[[#This Row],[RECUPERO]]="","",VLOOKUP(DATA_FEBRERO_2025[[#This Row],[SUPERVISOR]],$H:$I,2,0))</f>
        <v/>
      </c>
    </row>
    <row r="99" spans="1:18" x14ac:dyDescent="0.25">
      <c r="A99" t="s">
        <v>9</v>
      </c>
      <c r="B99" t="str">
        <f t="shared" si="3"/>
        <v>HAROLD FLORES</v>
      </c>
      <c r="C99" t="s">
        <v>42</v>
      </c>
      <c r="D99">
        <v>6476.55</v>
      </c>
      <c r="E99">
        <f>D1_FEBRERO[[#This Row],[RECUPERO]]/VLOOKUP(F99,$H:$I,2,0)</f>
        <v>0.30840714285714288</v>
      </c>
      <c r="F99" t="str">
        <f>D1_FEBRERO[[#This Row],[SUPER]]</f>
        <v>LUIS</v>
      </c>
      <c r="L99">
        <v>1</v>
      </c>
      <c r="M99" s="1">
        <f t="shared" si="4"/>
        <v>0.68619047619047624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5"/>
        <v>ALEJANDRA AVILA</v>
      </c>
      <c r="P99" t="str">
        <f>IF(DATA_FEBRERO_2025[[#This Row],[ASER_]]="","",F93)</f>
        <v>LUIS</v>
      </c>
      <c r="Q99">
        <f>IF(DATA_FEBRERO_2025[[#This Row],[SUPERVISOR]]="","",D93)</f>
        <v>14410</v>
      </c>
      <c r="R99">
        <f>IF(DATA_FEBRERO_2025[[#This Row],[RECUPERO]]="","",VLOOKUP(DATA_FEBRERO_2025[[#This Row],[SUPERVISOR]],$H:$I,2,0))</f>
        <v>21000</v>
      </c>
    </row>
    <row r="100" spans="1:18" x14ac:dyDescent="0.25">
      <c r="A100" t="s">
        <v>9</v>
      </c>
      <c r="B100" t="str">
        <f t="shared" si="3"/>
        <v>MARCELIT LOPEZ</v>
      </c>
      <c r="C100" t="s">
        <v>128</v>
      </c>
      <c r="D100">
        <v>15658</v>
      </c>
      <c r="E100">
        <f>D1_FEBRERO[[#This Row],[RECUPERO]]/VLOOKUP(F100,$H:$I,2,0)</f>
        <v>0.74561904761904763</v>
      </c>
      <c r="F100" t="str">
        <f>D1_FEBRERO[[#This Row],[SUPER]]</f>
        <v>LUIS</v>
      </c>
      <c r="L100">
        <v>2</v>
      </c>
      <c r="M100" s="1">
        <f t="shared" si="4"/>
        <v>0.81990476190476191</v>
      </c>
      <c r="N100" t="str" cm="1">
        <f t="array" ref="N100">IFERROR(_xlfn.IFS(M100&gt;100%,"&gt;100%",AND(M100&lt;100%,M100&gt;70%),"&gt;70%",AND(M100&lt;70%,M100&gt;40%),"&gt;40%",AND(M100&lt;40%,M100&gt;0%),"&gt;0%"),"")</f>
        <v>&gt;70%</v>
      </c>
      <c r="O100" t="str">
        <f t="shared" si="5"/>
        <v>ANDERSON RODRIGUEZ</v>
      </c>
      <c r="P100" t="str">
        <f>IF(DATA_FEBRERO_2025[[#This Row],[ASER_]]="","",F94)</f>
        <v>LUIS</v>
      </c>
      <c r="Q100">
        <f>IF(DATA_FEBRERO_2025[[#This Row],[SUPERVISOR]]="","",D94)</f>
        <v>17218</v>
      </c>
      <c r="R100">
        <f>IF(DATA_FEBRERO_2025[[#This Row],[RECUPERO]]="","",VLOOKUP(DATA_FEBRERO_2025[[#This Row],[SUPERVISOR]],$H:$I,2,0))</f>
        <v>21000</v>
      </c>
    </row>
    <row r="101" spans="1:18" x14ac:dyDescent="0.25">
      <c r="A101" t="s">
        <v>9</v>
      </c>
      <c r="B101" t="str">
        <f t="shared" si="3"/>
        <v>ROCIO TERRONES</v>
      </c>
      <c r="C101" t="s">
        <v>107</v>
      </c>
      <c r="D101">
        <v>9814.1</v>
      </c>
      <c r="E101">
        <f>D1_FEBRERO[[#This Row],[RECUPERO]]/VLOOKUP(F101,$H:$I,2,0)</f>
        <v>0.46733809523809527</v>
      </c>
      <c r="F101" t="str">
        <f>D1_FEBRERO[[#This Row],[SUPER]]</f>
        <v>LUIS</v>
      </c>
      <c r="L101">
        <v>3</v>
      </c>
      <c r="M101" s="1">
        <f t="shared" si="4"/>
        <v>0.38085714285714284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5"/>
        <v>CRISTINA TICONA</v>
      </c>
      <c r="P101" t="str">
        <f>IF(DATA_FEBRERO_2025[[#This Row],[ASER_]]="","",F95)</f>
        <v>LUIS</v>
      </c>
      <c r="Q101">
        <f>IF(DATA_FEBRERO_2025[[#This Row],[SUPERVISOR]]="","",D95)</f>
        <v>7998</v>
      </c>
      <c r="R101">
        <f>IF(DATA_FEBRERO_2025[[#This Row],[RECUPERO]]="","",VLOOKUP(DATA_FEBRERO_2025[[#This Row],[SUPERVISOR]],$H:$I,2,0))</f>
        <v>21000</v>
      </c>
    </row>
    <row r="102" spans="1:18" x14ac:dyDescent="0.25">
      <c r="A102" t="s">
        <v>9</v>
      </c>
      <c r="B102" t="str">
        <f t="shared" si="3"/>
        <v>SARITA GARAY</v>
      </c>
      <c r="C102" t="s">
        <v>73</v>
      </c>
      <c r="D102">
        <v>8780</v>
      </c>
      <c r="E102">
        <f>D1_FEBRERO[[#This Row],[RECUPERO]]/VLOOKUP(F102,$H:$I,2,0)</f>
        <v>0.41809523809523808</v>
      </c>
      <c r="F102" t="str">
        <f>D1_FEBRERO[[#This Row],[SUPER]]</f>
        <v>LUIS</v>
      </c>
      <c r="L102">
        <v>4</v>
      </c>
      <c r="M102" s="1">
        <f t="shared" si="4"/>
        <v>0.4819761904761905</v>
      </c>
      <c r="N102" t="str" cm="1">
        <f t="array" ref="N102">IFERROR(_xlfn.IFS(M102&gt;100%,"&gt;100%",AND(M102&lt;100%,M102&gt;70%),"&gt;70%",AND(M102&lt;70%,M102&gt;40%),"&gt;40%",AND(M102&lt;40%,M102&gt;0%),"&gt;0%"),"")</f>
        <v>&gt;40%</v>
      </c>
      <c r="O102" t="str">
        <f t="shared" si="5"/>
        <v>GABRIELA APONTE</v>
      </c>
      <c r="P102" t="str">
        <f>IF(DATA_FEBRERO_2025[[#This Row],[ASER_]]="","",F96)</f>
        <v>LUIS</v>
      </c>
      <c r="Q102">
        <f>IF(DATA_FEBRERO_2025[[#This Row],[SUPERVISOR]]="","",D96)</f>
        <v>10121.5</v>
      </c>
      <c r="R102">
        <f>IF(DATA_FEBRERO_2025[[#This Row],[RECUPERO]]="","",VLOOKUP(DATA_FEBRERO_2025[[#This Row],[SUPERVISOR]],$H:$I,2,0))</f>
        <v>21000</v>
      </c>
    </row>
    <row r="103" spans="1:18" x14ac:dyDescent="0.25">
      <c r="A103" t="s">
        <v>9</v>
      </c>
      <c r="B103" t="str">
        <f t="shared" si="3"/>
        <v>VERONICA HUARCA</v>
      </c>
      <c r="C103" t="s">
        <v>48</v>
      </c>
      <c r="D103">
        <v>5820</v>
      </c>
      <c r="E103">
        <f>D1_FEBRERO[[#This Row],[RECUPERO]]/VLOOKUP(F103,$H:$I,2,0)</f>
        <v>0.27714285714285714</v>
      </c>
      <c r="F103" t="str">
        <f>D1_FEBRERO[[#This Row],[SUPER]]</f>
        <v>LUIS</v>
      </c>
      <c r="L103">
        <v>5</v>
      </c>
      <c r="M103" s="1">
        <f t="shared" si="4"/>
        <v>0.30476190476190479</v>
      </c>
      <c r="N103" t="str" cm="1">
        <f t="array" ref="N103">IFERROR(_xlfn.IFS(M103&gt;100%,"&gt;100%",AND(M103&lt;100%,M103&gt;70%),"&gt;70%",AND(M103&lt;70%,M103&gt;40%),"&gt;40%",AND(M103&lt;40%,M103&gt;0%),"&gt;0%"),"")</f>
        <v>&gt;0%</v>
      </c>
      <c r="O103" t="str">
        <f t="shared" si="5"/>
        <v>GERALDINE ARROYO</v>
      </c>
      <c r="P103" t="str">
        <f>IF(DATA_FEBRERO_2025[[#This Row],[ASER_]]="","",F97)</f>
        <v>LUIS</v>
      </c>
      <c r="Q103">
        <f>IF(DATA_FEBRERO_2025[[#This Row],[SUPERVISOR]]="","",D97)</f>
        <v>6400</v>
      </c>
      <c r="R103">
        <f>IF(DATA_FEBRERO_2025[[#This Row],[RECUPERO]]="","",VLOOKUP(DATA_FEBRERO_2025[[#This Row],[SUPERVISOR]],$H:$I,2,0))</f>
        <v>21000</v>
      </c>
    </row>
    <row r="104" spans="1:18" x14ac:dyDescent="0.25">
      <c r="A104" t="s">
        <v>9</v>
      </c>
      <c r="B104" t="str">
        <f t="shared" si="3"/>
        <v/>
      </c>
      <c r="E104">
        <f>D1_FEBRERO[[#This Row],[RECUPERO]]/VLOOKUP(F104,$H:$I,2,0)</f>
        <v>0</v>
      </c>
      <c r="F104" t="str">
        <f>D1_FEBRERO[[#This Row],[SUPER]]</f>
        <v>LUIS</v>
      </c>
      <c r="L104">
        <v>6</v>
      </c>
      <c r="M104" s="1">
        <f t="shared" si="4"/>
        <v>0.4204761904761905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5"/>
        <v>GIULIANA QUISPE</v>
      </c>
      <c r="P104" t="str">
        <f>IF(DATA_FEBRERO_2025[[#This Row],[ASER_]]="","",F98)</f>
        <v>LUIS</v>
      </c>
      <c r="Q104">
        <f>IF(DATA_FEBRERO_2025[[#This Row],[SUPERVISOR]]="","",D98)</f>
        <v>8830</v>
      </c>
      <c r="R104">
        <f>IF(DATA_FEBRERO_2025[[#This Row],[RECUPERO]]="","",VLOOKUP(DATA_FEBRERO_2025[[#This Row],[SUPERVISOR]],$H:$I,2,0))</f>
        <v>21000</v>
      </c>
    </row>
    <row r="105" spans="1:18" x14ac:dyDescent="0.25">
      <c r="A105" t="s">
        <v>9</v>
      </c>
      <c r="B105" t="str">
        <f t="shared" si="3"/>
        <v/>
      </c>
      <c r="E105">
        <f>D1_FEBRERO[[#This Row],[RECUPERO]]/VLOOKUP(F105,$H:$I,2,0)</f>
        <v>0</v>
      </c>
      <c r="F105" t="str">
        <f>D1_FEBRERO[[#This Row],[SUPER]]</f>
        <v>LUIS</v>
      </c>
      <c r="L105">
        <v>7</v>
      </c>
      <c r="M105" s="1">
        <f t="shared" si="4"/>
        <v>0.30840714285714288</v>
      </c>
      <c r="N105" t="str" cm="1">
        <f t="array" ref="N105">IFERROR(_xlfn.IFS(M105&gt;100%,"&gt;100%",AND(M105&lt;100%,M105&gt;70%),"&gt;70%",AND(M105&lt;70%,M105&gt;40%),"&gt;40%",AND(M105&lt;40%,M105&gt;0%),"&gt;0%"),"")</f>
        <v>&gt;0%</v>
      </c>
      <c r="O105" t="str">
        <f t="shared" si="5"/>
        <v>HAROLD FLORES</v>
      </c>
      <c r="P105" t="str">
        <f>IF(DATA_FEBRERO_2025[[#This Row],[ASER_]]="","",F99)</f>
        <v>LUIS</v>
      </c>
      <c r="Q105">
        <f>IF(DATA_FEBRERO_2025[[#This Row],[SUPERVISOR]]="","",D99)</f>
        <v>6476.55</v>
      </c>
      <c r="R105">
        <f>IF(DATA_FEBRERO_2025[[#This Row],[RECUPERO]]="","",VLOOKUP(DATA_FEBRERO_2025[[#This Row],[SUPERVISOR]],$H:$I,2,0))</f>
        <v>21000</v>
      </c>
    </row>
    <row r="106" spans="1:18" x14ac:dyDescent="0.25">
      <c r="A106" t="s">
        <v>9</v>
      </c>
      <c r="B106" t="str">
        <f t="shared" si="3"/>
        <v/>
      </c>
      <c r="E106">
        <f>D1_FEBRERO[[#This Row],[RECUPERO]]/VLOOKUP(F106,$H:$I,2,0)</f>
        <v>0</v>
      </c>
      <c r="F106" t="str">
        <f>D1_FEBRERO[[#This Row],[SUPER]]</f>
        <v>LUIS</v>
      </c>
      <c r="L106">
        <v>8</v>
      </c>
      <c r="M106" s="1">
        <f t="shared" si="4"/>
        <v>0.74561904761904763</v>
      </c>
      <c r="N106" t="str" cm="1">
        <f t="array" ref="N106">IFERROR(_xlfn.IFS(M106&gt;100%,"&gt;100%",AND(M106&lt;100%,M106&gt;70%),"&gt;70%",AND(M106&lt;70%,M106&gt;40%),"&gt;40%",AND(M106&lt;40%,M106&gt;0%),"&gt;0%"),"")</f>
        <v>&gt;70%</v>
      </c>
      <c r="O106" t="str">
        <f t="shared" si="5"/>
        <v>MARCELIT LOPEZ</v>
      </c>
      <c r="P106" t="str">
        <f>IF(DATA_FEBRERO_2025[[#This Row],[ASER_]]="","",F100)</f>
        <v>LUIS</v>
      </c>
      <c r="Q106">
        <f>IF(DATA_FEBRERO_2025[[#This Row],[SUPERVISOR]]="","",D100)</f>
        <v>15658</v>
      </c>
      <c r="R106">
        <f>IF(DATA_FEBRERO_2025[[#This Row],[RECUPERO]]="","",VLOOKUP(DATA_FEBRERO_2025[[#This Row],[SUPERVISOR]],$H:$I,2,0))</f>
        <v>21000</v>
      </c>
    </row>
    <row r="107" spans="1:18" x14ac:dyDescent="0.25">
      <c r="A107" t="s">
        <v>9</v>
      </c>
      <c r="B107" t="str">
        <f t="shared" si="3"/>
        <v/>
      </c>
      <c r="E107">
        <f>D1_FEBRERO[[#This Row],[RECUPERO]]/VLOOKUP(F107,$H:$I,2,0)</f>
        <v>0</v>
      </c>
      <c r="F107" t="str">
        <f>D1_FEBRERO[[#This Row],[SUPER]]</f>
        <v>LUIS</v>
      </c>
      <c r="L107">
        <v>9</v>
      </c>
      <c r="M107" s="1">
        <f t="shared" si="4"/>
        <v>0.46733809523809527</v>
      </c>
      <c r="N107" t="str" cm="1">
        <f t="array" ref="N107">IFERROR(_xlfn.IFS(M107&gt;100%,"&gt;100%",AND(M107&lt;100%,M107&gt;70%),"&gt;70%",AND(M107&lt;70%,M107&gt;40%),"&gt;40%",AND(M107&lt;40%,M107&gt;0%),"&gt;0%"),"")</f>
        <v>&gt;40%</v>
      </c>
      <c r="O107" t="str">
        <f t="shared" si="5"/>
        <v>ROCIO TERRONES</v>
      </c>
      <c r="P107" t="str">
        <f>IF(DATA_FEBRERO_2025[[#This Row],[ASER_]]="","",F101)</f>
        <v>LUIS</v>
      </c>
      <c r="Q107">
        <f>IF(DATA_FEBRERO_2025[[#This Row],[SUPERVISOR]]="","",D101)</f>
        <v>9814.1</v>
      </c>
      <c r="R107">
        <f>IF(DATA_FEBRERO_2025[[#This Row],[RECUPERO]]="","",VLOOKUP(DATA_FEBRERO_2025[[#This Row],[SUPERVISOR]],$H:$I,2,0))</f>
        <v>21000</v>
      </c>
    </row>
    <row r="108" spans="1:18" x14ac:dyDescent="0.25">
      <c r="L108">
        <v>10</v>
      </c>
      <c r="M108" s="1">
        <f t="shared" si="4"/>
        <v>0.41809523809523808</v>
      </c>
      <c r="N108" t="str" cm="1">
        <f t="array" ref="N108">IFERROR(_xlfn.IFS(M108&gt;100%,"&gt;100%",AND(M108&lt;100%,M108&gt;70%),"&gt;70%",AND(M108&lt;70%,M108&gt;40%),"&gt;40%",AND(M108&lt;40%,M108&gt;0%),"&gt;0%"),"")</f>
        <v>&gt;40%</v>
      </c>
      <c r="O108" t="str">
        <f t="shared" si="5"/>
        <v>SARITA GARAY</v>
      </c>
      <c r="P108" t="str">
        <f>IF(DATA_FEBRERO_2025[[#This Row],[ASER_]]="","",F102)</f>
        <v>LUIS</v>
      </c>
      <c r="Q108">
        <f>IF(DATA_FEBRERO_2025[[#This Row],[SUPERVISOR]]="","",D102)</f>
        <v>8780</v>
      </c>
      <c r="R108">
        <f>IF(DATA_FEBRERO_2025[[#This Row],[RECUPERO]]="","",VLOOKUP(DATA_FEBRERO_2025[[#This Row],[SUPERVISOR]],$H:$I,2,0))</f>
        <v>21000</v>
      </c>
    </row>
    <row r="109" spans="1:18" x14ac:dyDescent="0.25">
      <c r="L109">
        <v>11</v>
      </c>
      <c r="M109" s="1">
        <f t="shared" si="4"/>
        <v>0.27714285714285714</v>
      </c>
      <c r="N109" t="str" cm="1">
        <f t="array" ref="N109">IFERROR(_xlfn.IFS(M109&gt;100%,"&gt;100%",AND(M109&lt;100%,M109&gt;70%),"&gt;70%",AND(M109&lt;70%,M109&gt;40%),"&gt;40%",AND(M109&lt;40%,M109&gt;0%),"&gt;0%"),"")</f>
        <v>&gt;0%</v>
      </c>
      <c r="O109" t="str">
        <f t="shared" si="5"/>
        <v>VERONICA HUARCA</v>
      </c>
      <c r="P109" t="str">
        <f>IF(DATA_FEBRERO_2025[[#This Row],[ASER_]]="","",F103)</f>
        <v>LUIS</v>
      </c>
      <c r="Q109">
        <f>IF(DATA_FEBRERO_2025[[#This Row],[SUPERVISOR]]="","",D103)</f>
        <v>5820</v>
      </c>
      <c r="R109">
        <f>IF(DATA_FEBRERO_2025[[#This Row],[RECUPERO]]="","",VLOOKUP(DATA_FEBRERO_2025[[#This Row],[SUPERVISOR]],$H:$I,2,0))</f>
        <v>21000</v>
      </c>
    </row>
    <row r="110" spans="1:18" x14ac:dyDescent="0.25"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  <c r="P110" t="str">
        <f>IF(DATA_FEBRERO_2025[[#This Row],[ASER_]]="","",F104)</f>
        <v/>
      </c>
      <c r="Q110" t="str">
        <f>IF(DATA_FEBRERO_2025[[#This Row],[SUPERVISOR]]="","",D104)</f>
        <v/>
      </c>
      <c r="R110" t="str">
        <f>IF(DATA_FEBRERO_2025[[#This Row],[RECUPERO]]="","",VLOOKUP(DATA_FEBRERO_2025[[#This Row],[SUPERVISOR]],$H:$I,2,0))</f>
        <v/>
      </c>
    </row>
    <row r="111" spans="1:18" x14ac:dyDescent="0.25"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  <c r="P111" t="str">
        <f>IF(DATA_FEBRERO_2025[[#This Row],[ASER_]]="","",F105)</f>
        <v/>
      </c>
      <c r="Q111" t="str">
        <f>IF(DATA_FEBRERO_2025[[#This Row],[SUPERVISOR]]="","",D105)</f>
        <v/>
      </c>
      <c r="R111" t="str">
        <f>IF(DATA_FEBRERO_2025[[#This Row],[RECUPERO]]="","",VLOOKUP(DATA_FEBRERO_2025[[#This Row],[SUPERVISOR]],$H:$I,2,0))</f>
        <v/>
      </c>
    </row>
    <row r="112" spans="1:18" x14ac:dyDescent="0.25"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  <c r="P112" t="str">
        <f>IF(DATA_FEBRERO_2025[[#This Row],[ASER_]]="","",F106)</f>
        <v/>
      </c>
      <c r="Q112" t="str">
        <f>IF(DATA_FEBRERO_2025[[#This Row],[SUPERVISOR]]="","",D106)</f>
        <v/>
      </c>
      <c r="R112" t="str">
        <f>IF(DATA_FEBRERO_2025[[#This Row],[RECUPERO]]="","",VLOOKUP(DATA_FEBRERO_2025[[#This Row],[SUPERVISOR]],$H:$I,2,0))</f>
        <v/>
      </c>
    </row>
    <row r="113" spans="12:18" x14ac:dyDescent="0.25"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  <c r="P113" t="str">
        <f>IF(DATA_FEBRERO_2025[[#This Row],[ASER_]]="","",F107)</f>
        <v/>
      </c>
      <c r="Q113" t="str">
        <f>IF(DATA_FEBRERO_2025[[#This Row],[SUPERVISOR]]="","",D107)</f>
        <v/>
      </c>
      <c r="R113" t="str">
        <f>IF(DATA_FEBRERO_2025[[#This Row],[RECUPERO]]="","",VLOOKUP(DATA_FEBRERO_2025[[#This Row],[SUPERVISOR]],$H:$I,2,0))</f>
        <v/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R113"/>
  <sheetViews>
    <sheetView zoomScale="85" zoomScaleNormal="85" workbookViewId="0">
      <selection activeCell="E3" sqref="E3"/>
    </sheetView>
  </sheetViews>
  <sheetFormatPr baseColWidth="10" defaultRowHeight="15" x14ac:dyDescent="0.25"/>
  <cols>
    <col min="1" max="1" width="9.28515625" customWidth="1"/>
    <col min="2" max="3" width="22.7109375" customWidth="1"/>
    <col min="4" max="4" width="13.42578125" customWidth="1"/>
    <col min="5" max="5" width="12" customWidth="1"/>
    <col min="6" max="6" width="10.28515625" customWidth="1"/>
    <col min="7" max="7" width="11.42578125" customWidth="1"/>
    <col min="8" max="8" width="9.42578125" customWidth="1"/>
    <col min="9" max="9" width="8.140625" customWidth="1"/>
    <col min="10" max="11" width="11.42578125" customWidth="1"/>
    <col min="12" max="12" width="10" customWidth="1"/>
    <col min="13" max="13" width="11.140625" customWidth="1"/>
    <col min="14" max="14" width="19.85546875" customWidth="1"/>
    <col min="15" max="15" width="22.7109375" customWidth="1"/>
    <col min="16" max="16" width="11.42578125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3</v>
      </c>
      <c r="B3" t="str">
        <f>TRIM(C3)</f>
        <v>ALEJANDRA QUISPE</v>
      </c>
      <c r="C3" t="s">
        <v>58</v>
      </c>
      <c r="D3">
        <v>0</v>
      </c>
      <c r="E3">
        <f>D1_MARZO[[#This Row],[RECUPERO]]/VLOOKUP(F3,$H:$I,2,0)</f>
        <v>0</v>
      </c>
      <c r="F3" t="str">
        <f>D1_MARZO[[#This Row],[SUPER]]</f>
        <v>SANDY</v>
      </c>
      <c r="H3" t="s">
        <v>5</v>
      </c>
      <c r="I3">
        <v>62000</v>
      </c>
    </row>
    <row r="4" spans="1:1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28102</v>
      </c>
      <c r="E4">
        <f>D1_MARZO[[#This Row],[RECUPERO]]/VLOOKUP(F4,$H:$I,2,0)</f>
        <v>0.45325806451612904</v>
      </c>
      <c r="F4" t="str">
        <f>D1_MARZO[[#This Row],[SUPER]]</f>
        <v>SANDY</v>
      </c>
      <c r="H4" t="s">
        <v>2</v>
      </c>
      <c r="I4">
        <v>24000</v>
      </c>
    </row>
    <row r="5" spans="1:18" x14ac:dyDescent="0.35">
      <c r="A5" t="s">
        <v>3</v>
      </c>
      <c r="B5" t="str">
        <f t="shared" si="0"/>
        <v>ERIKA VILLAR</v>
      </c>
      <c r="C5" t="s">
        <v>72</v>
      </c>
      <c r="D5">
        <v>43088.5</v>
      </c>
      <c r="E5">
        <f>D1_MARZO[[#This Row],[RECUPERO]]/VLOOKUP(F5,$H:$I,2,0)</f>
        <v>0.69497580645161294</v>
      </c>
      <c r="F5" t="str">
        <f>D1_MARZO[[#This Row],[SUPER]]</f>
        <v>SANDY</v>
      </c>
      <c r="H5" t="s">
        <v>6</v>
      </c>
      <c r="I5">
        <v>21000</v>
      </c>
    </row>
    <row r="6" spans="1:18" x14ac:dyDescent="0.25">
      <c r="A6" t="s">
        <v>3</v>
      </c>
      <c r="B6" t="str">
        <f t="shared" si="0"/>
        <v>EVELY TENORIO</v>
      </c>
      <c r="C6" t="s">
        <v>22</v>
      </c>
      <c r="D6">
        <v>81631.7</v>
      </c>
      <c r="E6">
        <f>D1_MARZO[[#This Row],[RECUPERO]]/VLOOKUP(F6,$H:$I,2,0)</f>
        <v>1.3166403225806451</v>
      </c>
      <c r="F6" t="str">
        <f>D1_MARZO[[#This Row],[SUPER]]</f>
        <v>SANDY</v>
      </c>
      <c r="H6" t="s">
        <v>9</v>
      </c>
      <c r="I6">
        <v>21000</v>
      </c>
    </row>
    <row r="7" spans="1:18" x14ac:dyDescent="0.25">
      <c r="A7" t="s">
        <v>3</v>
      </c>
      <c r="B7" t="str">
        <f t="shared" si="0"/>
        <v>JAIR MARTINEZ</v>
      </c>
      <c r="C7" t="s">
        <v>57</v>
      </c>
      <c r="D7">
        <v>52729</v>
      </c>
      <c r="E7">
        <f>D1_MARZO[[#This Row],[RECUPERO]]/VLOOKUP(F7,$H:$I,2,0)</f>
        <v>0.85046774193548391</v>
      </c>
      <c r="F7" t="str">
        <f>D1_MARZO[[#This Row],[SUPER]]</f>
        <v>SANDY</v>
      </c>
      <c r="H7" t="s">
        <v>4</v>
      </c>
      <c r="I7">
        <v>62000</v>
      </c>
    </row>
    <row r="8" spans="1:18" x14ac:dyDescent="0.25">
      <c r="A8" t="s">
        <v>3</v>
      </c>
      <c r="B8" t="str">
        <f t="shared" si="0"/>
        <v>LISELY MERA</v>
      </c>
      <c r="C8" t="s">
        <v>23</v>
      </c>
      <c r="D8">
        <v>132333.75</v>
      </c>
      <c r="E8">
        <f>D1_MARZO[[#This Row],[RECUPERO]]/VLOOKUP(F8,$H:$I,2,0)</f>
        <v>2.134415322580645</v>
      </c>
      <c r="F8" t="str">
        <f>D1_MARZO[[#This Row],[SUPER]]</f>
        <v>SANDY</v>
      </c>
      <c r="H8" t="s">
        <v>122</v>
      </c>
      <c r="I8">
        <v>16500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3</v>
      </c>
      <c r="B9" t="str">
        <f t="shared" si="0"/>
        <v>MALORY MONTEBLANCO</v>
      </c>
      <c r="C9" t="s">
        <v>25</v>
      </c>
      <c r="D9">
        <v>0</v>
      </c>
      <c r="E9">
        <f>D1_MARZO[[#This Row],[RECUPERO]]/VLOOKUP(F9,$H:$I,2,0)</f>
        <v>0</v>
      </c>
      <c r="F9" t="str">
        <f>D1_MARZO[[#This Row],[SUPER]]</f>
        <v>SANDY</v>
      </c>
      <c r="H9" t="s">
        <v>3</v>
      </c>
      <c r="I9">
        <v>62000</v>
      </c>
      <c r="L9">
        <v>1</v>
      </c>
      <c r="M9" s="1">
        <f>E3</f>
        <v>0</v>
      </c>
      <c r="N9" t="str" cm="1">
        <f t="array" ref="N9">IFERROR(_xlfn.IFS(M9&gt;100%,"&gt;100%",AND(M9&lt;100%,M9&gt;70%),"&gt;70%",AND(M9&lt;70%,M9&gt;40%),"&gt;40%",AND(M9&lt;40%,M9&gt;0%),"&gt;0%"),"")</f>
        <v/>
      </c>
      <c r="O9" t="str">
        <f>B3</f>
        <v>ALEJANDRA QUISPE</v>
      </c>
      <c r="P9" t="str">
        <f>IF(DATA_MARZO_2025[[#This Row],[ASER_]]="","",F3)</f>
        <v>SANDY</v>
      </c>
      <c r="Q9">
        <f>IF(DATA_MARZO_2025[[#This Row],[SUPERVISOR]]="","",D3)</f>
        <v>0</v>
      </c>
      <c r="R9">
        <f>IF(DATA_MARZO_2025[[#This Row],[RECUPERO]]="","",VLOOKUP(DATA_MARZO_2025[[#This Row],[SUPERVISOR]],$H:$I,2,0))</f>
        <v>62000</v>
      </c>
    </row>
    <row r="10" spans="1:18" x14ac:dyDescent="0.25">
      <c r="A10" t="s">
        <v>3</v>
      </c>
      <c r="B10" t="str">
        <f t="shared" si="0"/>
        <v>MICHAEL TAFUR</v>
      </c>
      <c r="C10" t="s">
        <v>112</v>
      </c>
      <c r="D10">
        <v>7700</v>
      </c>
      <c r="E10">
        <f>D1_MARZO[[#This Row],[RECUPERO]]/VLOOKUP(F10,$H:$I,2,0)</f>
        <v>0.12419354838709677</v>
      </c>
      <c r="F10" t="str">
        <f>D1_MARZO[[#This Row],[SUPER]]</f>
        <v>SANDY</v>
      </c>
      <c r="L10">
        <v>2</v>
      </c>
      <c r="M10" s="1">
        <f t="shared" ref="M10:M73" si="1">E4</f>
        <v>0.45325806451612904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CHRISTIAN ALBUJAR</v>
      </c>
      <c r="P10" t="str">
        <f>IF(DATA_MARZO_2025[[#This Row],[ASER_]]="","",F4)</f>
        <v>SANDY</v>
      </c>
      <c r="Q10">
        <f>IF(DATA_MARZO_2025[[#This Row],[SUPERVISOR]]="","",D4)</f>
        <v>28102</v>
      </c>
      <c r="R10">
        <f>IF(DATA_MARZO_2025[[#This Row],[RECUPERO]]="","",VLOOKUP(DATA_MARZO_2025[[#This Row],[SUPERVISOR]],$H:$I,2,0))</f>
        <v>62000</v>
      </c>
    </row>
    <row r="11" spans="1:18" x14ac:dyDescent="0.25">
      <c r="A11" t="s">
        <v>3</v>
      </c>
      <c r="B11" t="str">
        <f t="shared" si="0"/>
        <v>RICHARD RODRIGUEZ</v>
      </c>
      <c r="C11" t="s">
        <v>63</v>
      </c>
      <c r="D11">
        <v>71227.3</v>
      </c>
      <c r="E11">
        <f>D1_MARZO[[#This Row],[RECUPERO]]/VLOOKUP(F11,$H:$I,2,0)</f>
        <v>1.1488274193548387</v>
      </c>
      <c r="F11" t="str">
        <f>D1_MARZO[[#This Row],[SUPER]]</f>
        <v>SANDY</v>
      </c>
      <c r="L11">
        <v>3</v>
      </c>
      <c r="M11" s="1">
        <f t="shared" si="1"/>
        <v>0.69497580645161294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2"/>
        <v>ERIKA VILLAR</v>
      </c>
      <c r="P11" t="str">
        <f>IF(DATA_MARZO_2025[[#This Row],[ASER_]]="","",F5)</f>
        <v>SANDY</v>
      </c>
      <c r="Q11">
        <f>IF(DATA_MARZO_2025[[#This Row],[SUPERVISOR]]="","",D5)</f>
        <v>43088.5</v>
      </c>
      <c r="R11">
        <f>IF(DATA_MARZO_2025[[#This Row],[RECUPERO]]="","",VLOOKUP(DATA_MARZO_2025[[#This Row],[SUPERVISOR]],$H:$I,2,0))</f>
        <v>62000</v>
      </c>
    </row>
    <row r="12" spans="1:18" x14ac:dyDescent="0.25">
      <c r="A12" t="s">
        <v>3</v>
      </c>
      <c r="B12" t="str">
        <f t="shared" si="0"/>
        <v>VERONICA TASAYCO</v>
      </c>
      <c r="C12" t="s">
        <v>10</v>
      </c>
      <c r="D12">
        <v>35954</v>
      </c>
      <c r="E12">
        <f>D1_MARZO[[#This Row],[RECUPERO]]/VLOOKUP(F12,$H:$I,2,0)</f>
        <v>0.57990322580645159</v>
      </c>
      <c r="F12" t="str">
        <f>D1_MARZO[[#This Row],[SUPER]]</f>
        <v>SANDY</v>
      </c>
      <c r="L12">
        <v>4</v>
      </c>
      <c r="M12" s="1">
        <f t="shared" si="1"/>
        <v>1.3166403225806451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2"/>
        <v>EVELY TENORIO</v>
      </c>
      <c r="P12" t="str">
        <f>IF(DATA_MARZO_2025[[#This Row],[ASER_]]="","",F6)</f>
        <v>SANDY</v>
      </c>
      <c r="Q12">
        <f>IF(DATA_MARZO_2025[[#This Row],[SUPERVISOR]]="","",D6)</f>
        <v>81631.7</v>
      </c>
      <c r="R12">
        <f>IF(DATA_MARZO_2025[[#This Row],[RECUPERO]]="","",VLOOKUP(DATA_MARZO_2025[[#This Row],[SUPERVISOR]],$H:$I,2,0))</f>
        <v>62000</v>
      </c>
    </row>
    <row r="13" spans="1:18" x14ac:dyDescent="0.25">
      <c r="A13" t="s">
        <v>3</v>
      </c>
      <c r="B13" t="str">
        <f t="shared" si="0"/>
        <v>VICTOR RAMIREZ</v>
      </c>
      <c r="C13" t="s">
        <v>76</v>
      </c>
      <c r="D13">
        <v>89524</v>
      </c>
      <c r="E13">
        <f>D1_MARZO[[#This Row],[RECUPERO]]/VLOOKUP(F13,$H:$I,2,0)</f>
        <v>1.4439354838709677</v>
      </c>
      <c r="F13" t="str">
        <f>D1_MARZO[[#This Row],[SUPER]]</f>
        <v>SANDY</v>
      </c>
      <c r="H13" s="11"/>
      <c r="L13">
        <v>5</v>
      </c>
      <c r="M13" s="1">
        <f t="shared" si="1"/>
        <v>0.85046774193548391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JAIR MARTINEZ</v>
      </c>
      <c r="P13" t="str">
        <f>IF(DATA_MARZO_2025[[#This Row],[ASER_]]="","",F7)</f>
        <v>SANDY</v>
      </c>
      <c r="Q13">
        <f>IF(DATA_MARZO_2025[[#This Row],[SUPERVISOR]]="","",D7)</f>
        <v>52729</v>
      </c>
      <c r="R13">
        <f>IF(DATA_MARZO_2025[[#This Row],[RECUPERO]]="","",VLOOKUP(DATA_MARZO_2025[[#This Row],[SUPERVISOR]],$H:$I,2,0))</f>
        <v>62000</v>
      </c>
    </row>
    <row r="14" spans="1:18" x14ac:dyDescent="0.25">
      <c r="A14" t="s">
        <v>3</v>
      </c>
      <c r="B14" t="str">
        <f t="shared" si="0"/>
        <v/>
      </c>
      <c r="E14">
        <f>D1_MARZO[[#This Row],[RECUPERO]]/VLOOKUP(F14,$H:$I,2,0)</f>
        <v>0</v>
      </c>
      <c r="F14" t="str">
        <f>D1_MARZO[[#This Row],[SUPER]]</f>
        <v>SANDY</v>
      </c>
      <c r="H14" s="11"/>
      <c r="L14">
        <v>6</v>
      </c>
      <c r="M14" s="1">
        <f t="shared" si="1"/>
        <v>2.134415322580645</v>
      </c>
      <c r="N14" t="str" cm="1">
        <f t="array" ref="N14">IFERROR(_xlfn.IFS(M14&gt;100%,"&gt;100%",AND(M14&lt;100%,M14&gt;70%),"&gt;70%",AND(M14&lt;70%,M14&gt;40%),"&gt;40%",AND(M14&lt;40%,M14&gt;0%),"&gt;0%"),"")</f>
        <v>&gt;100%</v>
      </c>
      <c r="O14" t="str">
        <f t="shared" si="2"/>
        <v>LISELY MERA</v>
      </c>
      <c r="P14" t="str">
        <f>IF(DATA_MARZO_2025[[#This Row],[ASER_]]="","",F8)</f>
        <v>SANDY</v>
      </c>
      <c r="Q14">
        <f>IF(DATA_MARZO_2025[[#This Row],[SUPERVISOR]]="","",D8)</f>
        <v>132333.75</v>
      </c>
      <c r="R14">
        <f>IF(DATA_MARZO_2025[[#This Row],[RECUPERO]]="","",VLOOKUP(DATA_MARZO_2025[[#This Row],[SUPERVISOR]],$H:$I,2,0))</f>
        <v>62000</v>
      </c>
    </row>
    <row r="15" spans="1:18" x14ac:dyDescent="0.25">
      <c r="A15" t="s">
        <v>3</v>
      </c>
      <c r="B15" t="str">
        <f t="shared" si="0"/>
        <v/>
      </c>
      <c r="E15">
        <f>D1_MARZO[[#This Row],[RECUPERO]]/VLOOKUP(F15,$H:$I,2,0)</f>
        <v>0</v>
      </c>
      <c r="F15" t="str">
        <f>D1_MARZO[[#This Row],[SUPER]]</f>
        <v>SANDY</v>
      </c>
      <c r="L15">
        <v>7</v>
      </c>
      <c r="M15" s="1">
        <f t="shared" si="1"/>
        <v>0</v>
      </c>
      <c r="N15" t="str" cm="1">
        <f t="array" ref="N15">IFERROR(_xlfn.IFS(M15&gt;100%,"&gt;100%",AND(M15&lt;100%,M15&gt;70%),"&gt;70%",AND(M15&lt;70%,M15&gt;40%),"&gt;40%",AND(M15&lt;40%,M15&gt;0%),"&gt;0%"),"")</f>
        <v/>
      </c>
      <c r="O15" t="str">
        <f t="shared" si="2"/>
        <v>MALORY MONTEBLANCO</v>
      </c>
      <c r="P15" t="str">
        <f>IF(DATA_MARZO_2025[[#This Row],[ASER_]]="","",F9)</f>
        <v>SANDY</v>
      </c>
      <c r="Q15">
        <f>IF(DATA_MARZO_2025[[#This Row],[SUPERVISOR]]="","",D9)</f>
        <v>0</v>
      </c>
      <c r="R15">
        <f>IF(DATA_MARZO_2025[[#This Row],[RECUPERO]]="","",VLOOKUP(DATA_MARZO_2025[[#This Row],[SUPERVISOR]],$H:$I,2,0))</f>
        <v>62000</v>
      </c>
    </row>
    <row r="16" spans="1:18" x14ac:dyDescent="0.25">
      <c r="A16" t="s">
        <v>3</v>
      </c>
      <c r="B16" t="str">
        <f t="shared" si="0"/>
        <v/>
      </c>
      <c r="E16">
        <f>D1_MARZO[[#This Row],[RECUPERO]]/VLOOKUP(F16,$H:$I,2,0)</f>
        <v>0</v>
      </c>
      <c r="F16" t="str">
        <f>D1_MARZO[[#This Row],[SUPER]]</f>
        <v>SANDY</v>
      </c>
      <c r="L16">
        <v>8</v>
      </c>
      <c r="M16" s="1">
        <f t="shared" si="1"/>
        <v>0.12419354838709677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MICHAEL TAFUR</v>
      </c>
      <c r="P16" t="str">
        <f>IF(DATA_MARZO_2025[[#This Row],[ASER_]]="","",F10)</f>
        <v>SANDY</v>
      </c>
      <c r="Q16">
        <f>IF(DATA_MARZO_2025[[#This Row],[SUPERVISOR]]="","",D10)</f>
        <v>7700</v>
      </c>
      <c r="R16">
        <f>IF(DATA_MARZO_2025[[#This Row],[RECUPERO]]="","",VLOOKUP(DATA_MARZO_2025[[#This Row],[SUPERVISOR]],$H:$I,2,0))</f>
        <v>62000</v>
      </c>
    </row>
    <row r="17" spans="1:18" x14ac:dyDescent="0.25">
      <c r="A17" t="s">
        <v>3</v>
      </c>
      <c r="B17" t="str">
        <f t="shared" si="0"/>
        <v/>
      </c>
      <c r="E17">
        <f>D1_MARZO[[#This Row],[RECUPERO]]/VLOOKUP(F17,$H:$I,2,0)</f>
        <v>0</v>
      </c>
      <c r="F17" t="str">
        <f>D1_MARZO[[#This Row],[SUPER]]</f>
        <v>SANDY</v>
      </c>
      <c r="L17">
        <v>9</v>
      </c>
      <c r="M17" s="1">
        <f t="shared" si="1"/>
        <v>1.1488274193548387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RICHARD RODRIGUEZ</v>
      </c>
      <c r="P17" t="str">
        <f>IF(DATA_MARZO_2025[[#This Row],[ASER_]]="","",F11)</f>
        <v>SANDY</v>
      </c>
      <c r="Q17">
        <f>IF(DATA_MARZO_2025[[#This Row],[SUPERVISOR]]="","",D11)</f>
        <v>71227.3</v>
      </c>
      <c r="R17">
        <f>IF(DATA_MARZO_2025[[#This Row],[RECUPERO]]="","",VLOOKUP(DATA_MARZO_2025[[#This Row],[SUPERVISOR]],$H:$I,2,0))</f>
        <v>62000</v>
      </c>
    </row>
    <row r="18" spans="1:18" x14ac:dyDescent="0.25">
      <c r="A18" t="s">
        <v>4</v>
      </c>
      <c r="B18" t="str">
        <f t="shared" si="0"/>
        <v>ALEJANDRO GONZALES</v>
      </c>
      <c r="C18" t="s">
        <v>116</v>
      </c>
      <c r="D18">
        <v>25193</v>
      </c>
      <c r="E18">
        <f>D1_MARZO[[#This Row],[RECUPERO]]/VLOOKUP(F18,$H:$I,2,0)</f>
        <v>0.40633870967741936</v>
      </c>
      <c r="F18" t="str">
        <f>D1_MARZO[[#This Row],[SUPER]]</f>
        <v>MELINA</v>
      </c>
      <c r="L18">
        <v>10</v>
      </c>
      <c r="M18" s="1">
        <f t="shared" si="1"/>
        <v>0.57990322580645159</v>
      </c>
      <c r="N18" t="str" cm="1">
        <f t="array" ref="N18">IFERROR(_xlfn.IFS(M18&gt;100%,"&gt;100%",AND(M18&lt;100%,M18&gt;70%),"&gt;70%",AND(M18&lt;70%,M18&gt;40%),"&gt;40%",AND(M18&lt;40%,M18&gt;0%),"&gt;0%"),"")</f>
        <v>&gt;40%</v>
      </c>
      <c r="O18" t="str">
        <f t="shared" si="2"/>
        <v>VERONICA TASAYCO</v>
      </c>
      <c r="P18" t="str">
        <f>IF(DATA_MARZO_2025[[#This Row],[ASER_]]="","",F12)</f>
        <v>SANDY</v>
      </c>
      <c r="Q18">
        <f>IF(DATA_MARZO_2025[[#This Row],[SUPERVISOR]]="","",D12)</f>
        <v>35954</v>
      </c>
      <c r="R18">
        <f>IF(DATA_MARZO_2025[[#This Row],[RECUPERO]]="","",VLOOKUP(DATA_MARZO_2025[[#This Row],[SUPERVISOR]],$H:$I,2,0))</f>
        <v>62000</v>
      </c>
    </row>
    <row r="19" spans="1:18" x14ac:dyDescent="0.25">
      <c r="A19" t="s">
        <v>4</v>
      </c>
      <c r="B19" t="str">
        <f t="shared" si="0"/>
        <v>DARYL FERREL</v>
      </c>
      <c r="C19" t="s">
        <v>40</v>
      </c>
      <c r="D19">
        <v>27710</v>
      </c>
      <c r="E19">
        <f>D1_MARZO[[#This Row],[RECUPERO]]/VLOOKUP(F19,$H:$I,2,0)</f>
        <v>0.44693548387096776</v>
      </c>
      <c r="F19" t="str">
        <f>D1_MARZO[[#This Row],[SUPER]]</f>
        <v>MELINA</v>
      </c>
      <c r="L19">
        <v>11</v>
      </c>
      <c r="M19" s="1">
        <f t="shared" si="1"/>
        <v>1.4439354838709677</v>
      </c>
      <c r="N19" t="str" cm="1">
        <f t="array" ref="N19">IFERROR(_xlfn.IFS(M19&gt;100%,"&gt;100%",AND(M19&lt;100%,M19&gt;70%),"&gt;70%",AND(M19&lt;70%,M19&gt;40%),"&gt;40%",AND(M19&lt;40%,M19&gt;0%),"&gt;0%"),"")</f>
        <v>&gt;100%</v>
      </c>
      <c r="O19" t="str">
        <f t="shared" si="2"/>
        <v>VICTOR RAMIREZ</v>
      </c>
      <c r="P19" t="str">
        <f>IF(DATA_MARZO_2025[[#This Row],[ASER_]]="","",F13)</f>
        <v>SANDY</v>
      </c>
      <c r="Q19">
        <f>IF(DATA_MARZO_2025[[#This Row],[SUPERVISOR]]="","",D13)</f>
        <v>89524</v>
      </c>
      <c r="R19">
        <f>IF(DATA_MARZO_2025[[#This Row],[RECUPERO]]="","",VLOOKUP(DATA_MARZO_2025[[#This Row],[SUPERVISOR]],$H:$I,2,0))</f>
        <v>62000</v>
      </c>
    </row>
    <row r="20" spans="1:18" x14ac:dyDescent="0.25">
      <c r="A20" t="s">
        <v>4</v>
      </c>
      <c r="B20" t="str">
        <f t="shared" si="0"/>
        <v>JHOVANA TORRES</v>
      </c>
      <c r="C20" t="s">
        <v>20</v>
      </c>
      <c r="D20">
        <v>18495</v>
      </c>
      <c r="E20">
        <f>D1_MARZO[[#This Row],[RECUPERO]]/VLOOKUP(F20,$H:$I,2,0)</f>
        <v>0.2983064516129032</v>
      </c>
      <c r="F20" t="str">
        <f>D1_MARZO[[#This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IF(DATA_MARZO_2025[[#This Row],[ASER_]]="","",F14)</f>
        <v/>
      </c>
      <c r="Q20" t="str">
        <f>IF(DATA_MARZO_2025[[#This Row],[SUPERVISOR]]="","",D14)</f>
        <v/>
      </c>
      <c r="R20" t="str">
        <f>IF(DATA_MARZO_2025[[#This Row],[RECUPERO]]="","",VLOOKUP(DATA_MARZO_2025[[#This Row],[SUPERVISOR]],$H:$I,2,0))</f>
        <v/>
      </c>
    </row>
    <row r="21" spans="1:18" x14ac:dyDescent="0.25">
      <c r="A21" t="s">
        <v>4</v>
      </c>
      <c r="B21" t="str">
        <f t="shared" si="0"/>
        <v>LUIS VALLADARES</v>
      </c>
      <c r="C21" t="s">
        <v>29</v>
      </c>
      <c r="D21">
        <v>22013.75</v>
      </c>
      <c r="E21">
        <f>D1_MARZO[[#This Row],[RECUPERO]]/VLOOKUP(F21,$H:$I,2,0)</f>
        <v>0.35506048387096772</v>
      </c>
      <c r="F21" t="str">
        <f>D1_MARZO[[#This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IF(DATA_MARZO_2025[[#This Row],[ASER_]]="","",F15)</f>
        <v/>
      </c>
      <c r="Q21" t="str">
        <f>IF(DATA_MARZO_2025[[#This Row],[SUPERVISOR]]="","",D15)</f>
        <v/>
      </c>
      <c r="R21" t="str">
        <f>IF(DATA_MARZO_2025[[#This Row],[RECUPERO]]="","",VLOOKUP(DATA_MARZO_2025[[#This Row],[SUPERVISOR]],$H:$I,2,0))</f>
        <v/>
      </c>
    </row>
    <row r="22" spans="1:18" x14ac:dyDescent="0.25">
      <c r="A22" t="s">
        <v>4</v>
      </c>
      <c r="B22" t="str">
        <f t="shared" si="0"/>
        <v>MARIA TINTAYA</v>
      </c>
      <c r="C22" t="s">
        <v>75</v>
      </c>
      <c r="D22">
        <v>73566</v>
      </c>
      <c r="E22">
        <f>D1_MARZO[[#This Row],[RECUPERO]]/VLOOKUP(F22,$H:$I,2,0)</f>
        <v>1.1865483870967741</v>
      </c>
      <c r="F22" t="str">
        <f>D1_MARZO[[#This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IF(DATA_MARZO_2025[[#This Row],[ASER_]]="","",F16)</f>
        <v/>
      </c>
      <c r="Q22" t="str">
        <f>IF(DATA_MARZO_2025[[#This Row],[SUPERVISOR]]="","",D16)</f>
        <v/>
      </c>
      <c r="R22" t="str">
        <f>IF(DATA_MARZO_2025[[#This Row],[RECUPERO]]="","",VLOOKUP(DATA_MARZO_2025[[#This Row],[SUPERVISOR]],$H:$I,2,0))</f>
        <v/>
      </c>
    </row>
    <row r="23" spans="1:18" x14ac:dyDescent="0.25">
      <c r="A23" t="s">
        <v>4</v>
      </c>
      <c r="B23" t="str">
        <f t="shared" si="0"/>
        <v>MICAELA PEREZ</v>
      </c>
      <c r="C23" t="s">
        <v>64</v>
      </c>
      <c r="D23">
        <v>18550</v>
      </c>
      <c r="E23">
        <f>D1_MARZO[[#This Row],[RECUPERO]]/VLOOKUP(F23,$H:$I,2,0)</f>
        <v>0.29919354838709677</v>
      </c>
      <c r="F23" t="str">
        <f>D1_MARZO[[#This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IF(DATA_MARZO_2025[[#This Row],[ASER_]]="","",F17)</f>
        <v/>
      </c>
      <c r="Q23" t="str">
        <f>IF(DATA_MARZO_2025[[#This Row],[SUPERVISOR]]="","",D17)</f>
        <v/>
      </c>
      <c r="R23" t="str">
        <f>IF(DATA_MARZO_2025[[#This Row],[RECUPERO]]="","",VLOOKUP(DATA_MARZO_2025[[#This Row],[SUPERVISOR]],$H:$I,2,0))</f>
        <v/>
      </c>
    </row>
    <row r="24" spans="1:18" x14ac:dyDescent="0.25">
      <c r="A24" t="s">
        <v>4</v>
      </c>
      <c r="B24" t="str">
        <f t="shared" si="0"/>
        <v>MILAGROS QUIO</v>
      </c>
      <c r="C24" t="s">
        <v>11</v>
      </c>
      <c r="D24">
        <v>0</v>
      </c>
      <c r="E24">
        <f>D1_MARZO[[#This Row],[RECUPERO]]/VLOOKUP(F24,$H:$I,2,0)</f>
        <v>0</v>
      </c>
      <c r="F24" t="str">
        <f>D1_MARZO[[#This Row],[SUPER]]</f>
        <v>MELINA</v>
      </c>
      <c r="L24">
        <v>1</v>
      </c>
      <c r="M24" s="1">
        <f t="shared" si="1"/>
        <v>0.40633870967741936</v>
      </c>
      <c r="N24" t="str" cm="1">
        <f t="array" ref="N24">IFERROR(_xlfn.IFS(M24&gt;100%,"&gt;100%",AND(M24&lt;100%,M24&gt;70%),"&gt;70%",AND(M24&lt;70%,M24&gt;40%),"&gt;40%",AND(M24&lt;40%,M24&gt;0%),"&gt;0%"),"")</f>
        <v>&gt;40%</v>
      </c>
      <c r="O24" t="str">
        <f t="shared" si="2"/>
        <v>ALEJANDRO GONZALES</v>
      </c>
      <c r="P24" t="str">
        <f>IF(DATA_MARZO_2025[[#This Row],[ASER_]]="","",F18)</f>
        <v>MELINA</v>
      </c>
      <c r="Q24">
        <f>IF(DATA_MARZO_2025[[#This Row],[SUPERVISOR]]="","",D18)</f>
        <v>25193</v>
      </c>
      <c r="R24">
        <f>IF(DATA_MARZO_2025[[#This Row],[RECUPERO]]="","",VLOOKUP(DATA_MARZO_2025[[#This Row],[SUPERVISOR]],$H:$I,2,0))</f>
        <v>62000</v>
      </c>
    </row>
    <row r="25" spans="1:18" x14ac:dyDescent="0.25">
      <c r="A25" t="s">
        <v>4</v>
      </c>
      <c r="B25" t="str">
        <f t="shared" si="0"/>
        <v>PIERINA TESEN</v>
      </c>
      <c r="C25" t="s">
        <v>59</v>
      </c>
      <c r="D25">
        <v>89276</v>
      </c>
      <c r="E25">
        <f>D1_MARZO[[#This Row],[RECUPERO]]/VLOOKUP(F25,$H:$I,2,0)</f>
        <v>1.4399354838709677</v>
      </c>
      <c r="F25" t="str">
        <f>D1_MARZO[[#This Row],[SUPER]]</f>
        <v>MELINA</v>
      </c>
      <c r="L25">
        <v>2</v>
      </c>
      <c r="M25" s="1">
        <f t="shared" si="1"/>
        <v>0.44693548387096776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DARYL FERREL</v>
      </c>
      <c r="P25" t="str">
        <f>IF(DATA_MARZO_2025[[#This Row],[ASER_]]="","",F19)</f>
        <v>MELINA</v>
      </c>
      <c r="Q25">
        <f>IF(DATA_MARZO_2025[[#This Row],[SUPERVISOR]]="","",D19)</f>
        <v>27710</v>
      </c>
      <c r="R25">
        <f>IF(DATA_MARZO_2025[[#This Row],[RECUPERO]]="","",VLOOKUP(DATA_MARZO_2025[[#This Row],[SUPERVISOR]],$H:$I,2,0))</f>
        <v>62000</v>
      </c>
    </row>
    <row r="26" spans="1:18" x14ac:dyDescent="0.25">
      <c r="A26" t="s">
        <v>4</v>
      </c>
      <c r="B26" t="str">
        <f t="shared" si="0"/>
        <v/>
      </c>
      <c r="E26">
        <f>D1_MARZO[[#This Row],[RECUPERO]]/VLOOKUP(F26,$H:$I,2,0)</f>
        <v>0</v>
      </c>
      <c r="F26" t="str">
        <f>D1_MARZO[[#This Row],[SUPER]]</f>
        <v>MELINA</v>
      </c>
      <c r="L26">
        <v>3</v>
      </c>
      <c r="M26" s="1">
        <f t="shared" si="1"/>
        <v>0.2983064516129032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2"/>
        <v>JHOVANA TORRES</v>
      </c>
      <c r="P26" t="str">
        <f>IF(DATA_MARZO_2025[[#This Row],[ASER_]]="","",F20)</f>
        <v>MELINA</v>
      </c>
      <c r="Q26">
        <f>IF(DATA_MARZO_2025[[#This Row],[SUPERVISOR]]="","",D20)</f>
        <v>18495</v>
      </c>
      <c r="R26">
        <f>IF(DATA_MARZO_2025[[#This Row],[RECUPERO]]="","",VLOOKUP(DATA_MARZO_2025[[#This Row],[SUPERVISOR]],$H:$I,2,0))</f>
        <v>62000</v>
      </c>
    </row>
    <row r="27" spans="1:18" x14ac:dyDescent="0.25">
      <c r="A27" t="s">
        <v>4</v>
      </c>
      <c r="B27" t="str">
        <f t="shared" si="0"/>
        <v/>
      </c>
      <c r="E27">
        <f>D1_MARZO[[#This Row],[RECUPERO]]/VLOOKUP(F27,$H:$I,2,0)</f>
        <v>0</v>
      </c>
      <c r="F27" t="str">
        <f>D1_MARZO[[#This Row],[SUPER]]</f>
        <v>MELINA</v>
      </c>
      <c r="L27">
        <v>4</v>
      </c>
      <c r="M27" s="1">
        <f t="shared" si="1"/>
        <v>0.35506048387096772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2"/>
        <v>LUIS VALLADARES</v>
      </c>
      <c r="P27" t="str">
        <f>IF(DATA_MARZO_2025[[#This Row],[ASER_]]="","",F21)</f>
        <v>MELINA</v>
      </c>
      <c r="Q27">
        <f>IF(DATA_MARZO_2025[[#This Row],[SUPERVISOR]]="","",D21)</f>
        <v>22013.75</v>
      </c>
      <c r="R27">
        <f>IF(DATA_MARZO_2025[[#This Row],[RECUPERO]]="","",VLOOKUP(DATA_MARZO_2025[[#This Row],[SUPERVISOR]],$H:$I,2,0))</f>
        <v>62000</v>
      </c>
    </row>
    <row r="28" spans="1:18" x14ac:dyDescent="0.25">
      <c r="A28" t="s">
        <v>4</v>
      </c>
      <c r="B28" t="str">
        <f t="shared" si="0"/>
        <v/>
      </c>
      <c r="E28">
        <f>D1_MARZO[[#This Row],[RECUPERO]]/VLOOKUP(F28,$H:$I,2,0)</f>
        <v>0</v>
      </c>
      <c r="F28" t="str">
        <f>D1_MARZO[[#This Row],[SUPER]]</f>
        <v>MELINA</v>
      </c>
      <c r="L28">
        <v>5</v>
      </c>
      <c r="M28" s="1">
        <f t="shared" si="1"/>
        <v>1.1865483870967741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2"/>
        <v>MARIA TINTAYA</v>
      </c>
      <c r="P28" t="str">
        <f>IF(DATA_MARZO_2025[[#This Row],[ASER_]]="","",F22)</f>
        <v>MELINA</v>
      </c>
      <c r="Q28">
        <f>IF(DATA_MARZO_2025[[#This Row],[SUPERVISOR]]="","",D22)</f>
        <v>73566</v>
      </c>
      <c r="R28">
        <f>IF(DATA_MARZO_2025[[#This Row],[RECUPERO]]="","",VLOOKUP(DATA_MARZO_2025[[#This Row],[SUPERVISOR]],$H:$I,2,0))</f>
        <v>62000</v>
      </c>
    </row>
    <row r="29" spans="1:18" x14ac:dyDescent="0.25">
      <c r="A29" t="s">
        <v>4</v>
      </c>
      <c r="B29" t="str">
        <f t="shared" si="0"/>
        <v/>
      </c>
      <c r="E29">
        <f>D1_MARZO[[#This Row],[RECUPERO]]/VLOOKUP(F29,$H:$I,2,0)</f>
        <v>0</v>
      </c>
      <c r="F29" t="str">
        <f>D1_MARZO[[#This Row],[SUPER]]</f>
        <v>MELINA</v>
      </c>
      <c r="L29">
        <v>6</v>
      </c>
      <c r="M29" s="1">
        <f t="shared" si="1"/>
        <v>0.29919354838709677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MICAELA PEREZ</v>
      </c>
      <c r="P29" t="str">
        <f>IF(DATA_MARZO_2025[[#This Row],[ASER_]]="","",F23)</f>
        <v>MELINA</v>
      </c>
      <c r="Q29">
        <f>IF(DATA_MARZO_2025[[#This Row],[SUPERVISOR]]="","",D23)</f>
        <v>18550</v>
      </c>
      <c r="R29">
        <f>IF(DATA_MARZO_2025[[#This Row],[RECUPERO]]="","",VLOOKUP(DATA_MARZO_2025[[#This Row],[SUPERVISOR]],$H:$I,2,0))</f>
        <v>62000</v>
      </c>
    </row>
    <row r="30" spans="1:18" x14ac:dyDescent="0.25">
      <c r="A30" t="s">
        <v>4</v>
      </c>
      <c r="B30" t="str">
        <f t="shared" si="0"/>
        <v/>
      </c>
      <c r="E30">
        <f>D1_MARZO[[#This Row],[RECUPERO]]/VLOOKUP(F30,$H:$I,2,0)</f>
        <v>0</v>
      </c>
      <c r="F30" t="str">
        <f>D1_MARZO[[#This Row],[SUPER]]</f>
        <v>MELINA</v>
      </c>
      <c r="L30">
        <v>7</v>
      </c>
      <c r="M30" s="1">
        <f t="shared" si="1"/>
        <v>0</v>
      </c>
      <c r="N30" t="str" cm="1">
        <f t="array" ref="N30">IFERROR(_xlfn.IFS(M30&gt;100%,"&gt;100%",AND(M30&lt;100%,M30&gt;70%),"&gt;70%",AND(M30&lt;70%,M30&gt;40%),"&gt;40%",AND(M30&lt;40%,M30&gt;0%),"&gt;0%"),"")</f>
        <v/>
      </c>
      <c r="O30" t="str">
        <f t="shared" si="2"/>
        <v>MILAGROS QUIO</v>
      </c>
      <c r="P30" t="str">
        <f>IF(DATA_MARZO_2025[[#This Row],[ASER_]]="","",F24)</f>
        <v>MELINA</v>
      </c>
      <c r="Q30">
        <f>IF(DATA_MARZO_2025[[#This Row],[SUPERVISOR]]="","",D24)</f>
        <v>0</v>
      </c>
      <c r="R30">
        <f>IF(DATA_MARZO_2025[[#This Row],[RECUPERO]]="","",VLOOKUP(DATA_MARZO_2025[[#This Row],[SUPERVISOR]],$H:$I,2,0))</f>
        <v>62000</v>
      </c>
    </row>
    <row r="31" spans="1:18" x14ac:dyDescent="0.25">
      <c r="A31" t="s">
        <v>4</v>
      </c>
      <c r="B31" t="str">
        <f t="shared" si="0"/>
        <v/>
      </c>
      <c r="E31">
        <f>D1_MARZO[[#This Row],[RECUPERO]]/VLOOKUP(F31,$H:$I,2,0)</f>
        <v>0</v>
      </c>
      <c r="F31" t="str">
        <f>D1_MARZO[[#This Row],[SUPER]]</f>
        <v>MELINA</v>
      </c>
      <c r="L31">
        <v>8</v>
      </c>
      <c r="M31" s="1">
        <f t="shared" si="1"/>
        <v>1.4399354838709677</v>
      </c>
      <c r="N31" t="str" cm="1">
        <f t="array" ref="N31">IFERROR(_xlfn.IFS(M31&gt;100%,"&gt;100%",AND(M31&lt;100%,M31&gt;70%),"&gt;70%",AND(M31&lt;70%,M31&gt;40%),"&gt;40%",AND(M31&lt;40%,M31&gt;0%),"&gt;0%"),"")</f>
        <v>&gt;100%</v>
      </c>
      <c r="O31" t="str">
        <f t="shared" si="2"/>
        <v>PIERINA TESEN</v>
      </c>
      <c r="P31" t="str">
        <f>IF(DATA_MARZO_2025[[#This Row],[ASER_]]="","",F25)</f>
        <v>MELINA</v>
      </c>
      <c r="Q31">
        <f>IF(DATA_MARZO_2025[[#This Row],[SUPERVISOR]]="","",D25)</f>
        <v>89276</v>
      </c>
      <c r="R31">
        <f>IF(DATA_MARZO_2025[[#This Row],[RECUPERO]]="","",VLOOKUP(DATA_MARZO_2025[[#This Row],[SUPERVISOR]],$H:$I,2,0))</f>
        <v>62000</v>
      </c>
    </row>
    <row r="32" spans="1:18" x14ac:dyDescent="0.25">
      <c r="A32" t="s">
        <v>4</v>
      </c>
      <c r="B32" t="str">
        <f t="shared" si="0"/>
        <v/>
      </c>
      <c r="E32">
        <f>D1_MARZO[[#This Row],[RECUPERO]]/VLOOKUP(F32,$H:$I,2,0)</f>
        <v>0</v>
      </c>
      <c r="F32" t="str">
        <f>D1_MARZO[[#This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  <c r="P32" t="str">
        <f>IF(DATA_MARZO_2025[[#This Row],[ASER_]]="","",F26)</f>
        <v/>
      </c>
      <c r="Q32" t="str">
        <f>IF(DATA_MARZO_2025[[#This Row],[SUPERVISOR]]="","",D26)</f>
        <v/>
      </c>
      <c r="R32" t="str">
        <f>IF(DATA_MARZO_2025[[#This Row],[RECUPERO]]="","",VLOOKUP(DATA_MARZO_2025[[#This Row],[SUPERVISOR]],$H:$I,2,0))</f>
        <v/>
      </c>
    </row>
    <row r="33" spans="1:18" x14ac:dyDescent="0.25">
      <c r="A33" t="s">
        <v>2</v>
      </c>
      <c r="B33" t="str">
        <f t="shared" si="0"/>
        <v>CHRISTIAN ALVARADO</v>
      </c>
      <c r="C33" t="s">
        <v>41</v>
      </c>
      <c r="D33">
        <v>6149</v>
      </c>
      <c r="E33">
        <f>D1_MARZO[[#This Row],[RECUPERO]]/VLOOKUP(F33,$H:$I,2,0)</f>
        <v>0.25620833333333332</v>
      </c>
      <c r="F33" t="str">
        <f>D1_MARZO[[#This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P33" t="str">
        <f>IF(DATA_MARZO_2025[[#This Row],[ASER_]]="","",F27)</f>
        <v/>
      </c>
      <c r="Q33" t="str">
        <f>IF(DATA_MARZO_2025[[#This Row],[SUPERVISOR]]="","",D27)</f>
        <v/>
      </c>
      <c r="R33" t="str">
        <f>IF(DATA_MARZO_2025[[#This Row],[RECUPERO]]="","",VLOOKUP(DATA_MARZO_2025[[#This Row],[SUPERVISOR]],$H:$I,2,0))</f>
        <v/>
      </c>
    </row>
    <row r="34" spans="1:18" x14ac:dyDescent="0.25">
      <c r="A34" t="s">
        <v>2</v>
      </c>
      <c r="B34" t="str">
        <f t="shared" si="0"/>
        <v>FRANS TACSI</v>
      </c>
      <c r="C34" t="s">
        <v>16</v>
      </c>
      <c r="D34">
        <v>5250</v>
      </c>
      <c r="E34">
        <f>D1_MARZO[[#This Row],[RECUPERO]]/VLOOKUP(F34,$H:$I,2,0)</f>
        <v>0.21875</v>
      </c>
      <c r="F34" t="str">
        <f>D1_MARZO[[#This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P34" t="str">
        <f>IF(DATA_MARZO_2025[[#This Row],[ASER_]]="","",F28)</f>
        <v/>
      </c>
      <c r="Q34" t="str">
        <f>IF(DATA_MARZO_2025[[#This Row],[SUPERVISOR]]="","",D28)</f>
        <v/>
      </c>
      <c r="R34" t="str">
        <f>IF(DATA_MARZO_2025[[#This Row],[RECUPERO]]="","",VLOOKUP(DATA_MARZO_2025[[#This Row],[SUPERVISOR]],$H:$I,2,0))</f>
        <v/>
      </c>
    </row>
    <row r="35" spans="1:18" x14ac:dyDescent="0.25">
      <c r="A35" t="s">
        <v>2</v>
      </c>
      <c r="B35" t="str">
        <f t="shared" si="0"/>
        <v>GENESIS VICUNA</v>
      </c>
      <c r="C35" t="s">
        <v>12</v>
      </c>
      <c r="D35">
        <v>10891</v>
      </c>
      <c r="E35">
        <f>D1_MARZO[[#This Row],[RECUPERO]]/VLOOKUP(F35,$H:$I,2,0)</f>
        <v>0.45379166666666665</v>
      </c>
      <c r="F35" t="str">
        <f>D1_MARZO[[#This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IF(DATA_MARZO_2025[[#This Row],[ASER_]]="","",F29)</f>
        <v/>
      </c>
      <c r="Q35" t="str">
        <f>IF(DATA_MARZO_2025[[#This Row],[SUPERVISOR]]="","",D29)</f>
        <v/>
      </c>
      <c r="R35" t="str">
        <f>IF(DATA_MARZO_2025[[#This Row],[RECUPERO]]="","",VLOOKUP(DATA_MARZO_2025[[#This Row],[SUPERVISOR]],$H:$I,2,0))</f>
        <v/>
      </c>
    </row>
    <row r="36" spans="1:18" x14ac:dyDescent="0.25">
      <c r="A36" t="s">
        <v>2</v>
      </c>
      <c r="B36" t="str">
        <f t="shared" si="0"/>
        <v>GIANNINA AGUILAR</v>
      </c>
      <c r="C36" t="s">
        <v>32</v>
      </c>
      <c r="D36">
        <v>5470</v>
      </c>
      <c r="E36">
        <f>D1_MARZO[[#This Row],[RECUPERO]]/VLOOKUP(F36,$H:$I,2,0)</f>
        <v>0.22791666666666666</v>
      </c>
      <c r="F36" t="str">
        <f>D1_MARZO[[#This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IF(DATA_MARZO_2025[[#This Row],[ASER_]]="","",F30)</f>
        <v/>
      </c>
      <c r="Q36" t="str">
        <f>IF(DATA_MARZO_2025[[#This Row],[SUPERVISOR]]="","",D30)</f>
        <v/>
      </c>
      <c r="R36" t="str">
        <f>IF(DATA_MARZO_2025[[#This Row],[RECUPERO]]="","",VLOOKUP(DATA_MARZO_2025[[#This Row],[SUPERVISOR]],$H:$I,2,0))</f>
        <v/>
      </c>
    </row>
    <row r="37" spans="1:18" x14ac:dyDescent="0.25">
      <c r="A37" t="s">
        <v>2</v>
      </c>
      <c r="B37" t="str">
        <f t="shared" si="0"/>
        <v>HARLINGTON VIDAL</v>
      </c>
      <c r="C37" t="s">
        <v>134</v>
      </c>
      <c r="D37">
        <v>2655</v>
      </c>
      <c r="E37">
        <f>D1_MARZO[[#This Row],[RECUPERO]]/VLOOKUP(F37,$H:$I,2,0)</f>
        <v>0.110625</v>
      </c>
      <c r="F37" t="str">
        <f>D1_MARZO[[#This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IF(DATA_MARZO_2025[[#This Row],[ASER_]]="","",F31)</f>
        <v/>
      </c>
      <c r="Q37" t="str">
        <f>IF(DATA_MARZO_2025[[#This Row],[SUPERVISOR]]="","",D31)</f>
        <v/>
      </c>
      <c r="R37" t="str">
        <f>IF(DATA_MARZO_2025[[#This Row],[RECUPERO]]="","",VLOOKUP(DATA_MARZO_2025[[#This Row],[SUPERVISOR]],$H:$I,2,0))</f>
        <v/>
      </c>
    </row>
    <row r="38" spans="1:18" x14ac:dyDescent="0.25">
      <c r="A38" t="s">
        <v>2</v>
      </c>
      <c r="B38" t="str">
        <f t="shared" si="0"/>
        <v>JENY LAZARO</v>
      </c>
      <c r="C38" t="s">
        <v>26</v>
      </c>
      <c r="D38">
        <v>18701</v>
      </c>
      <c r="E38">
        <f>D1_MARZO[[#This Row],[RECUPERO]]/VLOOKUP(F38,$H:$I,2,0)</f>
        <v>0.77920833333333328</v>
      </c>
      <c r="F38" t="str">
        <f>D1_MARZO[[#This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IF(DATA_MARZO_2025[[#This Row],[ASER_]]="","",F32)</f>
        <v/>
      </c>
      <c r="Q38" t="str">
        <f>IF(DATA_MARZO_2025[[#This Row],[SUPERVISOR]]="","",D32)</f>
        <v/>
      </c>
      <c r="R38" t="str">
        <f>IF(DATA_MARZO_2025[[#This Row],[RECUPERO]]="","",VLOOKUP(DATA_MARZO_2025[[#This Row],[SUPERVISOR]],$H:$I,2,0))</f>
        <v/>
      </c>
    </row>
    <row r="39" spans="1:18" x14ac:dyDescent="0.25">
      <c r="A39" t="s">
        <v>2</v>
      </c>
      <c r="B39" t="str">
        <f t="shared" si="0"/>
        <v>JUAN ALANOCCA</v>
      </c>
      <c r="C39" t="s">
        <v>77</v>
      </c>
      <c r="D39">
        <v>10532</v>
      </c>
      <c r="E39">
        <f>D1_MARZO[[#This Row],[RECUPERO]]/VLOOKUP(F39,$H:$I,2,0)</f>
        <v>0.43883333333333335</v>
      </c>
      <c r="F39" t="str">
        <f>D1_MARZO[[#This Row],[SUPER]]</f>
        <v>JORGE</v>
      </c>
      <c r="L39">
        <v>1</v>
      </c>
      <c r="M39" s="1">
        <f t="shared" si="1"/>
        <v>0.25620833333333332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2"/>
        <v>CHRISTIAN ALVARADO</v>
      </c>
      <c r="P39" t="str">
        <f>IF(DATA_MARZO_2025[[#This Row],[ASER_]]="","",F33)</f>
        <v>JORGE</v>
      </c>
      <c r="Q39">
        <f>IF(DATA_MARZO_2025[[#This Row],[SUPERVISOR]]="","",D33)</f>
        <v>6149</v>
      </c>
      <c r="R39">
        <f>IF(DATA_MARZO_2025[[#This Row],[RECUPERO]]="","",VLOOKUP(DATA_MARZO_2025[[#This Row],[SUPERVISOR]],$H:$I,2,0))</f>
        <v>24000</v>
      </c>
    </row>
    <row r="40" spans="1:18" x14ac:dyDescent="0.25">
      <c r="A40" t="s">
        <v>2</v>
      </c>
      <c r="B40" t="str">
        <f t="shared" si="0"/>
        <v>NARDIA URPIS</v>
      </c>
      <c r="C40" t="s">
        <v>74</v>
      </c>
      <c r="D40">
        <v>10582</v>
      </c>
      <c r="E40">
        <f>D1_MARZO[[#This Row],[RECUPERO]]/VLOOKUP(F40,$H:$I,2,0)</f>
        <v>0.44091666666666668</v>
      </c>
      <c r="F40" t="str">
        <f>D1_MARZO[[#This Row],[SUPER]]</f>
        <v>JORGE</v>
      </c>
      <c r="L40">
        <v>2</v>
      </c>
      <c r="M40" s="1">
        <f t="shared" si="1"/>
        <v>0.21875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2"/>
        <v>FRANS TACSI</v>
      </c>
      <c r="P40" t="str">
        <f>IF(DATA_MARZO_2025[[#This Row],[ASER_]]="","",F34)</f>
        <v>JORGE</v>
      </c>
      <c r="Q40">
        <f>IF(DATA_MARZO_2025[[#This Row],[SUPERVISOR]]="","",D34)</f>
        <v>5250</v>
      </c>
      <c r="R40">
        <f>IF(DATA_MARZO_2025[[#This Row],[RECUPERO]]="","",VLOOKUP(DATA_MARZO_2025[[#This Row],[SUPERVISOR]],$H:$I,2,0))</f>
        <v>24000</v>
      </c>
    </row>
    <row r="41" spans="1:18" x14ac:dyDescent="0.25">
      <c r="A41" t="s">
        <v>2</v>
      </c>
      <c r="B41" t="str">
        <f t="shared" si="0"/>
        <v>URSULA CENTENO</v>
      </c>
      <c r="C41" t="s">
        <v>78</v>
      </c>
      <c r="D41">
        <v>8731</v>
      </c>
      <c r="E41">
        <f>D1_MARZO[[#This Row],[RECUPERO]]/VLOOKUP(F41,$H:$I,2,0)</f>
        <v>0.36379166666666668</v>
      </c>
      <c r="F41" t="str">
        <f>D1_MARZO[[#This Row],[SUPER]]</f>
        <v>JORGE</v>
      </c>
      <c r="L41">
        <v>3</v>
      </c>
      <c r="M41" s="1">
        <f t="shared" si="1"/>
        <v>0.45379166666666665</v>
      </c>
      <c r="N41" t="str" cm="1">
        <f t="array" ref="N41">IFERROR(_xlfn.IFS(M41&gt;100%,"&gt;100%",AND(M41&lt;100%,M41&gt;70%),"&gt;70%",AND(M41&lt;70%,M41&gt;40%),"&gt;40%",AND(M41&lt;40%,M41&gt;0%),"&gt;0%"),"")</f>
        <v>&gt;40%</v>
      </c>
      <c r="O41" t="str">
        <f t="shared" si="2"/>
        <v>GENESIS VICUNA</v>
      </c>
      <c r="P41" t="str">
        <f>IF(DATA_MARZO_2025[[#This Row],[ASER_]]="","",F35)</f>
        <v>JORGE</v>
      </c>
      <c r="Q41">
        <f>IF(DATA_MARZO_2025[[#This Row],[SUPERVISOR]]="","",D35)</f>
        <v>10891</v>
      </c>
      <c r="R41">
        <f>IF(DATA_MARZO_2025[[#This Row],[RECUPERO]]="","",VLOOKUP(DATA_MARZO_2025[[#This Row],[SUPERVISOR]],$H:$I,2,0))</f>
        <v>24000</v>
      </c>
    </row>
    <row r="42" spans="1:18" x14ac:dyDescent="0.25">
      <c r="A42" t="s">
        <v>2</v>
      </c>
      <c r="B42" t="str">
        <f t="shared" si="0"/>
        <v>YENNY INGA</v>
      </c>
      <c r="C42" t="s">
        <v>39</v>
      </c>
      <c r="D42">
        <v>7926</v>
      </c>
      <c r="E42">
        <f>D1_MARZO[[#This Row],[RECUPERO]]/VLOOKUP(F42,$H:$I,2,0)</f>
        <v>0.33024999999999999</v>
      </c>
      <c r="F42" t="str">
        <f>D1_MARZO[[#This Row],[SUPER]]</f>
        <v>JORGE</v>
      </c>
      <c r="L42">
        <v>4</v>
      </c>
      <c r="M42" s="1">
        <f t="shared" si="1"/>
        <v>0.22791666666666666</v>
      </c>
      <c r="N42" t="str" cm="1">
        <f t="array" ref="N42">IFERROR(_xlfn.IFS(M42&gt;100%,"&gt;100%",AND(M42&lt;100%,M42&gt;70%),"&gt;70%",AND(M42&lt;70%,M42&gt;40%),"&gt;40%",AND(M42&lt;40%,M42&gt;0%),"&gt;0%"),"")</f>
        <v>&gt;0%</v>
      </c>
      <c r="O42" t="str">
        <f t="shared" si="2"/>
        <v>GIANNINA AGUILAR</v>
      </c>
      <c r="P42" t="str">
        <f>IF(DATA_MARZO_2025[[#This Row],[ASER_]]="","",F36)</f>
        <v>JORGE</v>
      </c>
      <c r="Q42">
        <f>IF(DATA_MARZO_2025[[#This Row],[SUPERVISOR]]="","",D36)</f>
        <v>5470</v>
      </c>
      <c r="R42">
        <f>IF(DATA_MARZO_2025[[#This Row],[RECUPERO]]="","",VLOOKUP(DATA_MARZO_2025[[#This Row],[SUPERVISOR]],$H:$I,2,0))</f>
        <v>24000</v>
      </c>
    </row>
    <row r="43" spans="1:18" x14ac:dyDescent="0.25">
      <c r="A43" t="s">
        <v>2</v>
      </c>
      <c r="B43" t="str">
        <f t="shared" si="0"/>
        <v/>
      </c>
      <c r="E43">
        <f>D1_MARZO[[#This Row],[RECUPERO]]/VLOOKUP(F43,$H:$I,2,0)</f>
        <v>0</v>
      </c>
      <c r="F43" t="str">
        <f>D1_MARZO[[#This Row],[SUPER]]</f>
        <v>JORGE</v>
      </c>
      <c r="L43">
        <v>5</v>
      </c>
      <c r="M43" s="1">
        <f t="shared" si="1"/>
        <v>0.110625</v>
      </c>
      <c r="N43" t="str" cm="1">
        <f t="array" ref="N43">IFERROR(_xlfn.IFS(M43&gt;100%,"&gt;100%",AND(M43&lt;100%,M43&gt;70%),"&gt;70%",AND(M43&lt;70%,M43&gt;40%),"&gt;40%",AND(M43&lt;40%,M43&gt;0%),"&gt;0%"),"")</f>
        <v>&gt;0%</v>
      </c>
      <c r="O43" t="str">
        <f t="shared" si="2"/>
        <v>HARLINGTON VIDAL</v>
      </c>
      <c r="P43" t="str">
        <f>IF(DATA_MARZO_2025[[#This Row],[ASER_]]="","",F37)</f>
        <v>JORGE</v>
      </c>
      <c r="Q43">
        <f>IF(DATA_MARZO_2025[[#This Row],[SUPERVISOR]]="","",D37)</f>
        <v>2655</v>
      </c>
      <c r="R43">
        <f>IF(DATA_MARZO_2025[[#This Row],[RECUPERO]]="","",VLOOKUP(DATA_MARZO_2025[[#This Row],[SUPERVISOR]],$H:$I,2,0))</f>
        <v>24000</v>
      </c>
    </row>
    <row r="44" spans="1:18" x14ac:dyDescent="0.25">
      <c r="A44" t="s">
        <v>2</v>
      </c>
      <c r="B44" t="str">
        <f t="shared" si="0"/>
        <v/>
      </c>
      <c r="E44">
        <f>D1_MARZO[[#This Row],[RECUPERO]]/VLOOKUP(F44,$H:$I,2,0)</f>
        <v>0</v>
      </c>
      <c r="F44" t="str">
        <f>D1_MARZO[[#This Row],[SUPER]]</f>
        <v>JORGE</v>
      </c>
      <c r="L44">
        <v>6</v>
      </c>
      <c r="M44" s="1">
        <f t="shared" si="1"/>
        <v>0.77920833333333328</v>
      </c>
      <c r="N44" t="str" cm="1">
        <f t="array" ref="N44">IFERROR(_xlfn.IFS(M44&gt;100%,"&gt;100%",AND(M44&lt;100%,M44&gt;70%),"&gt;70%",AND(M44&lt;70%,M44&gt;40%),"&gt;40%",AND(M44&lt;40%,M44&gt;0%),"&gt;0%"),"")</f>
        <v>&gt;70%</v>
      </c>
      <c r="O44" t="str">
        <f t="shared" si="2"/>
        <v>JENY LAZARO</v>
      </c>
      <c r="P44" t="str">
        <f>IF(DATA_MARZO_2025[[#This Row],[ASER_]]="","",F38)</f>
        <v>JORGE</v>
      </c>
      <c r="Q44">
        <f>IF(DATA_MARZO_2025[[#This Row],[SUPERVISOR]]="","",D38)</f>
        <v>18701</v>
      </c>
      <c r="R44">
        <f>IF(DATA_MARZO_2025[[#This Row],[RECUPERO]]="","",VLOOKUP(DATA_MARZO_2025[[#This Row],[SUPERVISOR]],$H:$I,2,0))</f>
        <v>24000</v>
      </c>
    </row>
    <row r="45" spans="1:18" x14ac:dyDescent="0.25">
      <c r="A45" t="s">
        <v>2</v>
      </c>
      <c r="B45" t="str">
        <f t="shared" si="0"/>
        <v/>
      </c>
      <c r="E45">
        <f>D1_MARZO[[#This Row],[RECUPERO]]/VLOOKUP(F45,$H:$I,2,0)</f>
        <v>0</v>
      </c>
      <c r="F45" t="str">
        <f>D1_MARZO[[#This Row],[SUPER]]</f>
        <v>JORGE</v>
      </c>
      <c r="L45">
        <v>7</v>
      </c>
      <c r="M45" s="1">
        <f t="shared" si="1"/>
        <v>0.43883333333333335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2"/>
        <v>JUAN ALANOCCA</v>
      </c>
      <c r="P45" t="str">
        <f>IF(DATA_MARZO_2025[[#This Row],[ASER_]]="","",F39)</f>
        <v>JORGE</v>
      </c>
      <c r="Q45">
        <f>IF(DATA_MARZO_2025[[#This Row],[SUPERVISOR]]="","",D39)</f>
        <v>10532</v>
      </c>
      <c r="R45">
        <f>IF(DATA_MARZO_2025[[#This Row],[RECUPERO]]="","",VLOOKUP(DATA_MARZO_2025[[#This Row],[SUPERVISOR]],$H:$I,2,0))</f>
        <v>24000</v>
      </c>
    </row>
    <row r="46" spans="1:18" x14ac:dyDescent="0.25">
      <c r="A46" t="s">
        <v>2</v>
      </c>
      <c r="B46" t="str">
        <f t="shared" si="0"/>
        <v/>
      </c>
      <c r="E46">
        <f>D1_MARZO[[#This Row],[RECUPERO]]/VLOOKUP(F46,$H:$I,2,0)</f>
        <v>0</v>
      </c>
      <c r="F46" t="str">
        <f>D1_MARZO[[#This Row],[SUPER]]</f>
        <v>JORGE</v>
      </c>
      <c r="L46">
        <v>8</v>
      </c>
      <c r="M46" s="1">
        <f t="shared" si="1"/>
        <v>0.44091666666666668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2"/>
        <v>NARDIA URPIS</v>
      </c>
      <c r="P46" t="str">
        <f>IF(DATA_MARZO_2025[[#This Row],[ASER_]]="","",F40)</f>
        <v>JORGE</v>
      </c>
      <c r="Q46">
        <f>IF(DATA_MARZO_2025[[#This Row],[SUPERVISOR]]="","",D40)</f>
        <v>10582</v>
      </c>
      <c r="R46">
        <f>IF(DATA_MARZO_2025[[#This Row],[RECUPERO]]="","",VLOOKUP(DATA_MARZO_2025[[#This Row],[SUPERVISOR]],$H:$I,2,0))</f>
        <v>24000</v>
      </c>
    </row>
    <row r="47" spans="1:18" x14ac:dyDescent="0.25">
      <c r="A47" t="s">
        <v>2</v>
      </c>
      <c r="B47" t="str">
        <f t="shared" si="0"/>
        <v/>
      </c>
      <c r="E47">
        <f>D1_MARZO[[#This Row],[RECUPERO]]/VLOOKUP(F47,$H:$I,2,0)</f>
        <v>0</v>
      </c>
      <c r="F47" t="str">
        <f>D1_MARZO[[#This Row],[SUPER]]</f>
        <v>JORGE</v>
      </c>
      <c r="L47">
        <v>9</v>
      </c>
      <c r="M47" s="1">
        <f t="shared" si="1"/>
        <v>0.36379166666666668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URSULA CENTENO</v>
      </c>
      <c r="P47" t="str">
        <f>IF(DATA_MARZO_2025[[#This Row],[ASER_]]="","",F41)</f>
        <v>JORGE</v>
      </c>
      <c r="Q47">
        <f>IF(DATA_MARZO_2025[[#This Row],[SUPERVISOR]]="","",D41)</f>
        <v>8731</v>
      </c>
      <c r="R47">
        <f>IF(DATA_MARZO_2025[[#This Row],[RECUPERO]]="","",VLOOKUP(DATA_MARZO_2025[[#This Row],[SUPERVISOR]],$H:$I,2,0))</f>
        <v>24000</v>
      </c>
    </row>
    <row r="48" spans="1:18" x14ac:dyDescent="0.25">
      <c r="A48" t="s">
        <v>5</v>
      </c>
      <c r="B48" t="str">
        <f t="shared" si="0"/>
        <v>ANTHONY VICENTE</v>
      </c>
      <c r="C48" t="s">
        <v>85</v>
      </c>
      <c r="D48">
        <v>40658.5</v>
      </c>
      <c r="E48">
        <f>D1_MARZO[[#This Row],[RECUPERO]]/VLOOKUP(F48,$H:$I,2,0)</f>
        <v>0.65578225806451618</v>
      </c>
      <c r="F48" t="str">
        <f>D1_MARZO[[#This Row],[SUPER]]</f>
        <v>JORDAN</v>
      </c>
      <c r="L48">
        <v>10</v>
      </c>
      <c r="M48" s="1">
        <f t="shared" si="1"/>
        <v>0.33024999999999999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2"/>
        <v>YENNY INGA</v>
      </c>
      <c r="P48" t="str">
        <f>IF(DATA_MARZO_2025[[#This Row],[ASER_]]="","",F42)</f>
        <v>JORGE</v>
      </c>
      <c r="Q48">
        <f>IF(DATA_MARZO_2025[[#This Row],[SUPERVISOR]]="","",D42)</f>
        <v>7926</v>
      </c>
      <c r="R48">
        <f>IF(DATA_MARZO_2025[[#This Row],[RECUPERO]]="","",VLOOKUP(DATA_MARZO_2025[[#This Row],[SUPERVISOR]],$H:$I,2,0))</f>
        <v>24000</v>
      </c>
    </row>
    <row r="49" spans="1:18" x14ac:dyDescent="0.25">
      <c r="A49" t="s">
        <v>5</v>
      </c>
      <c r="B49" t="str">
        <f t="shared" si="0"/>
        <v>AURORA FAUSTOR</v>
      </c>
      <c r="C49" t="s">
        <v>67</v>
      </c>
      <c r="D49">
        <v>101796.099999999</v>
      </c>
      <c r="E49">
        <f>D1_MARZO[[#This Row],[RECUPERO]]/VLOOKUP(F49,$H:$I,2,0)</f>
        <v>1.6418725806451453</v>
      </c>
      <c r="F49" t="str">
        <f>D1_MARZO[[#This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  <c r="P49" t="str">
        <f>IF(DATA_MARZO_2025[[#This Row],[ASER_]]="","",F43)</f>
        <v/>
      </c>
      <c r="Q49" t="str">
        <f>IF(DATA_MARZO_2025[[#This Row],[SUPERVISOR]]="","",D43)</f>
        <v/>
      </c>
      <c r="R49" t="str">
        <f>IF(DATA_MARZO_2025[[#This Row],[RECUPERO]]="","",VLOOKUP(DATA_MARZO_2025[[#This Row],[SUPERVISOR]],$H:$I,2,0))</f>
        <v/>
      </c>
    </row>
    <row r="50" spans="1:18" x14ac:dyDescent="0.25">
      <c r="A50" t="s">
        <v>5</v>
      </c>
      <c r="B50" t="str">
        <f t="shared" si="0"/>
        <v>GIANFRANCO PINEDO</v>
      </c>
      <c r="C50" t="s">
        <v>13</v>
      </c>
      <c r="D50">
        <v>52171</v>
      </c>
      <c r="E50">
        <f>D1_MARZO[[#This Row],[RECUPERO]]/VLOOKUP(F50,$H:$I,2,0)</f>
        <v>0.8414677419354839</v>
      </c>
      <c r="F50" t="str">
        <f>D1_MARZO[[#This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  <c r="P50" t="str">
        <f>IF(DATA_MARZO_2025[[#This Row],[ASER_]]="","",F44)</f>
        <v/>
      </c>
      <c r="Q50" t="str">
        <f>IF(DATA_MARZO_2025[[#This Row],[SUPERVISOR]]="","",D44)</f>
        <v/>
      </c>
      <c r="R50" t="str">
        <f>IF(DATA_MARZO_2025[[#This Row],[RECUPERO]]="","",VLOOKUP(DATA_MARZO_2025[[#This Row],[SUPERVISOR]],$H:$I,2,0))</f>
        <v/>
      </c>
    </row>
    <row r="51" spans="1:18" x14ac:dyDescent="0.25">
      <c r="A51" t="s">
        <v>5</v>
      </c>
      <c r="B51" t="str">
        <f t="shared" si="0"/>
        <v>GILBERTO PURIZACA</v>
      </c>
      <c r="C51" t="s">
        <v>66</v>
      </c>
      <c r="D51">
        <v>59491.85</v>
      </c>
      <c r="E51">
        <f>D1_MARZO[[#This Row],[RECUPERO]]/VLOOKUP(F51,$H:$I,2,0)</f>
        <v>0.95954596774193546</v>
      </c>
      <c r="F51" t="str">
        <f>D1_MARZO[[#This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IF(DATA_MARZO_2025[[#This Row],[ASER_]]="","",F45)</f>
        <v/>
      </c>
      <c r="Q51" t="str">
        <f>IF(DATA_MARZO_2025[[#This Row],[SUPERVISOR]]="","",D45)</f>
        <v/>
      </c>
      <c r="R51" t="str">
        <f>IF(DATA_MARZO_2025[[#This Row],[RECUPERO]]="","",VLOOKUP(DATA_MARZO_2025[[#This Row],[SUPERVISOR]],$H:$I,2,0))</f>
        <v/>
      </c>
    </row>
    <row r="52" spans="1:18" x14ac:dyDescent="0.25">
      <c r="A52" t="s">
        <v>5</v>
      </c>
      <c r="B52" t="str">
        <f t="shared" si="0"/>
        <v>JERSON RIVERA</v>
      </c>
      <c r="C52" t="s">
        <v>123</v>
      </c>
      <c r="D52">
        <v>0</v>
      </c>
      <c r="E52">
        <f>D1_MARZO[[#This Row],[RECUPERO]]/VLOOKUP(F52,$H:$I,2,0)</f>
        <v>0</v>
      </c>
      <c r="F52" t="str">
        <f>D1_MARZO[[#This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IF(DATA_MARZO_2025[[#This Row],[ASER_]]="","",F46)</f>
        <v/>
      </c>
      <c r="Q52" t="str">
        <f>IF(DATA_MARZO_2025[[#This Row],[SUPERVISOR]]="","",D46)</f>
        <v/>
      </c>
      <c r="R52" t="str">
        <f>IF(DATA_MARZO_2025[[#This Row],[RECUPERO]]="","",VLOOKUP(DATA_MARZO_2025[[#This Row],[SUPERVISOR]],$H:$I,2,0))</f>
        <v/>
      </c>
    </row>
    <row r="53" spans="1:18" x14ac:dyDescent="0.25">
      <c r="A53" t="s">
        <v>5</v>
      </c>
      <c r="B53" t="str">
        <f t="shared" si="0"/>
        <v>JOANA GIL</v>
      </c>
      <c r="C53" t="s">
        <v>111</v>
      </c>
      <c r="D53">
        <v>29130</v>
      </c>
      <c r="E53">
        <f>D1_MARZO[[#This Row],[RECUPERO]]/VLOOKUP(F53,$H:$I,2,0)</f>
        <v>0.46983870967741936</v>
      </c>
      <c r="F53" t="str">
        <f>D1_MARZO[[#This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IF(DATA_MARZO_2025[[#This Row],[ASER_]]="","",F47)</f>
        <v/>
      </c>
      <c r="Q53" t="str">
        <f>IF(DATA_MARZO_2025[[#This Row],[SUPERVISOR]]="","",D47)</f>
        <v/>
      </c>
      <c r="R53" t="str">
        <f>IF(DATA_MARZO_2025[[#This Row],[RECUPERO]]="","",VLOOKUP(DATA_MARZO_2025[[#This Row],[SUPERVISOR]],$H:$I,2,0))</f>
        <v/>
      </c>
    </row>
    <row r="54" spans="1:18" x14ac:dyDescent="0.25">
      <c r="A54" t="s">
        <v>5</v>
      </c>
      <c r="B54" t="str">
        <f t="shared" si="0"/>
        <v>MARGARITA PIANCHACHI</v>
      </c>
      <c r="C54" t="s">
        <v>17</v>
      </c>
      <c r="D54">
        <v>30154.1</v>
      </c>
      <c r="E54">
        <f>D1_MARZO[[#This Row],[RECUPERO]]/VLOOKUP(F54,$H:$I,2,0)</f>
        <v>0.4863564516129032</v>
      </c>
      <c r="F54" t="str">
        <f>D1_MARZO[[#This Row],[SUPER]]</f>
        <v>JORDAN</v>
      </c>
      <c r="L54">
        <v>1</v>
      </c>
      <c r="M54" s="1">
        <f t="shared" si="1"/>
        <v>0.65578225806451618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ANTHONY VICENTE</v>
      </c>
      <c r="P54" t="str">
        <f>IF(DATA_MARZO_2025[[#This Row],[ASER_]]="","",F48)</f>
        <v>JORDAN</v>
      </c>
      <c r="Q54">
        <f>IF(DATA_MARZO_2025[[#This Row],[SUPERVISOR]]="","",D48)</f>
        <v>40658.5</v>
      </c>
      <c r="R54">
        <f>IF(DATA_MARZO_2025[[#This Row],[RECUPERO]]="","",VLOOKUP(DATA_MARZO_2025[[#This Row],[SUPERVISOR]],$H:$I,2,0))</f>
        <v>62000</v>
      </c>
    </row>
    <row r="55" spans="1:18" x14ac:dyDescent="0.25">
      <c r="A55" t="s">
        <v>5</v>
      </c>
      <c r="B55" t="str">
        <f t="shared" si="0"/>
        <v>MELISSA GUERRERO</v>
      </c>
      <c r="C55" t="s">
        <v>62</v>
      </c>
      <c r="D55">
        <v>47302.09</v>
      </c>
      <c r="E55">
        <f>D1_MARZO[[#This Row],[RECUPERO]]/VLOOKUP(F55,$H:$I,2,0)</f>
        <v>0.76293693548387087</v>
      </c>
      <c r="F55" t="str">
        <f>D1_MARZO[[#This Row],[SUPER]]</f>
        <v>JORDAN</v>
      </c>
      <c r="L55">
        <v>2</v>
      </c>
      <c r="M55" s="1">
        <f t="shared" si="1"/>
        <v>1.6418725806451453</v>
      </c>
      <c r="N55" t="str" cm="1">
        <f t="array" ref="N55">IFERROR(_xlfn.IFS(M55&gt;100%,"&gt;100%",AND(M55&lt;100%,M55&gt;70%),"&gt;70%",AND(M55&lt;70%,M55&gt;40%),"&gt;40%",AND(M55&lt;40%,M55&gt;0%),"&gt;0%"),"")</f>
        <v>&gt;100%</v>
      </c>
      <c r="O55" t="str">
        <f t="shared" si="2"/>
        <v>AURORA FAUSTOR</v>
      </c>
      <c r="P55" t="str">
        <f>IF(DATA_MARZO_2025[[#This Row],[ASER_]]="","",F49)</f>
        <v>JORDAN</v>
      </c>
      <c r="Q55">
        <f>IF(DATA_MARZO_2025[[#This Row],[SUPERVISOR]]="","",D49)</f>
        <v>101796.099999999</v>
      </c>
      <c r="R55">
        <f>IF(DATA_MARZO_2025[[#This Row],[RECUPERO]]="","",VLOOKUP(DATA_MARZO_2025[[#This Row],[SUPERVISOR]],$H:$I,2,0))</f>
        <v>62000</v>
      </c>
    </row>
    <row r="56" spans="1:18" x14ac:dyDescent="0.25">
      <c r="A56" t="s">
        <v>5</v>
      </c>
      <c r="B56" t="str">
        <f t="shared" si="0"/>
        <v>NATALIA MARIN</v>
      </c>
      <c r="C56" t="s">
        <v>79</v>
      </c>
      <c r="D56">
        <v>56526</v>
      </c>
      <c r="E56">
        <f>D1_MARZO[[#This Row],[RECUPERO]]/VLOOKUP(F56,$H:$I,2,0)</f>
        <v>0.91170967741935482</v>
      </c>
      <c r="F56" t="str">
        <f>D1_MARZO[[#This Row],[SUPER]]</f>
        <v>JORDAN</v>
      </c>
      <c r="L56">
        <v>3</v>
      </c>
      <c r="M56" s="1">
        <f t="shared" si="1"/>
        <v>0.8414677419354839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GIANFRANCO PINEDO</v>
      </c>
      <c r="P56" t="str">
        <f>IF(DATA_MARZO_2025[[#This Row],[ASER_]]="","",F50)</f>
        <v>JORDAN</v>
      </c>
      <c r="Q56">
        <f>IF(DATA_MARZO_2025[[#This Row],[SUPERVISOR]]="","",D50)</f>
        <v>52171</v>
      </c>
      <c r="R56">
        <f>IF(DATA_MARZO_2025[[#This Row],[RECUPERO]]="","",VLOOKUP(DATA_MARZO_2025[[#This Row],[SUPERVISOR]],$H:$I,2,0))</f>
        <v>62000</v>
      </c>
    </row>
    <row r="57" spans="1:18" x14ac:dyDescent="0.25">
      <c r="A57" t="s">
        <v>5</v>
      </c>
      <c r="B57" t="str">
        <f t="shared" si="0"/>
        <v/>
      </c>
      <c r="E57">
        <f>D1_MARZO[[#This Row],[RECUPERO]]/VLOOKUP(F57,$H:$I,2,0)</f>
        <v>0</v>
      </c>
      <c r="F57" t="str">
        <f>D1_MARZO[[#This Row],[SUPER]]</f>
        <v>JORDAN</v>
      </c>
      <c r="L57">
        <v>4</v>
      </c>
      <c r="M57" s="1">
        <f t="shared" si="1"/>
        <v>0.95954596774193546</v>
      </c>
      <c r="N57" t="str" cm="1">
        <f t="array" ref="N57">IFERROR(_xlfn.IFS(M57&gt;100%,"&gt;100%",AND(M57&lt;100%,M57&gt;70%),"&gt;70%",AND(M57&lt;70%,M57&gt;40%),"&gt;40%",AND(M57&lt;40%,M57&gt;0%),"&gt;0%"),"")</f>
        <v>&gt;70%</v>
      </c>
      <c r="O57" t="str">
        <f t="shared" si="2"/>
        <v>GILBERTO PURIZACA</v>
      </c>
      <c r="P57" t="str">
        <f>IF(DATA_MARZO_2025[[#This Row],[ASER_]]="","",F51)</f>
        <v>JORDAN</v>
      </c>
      <c r="Q57">
        <f>IF(DATA_MARZO_2025[[#This Row],[SUPERVISOR]]="","",D51)</f>
        <v>59491.85</v>
      </c>
      <c r="R57">
        <f>IF(DATA_MARZO_2025[[#This Row],[RECUPERO]]="","",VLOOKUP(DATA_MARZO_2025[[#This Row],[SUPERVISOR]],$H:$I,2,0))</f>
        <v>62000</v>
      </c>
    </row>
    <row r="58" spans="1:18" x14ac:dyDescent="0.25">
      <c r="A58" t="s">
        <v>5</v>
      </c>
      <c r="B58" t="str">
        <f t="shared" si="0"/>
        <v/>
      </c>
      <c r="E58">
        <f>D1_MARZO[[#This Row],[RECUPERO]]/VLOOKUP(F58,$H:$I,2,0)</f>
        <v>0</v>
      </c>
      <c r="F58" t="str">
        <f>D1_MARZO[[#This Row],[SUPER]]</f>
        <v>JORDAN</v>
      </c>
      <c r="L58">
        <v>5</v>
      </c>
      <c r="M58" s="1">
        <f t="shared" si="1"/>
        <v>0</v>
      </c>
      <c r="N58" t="str" cm="1">
        <f t="array" ref="N58">IFERROR(_xlfn.IFS(M58&gt;100%,"&gt;100%",AND(M58&lt;100%,M58&gt;70%),"&gt;70%",AND(M58&lt;70%,M58&gt;40%),"&gt;40%",AND(M58&lt;40%,M58&gt;0%),"&gt;0%"),"")</f>
        <v/>
      </c>
      <c r="O58" t="str">
        <f t="shared" si="2"/>
        <v>JERSON RIVERA</v>
      </c>
      <c r="P58" t="str">
        <f>IF(DATA_MARZO_2025[[#This Row],[ASER_]]="","",F52)</f>
        <v>JORDAN</v>
      </c>
      <c r="Q58">
        <f>IF(DATA_MARZO_2025[[#This Row],[SUPERVISOR]]="","",D52)</f>
        <v>0</v>
      </c>
      <c r="R58">
        <f>IF(DATA_MARZO_2025[[#This Row],[RECUPERO]]="","",VLOOKUP(DATA_MARZO_2025[[#This Row],[SUPERVISOR]],$H:$I,2,0))</f>
        <v>62000</v>
      </c>
    </row>
    <row r="59" spans="1:18" x14ac:dyDescent="0.25">
      <c r="A59" t="s">
        <v>5</v>
      </c>
      <c r="B59" t="str">
        <f t="shared" si="0"/>
        <v/>
      </c>
      <c r="E59">
        <f>D1_MARZO[[#This Row],[RECUPERO]]/VLOOKUP(F59,$H:$I,2,0)</f>
        <v>0</v>
      </c>
      <c r="F59" t="str">
        <f>D1_MARZO[[#This Row],[SUPER]]</f>
        <v>JORDAN</v>
      </c>
      <c r="L59">
        <v>6</v>
      </c>
      <c r="M59" s="1">
        <f t="shared" si="1"/>
        <v>0.46983870967741936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JOANA GIL</v>
      </c>
      <c r="P59" t="str">
        <f>IF(DATA_MARZO_2025[[#This Row],[ASER_]]="","",F53)</f>
        <v>JORDAN</v>
      </c>
      <c r="Q59">
        <f>IF(DATA_MARZO_2025[[#This Row],[SUPERVISOR]]="","",D53)</f>
        <v>29130</v>
      </c>
      <c r="R59">
        <f>IF(DATA_MARZO_2025[[#This Row],[RECUPERO]]="","",VLOOKUP(DATA_MARZO_2025[[#This Row],[SUPERVISOR]],$H:$I,2,0))</f>
        <v>62000</v>
      </c>
    </row>
    <row r="60" spans="1:18" x14ac:dyDescent="0.25">
      <c r="A60" t="s">
        <v>5</v>
      </c>
      <c r="B60" t="str">
        <f t="shared" si="0"/>
        <v/>
      </c>
      <c r="E60">
        <f>D1_MARZO[[#This Row],[RECUPERO]]/VLOOKUP(F60,$H:$I,2,0)</f>
        <v>0</v>
      </c>
      <c r="F60" t="str">
        <f>D1_MARZO[[#This Row],[SUPER]]</f>
        <v>JORDAN</v>
      </c>
      <c r="L60">
        <v>7</v>
      </c>
      <c r="M60" s="1">
        <f t="shared" si="1"/>
        <v>0.4863564516129032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MARGARITA PIANCHACHI</v>
      </c>
      <c r="P60" t="str">
        <f>IF(DATA_MARZO_2025[[#This Row],[ASER_]]="","",F54)</f>
        <v>JORDAN</v>
      </c>
      <c r="Q60">
        <f>IF(DATA_MARZO_2025[[#This Row],[SUPERVISOR]]="","",D54)</f>
        <v>30154.1</v>
      </c>
      <c r="R60">
        <f>IF(DATA_MARZO_2025[[#This Row],[RECUPERO]]="","",VLOOKUP(DATA_MARZO_2025[[#This Row],[SUPERVISOR]],$H:$I,2,0))</f>
        <v>62000</v>
      </c>
    </row>
    <row r="61" spans="1:18" x14ac:dyDescent="0.25">
      <c r="A61" t="s">
        <v>5</v>
      </c>
      <c r="B61" t="str">
        <f t="shared" si="0"/>
        <v/>
      </c>
      <c r="E61">
        <f>D1_MARZO[[#This Row],[RECUPERO]]/VLOOKUP(F61,$H:$I,2,0)</f>
        <v>0</v>
      </c>
      <c r="F61" t="str">
        <f>D1_MARZO[[#This Row],[SUPER]]</f>
        <v>JORDAN</v>
      </c>
      <c r="L61">
        <v>8</v>
      </c>
      <c r="M61" s="1">
        <f t="shared" si="1"/>
        <v>0.76293693548387087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MELISSA GUERRERO</v>
      </c>
      <c r="P61" t="str">
        <f>IF(DATA_MARZO_2025[[#This Row],[ASER_]]="","",F55)</f>
        <v>JORDAN</v>
      </c>
      <c r="Q61">
        <f>IF(DATA_MARZO_2025[[#This Row],[SUPERVISOR]]="","",D55)</f>
        <v>47302.09</v>
      </c>
      <c r="R61">
        <f>IF(DATA_MARZO_2025[[#This Row],[RECUPERO]]="","",VLOOKUP(DATA_MARZO_2025[[#This Row],[SUPERVISOR]],$H:$I,2,0))</f>
        <v>62000</v>
      </c>
    </row>
    <row r="62" spans="1:18" x14ac:dyDescent="0.25">
      <c r="A62" t="s">
        <v>5</v>
      </c>
      <c r="B62" t="str">
        <f t="shared" si="0"/>
        <v/>
      </c>
      <c r="E62">
        <f>D1_MARZO[[#This Row],[RECUPERO]]/VLOOKUP(F62,$H:$I,2,0)</f>
        <v>0</v>
      </c>
      <c r="F62" t="str">
        <f>D1_MARZO[[#This Row],[SUPER]]</f>
        <v>JORDAN</v>
      </c>
      <c r="L62">
        <v>9</v>
      </c>
      <c r="M62" s="1">
        <f t="shared" si="1"/>
        <v>0.91170967741935482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2"/>
        <v>NATALIA MARIN</v>
      </c>
      <c r="P62" t="str">
        <f>IF(DATA_MARZO_2025[[#This Row],[ASER_]]="","",F56)</f>
        <v>JORDAN</v>
      </c>
      <c r="Q62">
        <f>IF(DATA_MARZO_2025[[#This Row],[SUPERVISOR]]="","",D56)</f>
        <v>56526</v>
      </c>
      <c r="R62">
        <f>IF(DATA_MARZO_2025[[#This Row],[RECUPERO]]="","",VLOOKUP(DATA_MARZO_2025[[#This Row],[SUPERVISOR]],$H:$I,2,0))</f>
        <v>62000</v>
      </c>
    </row>
    <row r="63" spans="1:18" x14ac:dyDescent="0.25">
      <c r="A63" t="s">
        <v>6</v>
      </c>
      <c r="B63" t="str">
        <f t="shared" si="0"/>
        <v>BRYAN VELASQUEZ</v>
      </c>
      <c r="C63" t="s">
        <v>125</v>
      </c>
      <c r="D63">
        <v>22900</v>
      </c>
      <c r="E63">
        <f>D1_MARZO[[#This Row],[RECUPERO]]/VLOOKUP(F63,$H:$I,2,0)</f>
        <v>1.0904761904761904</v>
      </c>
      <c r="F63" t="str">
        <f>D1_MARZO[[#This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  <c r="P63" t="str">
        <f>IF(DATA_MARZO_2025[[#This Row],[ASER_]]="","",F57)</f>
        <v/>
      </c>
      <c r="Q63" t="str">
        <f>IF(DATA_MARZO_2025[[#This Row],[SUPERVISOR]]="","",D57)</f>
        <v/>
      </c>
      <c r="R63" t="str">
        <f>IF(DATA_MARZO_2025[[#This Row],[RECUPERO]]="","",VLOOKUP(DATA_MARZO_2025[[#This Row],[SUPERVISOR]],$H:$I,2,0))</f>
        <v/>
      </c>
    </row>
    <row r="64" spans="1:18" x14ac:dyDescent="0.25">
      <c r="A64" t="s">
        <v>6</v>
      </c>
      <c r="B64" t="str">
        <f t="shared" si="0"/>
        <v>CARMEN PUMA</v>
      </c>
      <c r="C64" t="s">
        <v>19</v>
      </c>
      <c r="D64">
        <v>38092</v>
      </c>
      <c r="E64">
        <f>D1_MARZO[[#This Row],[RECUPERO]]/VLOOKUP(F64,$H:$I,2,0)</f>
        <v>1.8139047619047619</v>
      </c>
      <c r="F64" t="str">
        <f>D1_MARZO[[#This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  <c r="P64" t="str">
        <f>IF(DATA_MARZO_2025[[#This Row],[ASER_]]="","",F58)</f>
        <v/>
      </c>
      <c r="Q64" t="str">
        <f>IF(DATA_MARZO_2025[[#This Row],[SUPERVISOR]]="","",D58)</f>
        <v/>
      </c>
      <c r="R64" t="str">
        <f>IF(DATA_MARZO_2025[[#This Row],[RECUPERO]]="","",VLOOKUP(DATA_MARZO_2025[[#This Row],[SUPERVISOR]],$H:$I,2,0))</f>
        <v/>
      </c>
    </row>
    <row r="65" spans="1:18" x14ac:dyDescent="0.25">
      <c r="A65" t="s">
        <v>6</v>
      </c>
      <c r="B65" t="str">
        <f t="shared" si="0"/>
        <v>DAVID SANCHEZ</v>
      </c>
      <c r="C65" t="s">
        <v>81</v>
      </c>
      <c r="D65">
        <v>15567</v>
      </c>
      <c r="E65">
        <f>D1_MARZO[[#This Row],[RECUPERO]]/VLOOKUP(F65,$H:$I,2,0)</f>
        <v>0.74128571428571433</v>
      </c>
      <c r="F65" t="str">
        <f>D1_MARZO[[#This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  <c r="P65" t="str">
        <f>IF(DATA_MARZO_2025[[#This Row],[ASER_]]="","",F59)</f>
        <v/>
      </c>
      <c r="Q65" t="str">
        <f>IF(DATA_MARZO_2025[[#This Row],[SUPERVISOR]]="","",D59)</f>
        <v/>
      </c>
      <c r="R65" t="str">
        <f>IF(DATA_MARZO_2025[[#This Row],[RECUPERO]]="","",VLOOKUP(DATA_MARZO_2025[[#This Row],[SUPERVISOR]],$H:$I,2,0))</f>
        <v/>
      </c>
    </row>
    <row r="66" spans="1:18" x14ac:dyDescent="0.25">
      <c r="A66" t="s">
        <v>6</v>
      </c>
      <c r="B66" t="str">
        <f t="shared" si="0"/>
        <v>JIMENA MEDINA</v>
      </c>
      <c r="C66" t="s">
        <v>37</v>
      </c>
      <c r="D66">
        <v>5880</v>
      </c>
      <c r="E66">
        <f>D1_MARZO[[#This Row],[RECUPERO]]/VLOOKUP(F66,$H:$I,2,0)</f>
        <v>0.28000000000000003</v>
      </c>
      <c r="F66" t="str">
        <f>D1_MARZO[[#This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  <c r="P66" t="str">
        <f>IF(DATA_MARZO_2025[[#This Row],[ASER_]]="","",F60)</f>
        <v/>
      </c>
      <c r="Q66" t="str">
        <f>IF(DATA_MARZO_2025[[#This Row],[SUPERVISOR]]="","",D60)</f>
        <v/>
      </c>
      <c r="R66" t="str">
        <f>IF(DATA_MARZO_2025[[#This Row],[RECUPERO]]="","",VLOOKUP(DATA_MARZO_2025[[#This Row],[SUPERVISOR]],$H:$I,2,0))</f>
        <v/>
      </c>
    </row>
    <row r="67" spans="1:18" x14ac:dyDescent="0.25">
      <c r="A67" t="s">
        <v>6</v>
      </c>
      <c r="B67" t="str">
        <f t="shared" si="0"/>
        <v>JUAN LOZA</v>
      </c>
      <c r="C67" t="s">
        <v>35</v>
      </c>
      <c r="D67">
        <v>9790</v>
      </c>
      <c r="E67">
        <f>D1_MARZO[[#This Row],[RECUPERO]]/VLOOKUP(F67,$H:$I,2,0)</f>
        <v>0.46619047619047621</v>
      </c>
      <c r="F67" t="str">
        <f>D1_MARZO[[#This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IF(DATA_MARZO_2025[[#This Row],[ASER_]]="","",F61)</f>
        <v/>
      </c>
      <c r="Q67" t="str">
        <f>IF(DATA_MARZO_2025[[#This Row],[SUPERVISOR]]="","",D61)</f>
        <v/>
      </c>
      <c r="R67" t="str">
        <f>IF(DATA_MARZO_2025[[#This Row],[RECUPERO]]="","",VLOOKUP(DATA_MARZO_2025[[#This Row],[SUPERVISOR]],$H:$I,2,0))</f>
        <v/>
      </c>
    </row>
    <row r="68" spans="1:18" x14ac:dyDescent="0.25">
      <c r="A68" t="s">
        <v>6</v>
      </c>
      <c r="B68" t="str">
        <f t="shared" ref="B68:B107" si="3">TRIM(C68)</f>
        <v>LUIS CENTENO</v>
      </c>
      <c r="C68" t="s">
        <v>31</v>
      </c>
      <c r="D68">
        <v>0</v>
      </c>
      <c r="E68">
        <f>D1_MARZO[[#This Row],[RECUPERO]]/VLOOKUP(F68,$H:$I,2,0)</f>
        <v>0</v>
      </c>
      <c r="F68" t="str">
        <f>D1_MARZO[[#This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IF(DATA_MARZO_2025[[#This Row],[ASER_]]="","",F62)</f>
        <v/>
      </c>
      <c r="Q68" t="str">
        <f>IF(DATA_MARZO_2025[[#This Row],[SUPERVISOR]]="","",D62)</f>
        <v/>
      </c>
      <c r="R68" t="str">
        <f>IF(DATA_MARZO_2025[[#This Row],[RECUPERO]]="","",VLOOKUP(DATA_MARZO_2025[[#This Row],[SUPERVISOR]],$H:$I,2,0))</f>
        <v/>
      </c>
    </row>
    <row r="69" spans="1:18" x14ac:dyDescent="0.25">
      <c r="A69" t="s">
        <v>6</v>
      </c>
      <c r="B69" t="str">
        <f t="shared" si="3"/>
        <v>MARCO SARMIENTO</v>
      </c>
      <c r="C69" t="s">
        <v>117</v>
      </c>
      <c r="D69">
        <v>9420</v>
      </c>
      <c r="E69">
        <f>D1_MARZO[[#This Row],[RECUPERO]]/VLOOKUP(F69,$H:$I,2,0)</f>
        <v>0.44857142857142857</v>
      </c>
      <c r="F69" t="str">
        <f>D1_MARZO[[#This Row],[SUPER]]</f>
        <v>KENNETH</v>
      </c>
      <c r="L69">
        <v>1</v>
      </c>
      <c r="M69" s="1">
        <f t="shared" si="1"/>
        <v>1.0904761904761904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2"/>
        <v>BRYAN VELASQUEZ</v>
      </c>
      <c r="P69" t="str">
        <f>IF(DATA_MARZO_2025[[#This Row],[ASER_]]="","",F63)</f>
        <v>KENNETH</v>
      </c>
      <c r="Q69">
        <f>IF(DATA_MARZO_2025[[#This Row],[SUPERVISOR]]="","",D63)</f>
        <v>22900</v>
      </c>
      <c r="R69">
        <f>IF(DATA_MARZO_2025[[#This Row],[RECUPERO]]="","",VLOOKUP(DATA_MARZO_2025[[#This Row],[SUPERVISOR]],$H:$I,2,0))</f>
        <v>21000</v>
      </c>
    </row>
    <row r="70" spans="1:18" x14ac:dyDescent="0.25">
      <c r="A70" t="s">
        <v>6</v>
      </c>
      <c r="B70" t="str">
        <f t="shared" si="3"/>
        <v>MARIA GONZALES</v>
      </c>
      <c r="C70" t="s">
        <v>126</v>
      </c>
      <c r="D70">
        <v>15430</v>
      </c>
      <c r="E70">
        <f>D1_MARZO[[#This Row],[RECUPERO]]/VLOOKUP(F70,$H:$I,2,0)</f>
        <v>0.73476190476190473</v>
      </c>
      <c r="F70" t="str">
        <f>D1_MARZO[[#This Row],[SUPER]]</f>
        <v>KENNETH</v>
      </c>
      <c r="L70">
        <v>2</v>
      </c>
      <c r="M70" s="1">
        <f t="shared" si="1"/>
        <v>1.8139047619047619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2"/>
        <v>CARMEN PUMA</v>
      </c>
      <c r="P70" t="str">
        <f>IF(DATA_MARZO_2025[[#This Row],[ASER_]]="","",F64)</f>
        <v>KENNETH</v>
      </c>
      <c r="Q70">
        <f>IF(DATA_MARZO_2025[[#This Row],[SUPERVISOR]]="","",D64)</f>
        <v>38092</v>
      </c>
      <c r="R70">
        <f>IF(DATA_MARZO_2025[[#This Row],[RECUPERO]]="","",VLOOKUP(DATA_MARZO_2025[[#This Row],[SUPERVISOR]],$H:$I,2,0))</f>
        <v>21000</v>
      </c>
    </row>
    <row r="71" spans="1:18" x14ac:dyDescent="0.25">
      <c r="A71" t="s">
        <v>6</v>
      </c>
      <c r="B71" t="str">
        <f t="shared" si="3"/>
        <v>MAURICIO MARTINEZ</v>
      </c>
      <c r="C71" t="s">
        <v>127</v>
      </c>
      <c r="D71">
        <v>21650</v>
      </c>
      <c r="E71">
        <f>D1_MARZO[[#This Row],[RECUPERO]]/VLOOKUP(F71,$H:$I,2,0)</f>
        <v>1.0309523809523808</v>
      </c>
      <c r="F71" t="str">
        <f>D1_MARZO[[#This Row],[SUPER]]</f>
        <v>KENNETH</v>
      </c>
      <c r="L71">
        <v>3</v>
      </c>
      <c r="M71" s="1">
        <f t="shared" si="1"/>
        <v>0.74128571428571433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2"/>
        <v>DAVID SANCHEZ</v>
      </c>
      <c r="P71" t="str">
        <f>IF(DATA_MARZO_2025[[#This Row],[ASER_]]="","",F65)</f>
        <v>KENNETH</v>
      </c>
      <c r="Q71">
        <f>IF(DATA_MARZO_2025[[#This Row],[SUPERVISOR]]="","",D65)</f>
        <v>15567</v>
      </c>
      <c r="R71">
        <f>IF(DATA_MARZO_2025[[#This Row],[RECUPERO]]="","",VLOOKUP(DATA_MARZO_2025[[#This Row],[SUPERVISOR]],$H:$I,2,0))</f>
        <v>21000</v>
      </c>
    </row>
    <row r="72" spans="1:18" x14ac:dyDescent="0.25">
      <c r="A72" t="s">
        <v>6</v>
      </c>
      <c r="B72" t="str">
        <f t="shared" si="3"/>
        <v>MEDALITH NESTARES</v>
      </c>
      <c r="C72" t="s">
        <v>36</v>
      </c>
      <c r="D72">
        <v>5480</v>
      </c>
      <c r="E72">
        <f>D1_MARZO[[#This Row],[RECUPERO]]/VLOOKUP(F72,$H:$I,2,0)</f>
        <v>0.26095238095238094</v>
      </c>
      <c r="F72" t="str">
        <f>D1_MARZO[[#This Row],[SUPER]]</f>
        <v>KENNETH</v>
      </c>
      <c r="L72">
        <v>4</v>
      </c>
      <c r="M72" s="1">
        <f t="shared" si="1"/>
        <v>0.28000000000000003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JIMENA MEDINA</v>
      </c>
      <c r="P72" t="str">
        <f>IF(DATA_MARZO_2025[[#This Row],[ASER_]]="","",F66)</f>
        <v>KENNETH</v>
      </c>
      <c r="Q72">
        <f>IF(DATA_MARZO_2025[[#This Row],[SUPERVISOR]]="","",D66)</f>
        <v>5880</v>
      </c>
      <c r="R72">
        <f>IF(DATA_MARZO_2025[[#This Row],[RECUPERO]]="","",VLOOKUP(DATA_MARZO_2025[[#This Row],[SUPERVISOR]],$H:$I,2,0))</f>
        <v>21000</v>
      </c>
    </row>
    <row r="73" spans="1:18" x14ac:dyDescent="0.25">
      <c r="A73" t="s">
        <v>6</v>
      </c>
      <c r="B73" t="str">
        <f t="shared" si="3"/>
        <v>ROGGER RODRIGUEZ</v>
      </c>
      <c r="C73" t="s">
        <v>135</v>
      </c>
      <c r="D73">
        <v>3700</v>
      </c>
      <c r="E73">
        <f>D1_MARZO[[#This Row],[RECUPERO]]/VLOOKUP(F73,$H:$I,2,0)</f>
        <v>0.1761904761904762</v>
      </c>
      <c r="F73" t="str">
        <f>D1_MARZO[[#This Row],[SUPER]]</f>
        <v>KENNETH</v>
      </c>
      <c r="L73">
        <v>5</v>
      </c>
      <c r="M73" s="1">
        <f t="shared" si="1"/>
        <v>0.46619047619047621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2"/>
        <v>JUAN LOZA</v>
      </c>
      <c r="P73" t="str">
        <f>IF(DATA_MARZO_2025[[#This Row],[ASER_]]="","",F67)</f>
        <v>KENNETH</v>
      </c>
      <c r="Q73">
        <f>IF(DATA_MARZO_2025[[#This Row],[SUPERVISOR]]="","",D67)</f>
        <v>9790</v>
      </c>
      <c r="R73">
        <f>IF(DATA_MARZO_2025[[#This Row],[RECUPERO]]="","",VLOOKUP(DATA_MARZO_2025[[#This Row],[SUPERVISOR]],$H:$I,2,0))</f>
        <v>21000</v>
      </c>
    </row>
    <row r="74" spans="1:18" x14ac:dyDescent="0.25">
      <c r="A74" t="s">
        <v>6</v>
      </c>
      <c r="B74" t="str">
        <f t="shared" si="3"/>
        <v>STWUAR MACURI</v>
      </c>
      <c r="C74" t="s">
        <v>34</v>
      </c>
      <c r="D74">
        <v>4667</v>
      </c>
      <c r="E74">
        <f>D1_MARZO[[#This Row],[RECUPERO]]/VLOOKUP(F74,$H:$I,2,0)</f>
        <v>0.22223809523809523</v>
      </c>
      <c r="F74" t="str">
        <f>D1_MARZO[[#This Row],[SUPER]]</f>
        <v>KENNETH</v>
      </c>
      <c r="L74">
        <v>6</v>
      </c>
      <c r="M74" s="1">
        <f t="shared" ref="M74:M113" si="4">E68</f>
        <v>0</v>
      </c>
      <c r="N74" t="str" cm="1">
        <f t="array" ref="N74">IFERROR(_xlfn.IFS(M74&gt;100%,"&gt;100%",AND(M74&lt;100%,M74&gt;70%),"&gt;70%",AND(M74&lt;70%,M74&gt;40%),"&gt;40%",AND(M74&lt;40%,M74&gt;0%),"&gt;0%"),"")</f>
        <v/>
      </c>
      <c r="O74" t="str">
        <f t="shared" ref="O74:O113" si="5">B68</f>
        <v>LUIS CENTENO</v>
      </c>
      <c r="P74" t="str">
        <f>IF(DATA_MARZO_2025[[#This Row],[ASER_]]="","",F68)</f>
        <v>KENNETH</v>
      </c>
      <c r="Q74">
        <f>IF(DATA_MARZO_2025[[#This Row],[SUPERVISOR]]="","",D68)</f>
        <v>0</v>
      </c>
      <c r="R74">
        <f>IF(DATA_MARZO_2025[[#This Row],[RECUPERO]]="","",VLOOKUP(DATA_MARZO_2025[[#This Row],[SUPERVISOR]],$H:$I,2,0))</f>
        <v>21000</v>
      </c>
    </row>
    <row r="75" spans="1:18" x14ac:dyDescent="0.25">
      <c r="A75" t="s">
        <v>6</v>
      </c>
      <c r="B75" t="str">
        <f t="shared" si="3"/>
        <v/>
      </c>
      <c r="E75">
        <f>D1_MARZO[[#This Row],[RECUPERO]]/VLOOKUP(F75,$H:$I,2,0)</f>
        <v>0</v>
      </c>
      <c r="F75" t="str">
        <f>D1_MARZO[[#This Row],[SUPER]]</f>
        <v>KENNETH</v>
      </c>
      <c r="L75">
        <v>7</v>
      </c>
      <c r="M75" s="1">
        <f t="shared" si="4"/>
        <v>0.44857142857142857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5"/>
        <v>MARCO SARMIENTO</v>
      </c>
      <c r="P75" t="str">
        <f>IF(DATA_MARZO_2025[[#This Row],[ASER_]]="","",F69)</f>
        <v>KENNETH</v>
      </c>
      <c r="Q75">
        <f>IF(DATA_MARZO_2025[[#This Row],[SUPERVISOR]]="","",D69)</f>
        <v>9420</v>
      </c>
      <c r="R75">
        <f>IF(DATA_MARZO_2025[[#This Row],[RECUPERO]]="","",VLOOKUP(DATA_MARZO_2025[[#This Row],[SUPERVISOR]],$H:$I,2,0))</f>
        <v>21000</v>
      </c>
    </row>
    <row r="76" spans="1:18" x14ac:dyDescent="0.25">
      <c r="A76" t="s">
        <v>6</v>
      </c>
      <c r="B76" t="str">
        <f t="shared" si="3"/>
        <v/>
      </c>
      <c r="E76">
        <f>D1_MARZO[[#This Row],[RECUPERO]]/VLOOKUP(F76,$H:$I,2,0)</f>
        <v>0</v>
      </c>
      <c r="F76" t="str">
        <f>D1_MARZO[[#This Row],[SUPER]]</f>
        <v>KENNETH</v>
      </c>
      <c r="L76">
        <v>8</v>
      </c>
      <c r="M76" s="1">
        <f t="shared" si="4"/>
        <v>0.73476190476190473</v>
      </c>
      <c r="N76" t="str" cm="1">
        <f t="array" ref="N76">IFERROR(_xlfn.IFS(M76&gt;100%,"&gt;100%",AND(M76&lt;100%,M76&gt;70%),"&gt;70%",AND(M76&lt;70%,M76&gt;40%),"&gt;40%",AND(M76&lt;40%,M76&gt;0%),"&gt;0%"),"")</f>
        <v>&gt;70%</v>
      </c>
      <c r="O76" t="str">
        <f t="shared" si="5"/>
        <v>MARIA GONZALES</v>
      </c>
      <c r="P76" t="str">
        <f>IF(DATA_MARZO_2025[[#This Row],[ASER_]]="","",F70)</f>
        <v>KENNETH</v>
      </c>
      <c r="Q76">
        <f>IF(DATA_MARZO_2025[[#This Row],[SUPERVISOR]]="","",D70)</f>
        <v>15430</v>
      </c>
      <c r="R76">
        <f>IF(DATA_MARZO_2025[[#This Row],[RECUPERO]]="","",VLOOKUP(DATA_MARZO_2025[[#This Row],[SUPERVISOR]],$H:$I,2,0))</f>
        <v>21000</v>
      </c>
    </row>
    <row r="77" spans="1:18" x14ac:dyDescent="0.25">
      <c r="A77" t="s">
        <v>6</v>
      </c>
      <c r="B77" t="str">
        <f t="shared" si="3"/>
        <v/>
      </c>
      <c r="E77">
        <f>D1_MARZO[[#This Row],[RECUPERO]]/VLOOKUP(F77,$H:$I,2,0)</f>
        <v>0</v>
      </c>
      <c r="F77" t="str">
        <f>D1_MARZO[[#This Row],[SUPER]]</f>
        <v>KENNETH</v>
      </c>
      <c r="L77">
        <v>9</v>
      </c>
      <c r="M77" s="1">
        <f t="shared" si="4"/>
        <v>1.0309523809523808</v>
      </c>
      <c r="N77" t="str" cm="1">
        <f t="array" ref="N77">IFERROR(_xlfn.IFS(M77&gt;100%,"&gt;100%",AND(M77&lt;100%,M77&gt;70%),"&gt;70%",AND(M77&lt;70%,M77&gt;40%),"&gt;40%",AND(M77&lt;40%,M77&gt;0%),"&gt;0%"),"")</f>
        <v>&gt;100%</v>
      </c>
      <c r="O77" t="str">
        <f t="shared" si="5"/>
        <v>MAURICIO MARTINEZ</v>
      </c>
      <c r="P77" t="str">
        <f>IF(DATA_MARZO_2025[[#This Row],[ASER_]]="","",F71)</f>
        <v>KENNETH</v>
      </c>
      <c r="Q77">
        <f>IF(DATA_MARZO_2025[[#This Row],[SUPERVISOR]]="","",D71)</f>
        <v>21650</v>
      </c>
      <c r="R77">
        <f>IF(DATA_MARZO_2025[[#This Row],[RECUPERO]]="","",VLOOKUP(DATA_MARZO_2025[[#This Row],[SUPERVISOR]],$H:$I,2,0))</f>
        <v>21000</v>
      </c>
    </row>
    <row r="78" spans="1:18" x14ac:dyDescent="0.25">
      <c r="A78" t="s">
        <v>9</v>
      </c>
      <c r="B78" t="str">
        <f t="shared" si="3"/>
        <v>ALEJANDRA AVILA</v>
      </c>
      <c r="C78" t="s">
        <v>21</v>
      </c>
      <c r="D78">
        <v>14514</v>
      </c>
      <c r="E78">
        <f>D1_MARZO[[#This Row],[RECUPERO]]/VLOOKUP(F78,$H:$I,2,0)</f>
        <v>0.69114285714285717</v>
      </c>
      <c r="F78" t="str">
        <f>D1_MARZO[[#This Row],[SUPER]]</f>
        <v>LUIS</v>
      </c>
      <c r="L78">
        <v>10</v>
      </c>
      <c r="M78" s="1">
        <f t="shared" si="4"/>
        <v>0.26095238095238094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5"/>
        <v>MEDALITH NESTARES</v>
      </c>
      <c r="P78" t="str">
        <f>IF(DATA_MARZO_2025[[#This Row],[ASER_]]="","",F72)</f>
        <v>KENNETH</v>
      </c>
      <c r="Q78">
        <f>IF(DATA_MARZO_2025[[#This Row],[SUPERVISOR]]="","",D72)</f>
        <v>5480</v>
      </c>
      <c r="R78">
        <f>IF(DATA_MARZO_2025[[#This Row],[RECUPERO]]="","",VLOOKUP(DATA_MARZO_2025[[#This Row],[SUPERVISOR]],$H:$I,2,0))</f>
        <v>21000</v>
      </c>
    </row>
    <row r="79" spans="1:18" x14ac:dyDescent="0.25">
      <c r="A79" t="s">
        <v>9</v>
      </c>
      <c r="B79" t="str">
        <f t="shared" si="3"/>
        <v>ANDERSON RODRIGUEZ</v>
      </c>
      <c r="C79" t="s">
        <v>15</v>
      </c>
      <c r="D79">
        <v>0</v>
      </c>
      <c r="E79">
        <f>D1_MARZO[[#This Row],[RECUPERO]]/VLOOKUP(F79,$H:$I,2,0)</f>
        <v>0</v>
      </c>
      <c r="F79" t="str">
        <f>D1_MARZO[[#This Row],[SUPER]]</f>
        <v>LUIS</v>
      </c>
      <c r="L79">
        <v>11</v>
      </c>
      <c r="M79" s="1">
        <f t="shared" si="4"/>
        <v>0.1761904761904762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ROGGER RODRIGUEZ</v>
      </c>
      <c r="P79" t="str">
        <f>IF(DATA_MARZO_2025[[#This Row],[ASER_]]="","",F73)</f>
        <v>KENNETH</v>
      </c>
      <c r="Q79">
        <f>IF(DATA_MARZO_2025[[#This Row],[SUPERVISOR]]="","",D73)</f>
        <v>3700</v>
      </c>
      <c r="R79">
        <f>IF(DATA_MARZO_2025[[#This Row],[RECUPERO]]="","",VLOOKUP(DATA_MARZO_2025[[#This Row],[SUPERVISOR]],$H:$I,2,0))</f>
        <v>21000</v>
      </c>
    </row>
    <row r="80" spans="1:18" x14ac:dyDescent="0.25">
      <c r="A80" t="s">
        <v>9</v>
      </c>
      <c r="B80" t="str">
        <f t="shared" si="3"/>
        <v>CRISTINA TICONA</v>
      </c>
      <c r="C80" t="s">
        <v>61</v>
      </c>
      <c r="D80">
        <v>10823</v>
      </c>
      <c r="E80">
        <f>D1_MARZO[[#This Row],[RECUPERO]]/VLOOKUP(F80,$H:$I,2,0)</f>
        <v>0.51538095238095238</v>
      </c>
      <c r="F80" t="str">
        <f>D1_MARZO[[#This Row],[SUPER]]</f>
        <v>LUIS</v>
      </c>
      <c r="L80">
        <v>12</v>
      </c>
      <c r="M80" s="1">
        <f t="shared" si="4"/>
        <v>0.22223809523809523</v>
      </c>
      <c r="N80" t="str" cm="1">
        <f t="array" ref="N80">IFERROR(_xlfn.IFS(M80&gt;100%,"&gt;100%",AND(M80&lt;100%,M80&gt;70%),"&gt;70%",AND(M80&lt;70%,M80&gt;40%),"&gt;40%",AND(M80&lt;40%,M80&gt;0%),"&gt;0%"),"")</f>
        <v>&gt;0%</v>
      </c>
      <c r="O80" t="str">
        <f t="shared" si="5"/>
        <v>STWUAR MACURI</v>
      </c>
      <c r="P80" t="str">
        <f>IF(DATA_MARZO_2025[[#This Row],[ASER_]]="","",F74)</f>
        <v>KENNETH</v>
      </c>
      <c r="Q80">
        <f>IF(DATA_MARZO_2025[[#This Row],[SUPERVISOR]]="","",D74)</f>
        <v>4667</v>
      </c>
      <c r="R80">
        <f>IF(DATA_MARZO_2025[[#This Row],[RECUPERO]]="","",VLOOKUP(DATA_MARZO_2025[[#This Row],[SUPERVISOR]],$H:$I,2,0))</f>
        <v>21000</v>
      </c>
    </row>
    <row r="81" spans="1:18" x14ac:dyDescent="0.25">
      <c r="A81" t="s">
        <v>9</v>
      </c>
      <c r="B81" t="str">
        <f t="shared" si="3"/>
        <v>EDSON MAMANI</v>
      </c>
      <c r="C81" t="s">
        <v>136</v>
      </c>
      <c r="D81">
        <v>5753</v>
      </c>
      <c r="E81">
        <f>D1_MARZO[[#This Row],[RECUPERO]]/VLOOKUP(F81,$H:$I,2,0)</f>
        <v>0.27395238095238095</v>
      </c>
      <c r="F81" t="str">
        <f>D1_MARZO[[#This Row],[SUPER]]</f>
        <v>LUIS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IF(DATA_MARZO_2025[[#This Row],[ASER_]]="","",F75)</f>
        <v/>
      </c>
      <c r="Q81" t="str">
        <f>IF(DATA_MARZO_2025[[#This Row],[SUPERVISOR]]="","",D75)</f>
        <v/>
      </c>
      <c r="R81" t="str">
        <f>IF(DATA_MARZO_2025[[#This Row],[RECUPERO]]="","",VLOOKUP(DATA_MARZO_2025[[#This Row],[SUPERVISOR]],$H:$I,2,0))</f>
        <v/>
      </c>
    </row>
    <row r="82" spans="1:18" x14ac:dyDescent="0.25">
      <c r="A82" t="s">
        <v>9</v>
      </c>
      <c r="B82" t="str">
        <f t="shared" si="3"/>
        <v>GABRIELA APONTE</v>
      </c>
      <c r="C82" t="s">
        <v>27</v>
      </c>
      <c r="D82">
        <v>4726</v>
      </c>
      <c r="E82">
        <f>D1_MARZO[[#This Row],[RECUPERO]]/VLOOKUP(F82,$H:$I,2,0)</f>
        <v>0.22504761904761905</v>
      </c>
      <c r="F82" t="str">
        <f>D1_MARZO[[#This Row],[SUPER]]</f>
        <v>LUIS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IF(DATA_MARZO_2025[[#This Row],[ASER_]]="","",F76)</f>
        <v/>
      </c>
      <c r="Q82" t="str">
        <f>IF(DATA_MARZO_2025[[#This Row],[SUPERVISOR]]="","",D76)</f>
        <v/>
      </c>
      <c r="R82" t="str">
        <f>IF(DATA_MARZO_2025[[#This Row],[RECUPERO]]="","",VLOOKUP(DATA_MARZO_2025[[#This Row],[SUPERVISOR]],$H:$I,2,0))</f>
        <v/>
      </c>
    </row>
    <row r="83" spans="1:18" x14ac:dyDescent="0.25">
      <c r="A83" t="s">
        <v>9</v>
      </c>
      <c r="B83" t="str">
        <f t="shared" si="3"/>
        <v>GERALDINE ARROYO</v>
      </c>
      <c r="C83" t="s">
        <v>51</v>
      </c>
      <c r="D83">
        <v>7053</v>
      </c>
      <c r="E83">
        <f>D1_MARZO[[#This Row],[RECUPERO]]/VLOOKUP(F83,$H:$I,2,0)</f>
        <v>0.33585714285714285</v>
      </c>
      <c r="F83" t="str">
        <f>D1_MARZO[[#This Row],[SUPER]]</f>
        <v>LUIS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IF(DATA_MARZO_2025[[#This Row],[ASER_]]="","",F77)</f>
        <v/>
      </c>
      <c r="Q83" t="str">
        <f>IF(DATA_MARZO_2025[[#This Row],[SUPERVISOR]]="","",D77)</f>
        <v/>
      </c>
      <c r="R83" t="str">
        <f>IF(DATA_MARZO_2025[[#This Row],[RECUPERO]]="","",VLOOKUP(DATA_MARZO_2025[[#This Row],[SUPERVISOR]],$H:$I,2,0))</f>
        <v/>
      </c>
    </row>
    <row r="84" spans="1:18" x14ac:dyDescent="0.25">
      <c r="A84" t="s">
        <v>9</v>
      </c>
      <c r="B84" t="str">
        <f t="shared" si="3"/>
        <v>GIULIANA QUISPE</v>
      </c>
      <c r="C84" t="s">
        <v>71</v>
      </c>
      <c r="D84">
        <v>6613</v>
      </c>
      <c r="E84">
        <f>D1_MARZO[[#This Row],[RECUPERO]]/VLOOKUP(F84,$H:$I,2,0)</f>
        <v>0.31490476190476191</v>
      </c>
      <c r="F84" t="str">
        <f>D1_MARZO[[#This Row],[SUPER]]</f>
        <v>LUIS</v>
      </c>
      <c r="L84">
        <v>1</v>
      </c>
      <c r="M84" s="1">
        <f t="shared" si="4"/>
        <v>0.69114285714285717</v>
      </c>
      <c r="N84" t="str" cm="1">
        <f t="array" ref="N84">IFERROR(_xlfn.IFS(M84&gt;100%,"&gt;100%",AND(M84&lt;100%,M84&gt;70%),"&gt;70%",AND(M84&lt;70%,M84&gt;40%),"&gt;40%",AND(M84&lt;40%,M84&gt;0%),"&gt;0%"),"")</f>
        <v>&gt;40%</v>
      </c>
      <c r="O84" t="str">
        <f t="shared" si="5"/>
        <v>ALEJANDRA AVILA</v>
      </c>
      <c r="P84" t="str">
        <f>IF(DATA_MARZO_2025[[#This Row],[ASER_]]="","",F78)</f>
        <v>LUIS</v>
      </c>
      <c r="Q84">
        <f>IF(DATA_MARZO_2025[[#This Row],[SUPERVISOR]]="","",D78)</f>
        <v>14514</v>
      </c>
      <c r="R84">
        <f>IF(DATA_MARZO_2025[[#This Row],[RECUPERO]]="","",VLOOKUP(DATA_MARZO_2025[[#This Row],[SUPERVISOR]],$H:$I,2,0))</f>
        <v>21000</v>
      </c>
    </row>
    <row r="85" spans="1:18" x14ac:dyDescent="0.25">
      <c r="A85" t="s">
        <v>9</v>
      </c>
      <c r="B85" t="str">
        <f t="shared" si="3"/>
        <v>HAROLD FLORES</v>
      </c>
      <c r="C85" t="s">
        <v>42</v>
      </c>
      <c r="D85">
        <v>6103</v>
      </c>
      <c r="E85">
        <f>D1_MARZO[[#This Row],[RECUPERO]]/VLOOKUP(F85,$H:$I,2,0)</f>
        <v>0.29061904761904761</v>
      </c>
      <c r="F85" t="str">
        <f>D1_MARZO[[#This Row],[SUPER]]</f>
        <v>LUIS</v>
      </c>
      <c r="L85">
        <v>2</v>
      </c>
      <c r="M85" s="1">
        <f t="shared" si="4"/>
        <v>0</v>
      </c>
      <c r="N85" t="str" cm="1">
        <f t="array" ref="N85">IFERROR(_xlfn.IFS(M85&gt;100%,"&gt;100%",AND(M85&lt;100%,M85&gt;70%),"&gt;70%",AND(M85&lt;70%,M85&gt;40%),"&gt;40%",AND(M85&lt;40%,M85&gt;0%),"&gt;0%"),"")</f>
        <v/>
      </c>
      <c r="O85" t="str">
        <f t="shared" si="5"/>
        <v>ANDERSON RODRIGUEZ</v>
      </c>
      <c r="P85" t="str">
        <f>IF(DATA_MARZO_2025[[#This Row],[ASER_]]="","",F79)</f>
        <v>LUIS</v>
      </c>
      <c r="Q85">
        <f>IF(DATA_MARZO_2025[[#This Row],[SUPERVISOR]]="","",D79)</f>
        <v>0</v>
      </c>
      <c r="R85">
        <f>IF(DATA_MARZO_2025[[#This Row],[RECUPERO]]="","",VLOOKUP(DATA_MARZO_2025[[#This Row],[SUPERVISOR]],$H:$I,2,0))</f>
        <v>21000</v>
      </c>
    </row>
    <row r="86" spans="1:18" x14ac:dyDescent="0.25">
      <c r="A86" t="s">
        <v>9</v>
      </c>
      <c r="B86" t="str">
        <f t="shared" si="3"/>
        <v>MERLY CORONEL</v>
      </c>
      <c r="C86" t="s">
        <v>70</v>
      </c>
      <c r="D86">
        <v>21973</v>
      </c>
      <c r="E86">
        <f>D1_MARZO[[#This Row],[RECUPERO]]/VLOOKUP(F86,$H:$I,2,0)</f>
        <v>1.0463333333333333</v>
      </c>
      <c r="F86" t="str">
        <f>D1_MARZO[[#This Row],[SUPER]]</f>
        <v>LUIS</v>
      </c>
      <c r="L86">
        <v>3</v>
      </c>
      <c r="M86" s="1">
        <f t="shared" si="4"/>
        <v>0.51538095238095238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5"/>
        <v>CRISTINA TICONA</v>
      </c>
      <c r="P86" t="str">
        <f>IF(DATA_MARZO_2025[[#This Row],[ASER_]]="","",F80)</f>
        <v>LUIS</v>
      </c>
      <c r="Q86">
        <f>IF(DATA_MARZO_2025[[#This Row],[SUPERVISOR]]="","",D80)</f>
        <v>10823</v>
      </c>
      <c r="R86">
        <f>IF(DATA_MARZO_2025[[#This Row],[RECUPERO]]="","",VLOOKUP(DATA_MARZO_2025[[#This Row],[SUPERVISOR]],$H:$I,2,0))</f>
        <v>21000</v>
      </c>
    </row>
    <row r="87" spans="1:18" x14ac:dyDescent="0.25">
      <c r="A87" t="s">
        <v>9</v>
      </c>
      <c r="B87" t="str">
        <f t="shared" si="3"/>
        <v>ROCIO TERRONES</v>
      </c>
      <c r="C87" t="s">
        <v>107</v>
      </c>
      <c r="D87">
        <v>9575.1</v>
      </c>
      <c r="E87">
        <f>D1_MARZO[[#This Row],[RECUPERO]]/VLOOKUP(F87,$H:$I,2,0)</f>
        <v>0.45595714285714289</v>
      </c>
      <c r="F87" t="str">
        <f>D1_MARZO[[#This Row],[SUPER]]</f>
        <v>LUIS</v>
      </c>
      <c r="L87">
        <v>4</v>
      </c>
      <c r="M87" s="1">
        <f t="shared" si="4"/>
        <v>0.27395238095238095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5"/>
        <v>EDSON MAMANI</v>
      </c>
      <c r="P87" t="str">
        <f>IF(DATA_MARZO_2025[[#This Row],[ASER_]]="","",F81)</f>
        <v>LUIS</v>
      </c>
      <c r="Q87">
        <f>IF(DATA_MARZO_2025[[#This Row],[SUPERVISOR]]="","",D81)</f>
        <v>5753</v>
      </c>
      <c r="R87">
        <f>IF(DATA_MARZO_2025[[#This Row],[RECUPERO]]="","",VLOOKUP(DATA_MARZO_2025[[#This Row],[SUPERVISOR]],$H:$I,2,0))</f>
        <v>21000</v>
      </c>
    </row>
    <row r="88" spans="1:18" x14ac:dyDescent="0.25">
      <c r="A88" t="s">
        <v>9</v>
      </c>
      <c r="B88" t="str">
        <f t="shared" si="3"/>
        <v>SARITA GARAY</v>
      </c>
      <c r="C88" t="s">
        <v>73</v>
      </c>
      <c r="D88">
        <v>8225</v>
      </c>
      <c r="E88">
        <f>D1_MARZO[[#This Row],[RECUPERO]]/VLOOKUP(F88,$H:$I,2,0)</f>
        <v>0.39166666666666666</v>
      </c>
      <c r="F88" t="str">
        <f>D1_MARZO[[#This Row],[SUPER]]</f>
        <v>LUIS</v>
      </c>
      <c r="L88">
        <v>5</v>
      </c>
      <c r="M88" s="1">
        <f t="shared" si="4"/>
        <v>0.22504761904761905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5"/>
        <v>GABRIELA APONTE</v>
      </c>
      <c r="P88" t="str">
        <f>IF(DATA_MARZO_2025[[#This Row],[ASER_]]="","",F82)</f>
        <v>LUIS</v>
      </c>
      <c r="Q88">
        <f>IF(DATA_MARZO_2025[[#This Row],[SUPERVISOR]]="","",D82)</f>
        <v>4726</v>
      </c>
      <c r="R88">
        <f>IF(DATA_MARZO_2025[[#This Row],[RECUPERO]]="","",VLOOKUP(DATA_MARZO_2025[[#This Row],[SUPERVISOR]],$H:$I,2,0))</f>
        <v>21000</v>
      </c>
    </row>
    <row r="89" spans="1:18" x14ac:dyDescent="0.25">
      <c r="A89" t="s">
        <v>9</v>
      </c>
      <c r="B89" t="str">
        <f t="shared" si="3"/>
        <v>VERONICA HUARCA</v>
      </c>
      <c r="C89" t="s">
        <v>48</v>
      </c>
      <c r="D89">
        <v>8142.3</v>
      </c>
      <c r="E89">
        <f>D1_MARZO[[#This Row],[RECUPERO]]/VLOOKUP(F89,$H:$I,2,0)</f>
        <v>0.38772857142857142</v>
      </c>
      <c r="F89" t="str">
        <f>D1_MARZO[[#This Row],[SUPER]]</f>
        <v>LUIS</v>
      </c>
      <c r="L89">
        <v>6</v>
      </c>
      <c r="M89" s="1">
        <f t="shared" si="4"/>
        <v>0.33585714285714285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5"/>
        <v>GERALDINE ARROYO</v>
      </c>
      <c r="P89" t="str">
        <f>IF(DATA_MARZO_2025[[#This Row],[ASER_]]="","",F83)</f>
        <v>LUIS</v>
      </c>
      <c r="Q89">
        <f>IF(DATA_MARZO_2025[[#This Row],[SUPERVISOR]]="","",D83)</f>
        <v>7053</v>
      </c>
      <c r="R89">
        <f>IF(DATA_MARZO_2025[[#This Row],[RECUPERO]]="","",VLOOKUP(DATA_MARZO_2025[[#This Row],[SUPERVISOR]],$H:$I,2,0))</f>
        <v>21000</v>
      </c>
    </row>
    <row r="90" spans="1:18" x14ac:dyDescent="0.25">
      <c r="A90" t="s">
        <v>9</v>
      </c>
      <c r="B90" t="str">
        <f t="shared" si="3"/>
        <v/>
      </c>
      <c r="E90">
        <f>D1_MARZO[[#This Row],[RECUPERO]]/VLOOKUP(F90,$H:$I,2,0)</f>
        <v>0</v>
      </c>
      <c r="F90" t="str">
        <f>D1_MARZO[[#This Row],[SUPER]]</f>
        <v>LUIS</v>
      </c>
      <c r="L90">
        <v>7</v>
      </c>
      <c r="M90" s="1">
        <f t="shared" si="4"/>
        <v>0.31490476190476191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GIULIANA QUISPE</v>
      </c>
      <c r="P90" t="str">
        <f>IF(DATA_MARZO_2025[[#This Row],[ASER_]]="","",F84)</f>
        <v>LUIS</v>
      </c>
      <c r="Q90">
        <f>IF(DATA_MARZO_2025[[#This Row],[SUPERVISOR]]="","",D84)</f>
        <v>6613</v>
      </c>
      <c r="R90">
        <f>IF(DATA_MARZO_2025[[#This Row],[RECUPERO]]="","",VLOOKUP(DATA_MARZO_2025[[#This Row],[SUPERVISOR]],$H:$I,2,0))</f>
        <v>21000</v>
      </c>
    </row>
    <row r="91" spans="1:18" x14ac:dyDescent="0.25">
      <c r="A91" t="s">
        <v>9</v>
      </c>
      <c r="B91" t="str">
        <f t="shared" si="3"/>
        <v/>
      </c>
      <c r="E91">
        <f>D1_MARZO[[#This Row],[RECUPERO]]/VLOOKUP(F91,$H:$I,2,0)</f>
        <v>0</v>
      </c>
      <c r="F91" t="str">
        <f>D1_MARZO[[#This Row],[SUPER]]</f>
        <v>LUIS</v>
      </c>
      <c r="L91">
        <v>8</v>
      </c>
      <c r="M91" s="1">
        <f t="shared" si="4"/>
        <v>0.29061904761904761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HAROLD FLORES</v>
      </c>
      <c r="P91" t="str">
        <f>IF(DATA_MARZO_2025[[#This Row],[ASER_]]="","",F85)</f>
        <v>LUIS</v>
      </c>
      <c r="Q91">
        <f>IF(DATA_MARZO_2025[[#This Row],[SUPERVISOR]]="","",D85)</f>
        <v>6103</v>
      </c>
      <c r="R91">
        <f>IF(DATA_MARZO_2025[[#This Row],[RECUPERO]]="","",VLOOKUP(DATA_MARZO_2025[[#This Row],[SUPERVISOR]],$H:$I,2,0))</f>
        <v>21000</v>
      </c>
    </row>
    <row r="92" spans="1:18" x14ac:dyDescent="0.25">
      <c r="A92" t="s">
        <v>9</v>
      </c>
      <c r="B92" t="str">
        <f t="shared" si="3"/>
        <v/>
      </c>
      <c r="E92">
        <f>D1_MARZO[[#This Row],[RECUPERO]]/VLOOKUP(F92,$H:$I,2,0)</f>
        <v>0</v>
      </c>
      <c r="F92" t="str">
        <f>D1_MARZO[[#This Row],[SUPER]]</f>
        <v>LUIS</v>
      </c>
      <c r="L92">
        <v>9</v>
      </c>
      <c r="M92" s="1">
        <f t="shared" si="4"/>
        <v>1.0463333333333333</v>
      </c>
      <c r="N92" t="str" cm="1">
        <f t="array" ref="N92">IFERROR(_xlfn.IFS(M92&gt;100%,"&gt;100%",AND(M92&lt;100%,M92&gt;70%),"&gt;70%",AND(M92&lt;70%,M92&gt;40%),"&gt;40%",AND(M92&lt;40%,M92&gt;0%),"&gt;0%"),"")</f>
        <v>&gt;100%</v>
      </c>
      <c r="O92" t="str">
        <f t="shared" si="5"/>
        <v>MERLY CORONEL</v>
      </c>
      <c r="P92" t="str">
        <f>IF(DATA_MARZO_2025[[#This Row],[ASER_]]="","",F86)</f>
        <v>LUIS</v>
      </c>
      <c r="Q92">
        <f>IF(DATA_MARZO_2025[[#This Row],[SUPERVISOR]]="","",D86)</f>
        <v>21973</v>
      </c>
      <c r="R92">
        <f>IF(DATA_MARZO_2025[[#This Row],[RECUPERO]]="","",VLOOKUP(DATA_MARZO_2025[[#This Row],[SUPERVISOR]],$H:$I,2,0))</f>
        <v>21000</v>
      </c>
    </row>
    <row r="93" spans="1:18" x14ac:dyDescent="0.25">
      <c r="A93" t="s">
        <v>122</v>
      </c>
      <c r="B93" t="str">
        <f t="shared" si="3"/>
        <v>ALEIDITH GUEVARA</v>
      </c>
      <c r="C93" t="s">
        <v>18</v>
      </c>
      <c r="D93">
        <v>20810</v>
      </c>
      <c r="E93">
        <f>D1_MARZO[[#This Row],[RECUPERO]]/VLOOKUP(F93,$H:$I,2,0)</f>
        <v>1.2612121212121212</v>
      </c>
      <c r="F93" t="str">
        <f>D1_MARZO[[#This Row],[SUPER]]</f>
        <v>MELITA</v>
      </c>
      <c r="L93">
        <v>10</v>
      </c>
      <c r="M93" s="1">
        <f t="shared" si="4"/>
        <v>0.45595714285714289</v>
      </c>
      <c r="N93" t="str" cm="1">
        <f t="array" ref="N93">IFERROR(_xlfn.IFS(M93&gt;100%,"&gt;100%",AND(M93&lt;100%,M93&gt;70%),"&gt;70%",AND(M93&lt;70%,M93&gt;40%),"&gt;40%",AND(M93&lt;40%,M93&gt;0%),"&gt;0%"),"")</f>
        <v>&gt;40%</v>
      </c>
      <c r="O93" t="str">
        <f t="shared" si="5"/>
        <v>ROCIO TERRONES</v>
      </c>
      <c r="P93" t="str">
        <f>IF(DATA_MARZO_2025[[#This Row],[ASER_]]="","",F87)</f>
        <v>LUIS</v>
      </c>
      <c r="Q93">
        <f>IF(DATA_MARZO_2025[[#This Row],[SUPERVISOR]]="","",D87)</f>
        <v>9575.1</v>
      </c>
      <c r="R93">
        <f>IF(DATA_MARZO_2025[[#This Row],[RECUPERO]]="","",VLOOKUP(DATA_MARZO_2025[[#This Row],[SUPERVISOR]],$H:$I,2,0))</f>
        <v>21000</v>
      </c>
    </row>
    <row r="94" spans="1:18" x14ac:dyDescent="0.25">
      <c r="A94" t="s">
        <v>122</v>
      </c>
      <c r="B94" t="str">
        <f t="shared" si="3"/>
        <v>BRINA SOTO</v>
      </c>
      <c r="C94" t="s">
        <v>14</v>
      </c>
      <c r="D94">
        <v>200</v>
      </c>
      <c r="E94">
        <f>D1_MARZO[[#This Row],[RECUPERO]]/VLOOKUP(F94,$H:$I,2,0)</f>
        <v>1.2121212121212121E-2</v>
      </c>
      <c r="F94" t="str">
        <f>D1_MARZO[[#This Row],[SUPER]]</f>
        <v>MELITA</v>
      </c>
      <c r="L94">
        <v>11</v>
      </c>
      <c r="M94" s="1">
        <f t="shared" si="4"/>
        <v>0.39166666666666666</v>
      </c>
      <c r="N94" t="str" cm="1">
        <f t="array" ref="N94">IFERROR(_xlfn.IFS(M94&gt;100%,"&gt;100%",AND(M94&lt;100%,M94&gt;70%),"&gt;70%",AND(M94&lt;70%,M94&gt;40%),"&gt;40%",AND(M94&lt;40%,M94&gt;0%),"&gt;0%"),"")</f>
        <v>&gt;0%</v>
      </c>
      <c r="O94" t="str">
        <f t="shared" si="5"/>
        <v>SARITA GARAY</v>
      </c>
      <c r="P94" t="str">
        <f>IF(DATA_MARZO_2025[[#This Row],[ASER_]]="","",F88)</f>
        <v>LUIS</v>
      </c>
      <c r="Q94">
        <f>IF(DATA_MARZO_2025[[#This Row],[SUPERVISOR]]="","",D88)</f>
        <v>8225</v>
      </c>
      <c r="R94">
        <f>IF(DATA_MARZO_2025[[#This Row],[RECUPERO]]="","",VLOOKUP(DATA_MARZO_2025[[#This Row],[SUPERVISOR]],$H:$I,2,0))</f>
        <v>21000</v>
      </c>
    </row>
    <row r="95" spans="1:18" x14ac:dyDescent="0.25">
      <c r="A95" t="s">
        <v>122</v>
      </c>
      <c r="B95" t="str">
        <f t="shared" si="3"/>
        <v>CARLOS CALAGUA</v>
      </c>
      <c r="C95" t="s">
        <v>108</v>
      </c>
      <c r="D95">
        <v>7970</v>
      </c>
      <c r="E95">
        <f>D1_MARZO[[#This Row],[RECUPERO]]/VLOOKUP(F95,$H:$I,2,0)</f>
        <v>0.48303030303030303</v>
      </c>
      <c r="F95" t="str">
        <f>D1_MARZO[[#This Row],[SUPER]]</f>
        <v>MELITA</v>
      </c>
      <c r="L95">
        <v>12</v>
      </c>
      <c r="M95" s="1">
        <f t="shared" si="4"/>
        <v>0.38772857142857142</v>
      </c>
      <c r="N95" t="str" cm="1">
        <f t="array" ref="N95">IFERROR(_xlfn.IFS(M95&gt;100%,"&gt;100%",AND(M95&lt;100%,M95&gt;70%),"&gt;70%",AND(M95&lt;70%,M95&gt;40%),"&gt;40%",AND(M95&lt;40%,M95&gt;0%),"&gt;0%"),"")</f>
        <v>&gt;0%</v>
      </c>
      <c r="O95" t="str">
        <f t="shared" si="5"/>
        <v>VERONICA HUARCA</v>
      </c>
      <c r="P95" t="str">
        <f>IF(DATA_MARZO_2025[[#This Row],[ASER_]]="","",F89)</f>
        <v>LUIS</v>
      </c>
      <c r="Q95">
        <f>IF(DATA_MARZO_2025[[#This Row],[SUPERVISOR]]="","",D89)</f>
        <v>8142.3</v>
      </c>
      <c r="R95">
        <f>IF(DATA_MARZO_2025[[#This Row],[RECUPERO]]="","",VLOOKUP(DATA_MARZO_2025[[#This Row],[SUPERVISOR]],$H:$I,2,0))</f>
        <v>21000</v>
      </c>
    </row>
    <row r="96" spans="1:18" x14ac:dyDescent="0.25">
      <c r="A96" t="s">
        <v>122</v>
      </c>
      <c r="B96" t="str">
        <f t="shared" si="3"/>
        <v>DANIEL ZAPATA</v>
      </c>
      <c r="C96" t="s">
        <v>80</v>
      </c>
      <c r="D96">
        <v>20579</v>
      </c>
      <c r="E96">
        <f>D1_MARZO[[#This Row],[RECUPERO]]/VLOOKUP(F96,$H:$I,2,0)</f>
        <v>1.2472121212121212</v>
      </c>
      <c r="F96" t="str">
        <f>D1_MARZO[[#This Row],[SUPER]]</f>
        <v>MELITA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IF(DATA_MARZO_2025[[#This Row],[ASER_]]="","",F90)</f>
        <v/>
      </c>
      <c r="Q96" t="str">
        <f>IF(DATA_MARZO_2025[[#This Row],[SUPERVISOR]]="","",D90)</f>
        <v/>
      </c>
      <c r="R96" t="str">
        <f>IF(DATA_MARZO_2025[[#This Row],[RECUPERO]]="","",VLOOKUP(DATA_MARZO_2025[[#This Row],[SUPERVISOR]],$H:$I,2,0))</f>
        <v/>
      </c>
    </row>
    <row r="97" spans="1:18" x14ac:dyDescent="0.25">
      <c r="A97" t="s">
        <v>122</v>
      </c>
      <c r="B97" t="str">
        <f t="shared" si="3"/>
        <v>FRANCO HUAMANI</v>
      </c>
      <c r="C97" t="s">
        <v>24</v>
      </c>
      <c r="D97">
        <v>11898</v>
      </c>
      <c r="E97">
        <f>D1_MARZO[[#This Row],[RECUPERO]]/VLOOKUP(F97,$H:$I,2,0)</f>
        <v>0.72109090909090912</v>
      </c>
      <c r="F97" t="str">
        <f>D1_MARZO[[#This Row],[SUPER]]</f>
        <v>MELITA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IF(DATA_MARZO_2025[[#This Row],[ASER_]]="","",F91)</f>
        <v/>
      </c>
      <c r="Q97" t="str">
        <f>IF(DATA_MARZO_2025[[#This Row],[SUPERVISOR]]="","",D91)</f>
        <v/>
      </c>
      <c r="R97" t="str">
        <f>IF(DATA_MARZO_2025[[#This Row],[RECUPERO]]="","",VLOOKUP(DATA_MARZO_2025[[#This Row],[SUPERVISOR]],$H:$I,2,0))</f>
        <v/>
      </c>
    </row>
    <row r="98" spans="1:18" x14ac:dyDescent="0.25">
      <c r="A98" t="s">
        <v>122</v>
      </c>
      <c r="B98" t="str">
        <f t="shared" si="3"/>
        <v>ISABEL BEJARANO</v>
      </c>
      <c r="C98" t="s">
        <v>83</v>
      </c>
      <c r="D98">
        <v>9192</v>
      </c>
      <c r="E98">
        <f>D1_MARZO[[#This Row],[RECUPERO]]/VLOOKUP(F98,$H:$I,2,0)</f>
        <v>0.55709090909090908</v>
      </c>
      <c r="F98" t="str">
        <f>D1_MARZO[[#This Row],[SUPER]]</f>
        <v>MELITA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IF(DATA_MARZO_2025[[#This Row],[ASER_]]="","",F92)</f>
        <v/>
      </c>
      <c r="Q98" t="str">
        <f>IF(DATA_MARZO_2025[[#This Row],[SUPERVISOR]]="","",D92)</f>
        <v/>
      </c>
      <c r="R98" t="str">
        <f>IF(DATA_MARZO_2025[[#This Row],[RECUPERO]]="","",VLOOKUP(DATA_MARZO_2025[[#This Row],[SUPERVISOR]],$H:$I,2,0))</f>
        <v/>
      </c>
    </row>
    <row r="99" spans="1:18" x14ac:dyDescent="0.25">
      <c r="A99" t="s">
        <v>122</v>
      </c>
      <c r="B99" t="str">
        <f t="shared" si="3"/>
        <v>JANETH PORTOCARRERO</v>
      </c>
      <c r="C99" t="s">
        <v>49</v>
      </c>
      <c r="D99">
        <v>8611</v>
      </c>
      <c r="E99">
        <f>D1_MARZO[[#This Row],[RECUPERO]]/VLOOKUP(F99,$H:$I,2,0)</f>
        <v>0.52187878787878783</v>
      </c>
      <c r="F99" t="str">
        <f>D1_MARZO[[#This Row],[SUPER]]</f>
        <v>MELITA</v>
      </c>
      <c r="L99">
        <v>1</v>
      </c>
      <c r="M99" s="1">
        <f t="shared" si="4"/>
        <v>1.2612121212121212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5"/>
        <v>ALEIDITH GUEVARA</v>
      </c>
      <c r="P99" t="str">
        <f>IF(DATA_MARZO_2025[[#This Row],[ASER_]]="","",F93)</f>
        <v>MELITA</v>
      </c>
      <c r="Q99">
        <f>IF(DATA_MARZO_2025[[#This Row],[SUPERVISOR]]="","",D93)</f>
        <v>20810</v>
      </c>
      <c r="R99">
        <f>IF(DATA_MARZO_2025[[#This Row],[RECUPERO]]="","",VLOOKUP(DATA_MARZO_2025[[#This Row],[SUPERVISOR]],$H:$I,2,0))</f>
        <v>16500</v>
      </c>
    </row>
    <row r="100" spans="1:18" x14ac:dyDescent="0.25">
      <c r="A100" t="s">
        <v>122</v>
      </c>
      <c r="B100" t="str">
        <f t="shared" si="3"/>
        <v>JHONATAN CHAVEZ</v>
      </c>
      <c r="C100" t="s">
        <v>65</v>
      </c>
      <c r="D100">
        <v>10923</v>
      </c>
      <c r="E100">
        <f>D1_MARZO[[#This Row],[RECUPERO]]/VLOOKUP(F100,$H:$I,2,0)</f>
        <v>0.66200000000000003</v>
      </c>
      <c r="F100" t="str">
        <f>D1_MARZO[[#This Row],[SUPER]]</f>
        <v>MELITA</v>
      </c>
      <c r="L100">
        <v>2</v>
      </c>
      <c r="M100" s="1">
        <f t="shared" si="4"/>
        <v>1.2121212121212121E-2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5"/>
        <v>BRINA SOTO</v>
      </c>
      <c r="P100" t="str">
        <f>IF(DATA_MARZO_2025[[#This Row],[ASER_]]="","",F94)</f>
        <v>MELITA</v>
      </c>
      <c r="Q100">
        <f>IF(DATA_MARZO_2025[[#This Row],[SUPERVISOR]]="","",D94)</f>
        <v>200</v>
      </c>
      <c r="R100">
        <f>IF(DATA_MARZO_2025[[#This Row],[RECUPERO]]="","",VLOOKUP(DATA_MARZO_2025[[#This Row],[SUPERVISOR]],$H:$I,2,0))</f>
        <v>16500</v>
      </c>
    </row>
    <row r="101" spans="1:18" x14ac:dyDescent="0.25">
      <c r="A101" t="s">
        <v>122</v>
      </c>
      <c r="B101" t="str">
        <f t="shared" si="3"/>
        <v>LINDA TUESTA</v>
      </c>
      <c r="C101" t="s">
        <v>33</v>
      </c>
      <c r="D101">
        <v>9549.4</v>
      </c>
      <c r="E101">
        <f>D1_MARZO[[#This Row],[RECUPERO]]/VLOOKUP(F101,$H:$I,2,0)</f>
        <v>0.57875151515151513</v>
      </c>
      <c r="F101" t="str">
        <f>D1_MARZO[[#This Row],[SUPER]]</f>
        <v>MELITA</v>
      </c>
      <c r="L101">
        <v>3</v>
      </c>
      <c r="M101" s="1">
        <f t="shared" si="4"/>
        <v>0.48303030303030303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5"/>
        <v>CARLOS CALAGUA</v>
      </c>
      <c r="P101" t="str">
        <f>IF(DATA_MARZO_2025[[#This Row],[ASER_]]="","",F95)</f>
        <v>MELITA</v>
      </c>
      <c r="Q101">
        <f>IF(DATA_MARZO_2025[[#This Row],[SUPERVISOR]]="","",D95)</f>
        <v>7970</v>
      </c>
      <c r="R101">
        <f>IF(DATA_MARZO_2025[[#This Row],[RECUPERO]]="","",VLOOKUP(DATA_MARZO_2025[[#This Row],[SUPERVISOR]],$H:$I,2,0))</f>
        <v>16500</v>
      </c>
    </row>
    <row r="102" spans="1:18" x14ac:dyDescent="0.25">
      <c r="A102" t="s">
        <v>122</v>
      </c>
      <c r="B102" t="str">
        <f t="shared" si="3"/>
        <v>LUCERO JORDAN</v>
      </c>
      <c r="C102" t="s">
        <v>68</v>
      </c>
      <c r="D102">
        <v>11743.5</v>
      </c>
      <c r="E102">
        <f>D1_MARZO[[#This Row],[RECUPERO]]/VLOOKUP(F102,$H:$I,2,0)</f>
        <v>0.71172727272727276</v>
      </c>
      <c r="F102" t="str">
        <f>D1_MARZO[[#This Row],[SUPER]]</f>
        <v>MELITA</v>
      </c>
      <c r="L102">
        <v>4</v>
      </c>
      <c r="M102" s="1">
        <f t="shared" si="4"/>
        <v>1.2472121212121212</v>
      </c>
      <c r="N102" t="str" cm="1">
        <f t="array" ref="N102">IFERROR(_xlfn.IFS(M102&gt;100%,"&gt;100%",AND(M102&lt;100%,M102&gt;70%),"&gt;70%",AND(M102&lt;70%,M102&gt;40%),"&gt;40%",AND(M102&lt;40%,M102&gt;0%),"&gt;0%"),"")</f>
        <v>&gt;100%</v>
      </c>
      <c r="O102" t="str">
        <f t="shared" si="5"/>
        <v>DANIEL ZAPATA</v>
      </c>
      <c r="P102" t="str">
        <f>IF(DATA_MARZO_2025[[#This Row],[ASER_]]="","",F96)</f>
        <v>MELITA</v>
      </c>
      <c r="Q102">
        <f>IF(DATA_MARZO_2025[[#This Row],[SUPERVISOR]]="","",D96)</f>
        <v>20579</v>
      </c>
      <c r="R102">
        <f>IF(DATA_MARZO_2025[[#This Row],[RECUPERO]]="","",VLOOKUP(DATA_MARZO_2025[[#This Row],[SUPERVISOR]],$H:$I,2,0))</f>
        <v>16500</v>
      </c>
    </row>
    <row r="103" spans="1:18" x14ac:dyDescent="0.25">
      <c r="A103" t="s">
        <v>122</v>
      </c>
      <c r="B103" t="str">
        <f t="shared" si="3"/>
        <v/>
      </c>
      <c r="E103">
        <f>D1_MARZO[[#This Row],[RECUPERO]]/VLOOKUP(F103,$H:$I,2,0)</f>
        <v>0</v>
      </c>
      <c r="F103" t="str">
        <f>D1_MARZO[[#This Row],[SUPER]]</f>
        <v>MELITA</v>
      </c>
      <c r="L103">
        <v>5</v>
      </c>
      <c r="M103" s="1">
        <f t="shared" si="4"/>
        <v>0.72109090909090912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FRANCO HUAMANI</v>
      </c>
      <c r="P103" t="str">
        <f>IF(DATA_MARZO_2025[[#This Row],[ASER_]]="","",F97)</f>
        <v>MELITA</v>
      </c>
      <c r="Q103">
        <f>IF(DATA_MARZO_2025[[#This Row],[SUPERVISOR]]="","",D97)</f>
        <v>11898</v>
      </c>
      <c r="R103">
        <f>IF(DATA_MARZO_2025[[#This Row],[RECUPERO]]="","",VLOOKUP(DATA_MARZO_2025[[#This Row],[SUPERVISOR]],$H:$I,2,0))</f>
        <v>16500</v>
      </c>
    </row>
    <row r="104" spans="1:18" x14ac:dyDescent="0.25">
      <c r="A104" t="s">
        <v>122</v>
      </c>
      <c r="B104" t="str">
        <f t="shared" si="3"/>
        <v/>
      </c>
      <c r="E104">
        <f>D1_MARZO[[#This Row],[RECUPERO]]/VLOOKUP(F104,$H:$I,2,0)</f>
        <v>0</v>
      </c>
      <c r="F104" t="str">
        <f>D1_MARZO[[#This Row],[SUPER]]</f>
        <v>MELITA</v>
      </c>
      <c r="L104">
        <v>6</v>
      </c>
      <c r="M104" s="1">
        <f t="shared" si="4"/>
        <v>0.55709090909090908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5"/>
        <v>ISABEL BEJARANO</v>
      </c>
      <c r="P104" t="str">
        <f>IF(DATA_MARZO_2025[[#This Row],[ASER_]]="","",F98)</f>
        <v>MELITA</v>
      </c>
      <c r="Q104">
        <f>IF(DATA_MARZO_2025[[#This Row],[SUPERVISOR]]="","",D98)</f>
        <v>9192</v>
      </c>
      <c r="R104">
        <f>IF(DATA_MARZO_2025[[#This Row],[RECUPERO]]="","",VLOOKUP(DATA_MARZO_2025[[#This Row],[SUPERVISOR]],$H:$I,2,0))</f>
        <v>16500</v>
      </c>
    </row>
    <row r="105" spans="1:18" x14ac:dyDescent="0.25">
      <c r="A105" t="s">
        <v>122</v>
      </c>
      <c r="B105" t="str">
        <f t="shared" si="3"/>
        <v/>
      </c>
      <c r="E105">
        <f>D1_MARZO[[#This Row],[RECUPERO]]/VLOOKUP(F105,$H:$I,2,0)</f>
        <v>0</v>
      </c>
      <c r="F105" t="str">
        <f>D1_MARZO[[#This Row],[SUPER]]</f>
        <v>MELITA</v>
      </c>
      <c r="L105">
        <v>7</v>
      </c>
      <c r="M105" s="1">
        <f t="shared" si="4"/>
        <v>0.52187878787878783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5"/>
        <v>JANETH PORTOCARRERO</v>
      </c>
      <c r="P105" t="str">
        <f>IF(DATA_MARZO_2025[[#This Row],[ASER_]]="","",F99)</f>
        <v>MELITA</v>
      </c>
      <c r="Q105">
        <f>IF(DATA_MARZO_2025[[#This Row],[SUPERVISOR]]="","",D99)</f>
        <v>8611</v>
      </c>
      <c r="R105">
        <f>IF(DATA_MARZO_2025[[#This Row],[RECUPERO]]="","",VLOOKUP(DATA_MARZO_2025[[#This Row],[SUPERVISOR]],$H:$I,2,0))</f>
        <v>16500</v>
      </c>
    </row>
    <row r="106" spans="1:18" x14ac:dyDescent="0.25">
      <c r="A106" t="s">
        <v>122</v>
      </c>
      <c r="B106" t="str">
        <f t="shared" si="3"/>
        <v/>
      </c>
      <c r="E106">
        <f>D1_MARZO[[#This Row],[RECUPERO]]/VLOOKUP(F106,$H:$I,2,0)</f>
        <v>0</v>
      </c>
      <c r="F106" t="str">
        <f>D1_MARZO[[#This Row],[SUPER]]</f>
        <v>MELITA</v>
      </c>
      <c r="L106">
        <v>8</v>
      </c>
      <c r="M106" s="1">
        <f t="shared" si="4"/>
        <v>0.66200000000000003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JHONATAN CHAVEZ</v>
      </c>
      <c r="P106" t="str">
        <f>IF(DATA_MARZO_2025[[#This Row],[ASER_]]="","",F100)</f>
        <v>MELITA</v>
      </c>
      <c r="Q106">
        <f>IF(DATA_MARZO_2025[[#This Row],[SUPERVISOR]]="","",D100)</f>
        <v>10923</v>
      </c>
      <c r="R106">
        <f>IF(DATA_MARZO_2025[[#This Row],[RECUPERO]]="","",VLOOKUP(DATA_MARZO_2025[[#This Row],[SUPERVISOR]],$H:$I,2,0))</f>
        <v>16500</v>
      </c>
    </row>
    <row r="107" spans="1:18" x14ac:dyDescent="0.25">
      <c r="A107" t="s">
        <v>122</v>
      </c>
      <c r="B107" t="str">
        <f t="shared" si="3"/>
        <v/>
      </c>
      <c r="E107">
        <f>D1_MARZO[[#This Row],[RECUPERO]]/VLOOKUP(F107,$H:$I,2,0)</f>
        <v>0</v>
      </c>
      <c r="F107" t="str">
        <f>D1_MARZO[[#This Row],[SUPER]]</f>
        <v>MELITA</v>
      </c>
      <c r="L107">
        <v>9</v>
      </c>
      <c r="M107" s="1">
        <f t="shared" si="4"/>
        <v>0.57875151515151513</v>
      </c>
      <c r="N107" t="str" cm="1">
        <f t="array" ref="N107">IFERROR(_xlfn.IFS(M107&gt;100%,"&gt;100%",AND(M107&lt;100%,M107&gt;70%),"&gt;70%",AND(M107&lt;70%,M107&gt;40%),"&gt;40%",AND(M107&lt;40%,M107&gt;0%),"&gt;0%"),"")</f>
        <v>&gt;40%</v>
      </c>
      <c r="O107" t="str">
        <f t="shared" si="5"/>
        <v>LINDA TUESTA</v>
      </c>
      <c r="P107" t="str">
        <f>IF(DATA_MARZO_2025[[#This Row],[ASER_]]="","",F101)</f>
        <v>MELITA</v>
      </c>
      <c r="Q107">
        <f>IF(DATA_MARZO_2025[[#This Row],[SUPERVISOR]]="","",D101)</f>
        <v>9549.4</v>
      </c>
      <c r="R107">
        <f>IF(DATA_MARZO_2025[[#This Row],[RECUPERO]]="","",VLOOKUP(DATA_MARZO_2025[[#This Row],[SUPERVISOR]],$H:$I,2,0))</f>
        <v>16500</v>
      </c>
    </row>
    <row r="108" spans="1:18" x14ac:dyDescent="0.25">
      <c r="L108">
        <v>10</v>
      </c>
      <c r="M108" s="1">
        <f t="shared" si="4"/>
        <v>0.71172727272727276</v>
      </c>
      <c r="N108" t="str" cm="1">
        <f t="array" ref="N108">IFERROR(_xlfn.IFS(M108&gt;100%,"&gt;100%",AND(M108&lt;100%,M108&gt;70%),"&gt;70%",AND(M108&lt;70%,M108&gt;40%),"&gt;40%",AND(M108&lt;40%,M108&gt;0%),"&gt;0%"),"")</f>
        <v>&gt;70%</v>
      </c>
      <c r="O108" t="str">
        <f t="shared" si="5"/>
        <v>LUCERO JORDAN</v>
      </c>
      <c r="P108" t="str">
        <f>IF(DATA_MARZO_2025[[#This Row],[ASER_]]="","",F102)</f>
        <v>MELITA</v>
      </c>
      <c r="Q108">
        <f>IF(DATA_MARZO_2025[[#This Row],[SUPERVISOR]]="","",D102)</f>
        <v>11743.5</v>
      </c>
      <c r="R108">
        <f>IF(DATA_MARZO_2025[[#This Row],[RECUPERO]]="","",VLOOKUP(DATA_MARZO_2025[[#This Row],[SUPERVISOR]],$H:$I,2,0))</f>
        <v>16500</v>
      </c>
    </row>
    <row r="109" spans="1:18" x14ac:dyDescent="0.25"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  <c r="P109" t="str">
        <f>IF(DATA_MARZO_2025[[#This Row],[ASER_]]="","",F103)</f>
        <v/>
      </c>
      <c r="Q109" t="str">
        <f>IF(DATA_MARZO_2025[[#This Row],[SUPERVISOR]]="","",D103)</f>
        <v/>
      </c>
      <c r="R109" t="str">
        <f>IF(DATA_MARZO_2025[[#This Row],[RECUPERO]]="","",VLOOKUP(DATA_MARZO_2025[[#This Row],[SUPERVISOR]],$H:$I,2,0))</f>
        <v/>
      </c>
    </row>
    <row r="110" spans="1:18" x14ac:dyDescent="0.25"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  <c r="P110" t="str">
        <f>IF(DATA_MARZO_2025[[#This Row],[ASER_]]="","",F104)</f>
        <v/>
      </c>
      <c r="Q110" t="str">
        <f>IF(DATA_MARZO_2025[[#This Row],[SUPERVISOR]]="","",D104)</f>
        <v/>
      </c>
      <c r="R110" t="str">
        <f>IF(DATA_MARZO_2025[[#This Row],[RECUPERO]]="","",VLOOKUP(DATA_MARZO_2025[[#This Row],[SUPERVISOR]],$H:$I,2,0))</f>
        <v/>
      </c>
    </row>
    <row r="111" spans="1:18" x14ac:dyDescent="0.25"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  <c r="P111" t="str">
        <f>IF(DATA_MARZO_2025[[#This Row],[ASER_]]="","",F105)</f>
        <v/>
      </c>
      <c r="Q111" t="str">
        <f>IF(DATA_MARZO_2025[[#This Row],[SUPERVISOR]]="","",D105)</f>
        <v/>
      </c>
      <c r="R111" t="str">
        <f>IF(DATA_MARZO_2025[[#This Row],[RECUPERO]]="","",VLOOKUP(DATA_MARZO_2025[[#This Row],[SUPERVISOR]],$H:$I,2,0))</f>
        <v/>
      </c>
    </row>
    <row r="112" spans="1:18" x14ac:dyDescent="0.25"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  <c r="P112" t="str">
        <f>IF(DATA_MARZO_2025[[#This Row],[ASER_]]="","",F106)</f>
        <v/>
      </c>
      <c r="Q112" t="str">
        <f>IF(DATA_MARZO_2025[[#This Row],[SUPERVISOR]]="","",D106)</f>
        <v/>
      </c>
      <c r="R112" t="str">
        <f>IF(DATA_MARZO_2025[[#This Row],[RECUPERO]]="","",VLOOKUP(DATA_MARZO_2025[[#This Row],[SUPERVISOR]],$H:$I,2,0))</f>
        <v/>
      </c>
    </row>
    <row r="113" spans="12:18" x14ac:dyDescent="0.25"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  <c r="P113" t="str">
        <f>IF(DATA_MARZO_2025[[#This Row],[ASER_]]="","",F107)</f>
        <v/>
      </c>
      <c r="Q113" t="str">
        <f>IF(DATA_MARZO_2025[[#This Row],[SUPERVISOR]]="","",D107)</f>
        <v/>
      </c>
      <c r="R113" t="str">
        <f>IF(DATA_MARZO_2025[[#This Row],[RECUPERO]]="","",VLOOKUP(DATA_MARZO_2025[[#This Row],[SUPERVISOR]],$H:$I,2,0))</f>
        <v/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R128"/>
  <sheetViews>
    <sheetView topLeftCell="A77" zoomScale="85" zoomScaleNormal="85" workbookViewId="0">
      <selection activeCell="C101" sqref="C101"/>
    </sheetView>
  </sheetViews>
  <sheetFormatPr baseColWidth="10" defaultRowHeight="15" x14ac:dyDescent="0.25"/>
  <cols>
    <col min="1" max="1" width="9.28515625" customWidth="1"/>
    <col min="2" max="3" width="22.7109375" customWidth="1"/>
    <col min="4" max="4" width="13.42578125" customWidth="1"/>
    <col min="5" max="5" width="12" customWidth="1"/>
    <col min="6" max="6" width="10.28515625" customWidth="1"/>
    <col min="7" max="7" width="11.42578125" customWidth="1"/>
    <col min="8" max="8" width="9.42578125" customWidth="1"/>
    <col min="9" max="9" width="8.140625" customWidth="1"/>
    <col min="10" max="11" width="11.42578125" customWidth="1"/>
    <col min="12" max="12" width="10" customWidth="1"/>
    <col min="13" max="13" width="11.140625" customWidth="1"/>
    <col min="14" max="14" width="19.85546875" customWidth="1"/>
    <col min="15" max="15" width="22.7109375" customWidth="1"/>
    <col min="16" max="16" width="11.42578125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3</v>
      </c>
      <c r="B3" t="str">
        <f>TRIM(C3)</f>
        <v>ALEJANDRO GONZALES</v>
      </c>
      <c r="C3" t="s">
        <v>116</v>
      </c>
      <c r="D3">
        <v>19232</v>
      </c>
      <c r="E3">
        <f>D1_ABRIL[[#This Row],[RECUPERO]]/VLOOKUP(F3,$H:$I,2,0)</f>
        <v>0.33740350877192982</v>
      </c>
      <c r="F3" t="str">
        <f>D1_ABRIL[[#This Row],[SUPER]]</f>
        <v>SANDY</v>
      </c>
      <c r="H3" t="s">
        <v>8</v>
      </c>
      <c r="I3">
        <v>20500</v>
      </c>
    </row>
    <row r="4" spans="1:1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19360</v>
      </c>
      <c r="E4">
        <f>D1_ABRIL[[#This Row],[RECUPERO]]/VLOOKUP(F4,$H:$I,2,0)</f>
        <v>0.33964912280701753</v>
      </c>
      <c r="F4" t="str">
        <f>D1_ABRIL[[#This Row],[SUPER]]</f>
        <v>SANDY</v>
      </c>
      <c r="H4" t="s">
        <v>131</v>
      </c>
      <c r="I4">
        <v>20500</v>
      </c>
    </row>
    <row r="5" spans="1:18" x14ac:dyDescent="0.35">
      <c r="A5" t="s">
        <v>3</v>
      </c>
      <c r="B5" t="str">
        <f t="shared" si="0"/>
        <v>EVELY TENORIO</v>
      </c>
      <c r="C5" t="s">
        <v>22</v>
      </c>
      <c r="D5">
        <v>62885.7</v>
      </c>
      <c r="E5">
        <f>D1_ABRIL[[#This Row],[RECUPERO]]/VLOOKUP(F5,$H:$I,2,0)</f>
        <v>1.1032578947368421</v>
      </c>
      <c r="F5" t="str">
        <f>D1_ABRIL[[#This Row],[SUPER]]</f>
        <v>SANDY</v>
      </c>
      <c r="H5" t="s">
        <v>132</v>
      </c>
      <c r="I5">
        <v>20500</v>
      </c>
    </row>
    <row r="6" spans="1:18" x14ac:dyDescent="0.25">
      <c r="A6" t="s">
        <v>3</v>
      </c>
      <c r="B6" t="str">
        <f t="shared" si="0"/>
        <v>LISELY MERA</v>
      </c>
      <c r="C6" t="s">
        <v>23</v>
      </c>
      <c r="D6">
        <v>102014</v>
      </c>
      <c r="E6">
        <f>D1_ABRIL[[#This Row],[RECUPERO]]/VLOOKUP(F6,$H:$I,2,0)</f>
        <v>1.789719298245614</v>
      </c>
      <c r="F6" t="str">
        <f>D1_ABRIL[[#This Row],[SUPER]]</f>
        <v>SANDY</v>
      </c>
      <c r="H6" t="s">
        <v>5</v>
      </c>
      <c r="I6">
        <v>57000</v>
      </c>
    </row>
    <row r="7" spans="1:18" x14ac:dyDescent="0.25">
      <c r="A7" t="s">
        <v>3</v>
      </c>
      <c r="B7" t="str">
        <f t="shared" si="0"/>
        <v>MALORY MONTEBLANCO</v>
      </c>
      <c r="C7" t="s">
        <v>25</v>
      </c>
      <c r="D7">
        <v>46165</v>
      </c>
      <c r="E7">
        <f>D1_ABRIL[[#This Row],[RECUPERO]]/VLOOKUP(F7,$H:$I,2,0)</f>
        <v>0.80991228070175436</v>
      </c>
      <c r="F7" t="str">
        <f>D1_ABRIL[[#This Row],[SUPER]]</f>
        <v>SANDY</v>
      </c>
      <c r="H7" t="s">
        <v>2</v>
      </c>
      <c r="I7">
        <v>57000</v>
      </c>
    </row>
    <row r="8" spans="1:18" x14ac:dyDescent="0.25">
      <c r="A8" t="s">
        <v>3</v>
      </c>
      <c r="B8" t="str">
        <f t="shared" si="0"/>
        <v>MICHAEL TAFUR</v>
      </c>
      <c r="C8" t="s">
        <v>112</v>
      </c>
      <c r="D8">
        <v>14913</v>
      </c>
      <c r="E8">
        <f>D1_ABRIL[[#This Row],[RECUPERO]]/VLOOKUP(F8,$H:$I,2,0)</f>
        <v>0.26163157894736844</v>
      </c>
      <c r="F8" t="str">
        <f>D1_ABRIL[[#This Row],[SUPER]]</f>
        <v>SANDY</v>
      </c>
      <c r="H8" t="s">
        <v>6</v>
      </c>
      <c r="I8">
        <v>26000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3</v>
      </c>
      <c r="B9" t="str">
        <f t="shared" si="0"/>
        <v>ROCIO TERRONES</v>
      </c>
      <c r="C9" t="s">
        <v>107</v>
      </c>
      <c r="D9">
        <v>17760</v>
      </c>
      <c r="E9">
        <f>D1_ABRIL[[#This Row],[RECUPERO]]/VLOOKUP(F9,$H:$I,2,0)</f>
        <v>0.31157894736842107</v>
      </c>
      <c r="F9" t="str">
        <f>D1_ABRIL[[#This Row],[SUPER]]</f>
        <v>SANDY</v>
      </c>
      <c r="H9" t="s">
        <v>4</v>
      </c>
      <c r="I9">
        <v>57000</v>
      </c>
      <c r="L9">
        <v>1</v>
      </c>
      <c r="M9" s="1">
        <f>E3</f>
        <v>0.33740350877192982</v>
      </c>
      <c r="N9" t="str" cm="1">
        <f t="array" ref="N9">IFERROR(_xlfn.IFS(M9&gt;100%,"&gt;100%",AND(M9&lt;100%,M9&gt;70%),"&gt;70%",AND(M9&lt;70%,M9&gt;40%),"&gt;40%",AND(M9&lt;40%,M9&gt;0%),"&gt;0%"),"")</f>
        <v>&gt;0%</v>
      </c>
      <c r="O9" t="str">
        <f>B3</f>
        <v>ALEJANDRO GONZALES</v>
      </c>
      <c r="P9" t="str">
        <f>IF(DATA_ABRIL_2025[[#This Row],[ASER_]]="","",F3)</f>
        <v>SANDY</v>
      </c>
      <c r="Q9">
        <f>IF(DATA_ABRIL_2025[[#This Row],[SUPERVISOR]]="","",D3)</f>
        <v>19232</v>
      </c>
      <c r="R9">
        <f>IF(DATA_ABRIL_2025[[#This Row],[RECUPERO]]="","",VLOOKUP(DATA_ABRIL_2025[[#This Row],[SUPERVISOR]],$H:$I,2,0))</f>
        <v>57000</v>
      </c>
    </row>
    <row r="10" spans="1:18" x14ac:dyDescent="0.25">
      <c r="A10" t="s">
        <v>3</v>
      </c>
      <c r="B10" t="str">
        <f t="shared" si="0"/>
        <v>VICTOR RAMIREZ</v>
      </c>
      <c r="C10" t="s">
        <v>76</v>
      </c>
      <c r="D10">
        <v>63552.1</v>
      </c>
      <c r="E10">
        <f>D1_ABRIL[[#This Row],[RECUPERO]]/VLOOKUP(F10,$H:$I,2,0)</f>
        <v>1.1149491228070174</v>
      </c>
      <c r="F10" t="str">
        <f>D1_ABRIL[[#This Row],[SUPER]]</f>
        <v>SANDY</v>
      </c>
      <c r="H10" t="s">
        <v>3</v>
      </c>
      <c r="I10">
        <v>57000</v>
      </c>
      <c r="L10">
        <v>2</v>
      </c>
      <c r="M10" s="1">
        <f t="shared" ref="M10:M73" si="1">E4</f>
        <v>0.33964912280701753</v>
      </c>
      <c r="N10" t="str" cm="1">
        <f t="array" ref="N10">IFERROR(_xlfn.IFS(M10&gt;100%,"&gt;100%",AND(M10&lt;100%,M10&gt;70%),"&gt;70%",AND(M10&lt;70%,M10&gt;40%),"&gt;40%",AND(M10&lt;40%,M10&gt;0%),"&gt;0%"),"")</f>
        <v>&gt;0%</v>
      </c>
      <c r="O10" t="str">
        <f t="shared" ref="O10:O73" si="2">B4</f>
        <v>CHRISTIAN ALBUJAR</v>
      </c>
      <c r="P10" t="str">
        <f>IF(DATA_ABRIL_2025[[#This Row],[ASER_]]="","",F4)</f>
        <v>SANDY</v>
      </c>
      <c r="Q10">
        <f>IF(DATA_ABRIL_2025[[#This Row],[SUPERVISOR]]="","",D4)</f>
        <v>19360</v>
      </c>
      <c r="R10">
        <f>IF(DATA_ABRIL_2025[[#This Row],[RECUPERO]]="","",VLOOKUP(DATA_ABRIL_2025[[#This Row],[SUPERVISOR]],$H:$I,2,0))</f>
        <v>57000</v>
      </c>
    </row>
    <row r="11" spans="1:18" x14ac:dyDescent="0.25">
      <c r="A11" t="s">
        <v>3</v>
      </c>
      <c r="B11" t="str">
        <f t="shared" si="0"/>
        <v/>
      </c>
      <c r="E11">
        <f>D1_ABRIL[[#This Row],[RECUPERO]]/VLOOKUP(F11,$H:$I,2,0)</f>
        <v>0</v>
      </c>
      <c r="F11" t="str">
        <f>D1_ABRIL[[#This Row],[SUPER]]</f>
        <v>SANDY</v>
      </c>
      <c r="L11">
        <v>3</v>
      </c>
      <c r="M11" s="1">
        <f t="shared" si="1"/>
        <v>1.1032578947368421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P11" t="str">
        <f>IF(DATA_ABRIL_2025[[#This Row],[ASER_]]="","",F5)</f>
        <v>SANDY</v>
      </c>
      <c r="Q11">
        <f>IF(DATA_ABRIL_2025[[#This Row],[SUPERVISOR]]="","",D5)</f>
        <v>62885.7</v>
      </c>
      <c r="R11">
        <f>IF(DATA_ABRIL_2025[[#This Row],[RECUPERO]]="","",VLOOKUP(DATA_ABRIL_2025[[#This Row],[SUPERVISOR]],$H:$I,2,0))</f>
        <v>57000</v>
      </c>
    </row>
    <row r="12" spans="1:18" x14ac:dyDescent="0.25">
      <c r="A12" t="s">
        <v>3</v>
      </c>
      <c r="B12" t="str">
        <f t="shared" si="0"/>
        <v/>
      </c>
      <c r="E12">
        <f>D1_ABRIL[[#This Row],[RECUPERO]]/VLOOKUP(F12,$H:$I,2,0)</f>
        <v>0</v>
      </c>
      <c r="F12" t="str">
        <f>D1_ABRIL[[#This Row],[SUPER]]</f>
        <v>SANDY</v>
      </c>
      <c r="L12">
        <v>4</v>
      </c>
      <c r="M12" s="1">
        <f t="shared" si="1"/>
        <v>1.789719298245614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2"/>
        <v>LISELY MERA</v>
      </c>
      <c r="P12" t="str">
        <f>IF(DATA_ABRIL_2025[[#This Row],[ASER_]]="","",F6)</f>
        <v>SANDY</v>
      </c>
      <c r="Q12">
        <f>IF(DATA_ABRIL_2025[[#This Row],[SUPERVISOR]]="","",D6)</f>
        <v>102014</v>
      </c>
      <c r="R12">
        <f>IF(DATA_ABRIL_2025[[#This Row],[RECUPERO]]="","",VLOOKUP(DATA_ABRIL_2025[[#This Row],[SUPERVISOR]],$H:$I,2,0))</f>
        <v>57000</v>
      </c>
    </row>
    <row r="13" spans="1:18" x14ac:dyDescent="0.25">
      <c r="A13" t="s">
        <v>3</v>
      </c>
      <c r="B13" t="str">
        <f t="shared" si="0"/>
        <v/>
      </c>
      <c r="E13">
        <f>D1_ABRIL[[#This Row],[RECUPERO]]/VLOOKUP(F13,$H:$I,2,0)</f>
        <v>0</v>
      </c>
      <c r="F13" t="str">
        <f>D1_ABRIL[[#This Row],[SUPER]]</f>
        <v>SANDY</v>
      </c>
      <c r="L13">
        <v>5</v>
      </c>
      <c r="M13" s="1">
        <f t="shared" si="1"/>
        <v>0.80991228070175436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2"/>
        <v>MALORY MONTEBLANCO</v>
      </c>
      <c r="P13" t="str">
        <f>IF(DATA_ABRIL_2025[[#This Row],[ASER_]]="","",F7)</f>
        <v>SANDY</v>
      </c>
      <c r="Q13">
        <f>IF(DATA_ABRIL_2025[[#This Row],[SUPERVISOR]]="","",D7)</f>
        <v>46165</v>
      </c>
      <c r="R13">
        <f>IF(DATA_ABRIL_2025[[#This Row],[RECUPERO]]="","",VLOOKUP(DATA_ABRIL_2025[[#This Row],[SUPERVISOR]],$H:$I,2,0))</f>
        <v>57000</v>
      </c>
    </row>
    <row r="14" spans="1:18" x14ac:dyDescent="0.25">
      <c r="A14" t="s">
        <v>3</v>
      </c>
      <c r="B14" t="str">
        <f t="shared" si="0"/>
        <v/>
      </c>
      <c r="E14">
        <f>D1_ABRIL[[#This Row],[RECUPERO]]/VLOOKUP(F14,$H:$I,2,0)</f>
        <v>0</v>
      </c>
      <c r="F14" t="str">
        <f>D1_ABRIL[[#This Row],[SUPER]]</f>
        <v>SANDY</v>
      </c>
      <c r="H14" s="11"/>
      <c r="L14">
        <v>6</v>
      </c>
      <c r="M14" s="1">
        <f t="shared" si="1"/>
        <v>0.26163157894736844</v>
      </c>
      <c r="N14" t="str" cm="1">
        <f t="array" ref="N14">IFERROR(_xlfn.IFS(M14&gt;100%,"&gt;100%",AND(M14&lt;100%,M14&gt;70%),"&gt;70%",AND(M14&lt;70%,M14&gt;40%),"&gt;40%",AND(M14&lt;40%,M14&gt;0%),"&gt;0%"),"")</f>
        <v>&gt;0%</v>
      </c>
      <c r="O14" t="str">
        <f t="shared" si="2"/>
        <v>MICHAEL TAFUR</v>
      </c>
      <c r="P14" t="str">
        <f>IF(DATA_ABRIL_2025[[#This Row],[ASER_]]="","",F8)</f>
        <v>SANDY</v>
      </c>
      <c r="Q14">
        <f>IF(DATA_ABRIL_2025[[#This Row],[SUPERVISOR]]="","",D8)</f>
        <v>14913</v>
      </c>
      <c r="R14">
        <f>IF(DATA_ABRIL_2025[[#This Row],[RECUPERO]]="","",VLOOKUP(DATA_ABRIL_2025[[#This Row],[SUPERVISOR]],$H:$I,2,0))</f>
        <v>57000</v>
      </c>
    </row>
    <row r="15" spans="1:18" x14ac:dyDescent="0.25">
      <c r="A15" t="s">
        <v>3</v>
      </c>
      <c r="B15" t="str">
        <f t="shared" si="0"/>
        <v/>
      </c>
      <c r="E15">
        <f>D1_ABRIL[[#This Row],[RECUPERO]]/VLOOKUP(F15,$H:$I,2,0)</f>
        <v>0</v>
      </c>
      <c r="F15" t="str">
        <f>D1_ABRIL[[#This Row],[SUPER]]</f>
        <v>SANDY</v>
      </c>
      <c r="H15" s="11"/>
      <c r="L15">
        <v>7</v>
      </c>
      <c r="M15" s="1">
        <f t="shared" si="1"/>
        <v>0.31157894736842107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2"/>
        <v>ROCIO TERRONES</v>
      </c>
      <c r="P15" t="str">
        <f>IF(DATA_ABRIL_2025[[#This Row],[ASER_]]="","",F9)</f>
        <v>SANDY</v>
      </c>
      <c r="Q15">
        <f>IF(DATA_ABRIL_2025[[#This Row],[SUPERVISOR]]="","",D9)</f>
        <v>17760</v>
      </c>
      <c r="R15">
        <f>IF(DATA_ABRIL_2025[[#This Row],[RECUPERO]]="","",VLOOKUP(DATA_ABRIL_2025[[#This Row],[SUPERVISOR]],$H:$I,2,0))</f>
        <v>57000</v>
      </c>
    </row>
    <row r="16" spans="1:18" x14ac:dyDescent="0.25">
      <c r="A16" t="s">
        <v>3</v>
      </c>
      <c r="B16" t="str">
        <f t="shared" si="0"/>
        <v/>
      </c>
      <c r="E16">
        <f>D1_ABRIL[[#This Row],[RECUPERO]]/VLOOKUP(F16,$H:$I,2,0)</f>
        <v>0</v>
      </c>
      <c r="F16" t="str">
        <f>D1_ABRIL[[#This Row],[SUPER]]</f>
        <v>SANDY</v>
      </c>
      <c r="L16">
        <v>8</v>
      </c>
      <c r="M16" s="1">
        <f t="shared" si="1"/>
        <v>1.1149491228070174</v>
      </c>
      <c r="N16" t="str" cm="1">
        <f t="array" ref="N16">IFERROR(_xlfn.IFS(M16&gt;100%,"&gt;100%",AND(M16&lt;100%,M16&gt;70%),"&gt;70%",AND(M16&lt;70%,M16&gt;40%),"&gt;40%",AND(M16&lt;40%,M16&gt;0%),"&gt;0%"),"")</f>
        <v>&gt;100%</v>
      </c>
      <c r="O16" t="str">
        <f t="shared" si="2"/>
        <v>VICTOR RAMIREZ</v>
      </c>
      <c r="P16" t="str">
        <f>IF(DATA_ABRIL_2025[[#This Row],[ASER_]]="","",F10)</f>
        <v>SANDY</v>
      </c>
      <c r="Q16">
        <f>IF(DATA_ABRIL_2025[[#This Row],[SUPERVISOR]]="","",D10)</f>
        <v>63552.1</v>
      </c>
      <c r="R16">
        <f>IF(DATA_ABRIL_2025[[#This Row],[RECUPERO]]="","",VLOOKUP(DATA_ABRIL_2025[[#This Row],[SUPERVISOR]],$H:$I,2,0))</f>
        <v>57000</v>
      </c>
    </row>
    <row r="17" spans="1:18" x14ac:dyDescent="0.25">
      <c r="A17" t="s">
        <v>3</v>
      </c>
      <c r="B17" t="str">
        <f t="shared" si="0"/>
        <v/>
      </c>
      <c r="E17">
        <f>D1_ABRIL[[#This Row],[RECUPERO]]/VLOOKUP(F17,$H:$I,2,0)</f>
        <v>0</v>
      </c>
      <c r="F17" t="str">
        <f>D1_ABRIL[[#This Row],[SUPER]]</f>
        <v>SANDY</v>
      </c>
      <c r="L17">
        <v>9</v>
      </c>
      <c r="M17" s="1">
        <f t="shared" si="1"/>
        <v>0</v>
      </c>
      <c r="N17" t="str" cm="1">
        <f t="array" ref="N17">IFERROR(_xlfn.IFS(M17&gt;100%,"&gt;100%",AND(M17&lt;100%,M17&gt;70%),"&gt;70%",AND(M17&lt;70%,M17&gt;40%),"&gt;40%",AND(M17&lt;40%,M17&gt;0%),"&gt;0%"),"")</f>
        <v/>
      </c>
      <c r="O17" t="str">
        <f t="shared" si="2"/>
        <v/>
      </c>
      <c r="P17" t="str">
        <f>IF(DATA_ABRIL_2025[[#This Row],[ASER_]]="","",F11)</f>
        <v/>
      </c>
      <c r="Q17" t="str">
        <f>IF(DATA_ABRIL_2025[[#This Row],[SUPERVISOR]]="","",D11)</f>
        <v/>
      </c>
      <c r="R17" t="str">
        <f>IF(DATA_ABRIL_2025[[#This Row],[RECUPERO]]="","",VLOOKUP(DATA_ABRIL_2025[[#This Row],[SUPERVISOR]],$H:$I,2,0))</f>
        <v/>
      </c>
    </row>
    <row r="18" spans="1:18" x14ac:dyDescent="0.25">
      <c r="A18" t="s">
        <v>4</v>
      </c>
      <c r="B18" t="str">
        <f t="shared" si="0"/>
        <v>ESTRELLA TINTAYA</v>
      </c>
      <c r="C18" t="s">
        <v>137</v>
      </c>
      <c r="D18">
        <v>0</v>
      </c>
      <c r="E18">
        <f>D1_ABRIL[[#This Row],[RECUPERO]]/VLOOKUP(F18,$H:$I,2,0)</f>
        <v>0</v>
      </c>
      <c r="F18" t="str">
        <f>D1_ABRIL[[#This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P18" t="str">
        <f>IF(DATA_ABRIL_2025[[#This Row],[ASER_]]="","",F12)</f>
        <v/>
      </c>
      <c r="Q18" t="str">
        <f>IF(DATA_ABRIL_2025[[#This Row],[SUPERVISOR]]="","",D12)</f>
        <v/>
      </c>
      <c r="R18" t="str">
        <f>IF(DATA_ABRIL_2025[[#This Row],[RECUPERO]]="","",VLOOKUP(DATA_ABRIL_2025[[#This Row],[SUPERVISOR]],$H:$I,2,0))</f>
        <v/>
      </c>
    </row>
    <row r="19" spans="1:18" x14ac:dyDescent="0.25">
      <c r="A19" t="s">
        <v>4</v>
      </c>
      <c r="B19" t="str">
        <f t="shared" si="0"/>
        <v>JAIR MARTINEZ</v>
      </c>
      <c r="C19" t="s">
        <v>57</v>
      </c>
      <c r="D19">
        <v>19686</v>
      </c>
      <c r="E19">
        <f>D1_ABRIL[[#This Row],[RECUPERO]]/VLOOKUP(F19,$H:$I,2,0)</f>
        <v>0.3453684210526316</v>
      </c>
      <c r="F19" t="str">
        <f>D1_ABRIL[[#This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P19" t="str">
        <f>IF(DATA_ABRIL_2025[[#This Row],[ASER_]]="","",F13)</f>
        <v/>
      </c>
      <c r="Q19" t="str">
        <f>IF(DATA_ABRIL_2025[[#This Row],[SUPERVISOR]]="","",D13)</f>
        <v/>
      </c>
      <c r="R19" t="str">
        <f>IF(DATA_ABRIL_2025[[#This Row],[RECUPERO]]="","",VLOOKUP(DATA_ABRIL_2025[[#This Row],[SUPERVISOR]],$H:$I,2,0))</f>
        <v/>
      </c>
    </row>
    <row r="20" spans="1:18" x14ac:dyDescent="0.25">
      <c r="A20" t="s">
        <v>4</v>
      </c>
      <c r="B20" t="str">
        <f t="shared" si="0"/>
        <v>JHONATAN CHAVEZ</v>
      </c>
      <c r="C20" t="s">
        <v>65</v>
      </c>
      <c r="D20">
        <v>17733.5</v>
      </c>
      <c r="E20">
        <f>D1_ABRIL[[#This Row],[RECUPERO]]/VLOOKUP(F20,$H:$I,2,0)</f>
        <v>0.31111403508771929</v>
      </c>
      <c r="F20" t="str">
        <f>D1_ABRIL[[#This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IF(DATA_ABRIL_2025[[#This Row],[ASER_]]="","",F14)</f>
        <v/>
      </c>
      <c r="Q20" t="str">
        <f>IF(DATA_ABRIL_2025[[#This Row],[SUPERVISOR]]="","",D14)</f>
        <v/>
      </c>
      <c r="R20" t="str">
        <f>IF(DATA_ABRIL_2025[[#This Row],[RECUPERO]]="","",VLOOKUP(DATA_ABRIL_2025[[#This Row],[SUPERVISOR]],$H:$I,2,0))</f>
        <v/>
      </c>
    </row>
    <row r="21" spans="1:18" x14ac:dyDescent="0.25">
      <c r="A21" t="s">
        <v>4</v>
      </c>
      <c r="B21" t="str">
        <f t="shared" si="0"/>
        <v>MARIA TINTAYA</v>
      </c>
      <c r="C21" t="s">
        <v>75</v>
      </c>
      <c r="D21">
        <v>95271</v>
      </c>
      <c r="E21">
        <f>D1_ABRIL[[#This Row],[RECUPERO]]/VLOOKUP(F21,$H:$I,2,0)</f>
        <v>1.6714210526315789</v>
      </c>
      <c r="F21" t="str">
        <f>D1_ABRIL[[#This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IF(DATA_ABRIL_2025[[#This Row],[ASER_]]="","",F15)</f>
        <v/>
      </c>
      <c r="Q21" t="str">
        <f>IF(DATA_ABRIL_2025[[#This Row],[SUPERVISOR]]="","",D15)</f>
        <v/>
      </c>
      <c r="R21" t="str">
        <f>IF(DATA_ABRIL_2025[[#This Row],[RECUPERO]]="","",VLOOKUP(DATA_ABRIL_2025[[#This Row],[SUPERVISOR]],$H:$I,2,0))</f>
        <v/>
      </c>
    </row>
    <row r="22" spans="1:18" x14ac:dyDescent="0.25">
      <c r="A22" t="s">
        <v>4</v>
      </c>
      <c r="B22" t="str">
        <f t="shared" si="0"/>
        <v>MELISSA GUERRERO</v>
      </c>
      <c r="C22" t="s">
        <v>62</v>
      </c>
      <c r="D22">
        <v>29828.39</v>
      </c>
      <c r="E22">
        <f>D1_ABRIL[[#This Row],[RECUPERO]]/VLOOKUP(F22,$H:$I,2,0)</f>
        <v>0.52330508771929829</v>
      </c>
      <c r="F22" t="str">
        <f>D1_ABRIL[[#This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IF(DATA_ABRIL_2025[[#This Row],[ASER_]]="","",F16)</f>
        <v/>
      </c>
      <c r="Q22" t="str">
        <f>IF(DATA_ABRIL_2025[[#This Row],[SUPERVISOR]]="","",D16)</f>
        <v/>
      </c>
      <c r="R22" t="str">
        <f>IF(DATA_ABRIL_2025[[#This Row],[RECUPERO]]="","",VLOOKUP(DATA_ABRIL_2025[[#This Row],[SUPERVISOR]],$H:$I,2,0))</f>
        <v/>
      </c>
    </row>
    <row r="23" spans="1:18" x14ac:dyDescent="0.25">
      <c r="A23" t="s">
        <v>4</v>
      </c>
      <c r="B23" t="str">
        <f t="shared" si="0"/>
        <v>MICAELA PEREZ</v>
      </c>
      <c r="C23" t="s">
        <v>64</v>
      </c>
      <c r="D23">
        <v>60617.29</v>
      </c>
      <c r="E23">
        <f>D1_ABRIL[[#This Row],[RECUPERO]]/VLOOKUP(F23,$H:$I,2,0)</f>
        <v>1.0634612280701754</v>
      </c>
      <c r="F23" t="str">
        <f>D1_ABRIL[[#This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IF(DATA_ABRIL_2025[[#This Row],[ASER_]]="","",F17)</f>
        <v/>
      </c>
      <c r="Q23" t="str">
        <f>IF(DATA_ABRIL_2025[[#This Row],[SUPERVISOR]]="","",D17)</f>
        <v/>
      </c>
      <c r="R23" t="str">
        <f>IF(DATA_ABRIL_2025[[#This Row],[RECUPERO]]="","",VLOOKUP(DATA_ABRIL_2025[[#This Row],[SUPERVISOR]],$H:$I,2,0))</f>
        <v/>
      </c>
    </row>
    <row r="24" spans="1:18" x14ac:dyDescent="0.25">
      <c r="A24" t="s">
        <v>4</v>
      </c>
      <c r="B24" t="str">
        <f t="shared" si="0"/>
        <v>PIERINA TESEN</v>
      </c>
      <c r="C24" t="s">
        <v>59</v>
      </c>
      <c r="D24">
        <v>45564.65</v>
      </c>
      <c r="E24">
        <f>D1_ABRIL[[#This Row],[RECUPERO]]/VLOOKUP(F24,$H:$I,2,0)</f>
        <v>0.79937982456140355</v>
      </c>
      <c r="F24" t="str">
        <f>D1_ABRIL[[#This Row],[SUPER]]</f>
        <v>MELINA</v>
      </c>
      <c r="L24">
        <v>1</v>
      </c>
      <c r="M24" s="1">
        <f t="shared" si="1"/>
        <v>0</v>
      </c>
      <c r="N24" t="str" cm="1">
        <f t="array" ref="N24">IFERROR(_xlfn.IFS(M24&gt;100%,"&gt;100%",AND(M24&lt;100%,M24&gt;70%),"&gt;70%",AND(M24&lt;70%,M24&gt;40%),"&gt;40%",AND(M24&lt;40%,M24&gt;0%),"&gt;0%"),"")</f>
        <v/>
      </c>
      <c r="O24" t="str">
        <f t="shared" si="2"/>
        <v>ESTRELLA TINTAYA</v>
      </c>
      <c r="P24" t="str">
        <f>IF(DATA_ABRIL_2025[[#This Row],[ASER_]]="","",F18)</f>
        <v>MELINA</v>
      </c>
      <c r="Q24">
        <f>IF(DATA_ABRIL_2025[[#This Row],[SUPERVISOR]]="","",D18)</f>
        <v>0</v>
      </c>
      <c r="R24">
        <f>IF(DATA_ABRIL_2025[[#This Row],[RECUPERO]]="","",VLOOKUP(DATA_ABRIL_2025[[#This Row],[SUPERVISOR]],$H:$I,2,0))</f>
        <v>57000</v>
      </c>
    </row>
    <row r="25" spans="1:18" x14ac:dyDescent="0.25">
      <c r="A25" t="s">
        <v>4</v>
      </c>
      <c r="B25" t="str">
        <f t="shared" si="0"/>
        <v>RICHARD RODRIGUEZ</v>
      </c>
      <c r="C25" t="s">
        <v>63</v>
      </c>
      <c r="D25">
        <v>16130</v>
      </c>
      <c r="E25">
        <f>D1_ABRIL[[#This Row],[RECUPERO]]/VLOOKUP(F25,$H:$I,2,0)</f>
        <v>0.28298245614035089</v>
      </c>
      <c r="F25" t="str">
        <f>D1_ABRIL[[#This Row],[SUPER]]</f>
        <v>MELINA</v>
      </c>
      <c r="L25">
        <v>2</v>
      </c>
      <c r="M25" s="1">
        <f t="shared" si="1"/>
        <v>0.3453684210526316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2"/>
        <v>JAIR MARTINEZ</v>
      </c>
      <c r="P25" t="str">
        <f>IF(DATA_ABRIL_2025[[#This Row],[ASER_]]="","",F19)</f>
        <v>MELINA</v>
      </c>
      <c r="Q25">
        <f>IF(DATA_ABRIL_2025[[#This Row],[SUPERVISOR]]="","",D19)</f>
        <v>19686</v>
      </c>
      <c r="R25">
        <f>IF(DATA_ABRIL_2025[[#This Row],[RECUPERO]]="","",VLOOKUP(DATA_ABRIL_2025[[#This Row],[SUPERVISOR]],$H:$I,2,0))</f>
        <v>57000</v>
      </c>
    </row>
    <row r="26" spans="1:18" x14ac:dyDescent="0.25">
      <c r="A26" t="s">
        <v>4</v>
      </c>
      <c r="B26" t="str">
        <f t="shared" si="0"/>
        <v/>
      </c>
      <c r="E26">
        <f>D1_ABRIL[[#This Row],[RECUPERO]]/VLOOKUP(F26,$H:$I,2,0)</f>
        <v>0</v>
      </c>
      <c r="F26" t="str">
        <f>D1_ABRIL[[#This Row],[SUPER]]</f>
        <v>MELINA</v>
      </c>
      <c r="L26">
        <v>3</v>
      </c>
      <c r="M26" s="1">
        <f t="shared" si="1"/>
        <v>0.31111403508771929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2"/>
        <v>JHONATAN CHAVEZ</v>
      </c>
      <c r="P26" t="str">
        <f>IF(DATA_ABRIL_2025[[#This Row],[ASER_]]="","",F20)</f>
        <v>MELINA</v>
      </c>
      <c r="Q26">
        <f>IF(DATA_ABRIL_2025[[#This Row],[SUPERVISOR]]="","",D20)</f>
        <v>17733.5</v>
      </c>
      <c r="R26">
        <f>IF(DATA_ABRIL_2025[[#This Row],[RECUPERO]]="","",VLOOKUP(DATA_ABRIL_2025[[#This Row],[SUPERVISOR]],$H:$I,2,0))</f>
        <v>57000</v>
      </c>
    </row>
    <row r="27" spans="1:18" x14ac:dyDescent="0.25">
      <c r="A27" t="s">
        <v>4</v>
      </c>
      <c r="B27" t="str">
        <f t="shared" si="0"/>
        <v/>
      </c>
      <c r="E27">
        <f>D1_ABRIL[[#This Row],[RECUPERO]]/VLOOKUP(F27,$H:$I,2,0)</f>
        <v>0</v>
      </c>
      <c r="F27" t="str">
        <f>D1_ABRIL[[#This Row],[SUPER]]</f>
        <v>MELINA</v>
      </c>
      <c r="L27">
        <v>4</v>
      </c>
      <c r="M27" s="1">
        <f t="shared" si="1"/>
        <v>1.6714210526315789</v>
      </c>
      <c r="N27" t="str" cm="1">
        <f t="array" ref="N27">IFERROR(_xlfn.IFS(M27&gt;100%,"&gt;100%",AND(M27&lt;100%,M27&gt;70%),"&gt;70%",AND(M27&lt;70%,M27&gt;40%),"&gt;40%",AND(M27&lt;40%,M27&gt;0%),"&gt;0%"),"")</f>
        <v>&gt;100%</v>
      </c>
      <c r="O27" t="str">
        <f t="shared" si="2"/>
        <v>MARIA TINTAYA</v>
      </c>
      <c r="P27" t="str">
        <f>IF(DATA_ABRIL_2025[[#This Row],[ASER_]]="","",F21)</f>
        <v>MELINA</v>
      </c>
      <c r="Q27">
        <f>IF(DATA_ABRIL_2025[[#This Row],[SUPERVISOR]]="","",D21)</f>
        <v>95271</v>
      </c>
      <c r="R27">
        <f>IF(DATA_ABRIL_2025[[#This Row],[RECUPERO]]="","",VLOOKUP(DATA_ABRIL_2025[[#This Row],[SUPERVISOR]],$H:$I,2,0))</f>
        <v>57000</v>
      </c>
    </row>
    <row r="28" spans="1:18" x14ac:dyDescent="0.25">
      <c r="A28" t="s">
        <v>4</v>
      </c>
      <c r="B28" t="str">
        <f t="shared" si="0"/>
        <v/>
      </c>
      <c r="E28">
        <f>D1_ABRIL[[#This Row],[RECUPERO]]/VLOOKUP(F28,$H:$I,2,0)</f>
        <v>0</v>
      </c>
      <c r="F28" t="str">
        <f>D1_ABRIL[[#This Row],[SUPER]]</f>
        <v>MELINA</v>
      </c>
      <c r="L28">
        <v>5</v>
      </c>
      <c r="M28" s="1">
        <f t="shared" si="1"/>
        <v>0.52330508771929829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2"/>
        <v>MELISSA GUERRERO</v>
      </c>
      <c r="P28" t="str">
        <f>IF(DATA_ABRIL_2025[[#This Row],[ASER_]]="","",F22)</f>
        <v>MELINA</v>
      </c>
      <c r="Q28">
        <f>IF(DATA_ABRIL_2025[[#This Row],[SUPERVISOR]]="","",D22)</f>
        <v>29828.39</v>
      </c>
      <c r="R28">
        <f>IF(DATA_ABRIL_2025[[#This Row],[RECUPERO]]="","",VLOOKUP(DATA_ABRIL_2025[[#This Row],[SUPERVISOR]],$H:$I,2,0))</f>
        <v>57000</v>
      </c>
    </row>
    <row r="29" spans="1:18" x14ac:dyDescent="0.25">
      <c r="A29" t="s">
        <v>4</v>
      </c>
      <c r="B29" t="str">
        <f t="shared" si="0"/>
        <v/>
      </c>
      <c r="E29">
        <f>D1_ABRIL[[#This Row],[RECUPERO]]/VLOOKUP(F29,$H:$I,2,0)</f>
        <v>0</v>
      </c>
      <c r="F29" t="str">
        <f>D1_ABRIL[[#This Row],[SUPER]]</f>
        <v>MELINA</v>
      </c>
      <c r="L29">
        <v>6</v>
      </c>
      <c r="M29" s="1">
        <f t="shared" si="1"/>
        <v>1.0634612280701754</v>
      </c>
      <c r="N29" t="str" cm="1">
        <f t="array" ref="N29">IFERROR(_xlfn.IFS(M29&gt;100%,"&gt;100%",AND(M29&lt;100%,M29&gt;70%),"&gt;70%",AND(M29&lt;70%,M29&gt;40%),"&gt;40%",AND(M29&lt;40%,M29&gt;0%),"&gt;0%"),"")</f>
        <v>&gt;100%</v>
      </c>
      <c r="O29" t="str">
        <f t="shared" si="2"/>
        <v>MICAELA PEREZ</v>
      </c>
      <c r="P29" t="str">
        <f>IF(DATA_ABRIL_2025[[#This Row],[ASER_]]="","",F23)</f>
        <v>MELINA</v>
      </c>
      <c r="Q29">
        <f>IF(DATA_ABRIL_2025[[#This Row],[SUPERVISOR]]="","",D23)</f>
        <v>60617.29</v>
      </c>
      <c r="R29">
        <f>IF(DATA_ABRIL_2025[[#This Row],[RECUPERO]]="","",VLOOKUP(DATA_ABRIL_2025[[#This Row],[SUPERVISOR]],$H:$I,2,0))</f>
        <v>57000</v>
      </c>
    </row>
    <row r="30" spans="1:18" x14ac:dyDescent="0.25">
      <c r="A30" t="s">
        <v>4</v>
      </c>
      <c r="B30" t="str">
        <f t="shared" si="0"/>
        <v/>
      </c>
      <c r="E30">
        <f>D1_ABRIL[[#This Row],[RECUPERO]]/VLOOKUP(F30,$H:$I,2,0)</f>
        <v>0</v>
      </c>
      <c r="F30" t="str">
        <f>D1_ABRIL[[#This Row],[SUPER]]</f>
        <v>MELINA</v>
      </c>
      <c r="L30">
        <v>7</v>
      </c>
      <c r="M30" s="1">
        <f t="shared" si="1"/>
        <v>0.79937982456140355</v>
      </c>
      <c r="N30" t="str" cm="1">
        <f t="array" ref="N30">IFERROR(_xlfn.IFS(M30&gt;100%,"&gt;100%",AND(M30&lt;100%,M30&gt;70%),"&gt;70%",AND(M30&lt;70%,M30&gt;40%),"&gt;40%",AND(M30&lt;40%,M30&gt;0%),"&gt;0%"),"")</f>
        <v>&gt;70%</v>
      </c>
      <c r="O30" t="str">
        <f t="shared" si="2"/>
        <v>PIERINA TESEN</v>
      </c>
      <c r="P30" t="str">
        <f>IF(DATA_ABRIL_2025[[#This Row],[ASER_]]="","",F24)</f>
        <v>MELINA</v>
      </c>
      <c r="Q30">
        <f>IF(DATA_ABRIL_2025[[#This Row],[SUPERVISOR]]="","",D24)</f>
        <v>45564.65</v>
      </c>
      <c r="R30">
        <f>IF(DATA_ABRIL_2025[[#This Row],[RECUPERO]]="","",VLOOKUP(DATA_ABRIL_2025[[#This Row],[SUPERVISOR]],$H:$I,2,0))</f>
        <v>57000</v>
      </c>
    </row>
    <row r="31" spans="1:18" x14ac:dyDescent="0.25">
      <c r="A31" t="s">
        <v>4</v>
      </c>
      <c r="B31" t="str">
        <f t="shared" si="0"/>
        <v/>
      </c>
      <c r="E31">
        <f>D1_ABRIL[[#This Row],[RECUPERO]]/VLOOKUP(F31,$H:$I,2,0)</f>
        <v>0</v>
      </c>
      <c r="F31" t="str">
        <f>D1_ABRIL[[#This Row],[SUPER]]</f>
        <v>MELINA</v>
      </c>
      <c r="L31">
        <v>8</v>
      </c>
      <c r="M31" s="1">
        <f t="shared" si="1"/>
        <v>0.28298245614035089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RICHARD RODRIGUEZ</v>
      </c>
      <c r="P31" t="str">
        <f>IF(DATA_ABRIL_2025[[#This Row],[ASER_]]="","",F25)</f>
        <v>MELINA</v>
      </c>
      <c r="Q31">
        <f>IF(DATA_ABRIL_2025[[#This Row],[SUPERVISOR]]="","",D25)</f>
        <v>16130</v>
      </c>
      <c r="R31">
        <f>IF(DATA_ABRIL_2025[[#This Row],[RECUPERO]]="","",VLOOKUP(DATA_ABRIL_2025[[#This Row],[SUPERVISOR]],$H:$I,2,0))</f>
        <v>57000</v>
      </c>
    </row>
    <row r="32" spans="1:18" x14ac:dyDescent="0.25">
      <c r="A32" t="s">
        <v>4</v>
      </c>
      <c r="B32" t="str">
        <f t="shared" si="0"/>
        <v/>
      </c>
      <c r="E32">
        <f>D1_ABRIL[[#This Row],[RECUPERO]]/VLOOKUP(F32,$H:$I,2,0)</f>
        <v>0</v>
      </c>
      <c r="F32" t="str">
        <f>D1_ABRIL[[#This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  <c r="P32" t="str">
        <f>IF(DATA_ABRIL_2025[[#This Row],[ASER_]]="","",F26)</f>
        <v/>
      </c>
      <c r="Q32" t="str">
        <f>IF(DATA_ABRIL_2025[[#This Row],[SUPERVISOR]]="","",D26)</f>
        <v/>
      </c>
      <c r="R32" t="str">
        <f>IF(DATA_ABRIL_2025[[#This Row],[RECUPERO]]="","",VLOOKUP(DATA_ABRIL_2025[[#This Row],[SUPERVISOR]],$H:$I,2,0))</f>
        <v/>
      </c>
    </row>
    <row r="33" spans="1:18" x14ac:dyDescent="0.25">
      <c r="A33" t="s">
        <v>2</v>
      </c>
      <c r="B33" t="str">
        <f t="shared" si="0"/>
        <v>GENESIS VICUNA</v>
      </c>
      <c r="C33" t="s">
        <v>12</v>
      </c>
      <c r="D33">
        <v>36100</v>
      </c>
      <c r="E33">
        <f>D1_ABRIL[[#This Row],[RECUPERO]]/VLOOKUP(F33,$H:$I,2,0)</f>
        <v>0.6333333333333333</v>
      </c>
      <c r="F33" t="str">
        <f>D1_ABRIL[[#This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P33" t="str">
        <f>IF(DATA_ABRIL_2025[[#This Row],[ASER_]]="","",F27)</f>
        <v/>
      </c>
      <c r="Q33" t="str">
        <f>IF(DATA_ABRIL_2025[[#This Row],[SUPERVISOR]]="","",D27)</f>
        <v/>
      </c>
      <c r="R33" t="str">
        <f>IF(DATA_ABRIL_2025[[#This Row],[RECUPERO]]="","",VLOOKUP(DATA_ABRIL_2025[[#This Row],[SUPERVISOR]],$H:$I,2,0))</f>
        <v/>
      </c>
    </row>
    <row r="34" spans="1:18" x14ac:dyDescent="0.25">
      <c r="A34" t="s">
        <v>2</v>
      </c>
      <c r="B34" t="str">
        <f t="shared" si="0"/>
        <v>GIANFRANCO PINEDO</v>
      </c>
      <c r="C34" t="s">
        <v>13</v>
      </c>
      <c r="D34">
        <v>25015</v>
      </c>
      <c r="E34">
        <f>D1_ABRIL[[#This Row],[RECUPERO]]/VLOOKUP(F34,$H:$I,2,0)</f>
        <v>0.43885964912280701</v>
      </c>
      <c r="F34" t="str">
        <f>D1_ABRIL[[#This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P34" t="str">
        <f>IF(DATA_ABRIL_2025[[#This Row],[ASER_]]="","",F28)</f>
        <v/>
      </c>
      <c r="Q34" t="str">
        <f>IF(DATA_ABRIL_2025[[#This Row],[SUPERVISOR]]="","",D28)</f>
        <v/>
      </c>
      <c r="R34" t="str">
        <f>IF(DATA_ABRIL_2025[[#This Row],[RECUPERO]]="","",VLOOKUP(DATA_ABRIL_2025[[#This Row],[SUPERVISOR]],$H:$I,2,0))</f>
        <v/>
      </c>
    </row>
    <row r="35" spans="1:18" x14ac:dyDescent="0.25">
      <c r="A35" t="s">
        <v>2</v>
      </c>
      <c r="B35" t="str">
        <f t="shared" si="0"/>
        <v>JUAN ALANOCCA</v>
      </c>
      <c r="C35" t="s">
        <v>77</v>
      </c>
      <c r="D35">
        <v>15200</v>
      </c>
      <c r="E35">
        <f>D1_ABRIL[[#This Row],[RECUPERO]]/VLOOKUP(F35,$H:$I,2,0)</f>
        <v>0.26666666666666666</v>
      </c>
      <c r="F35" t="str">
        <f>D1_ABRIL[[#This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IF(DATA_ABRIL_2025[[#This Row],[ASER_]]="","",F29)</f>
        <v/>
      </c>
      <c r="Q35" t="str">
        <f>IF(DATA_ABRIL_2025[[#This Row],[SUPERVISOR]]="","",D29)</f>
        <v/>
      </c>
      <c r="R35" t="str">
        <f>IF(DATA_ABRIL_2025[[#This Row],[RECUPERO]]="","",VLOOKUP(DATA_ABRIL_2025[[#This Row],[SUPERVISOR]],$H:$I,2,0))</f>
        <v/>
      </c>
    </row>
    <row r="36" spans="1:18" x14ac:dyDescent="0.25">
      <c r="A36" t="s">
        <v>2</v>
      </c>
      <c r="B36" t="str">
        <f t="shared" si="0"/>
        <v>LUIS VALLADARES</v>
      </c>
      <c r="C36" t="s">
        <v>29</v>
      </c>
      <c r="D36">
        <v>34858.75</v>
      </c>
      <c r="E36">
        <f>D1_ABRIL[[#This Row],[RECUPERO]]/VLOOKUP(F36,$H:$I,2,0)</f>
        <v>0.6115570175438596</v>
      </c>
      <c r="F36" t="str">
        <f>D1_ABRIL[[#This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IF(DATA_ABRIL_2025[[#This Row],[ASER_]]="","",F30)</f>
        <v/>
      </c>
      <c r="Q36" t="str">
        <f>IF(DATA_ABRIL_2025[[#This Row],[SUPERVISOR]]="","",D30)</f>
        <v/>
      </c>
      <c r="R36" t="str">
        <f>IF(DATA_ABRIL_2025[[#This Row],[RECUPERO]]="","",VLOOKUP(DATA_ABRIL_2025[[#This Row],[SUPERVISOR]],$H:$I,2,0))</f>
        <v/>
      </c>
    </row>
    <row r="37" spans="1:18" x14ac:dyDescent="0.25">
      <c r="A37" t="s">
        <v>2</v>
      </c>
      <c r="B37" t="str">
        <f t="shared" si="0"/>
        <v>MARGARITA PIANCHACHI</v>
      </c>
      <c r="C37" t="s">
        <v>17</v>
      </c>
      <c r="D37">
        <v>59320</v>
      </c>
      <c r="E37">
        <f>D1_ABRIL[[#This Row],[RECUPERO]]/VLOOKUP(F37,$H:$I,2,0)</f>
        <v>1.0407017543859649</v>
      </c>
      <c r="F37" t="str">
        <f>D1_ABRIL[[#This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IF(DATA_ABRIL_2025[[#This Row],[ASER_]]="","",F31)</f>
        <v/>
      </c>
      <c r="Q37" t="str">
        <f>IF(DATA_ABRIL_2025[[#This Row],[SUPERVISOR]]="","",D31)</f>
        <v/>
      </c>
      <c r="R37" t="str">
        <f>IF(DATA_ABRIL_2025[[#This Row],[RECUPERO]]="","",VLOOKUP(DATA_ABRIL_2025[[#This Row],[SUPERVISOR]],$H:$I,2,0))</f>
        <v/>
      </c>
    </row>
    <row r="38" spans="1:18" x14ac:dyDescent="0.25">
      <c r="A38" t="s">
        <v>2</v>
      </c>
      <c r="B38" t="str">
        <f t="shared" si="0"/>
        <v>MILAGROS QUIO</v>
      </c>
      <c r="C38" t="s">
        <v>11</v>
      </c>
      <c r="D38">
        <v>18939</v>
      </c>
      <c r="E38">
        <f>D1_ABRIL[[#This Row],[RECUPERO]]/VLOOKUP(F38,$H:$I,2,0)</f>
        <v>0.33226315789473682</v>
      </c>
      <c r="F38" t="str">
        <f>D1_ABRIL[[#This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IF(DATA_ABRIL_2025[[#This Row],[ASER_]]="","",F32)</f>
        <v/>
      </c>
      <c r="Q38" t="str">
        <f>IF(DATA_ABRIL_2025[[#This Row],[SUPERVISOR]]="","",D32)</f>
        <v/>
      </c>
      <c r="R38" t="str">
        <f>IF(DATA_ABRIL_2025[[#This Row],[RECUPERO]]="","",VLOOKUP(DATA_ABRIL_2025[[#This Row],[SUPERVISOR]],$H:$I,2,0))</f>
        <v/>
      </c>
    </row>
    <row r="39" spans="1:18" x14ac:dyDescent="0.25">
      <c r="A39" t="s">
        <v>2</v>
      </c>
      <c r="B39" t="str">
        <f t="shared" si="0"/>
        <v>VERONICA TASAYCO</v>
      </c>
      <c r="C39" t="s">
        <v>10</v>
      </c>
      <c r="D39">
        <v>68299</v>
      </c>
      <c r="E39">
        <f>D1_ABRIL[[#This Row],[RECUPERO]]/VLOOKUP(F39,$H:$I,2,0)</f>
        <v>1.1982280701754386</v>
      </c>
      <c r="F39" t="str">
        <f>D1_ABRIL[[#This Row],[SUPER]]</f>
        <v>JORGE</v>
      </c>
      <c r="L39">
        <v>1</v>
      </c>
      <c r="M39" s="1">
        <f t="shared" si="1"/>
        <v>0.6333333333333333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GENESIS VICUNA</v>
      </c>
      <c r="P39" t="str">
        <f>IF(DATA_ABRIL_2025[[#This Row],[ASER_]]="","",F33)</f>
        <v>JORGE</v>
      </c>
      <c r="Q39">
        <f>IF(DATA_ABRIL_2025[[#This Row],[SUPERVISOR]]="","",D33)</f>
        <v>36100</v>
      </c>
      <c r="R39">
        <f>IF(DATA_ABRIL_2025[[#This Row],[RECUPERO]]="","",VLOOKUP(DATA_ABRIL_2025[[#This Row],[SUPERVISOR]],$H:$I,2,0))</f>
        <v>57000</v>
      </c>
    </row>
    <row r="40" spans="1:18" x14ac:dyDescent="0.25">
      <c r="A40" t="s">
        <v>2</v>
      </c>
      <c r="B40" t="str">
        <f t="shared" si="0"/>
        <v/>
      </c>
      <c r="E40">
        <f>D1_ABRIL[[#This Row],[RECUPERO]]/VLOOKUP(F40,$H:$I,2,0)</f>
        <v>0</v>
      </c>
      <c r="F40" t="str">
        <f>D1_ABRIL[[#This Row],[SUPER]]</f>
        <v>JORGE</v>
      </c>
      <c r="L40">
        <v>2</v>
      </c>
      <c r="M40" s="1">
        <f t="shared" si="1"/>
        <v>0.43885964912280701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GIANFRANCO PINEDO</v>
      </c>
      <c r="P40" t="str">
        <f>IF(DATA_ABRIL_2025[[#This Row],[ASER_]]="","",F34)</f>
        <v>JORGE</v>
      </c>
      <c r="Q40">
        <f>IF(DATA_ABRIL_2025[[#This Row],[SUPERVISOR]]="","",D34)</f>
        <v>25015</v>
      </c>
      <c r="R40">
        <f>IF(DATA_ABRIL_2025[[#This Row],[RECUPERO]]="","",VLOOKUP(DATA_ABRIL_2025[[#This Row],[SUPERVISOR]],$H:$I,2,0))</f>
        <v>57000</v>
      </c>
    </row>
    <row r="41" spans="1:18" x14ac:dyDescent="0.25">
      <c r="A41" t="s">
        <v>2</v>
      </c>
      <c r="B41" t="str">
        <f t="shared" si="0"/>
        <v/>
      </c>
      <c r="E41">
        <f>D1_ABRIL[[#This Row],[RECUPERO]]/VLOOKUP(F41,$H:$I,2,0)</f>
        <v>0</v>
      </c>
      <c r="F41" t="str">
        <f>D1_ABRIL[[#This Row],[SUPER]]</f>
        <v>JORGE</v>
      </c>
      <c r="L41">
        <v>3</v>
      </c>
      <c r="M41" s="1">
        <f t="shared" si="1"/>
        <v>0.26666666666666666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2"/>
        <v>JUAN ALANOCCA</v>
      </c>
      <c r="P41" t="str">
        <f>IF(DATA_ABRIL_2025[[#This Row],[ASER_]]="","",F35)</f>
        <v>JORGE</v>
      </c>
      <c r="Q41">
        <f>IF(DATA_ABRIL_2025[[#This Row],[SUPERVISOR]]="","",D35)</f>
        <v>15200</v>
      </c>
      <c r="R41">
        <f>IF(DATA_ABRIL_2025[[#This Row],[RECUPERO]]="","",VLOOKUP(DATA_ABRIL_2025[[#This Row],[SUPERVISOR]],$H:$I,2,0))</f>
        <v>57000</v>
      </c>
    </row>
    <row r="42" spans="1:18" x14ac:dyDescent="0.25">
      <c r="A42" t="s">
        <v>2</v>
      </c>
      <c r="B42" t="str">
        <f t="shared" si="0"/>
        <v/>
      </c>
      <c r="E42">
        <f>D1_ABRIL[[#This Row],[RECUPERO]]/VLOOKUP(F42,$H:$I,2,0)</f>
        <v>0</v>
      </c>
      <c r="F42" t="str">
        <f>D1_ABRIL[[#This Row],[SUPER]]</f>
        <v>JORGE</v>
      </c>
      <c r="L42">
        <v>4</v>
      </c>
      <c r="M42" s="1">
        <f t="shared" si="1"/>
        <v>0.6115570175438596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LUIS VALLADARES</v>
      </c>
      <c r="P42" t="str">
        <f>IF(DATA_ABRIL_2025[[#This Row],[ASER_]]="","",F36)</f>
        <v>JORGE</v>
      </c>
      <c r="Q42">
        <f>IF(DATA_ABRIL_2025[[#This Row],[SUPERVISOR]]="","",D36)</f>
        <v>34858.75</v>
      </c>
      <c r="R42">
        <f>IF(DATA_ABRIL_2025[[#This Row],[RECUPERO]]="","",VLOOKUP(DATA_ABRIL_2025[[#This Row],[SUPERVISOR]],$H:$I,2,0))</f>
        <v>57000</v>
      </c>
    </row>
    <row r="43" spans="1:18" x14ac:dyDescent="0.25">
      <c r="A43" t="s">
        <v>2</v>
      </c>
      <c r="B43" t="str">
        <f t="shared" si="0"/>
        <v/>
      </c>
      <c r="E43">
        <f>D1_ABRIL[[#This Row],[RECUPERO]]/VLOOKUP(F43,$H:$I,2,0)</f>
        <v>0</v>
      </c>
      <c r="F43" t="str">
        <f>D1_ABRIL[[#This Row],[SUPER]]</f>
        <v>JORGE</v>
      </c>
      <c r="L43">
        <v>5</v>
      </c>
      <c r="M43" s="1">
        <f t="shared" si="1"/>
        <v>1.0407017543859649</v>
      </c>
      <c r="N43" t="str" cm="1">
        <f t="array" ref="N43">IFERROR(_xlfn.IFS(M43&gt;100%,"&gt;100%",AND(M43&lt;100%,M43&gt;70%),"&gt;70%",AND(M43&lt;70%,M43&gt;40%),"&gt;40%",AND(M43&lt;40%,M43&gt;0%),"&gt;0%"),"")</f>
        <v>&gt;100%</v>
      </c>
      <c r="O43" t="str">
        <f t="shared" si="2"/>
        <v>MARGARITA PIANCHACHI</v>
      </c>
      <c r="P43" t="str">
        <f>IF(DATA_ABRIL_2025[[#This Row],[ASER_]]="","",F37)</f>
        <v>JORGE</v>
      </c>
      <c r="Q43">
        <f>IF(DATA_ABRIL_2025[[#This Row],[SUPERVISOR]]="","",D37)</f>
        <v>59320</v>
      </c>
      <c r="R43">
        <f>IF(DATA_ABRIL_2025[[#This Row],[RECUPERO]]="","",VLOOKUP(DATA_ABRIL_2025[[#This Row],[SUPERVISOR]],$H:$I,2,0))</f>
        <v>57000</v>
      </c>
    </row>
    <row r="44" spans="1:18" x14ac:dyDescent="0.25">
      <c r="A44" t="s">
        <v>2</v>
      </c>
      <c r="B44" t="str">
        <f t="shared" si="0"/>
        <v/>
      </c>
      <c r="E44">
        <f>D1_ABRIL[[#This Row],[RECUPERO]]/VLOOKUP(F44,$H:$I,2,0)</f>
        <v>0</v>
      </c>
      <c r="F44" t="str">
        <f>D1_ABRIL[[#This Row],[SUPER]]</f>
        <v>JORGE</v>
      </c>
      <c r="L44">
        <v>6</v>
      </c>
      <c r="M44" s="1">
        <f t="shared" si="1"/>
        <v>0.33226315789473682</v>
      </c>
      <c r="N44" t="str" cm="1">
        <f t="array" ref="N44">IFERROR(_xlfn.IFS(M44&gt;100%,"&gt;100%",AND(M44&lt;100%,M44&gt;70%),"&gt;70%",AND(M44&lt;70%,M44&gt;40%),"&gt;40%",AND(M44&lt;40%,M44&gt;0%),"&gt;0%"),"")</f>
        <v>&gt;0%</v>
      </c>
      <c r="O44" t="str">
        <f t="shared" si="2"/>
        <v>MILAGROS QUIO</v>
      </c>
      <c r="P44" t="str">
        <f>IF(DATA_ABRIL_2025[[#This Row],[ASER_]]="","",F38)</f>
        <v>JORGE</v>
      </c>
      <c r="Q44">
        <f>IF(DATA_ABRIL_2025[[#This Row],[SUPERVISOR]]="","",D38)</f>
        <v>18939</v>
      </c>
      <c r="R44">
        <f>IF(DATA_ABRIL_2025[[#This Row],[RECUPERO]]="","",VLOOKUP(DATA_ABRIL_2025[[#This Row],[SUPERVISOR]],$H:$I,2,0))</f>
        <v>57000</v>
      </c>
    </row>
    <row r="45" spans="1:18" x14ac:dyDescent="0.25">
      <c r="A45" t="s">
        <v>2</v>
      </c>
      <c r="B45" t="str">
        <f t="shared" si="0"/>
        <v/>
      </c>
      <c r="E45">
        <f>D1_ABRIL[[#This Row],[RECUPERO]]/VLOOKUP(F45,$H:$I,2,0)</f>
        <v>0</v>
      </c>
      <c r="F45" t="str">
        <f>D1_ABRIL[[#This Row],[SUPER]]</f>
        <v>JORGE</v>
      </c>
      <c r="L45">
        <v>7</v>
      </c>
      <c r="M45" s="1">
        <f t="shared" si="1"/>
        <v>1.1982280701754386</v>
      </c>
      <c r="N45" t="str" cm="1">
        <f t="array" ref="N45">IFERROR(_xlfn.IFS(M45&gt;100%,"&gt;100%",AND(M45&lt;100%,M45&gt;70%),"&gt;70%",AND(M45&lt;70%,M45&gt;40%),"&gt;40%",AND(M45&lt;40%,M45&gt;0%),"&gt;0%"),"")</f>
        <v>&gt;100%</v>
      </c>
      <c r="O45" t="str">
        <f t="shared" si="2"/>
        <v>VERONICA TASAYCO</v>
      </c>
      <c r="P45" t="str">
        <f>IF(DATA_ABRIL_2025[[#This Row],[ASER_]]="","",F39)</f>
        <v>JORGE</v>
      </c>
      <c r="Q45">
        <f>IF(DATA_ABRIL_2025[[#This Row],[SUPERVISOR]]="","",D39)</f>
        <v>68299</v>
      </c>
      <c r="R45">
        <f>IF(DATA_ABRIL_2025[[#This Row],[RECUPERO]]="","",VLOOKUP(DATA_ABRIL_2025[[#This Row],[SUPERVISOR]],$H:$I,2,0))</f>
        <v>57000</v>
      </c>
    </row>
    <row r="46" spans="1:18" x14ac:dyDescent="0.25">
      <c r="A46" t="s">
        <v>2</v>
      </c>
      <c r="B46" t="str">
        <f t="shared" si="0"/>
        <v/>
      </c>
      <c r="E46">
        <f>D1_ABRIL[[#This Row],[RECUPERO]]/VLOOKUP(F46,$H:$I,2,0)</f>
        <v>0</v>
      </c>
      <c r="F46" t="str">
        <f>D1_ABRIL[[#This Row],[SUPER]]</f>
        <v>JORGE</v>
      </c>
      <c r="L46">
        <v>8</v>
      </c>
      <c r="M46" s="1">
        <f t="shared" si="1"/>
        <v>0</v>
      </c>
      <c r="N46" t="str" cm="1">
        <f t="array" ref="N46">IFERROR(_xlfn.IFS(M46&gt;100%,"&gt;100%",AND(M46&lt;100%,M46&gt;70%),"&gt;70%",AND(M46&lt;70%,M46&gt;40%),"&gt;40%",AND(M46&lt;40%,M46&gt;0%),"&gt;0%"),"")</f>
        <v/>
      </c>
      <c r="O46" t="str">
        <f t="shared" si="2"/>
        <v/>
      </c>
      <c r="P46" t="str">
        <f>IF(DATA_ABRIL_2025[[#This Row],[ASER_]]="","",F40)</f>
        <v/>
      </c>
      <c r="Q46" t="str">
        <f>IF(DATA_ABRIL_2025[[#This Row],[SUPERVISOR]]="","",D40)</f>
        <v/>
      </c>
      <c r="R46" t="str">
        <f>IF(DATA_ABRIL_2025[[#This Row],[RECUPERO]]="","",VLOOKUP(DATA_ABRIL_2025[[#This Row],[SUPERVISOR]],$H:$I,2,0))</f>
        <v/>
      </c>
    </row>
    <row r="47" spans="1:18" x14ac:dyDescent="0.25">
      <c r="A47" t="s">
        <v>2</v>
      </c>
      <c r="B47" t="str">
        <f t="shared" si="0"/>
        <v/>
      </c>
      <c r="E47">
        <f>D1_ABRIL[[#This Row],[RECUPERO]]/VLOOKUP(F47,$H:$I,2,0)</f>
        <v>0</v>
      </c>
      <c r="F47" t="str">
        <f>D1_ABRIL[[#This Row],[SUPER]]</f>
        <v>JORGE</v>
      </c>
      <c r="L47">
        <v>9</v>
      </c>
      <c r="M47" s="1">
        <f t="shared" si="1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2"/>
        <v/>
      </c>
      <c r="P47" t="str">
        <f>IF(DATA_ABRIL_2025[[#This Row],[ASER_]]="","",F41)</f>
        <v/>
      </c>
      <c r="Q47" t="str">
        <f>IF(DATA_ABRIL_2025[[#This Row],[SUPERVISOR]]="","",D41)</f>
        <v/>
      </c>
      <c r="R47" t="str">
        <f>IF(DATA_ABRIL_2025[[#This Row],[RECUPERO]]="","",VLOOKUP(DATA_ABRIL_2025[[#This Row],[SUPERVISOR]],$H:$I,2,0))</f>
        <v/>
      </c>
    </row>
    <row r="48" spans="1:18" x14ac:dyDescent="0.25">
      <c r="A48" t="s">
        <v>5</v>
      </c>
      <c r="B48" t="str">
        <f t="shared" si="0"/>
        <v>ALEJANDRA QUISPE</v>
      </c>
      <c r="C48" t="s">
        <v>58</v>
      </c>
      <c r="D48">
        <v>41073</v>
      </c>
      <c r="E48">
        <f>D1_ABRIL[[#This Row],[RECUPERO]]/VLOOKUP(F48,$H:$I,2,0)</f>
        <v>0.7205789473684211</v>
      </c>
      <c r="F48" t="str">
        <f>D1_ABRIL[[#This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  <c r="P48" t="str">
        <f>IF(DATA_ABRIL_2025[[#This Row],[ASER_]]="","",F42)</f>
        <v/>
      </c>
      <c r="Q48" t="str">
        <f>IF(DATA_ABRIL_2025[[#This Row],[SUPERVISOR]]="","",D42)</f>
        <v/>
      </c>
      <c r="R48" t="str">
        <f>IF(DATA_ABRIL_2025[[#This Row],[RECUPERO]]="","",VLOOKUP(DATA_ABRIL_2025[[#This Row],[SUPERVISOR]],$H:$I,2,0))</f>
        <v/>
      </c>
    </row>
    <row r="49" spans="1:18" x14ac:dyDescent="0.25">
      <c r="A49" t="s">
        <v>5</v>
      </c>
      <c r="B49" t="str">
        <f t="shared" si="0"/>
        <v>ANTHONY VICENTE</v>
      </c>
      <c r="C49" t="s">
        <v>85</v>
      </c>
      <c r="D49">
        <v>26261</v>
      </c>
      <c r="E49">
        <f>D1_ABRIL[[#This Row],[RECUPERO]]/VLOOKUP(F49,$H:$I,2,0)</f>
        <v>0.46071929824561403</v>
      </c>
      <c r="F49" t="str">
        <f>D1_ABRIL[[#This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  <c r="P49" t="str">
        <f>IF(DATA_ABRIL_2025[[#This Row],[ASER_]]="","",F43)</f>
        <v/>
      </c>
      <c r="Q49" t="str">
        <f>IF(DATA_ABRIL_2025[[#This Row],[SUPERVISOR]]="","",D43)</f>
        <v/>
      </c>
      <c r="R49" t="str">
        <f>IF(DATA_ABRIL_2025[[#This Row],[RECUPERO]]="","",VLOOKUP(DATA_ABRIL_2025[[#This Row],[SUPERVISOR]],$H:$I,2,0))</f>
        <v/>
      </c>
    </row>
    <row r="50" spans="1:18" x14ac:dyDescent="0.25">
      <c r="A50" t="s">
        <v>5</v>
      </c>
      <c r="B50" t="str">
        <f t="shared" si="0"/>
        <v>AURORA FAUSTOR</v>
      </c>
      <c r="C50" t="s">
        <v>67</v>
      </c>
      <c r="D50">
        <v>56440.2</v>
      </c>
      <c r="E50">
        <f>D1_ABRIL[[#This Row],[RECUPERO]]/VLOOKUP(F50,$H:$I,2,0)</f>
        <v>0.99017894736842105</v>
      </c>
      <c r="F50" t="str">
        <f>D1_ABRIL[[#This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  <c r="P50" t="str">
        <f>IF(DATA_ABRIL_2025[[#This Row],[ASER_]]="","",F44)</f>
        <v/>
      </c>
      <c r="Q50" t="str">
        <f>IF(DATA_ABRIL_2025[[#This Row],[SUPERVISOR]]="","",D44)</f>
        <v/>
      </c>
      <c r="R50" t="str">
        <f>IF(DATA_ABRIL_2025[[#This Row],[RECUPERO]]="","",VLOOKUP(DATA_ABRIL_2025[[#This Row],[SUPERVISOR]],$H:$I,2,0))</f>
        <v/>
      </c>
    </row>
    <row r="51" spans="1:18" x14ac:dyDescent="0.25">
      <c r="A51" t="s">
        <v>5</v>
      </c>
      <c r="B51" t="str">
        <f t="shared" si="0"/>
        <v>ERIKA VILLAR</v>
      </c>
      <c r="C51" t="s">
        <v>72</v>
      </c>
      <c r="D51">
        <v>37261.97</v>
      </c>
      <c r="E51">
        <f>D1_ABRIL[[#This Row],[RECUPERO]]/VLOOKUP(F51,$H:$I,2,0)</f>
        <v>0.65371877192982453</v>
      </c>
      <c r="F51" t="str">
        <f>D1_ABRIL[[#This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IF(DATA_ABRIL_2025[[#This Row],[ASER_]]="","",F45)</f>
        <v/>
      </c>
      <c r="Q51" t="str">
        <f>IF(DATA_ABRIL_2025[[#This Row],[SUPERVISOR]]="","",D45)</f>
        <v/>
      </c>
      <c r="R51" t="str">
        <f>IF(DATA_ABRIL_2025[[#This Row],[RECUPERO]]="","",VLOOKUP(DATA_ABRIL_2025[[#This Row],[SUPERVISOR]],$H:$I,2,0))</f>
        <v/>
      </c>
    </row>
    <row r="52" spans="1:18" x14ac:dyDescent="0.25">
      <c r="A52" t="s">
        <v>5</v>
      </c>
      <c r="B52" t="str">
        <f t="shared" si="0"/>
        <v>GILBERTO PURIZACA</v>
      </c>
      <c r="C52" t="s">
        <v>66</v>
      </c>
      <c r="D52">
        <v>35845</v>
      </c>
      <c r="E52">
        <f>D1_ABRIL[[#This Row],[RECUPERO]]/VLOOKUP(F52,$H:$I,2,0)</f>
        <v>0.62885964912280701</v>
      </c>
      <c r="F52" t="str">
        <f>D1_ABRIL[[#This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IF(DATA_ABRIL_2025[[#This Row],[ASER_]]="","",F46)</f>
        <v/>
      </c>
      <c r="Q52" t="str">
        <f>IF(DATA_ABRIL_2025[[#This Row],[SUPERVISOR]]="","",D46)</f>
        <v/>
      </c>
      <c r="R52" t="str">
        <f>IF(DATA_ABRIL_2025[[#This Row],[RECUPERO]]="","",VLOOKUP(DATA_ABRIL_2025[[#This Row],[SUPERVISOR]],$H:$I,2,0))</f>
        <v/>
      </c>
    </row>
    <row r="53" spans="1:18" x14ac:dyDescent="0.25">
      <c r="A53" t="s">
        <v>5</v>
      </c>
      <c r="B53" t="str">
        <f t="shared" si="0"/>
        <v>LUCERO JORDAN</v>
      </c>
      <c r="C53" t="s">
        <v>68</v>
      </c>
      <c r="D53">
        <v>59419</v>
      </c>
      <c r="E53">
        <f>D1_ABRIL[[#This Row],[RECUPERO]]/VLOOKUP(F53,$H:$I,2,0)</f>
        <v>1.0424385964912282</v>
      </c>
      <c r="F53" t="str">
        <f>D1_ABRIL[[#This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IF(DATA_ABRIL_2025[[#This Row],[ASER_]]="","",F47)</f>
        <v/>
      </c>
      <c r="Q53" t="str">
        <f>IF(DATA_ABRIL_2025[[#This Row],[SUPERVISOR]]="","",D47)</f>
        <v/>
      </c>
      <c r="R53" t="str">
        <f>IF(DATA_ABRIL_2025[[#This Row],[RECUPERO]]="","",VLOOKUP(DATA_ABRIL_2025[[#This Row],[SUPERVISOR]],$H:$I,2,0))</f>
        <v/>
      </c>
    </row>
    <row r="54" spans="1:18" x14ac:dyDescent="0.25">
      <c r="A54" t="s">
        <v>5</v>
      </c>
      <c r="B54" t="str">
        <f t="shared" si="0"/>
        <v>MERLY CORONEL</v>
      </c>
      <c r="C54" t="s">
        <v>70</v>
      </c>
      <c r="D54">
        <v>37843</v>
      </c>
      <c r="E54">
        <f>D1_ABRIL[[#This Row],[RECUPERO]]/VLOOKUP(F54,$H:$I,2,0)</f>
        <v>0.66391228070175434</v>
      </c>
      <c r="F54" t="str">
        <f>D1_ABRIL[[#This Row],[SUPER]]</f>
        <v>JORDAN</v>
      </c>
      <c r="L54">
        <v>1</v>
      </c>
      <c r="M54" s="1">
        <f t="shared" si="1"/>
        <v>0.7205789473684211</v>
      </c>
      <c r="N54" t="str" cm="1">
        <f t="array" ref="N54">IFERROR(_xlfn.IFS(M54&gt;100%,"&gt;100%",AND(M54&lt;100%,M54&gt;70%),"&gt;70%",AND(M54&lt;70%,M54&gt;40%),"&gt;40%",AND(M54&lt;40%,M54&gt;0%),"&gt;0%"),"")</f>
        <v>&gt;70%</v>
      </c>
      <c r="O54" t="str">
        <f t="shared" si="2"/>
        <v>ALEJANDRA QUISPE</v>
      </c>
      <c r="P54" t="str">
        <f>IF(DATA_ABRIL_2025[[#This Row],[ASER_]]="","",F48)</f>
        <v>JORDAN</v>
      </c>
      <c r="Q54">
        <f>IF(DATA_ABRIL_2025[[#This Row],[SUPERVISOR]]="","",D48)</f>
        <v>41073</v>
      </c>
      <c r="R54">
        <f>IF(DATA_ABRIL_2025[[#This Row],[RECUPERO]]="","",VLOOKUP(DATA_ABRIL_2025[[#This Row],[SUPERVISOR]],$H:$I,2,0))</f>
        <v>57000</v>
      </c>
    </row>
    <row r="55" spans="1:18" x14ac:dyDescent="0.25">
      <c r="A55" t="s">
        <v>5</v>
      </c>
      <c r="B55" t="str">
        <f t="shared" si="0"/>
        <v>NATALIA MARIN</v>
      </c>
      <c r="C55" t="s">
        <v>79</v>
      </c>
      <c r="D55">
        <v>26900</v>
      </c>
      <c r="E55">
        <f>D1_ABRIL[[#This Row],[RECUPERO]]/VLOOKUP(F55,$H:$I,2,0)</f>
        <v>0.47192982456140353</v>
      </c>
      <c r="F55" t="str">
        <f>D1_ABRIL[[#This Row],[SUPER]]</f>
        <v>JORDAN</v>
      </c>
      <c r="L55">
        <v>2</v>
      </c>
      <c r="M55" s="1">
        <f t="shared" si="1"/>
        <v>0.46071929824561403</v>
      </c>
      <c r="N55" t="str" cm="1">
        <f t="array" ref="N55">IFERROR(_xlfn.IFS(M55&gt;100%,"&gt;100%",AND(M55&lt;100%,M55&gt;70%),"&gt;70%",AND(M55&lt;70%,M55&gt;40%),"&gt;40%",AND(M55&lt;40%,M55&gt;0%),"&gt;0%"),"")</f>
        <v>&gt;40%</v>
      </c>
      <c r="O55" t="str">
        <f t="shared" si="2"/>
        <v>ANTHONY VICENTE</v>
      </c>
      <c r="P55" t="str">
        <f>IF(DATA_ABRIL_2025[[#This Row],[ASER_]]="","",F49)</f>
        <v>JORDAN</v>
      </c>
      <c r="Q55">
        <f>IF(DATA_ABRIL_2025[[#This Row],[SUPERVISOR]]="","",D49)</f>
        <v>26261</v>
      </c>
      <c r="R55">
        <f>IF(DATA_ABRIL_2025[[#This Row],[RECUPERO]]="","",VLOOKUP(DATA_ABRIL_2025[[#This Row],[SUPERVISOR]],$H:$I,2,0))</f>
        <v>57000</v>
      </c>
    </row>
    <row r="56" spans="1:18" x14ac:dyDescent="0.25">
      <c r="A56" t="s">
        <v>5</v>
      </c>
      <c r="B56" t="str">
        <f t="shared" si="0"/>
        <v/>
      </c>
      <c r="E56">
        <f>D1_ABRIL[[#This Row],[RECUPERO]]/VLOOKUP(F56,$H:$I,2,0)</f>
        <v>0</v>
      </c>
      <c r="F56" t="str">
        <f>D1_ABRIL[[#This Row],[SUPER]]</f>
        <v>JORDAN</v>
      </c>
      <c r="L56">
        <v>3</v>
      </c>
      <c r="M56" s="1">
        <f t="shared" si="1"/>
        <v>0.99017894736842105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AURORA FAUSTOR</v>
      </c>
      <c r="P56" t="str">
        <f>IF(DATA_ABRIL_2025[[#This Row],[ASER_]]="","",F50)</f>
        <v>JORDAN</v>
      </c>
      <c r="Q56">
        <f>IF(DATA_ABRIL_2025[[#This Row],[SUPERVISOR]]="","",D50)</f>
        <v>56440.2</v>
      </c>
      <c r="R56">
        <f>IF(DATA_ABRIL_2025[[#This Row],[RECUPERO]]="","",VLOOKUP(DATA_ABRIL_2025[[#This Row],[SUPERVISOR]],$H:$I,2,0))</f>
        <v>57000</v>
      </c>
    </row>
    <row r="57" spans="1:18" x14ac:dyDescent="0.25">
      <c r="A57" t="s">
        <v>5</v>
      </c>
      <c r="B57" t="str">
        <f t="shared" si="0"/>
        <v/>
      </c>
      <c r="E57">
        <f>D1_ABRIL[[#This Row],[RECUPERO]]/VLOOKUP(F57,$H:$I,2,0)</f>
        <v>0</v>
      </c>
      <c r="F57" t="str">
        <f>D1_ABRIL[[#This Row],[SUPER]]</f>
        <v>JORDAN</v>
      </c>
      <c r="L57">
        <v>4</v>
      </c>
      <c r="M57" s="1">
        <f t="shared" si="1"/>
        <v>0.65371877192982453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ERIKA VILLAR</v>
      </c>
      <c r="P57" t="str">
        <f>IF(DATA_ABRIL_2025[[#This Row],[ASER_]]="","",F51)</f>
        <v>JORDAN</v>
      </c>
      <c r="Q57">
        <f>IF(DATA_ABRIL_2025[[#This Row],[SUPERVISOR]]="","",D51)</f>
        <v>37261.97</v>
      </c>
      <c r="R57">
        <f>IF(DATA_ABRIL_2025[[#This Row],[RECUPERO]]="","",VLOOKUP(DATA_ABRIL_2025[[#This Row],[SUPERVISOR]],$H:$I,2,0))</f>
        <v>57000</v>
      </c>
    </row>
    <row r="58" spans="1:18" x14ac:dyDescent="0.25">
      <c r="A58" t="s">
        <v>5</v>
      </c>
      <c r="B58" t="str">
        <f t="shared" si="0"/>
        <v/>
      </c>
      <c r="E58">
        <f>D1_ABRIL[[#This Row],[RECUPERO]]/VLOOKUP(F58,$H:$I,2,0)</f>
        <v>0</v>
      </c>
      <c r="F58" t="str">
        <f>D1_ABRIL[[#This Row],[SUPER]]</f>
        <v>JORDAN</v>
      </c>
      <c r="L58">
        <v>5</v>
      </c>
      <c r="M58" s="1">
        <f t="shared" si="1"/>
        <v>0.62885964912280701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GILBERTO PURIZACA</v>
      </c>
      <c r="P58" t="str">
        <f>IF(DATA_ABRIL_2025[[#This Row],[ASER_]]="","",F52)</f>
        <v>JORDAN</v>
      </c>
      <c r="Q58">
        <f>IF(DATA_ABRIL_2025[[#This Row],[SUPERVISOR]]="","",D52)</f>
        <v>35845</v>
      </c>
      <c r="R58">
        <f>IF(DATA_ABRIL_2025[[#This Row],[RECUPERO]]="","",VLOOKUP(DATA_ABRIL_2025[[#This Row],[SUPERVISOR]],$H:$I,2,0))</f>
        <v>57000</v>
      </c>
    </row>
    <row r="59" spans="1:18" x14ac:dyDescent="0.25">
      <c r="A59" t="s">
        <v>5</v>
      </c>
      <c r="B59" t="str">
        <f t="shared" si="0"/>
        <v/>
      </c>
      <c r="E59">
        <f>D1_ABRIL[[#This Row],[RECUPERO]]/VLOOKUP(F59,$H:$I,2,0)</f>
        <v>0</v>
      </c>
      <c r="F59" t="str">
        <f>D1_ABRIL[[#This Row],[SUPER]]</f>
        <v>JORDAN</v>
      </c>
      <c r="L59">
        <v>6</v>
      </c>
      <c r="M59" s="1">
        <f t="shared" si="1"/>
        <v>1.0424385964912282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2"/>
        <v>LUCERO JORDAN</v>
      </c>
      <c r="P59" t="str">
        <f>IF(DATA_ABRIL_2025[[#This Row],[ASER_]]="","",F53)</f>
        <v>JORDAN</v>
      </c>
      <c r="Q59">
        <f>IF(DATA_ABRIL_2025[[#This Row],[SUPERVISOR]]="","",D53)</f>
        <v>59419</v>
      </c>
      <c r="R59">
        <f>IF(DATA_ABRIL_2025[[#This Row],[RECUPERO]]="","",VLOOKUP(DATA_ABRIL_2025[[#This Row],[SUPERVISOR]],$H:$I,2,0))</f>
        <v>57000</v>
      </c>
    </row>
    <row r="60" spans="1:18" x14ac:dyDescent="0.25">
      <c r="A60" t="s">
        <v>5</v>
      </c>
      <c r="B60" t="str">
        <f t="shared" si="0"/>
        <v/>
      </c>
      <c r="E60">
        <f>D1_ABRIL[[#This Row],[RECUPERO]]/VLOOKUP(F60,$H:$I,2,0)</f>
        <v>0</v>
      </c>
      <c r="F60" t="str">
        <f>D1_ABRIL[[#This Row],[SUPER]]</f>
        <v>JORDAN</v>
      </c>
      <c r="L60">
        <v>7</v>
      </c>
      <c r="M60" s="1">
        <f t="shared" si="1"/>
        <v>0.66391228070175434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MERLY CORONEL</v>
      </c>
      <c r="P60" t="str">
        <f>IF(DATA_ABRIL_2025[[#This Row],[ASER_]]="","",F54)</f>
        <v>JORDAN</v>
      </c>
      <c r="Q60">
        <f>IF(DATA_ABRIL_2025[[#This Row],[SUPERVISOR]]="","",D54)</f>
        <v>37843</v>
      </c>
      <c r="R60">
        <f>IF(DATA_ABRIL_2025[[#This Row],[RECUPERO]]="","",VLOOKUP(DATA_ABRIL_2025[[#This Row],[SUPERVISOR]],$H:$I,2,0))</f>
        <v>57000</v>
      </c>
    </row>
    <row r="61" spans="1:18" x14ac:dyDescent="0.25">
      <c r="A61" t="s">
        <v>5</v>
      </c>
      <c r="B61" t="str">
        <f t="shared" si="0"/>
        <v/>
      </c>
      <c r="E61">
        <f>D1_ABRIL[[#This Row],[RECUPERO]]/VLOOKUP(F61,$H:$I,2,0)</f>
        <v>0</v>
      </c>
      <c r="F61" t="str">
        <f>D1_ABRIL[[#This Row],[SUPER]]</f>
        <v>JORDAN</v>
      </c>
      <c r="L61">
        <v>8</v>
      </c>
      <c r="M61" s="1">
        <f t="shared" si="1"/>
        <v>0.47192982456140353</v>
      </c>
      <c r="N61" t="str" cm="1">
        <f t="array" ref="N61">IFERROR(_xlfn.IFS(M61&gt;100%,"&gt;100%",AND(M61&lt;100%,M61&gt;70%),"&gt;70%",AND(M61&lt;70%,M61&gt;40%),"&gt;40%",AND(M61&lt;40%,M61&gt;0%),"&gt;0%"),"")</f>
        <v>&gt;40%</v>
      </c>
      <c r="O61" t="str">
        <f t="shared" si="2"/>
        <v>NATALIA MARIN</v>
      </c>
      <c r="P61" t="str">
        <f>IF(DATA_ABRIL_2025[[#This Row],[ASER_]]="","",F55)</f>
        <v>JORDAN</v>
      </c>
      <c r="Q61">
        <f>IF(DATA_ABRIL_2025[[#This Row],[SUPERVISOR]]="","",D55)</f>
        <v>26900</v>
      </c>
      <c r="R61">
        <f>IF(DATA_ABRIL_2025[[#This Row],[RECUPERO]]="","",VLOOKUP(DATA_ABRIL_2025[[#This Row],[SUPERVISOR]],$H:$I,2,0))</f>
        <v>57000</v>
      </c>
    </row>
    <row r="62" spans="1:18" x14ac:dyDescent="0.25">
      <c r="A62" t="s">
        <v>5</v>
      </c>
      <c r="B62" t="str">
        <f t="shared" si="0"/>
        <v/>
      </c>
      <c r="E62">
        <f>D1_ABRIL[[#This Row],[RECUPERO]]/VLOOKUP(F62,$H:$I,2,0)</f>
        <v>0</v>
      </c>
      <c r="F62" t="str">
        <f>D1_ABRIL[[#This Row],[SUPER]]</f>
        <v>JORDAN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/>
      </c>
      <c r="P62" t="str">
        <f>IF(DATA_ABRIL_2025[[#This Row],[ASER_]]="","",F56)</f>
        <v/>
      </c>
      <c r="Q62" t="str">
        <f>IF(DATA_ABRIL_2025[[#This Row],[SUPERVISOR]]="","",D56)</f>
        <v/>
      </c>
      <c r="R62" t="str">
        <f>IF(DATA_ABRIL_2025[[#This Row],[RECUPERO]]="","",VLOOKUP(DATA_ABRIL_2025[[#This Row],[SUPERVISOR]],$H:$I,2,0))</f>
        <v/>
      </c>
    </row>
    <row r="63" spans="1:18" x14ac:dyDescent="0.25">
      <c r="A63" t="s">
        <v>6</v>
      </c>
      <c r="B63" t="str">
        <f t="shared" si="0"/>
        <v>ALEIDITH GUEVARA</v>
      </c>
      <c r="C63" t="s">
        <v>18</v>
      </c>
      <c r="D63">
        <v>7953</v>
      </c>
      <c r="E63">
        <f>D1_ABRIL[[#This Row],[RECUPERO]]/VLOOKUP(F63,$H:$I,2,0)</f>
        <v>0.30588461538461537</v>
      </c>
      <c r="F63" t="str">
        <f>D1_ABRIL[[#This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  <c r="P63" t="str">
        <f>IF(DATA_ABRIL_2025[[#This Row],[ASER_]]="","",F57)</f>
        <v/>
      </c>
      <c r="Q63" t="str">
        <f>IF(DATA_ABRIL_2025[[#This Row],[SUPERVISOR]]="","",D57)</f>
        <v/>
      </c>
      <c r="R63" t="str">
        <f>IF(DATA_ABRIL_2025[[#This Row],[RECUPERO]]="","",VLOOKUP(DATA_ABRIL_2025[[#This Row],[SUPERVISOR]],$H:$I,2,0))</f>
        <v/>
      </c>
    </row>
    <row r="64" spans="1:18" x14ac:dyDescent="0.25">
      <c r="A64" t="s">
        <v>6</v>
      </c>
      <c r="B64" t="str">
        <f t="shared" si="0"/>
        <v>DAVID SANCHEZ</v>
      </c>
      <c r="C64" t="s">
        <v>81</v>
      </c>
      <c r="D64">
        <v>3600</v>
      </c>
      <c r="E64">
        <f>D1_ABRIL[[#This Row],[RECUPERO]]/VLOOKUP(F64,$H:$I,2,0)</f>
        <v>0.13846153846153847</v>
      </c>
      <c r="F64" t="str">
        <f>D1_ABRIL[[#This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  <c r="P64" t="str">
        <f>IF(DATA_ABRIL_2025[[#This Row],[ASER_]]="","",F58)</f>
        <v/>
      </c>
      <c r="Q64" t="str">
        <f>IF(DATA_ABRIL_2025[[#This Row],[SUPERVISOR]]="","",D58)</f>
        <v/>
      </c>
      <c r="R64" t="str">
        <f>IF(DATA_ABRIL_2025[[#This Row],[RECUPERO]]="","",VLOOKUP(DATA_ABRIL_2025[[#This Row],[SUPERVISOR]],$H:$I,2,0))</f>
        <v/>
      </c>
    </row>
    <row r="65" spans="1:18" x14ac:dyDescent="0.25">
      <c r="A65" t="s">
        <v>6</v>
      </c>
      <c r="B65" t="str">
        <f t="shared" si="0"/>
        <v>FRANK PACORA</v>
      </c>
      <c r="C65" t="s">
        <v>110</v>
      </c>
      <c r="D65">
        <v>7800</v>
      </c>
      <c r="E65">
        <f>D1_ABRIL[[#This Row],[RECUPERO]]/VLOOKUP(F65,$H:$I,2,0)</f>
        <v>0.3</v>
      </c>
      <c r="F65" t="str">
        <f>D1_ABRIL[[#This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  <c r="P65" t="str">
        <f>IF(DATA_ABRIL_2025[[#This Row],[ASER_]]="","",F59)</f>
        <v/>
      </c>
      <c r="Q65" t="str">
        <f>IF(DATA_ABRIL_2025[[#This Row],[SUPERVISOR]]="","",D59)</f>
        <v/>
      </c>
      <c r="R65" t="str">
        <f>IF(DATA_ABRIL_2025[[#This Row],[RECUPERO]]="","",VLOOKUP(DATA_ABRIL_2025[[#This Row],[SUPERVISOR]],$H:$I,2,0))</f>
        <v/>
      </c>
    </row>
    <row r="66" spans="1:18" x14ac:dyDescent="0.25">
      <c r="A66" t="s">
        <v>6</v>
      </c>
      <c r="B66" t="str">
        <f t="shared" si="0"/>
        <v>JIMENA MEDINA</v>
      </c>
      <c r="C66" t="s">
        <v>37</v>
      </c>
      <c r="D66">
        <v>7290</v>
      </c>
      <c r="E66">
        <f>D1_ABRIL[[#This Row],[RECUPERO]]/VLOOKUP(F66,$H:$I,2,0)</f>
        <v>0.2803846153846154</v>
      </c>
      <c r="F66" t="str">
        <f>D1_ABRIL[[#This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  <c r="P66" t="str">
        <f>IF(DATA_ABRIL_2025[[#This Row],[ASER_]]="","",F60)</f>
        <v/>
      </c>
      <c r="Q66" t="str">
        <f>IF(DATA_ABRIL_2025[[#This Row],[SUPERVISOR]]="","",D60)</f>
        <v/>
      </c>
      <c r="R66" t="str">
        <f>IF(DATA_ABRIL_2025[[#This Row],[RECUPERO]]="","",VLOOKUP(DATA_ABRIL_2025[[#This Row],[SUPERVISOR]],$H:$I,2,0))</f>
        <v/>
      </c>
    </row>
    <row r="67" spans="1:18" x14ac:dyDescent="0.25">
      <c r="A67" t="s">
        <v>6</v>
      </c>
      <c r="B67" t="str">
        <f t="shared" si="0"/>
        <v>JUAN LOZA</v>
      </c>
      <c r="C67" t="s">
        <v>35</v>
      </c>
      <c r="D67">
        <v>18641.11</v>
      </c>
      <c r="E67">
        <f>D1_ABRIL[[#This Row],[RECUPERO]]/VLOOKUP(F67,$H:$I,2,0)</f>
        <v>0.71696576923076927</v>
      </c>
      <c r="F67" t="str">
        <f>D1_ABRIL[[#This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IF(DATA_ABRIL_2025[[#This Row],[ASER_]]="","",F61)</f>
        <v/>
      </c>
      <c r="Q67" t="str">
        <f>IF(DATA_ABRIL_2025[[#This Row],[SUPERVISOR]]="","",D61)</f>
        <v/>
      </c>
      <c r="R67" t="str">
        <f>IF(DATA_ABRIL_2025[[#This Row],[RECUPERO]]="","",VLOOKUP(DATA_ABRIL_2025[[#This Row],[SUPERVISOR]],$H:$I,2,0))</f>
        <v/>
      </c>
    </row>
    <row r="68" spans="1:18" x14ac:dyDescent="0.25">
      <c r="A68" t="s">
        <v>6</v>
      </c>
      <c r="B68" t="str">
        <f t="shared" ref="B68:B122" si="3">TRIM(C68)</f>
        <v>LUIS CENTENO</v>
      </c>
      <c r="C68" t="s">
        <v>31</v>
      </c>
      <c r="D68">
        <v>21980</v>
      </c>
      <c r="E68">
        <f>D1_ABRIL[[#This Row],[RECUPERO]]/VLOOKUP(F68,$H:$I,2,0)</f>
        <v>0.8453846153846154</v>
      </c>
      <c r="F68" t="str">
        <f>D1_ABRIL[[#This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IF(DATA_ABRIL_2025[[#This Row],[ASER_]]="","",F62)</f>
        <v/>
      </c>
      <c r="Q68" t="str">
        <f>IF(DATA_ABRIL_2025[[#This Row],[SUPERVISOR]]="","",D62)</f>
        <v/>
      </c>
      <c r="R68" t="str">
        <f>IF(DATA_ABRIL_2025[[#This Row],[RECUPERO]]="","",VLOOKUP(DATA_ABRIL_2025[[#This Row],[SUPERVISOR]],$H:$I,2,0))</f>
        <v/>
      </c>
    </row>
    <row r="69" spans="1:18" x14ac:dyDescent="0.25">
      <c r="A69" t="s">
        <v>6</v>
      </c>
      <c r="B69" t="str">
        <f t="shared" si="3"/>
        <v>MARCO SARMIENTO</v>
      </c>
      <c r="C69" t="s">
        <v>117</v>
      </c>
      <c r="D69">
        <v>10464</v>
      </c>
      <c r="E69">
        <f>D1_ABRIL[[#This Row],[RECUPERO]]/VLOOKUP(F69,$H:$I,2,0)</f>
        <v>0.40246153846153848</v>
      </c>
      <c r="F69" t="str">
        <f>D1_ABRIL[[#This Row],[SUPER]]</f>
        <v>KENNETH</v>
      </c>
      <c r="L69">
        <v>1</v>
      </c>
      <c r="M69" s="1">
        <f t="shared" si="1"/>
        <v>0.30588461538461537</v>
      </c>
      <c r="N69" t="str" cm="1">
        <f t="array" ref="N69">IFERROR(_xlfn.IFS(M69&gt;100%,"&gt;100%",AND(M69&lt;100%,M69&gt;70%),"&gt;70%",AND(M69&lt;70%,M69&gt;40%),"&gt;40%",AND(M69&lt;40%,M69&gt;0%),"&gt;0%"),"")</f>
        <v>&gt;0%</v>
      </c>
      <c r="O69" t="str">
        <f t="shared" si="2"/>
        <v>ALEIDITH GUEVARA</v>
      </c>
      <c r="P69" t="str">
        <f>IF(DATA_ABRIL_2025[[#This Row],[ASER_]]="","",F63)</f>
        <v>KENNETH</v>
      </c>
      <c r="Q69">
        <f>IF(DATA_ABRIL_2025[[#This Row],[SUPERVISOR]]="","",D63)</f>
        <v>7953</v>
      </c>
      <c r="R69">
        <f>IF(DATA_ABRIL_2025[[#This Row],[RECUPERO]]="","",VLOOKUP(DATA_ABRIL_2025[[#This Row],[SUPERVISOR]],$H:$I,2,0))</f>
        <v>26000</v>
      </c>
    </row>
    <row r="70" spans="1:18" x14ac:dyDescent="0.25">
      <c r="A70" t="s">
        <v>6</v>
      </c>
      <c r="B70" t="str">
        <f t="shared" si="3"/>
        <v>MEDALITH NESTARES</v>
      </c>
      <c r="C70" t="s">
        <v>36</v>
      </c>
      <c r="D70">
        <v>8041</v>
      </c>
      <c r="E70">
        <f>D1_ABRIL[[#This Row],[RECUPERO]]/VLOOKUP(F70,$H:$I,2,0)</f>
        <v>0.3092692307692308</v>
      </c>
      <c r="F70" t="str">
        <f>D1_ABRIL[[#This Row],[SUPER]]</f>
        <v>KENNETH</v>
      </c>
      <c r="L70">
        <v>2</v>
      </c>
      <c r="M70" s="1">
        <f t="shared" si="1"/>
        <v>0.13846153846153847</v>
      </c>
      <c r="N70" t="str" cm="1">
        <f t="array" ref="N70">IFERROR(_xlfn.IFS(M70&gt;100%,"&gt;100%",AND(M70&lt;100%,M70&gt;70%),"&gt;70%",AND(M70&lt;70%,M70&gt;40%),"&gt;40%",AND(M70&lt;40%,M70&gt;0%),"&gt;0%"),"")</f>
        <v>&gt;0%</v>
      </c>
      <c r="O70" t="str">
        <f t="shared" si="2"/>
        <v>DAVID SANCHEZ</v>
      </c>
      <c r="P70" t="str">
        <f>IF(DATA_ABRIL_2025[[#This Row],[ASER_]]="","",F64)</f>
        <v>KENNETH</v>
      </c>
      <c r="Q70">
        <f>IF(DATA_ABRIL_2025[[#This Row],[SUPERVISOR]]="","",D64)</f>
        <v>3600</v>
      </c>
      <c r="R70">
        <f>IF(DATA_ABRIL_2025[[#This Row],[RECUPERO]]="","",VLOOKUP(DATA_ABRIL_2025[[#This Row],[SUPERVISOR]],$H:$I,2,0))</f>
        <v>26000</v>
      </c>
    </row>
    <row r="71" spans="1:18" x14ac:dyDescent="0.25">
      <c r="A71" t="s">
        <v>6</v>
      </c>
      <c r="B71" t="str">
        <f t="shared" si="3"/>
        <v>ROGGER RODRIGUEZ</v>
      </c>
      <c r="C71" t="s">
        <v>135</v>
      </c>
      <c r="D71">
        <v>6320</v>
      </c>
      <c r="E71">
        <f>D1_ABRIL[[#This Row],[RECUPERO]]/VLOOKUP(F71,$H:$I,2,0)</f>
        <v>0.24307692307692308</v>
      </c>
      <c r="F71" t="str">
        <f>D1_ABRIL[[#This Row],[SUPER]]</f>
        <v>KENNETH</v>
      </c>
      <c r="L71">
        <v>3</v>
      </c>
      <c r="M71" s="1">
        <f t="shared" si="1"/>
        <v>0.3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2"/>
        <v>FRANK PACORA</v>
      </c>
      <c r="P71" t="str">
        <f>IF(DATA_ABRIL_2025[[#This Row],[ASER_]]="","",F65)</f>
        <v>KENNETH</v>
      </c>
      <c r="Q71">
        <f>IF(DATA_ABRIL_2025[[#This Row],[SUPERVISOR]]="","",D65)</f>
        <v>7800</v>
      </c>
      <c r="R71">
        <f>IF(DATA_ABRIL_2025[[#This Row],[RECUPERO]]="","",VLOOKUP(DATA_ABRIL_2025[[#This Row],[SUPERVISOR]],$H:$I,2,0))</f>
        <v>26000</v>
      </c>
    </row>
    <row r="72" spans="1:18" x14ac:dyDescent="0.25">
      <c r="A72" t="s">
        <v>6</v>
      </c>
      <c r="B72" t="str">
        <f t="shared" si="3"/>
        <v>STWUAR MACURI</v>
      </c>
      <c r="C72" t="s">
        <v>34</v>
      </c>
      <c r="D72">
        <v>19711</v>
      </c>
      <c r="E72">
        <f>D1_ABRIL[[#This Row],[RECUPERO]]/VLOOKUP(F72,$H:$I,2,0)</f>
        <v>0.75811538461538464</v>
      </c>
      <c r="F72" t="str">
        <f>D1_ABRIL[[#This Row],[SUPER]]</f>
        <v>KENNETH</v>
      </c>
      <c r="L72">
        <v>4</v>
      </c>
      <c r="M72" s="1">
        <f t="shared" si="1"/>
        <v>0.2803846153846154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2"/>
        <v>JIMENA MEDINA</v>
      </c>
      <c r="P72" t="str">
        <f>IF(DATA_ABRIL_2025[[#This Row],[ASER_]]="","",F66)</f>
        <v>KENNETH</v>
      </c>
      <c r="Q72">
        <f>IF(DATA_ABRIL_2025[[#This Row],[SUPERVISOR]]="","",D66)</f>
        <v>7290</v>
      </c>
      <c r="R72">
        <f>IF(DATA_ABRIL_2025[[#This Row],[RECUPERO]]="","",VLOOKUP(DATA_ABRIL_2025[[#This Row],[SUPERVISOR]],$H:$I,2,0))</f>
        <v>26000</v>
      </c>
    </row>
    <row r="73" spans="1:18" x14ac:dyDescent="0.25">
      <c r="A73" t="s">
        <v>6</v>
      </c>
      <c r="B73" t="str">
        <f t="shared" si="3"/>
        <v/>
      </c>
      <c r="E73">
        <f>D1_ABRIL[[#This Row],[RECUPERO]]/VLOOKUP(F73,$H:$I,2,0)</f>
        <v>0</v>
      </c>
      <c r="F73" t="str">
        <f>D1_ABRIL[[#This Row],[SUPER]]</f>
        <v>KENNETH</v>
      </c>
      <c r="L73">
        <v>5</v>
      </c>
      <c r="M73" s="1">
        <f t="shared" si="1"/>
        <v>0.71696576923076927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si="2"/>
        <v>JUAN LOZA</v>
      </c>
      <c r="P73" t="str">
        <f>IF(DATA_ABRIL_2025[[#This Row],[ASER_]]="","",F67)</f>
        <v>KENNETH</v>
      </c>
      <c r="Q73">
        <f>IF(DATA_ABRIL_2025[[#This Row],[SUPERVISOR]]="","",D67)</f>
        <v>18641.11</v>
      </c>
      <c r="R73">
        <f>IF(DATA_ABRIL_2025[[#This Row],[RECUPERO]]="","",VLOOKUP(DATA_ABRIL_2025[[#This Row],[SUPERVISOR]],$H:$I,2,0))</f>
        <v>26000</v>
      </c>
    </row>
    <row r="74" spans="1:18" x14ac:dyDescent="0.25">
      <c r="A74" t="s">
        <v>6</v>
      </c>
      <c r="B74" t="str">
        <f t="shared" si="3"/>
        <v/>
      </c>
      <c r="E74">
        <f>D1_ABRIL[[#This Row],[RECUPERO]]/VLOOKUP(F74,$H:$I,2,0)</f>
        <v>0</v>
      </c>
      <c r="F74" t="str">
        <f>D1_ABRIL[[#This Row],[SUPER]]</f>
        <v>KENNETH</v>
      </c>
      <c r="L74">
        <v>6</v>
      </c>
      <c r="M74" s="1">
        <f t="shared" ref="M74:M128" si="4">E68</f>
        <v>0.8453846153846154</v>
      </c>
      <c r="N74" t="str" cm="1">
        <f t="array" ref="N74">IFERROR(_xlfn.IFS(M74&gt;100%,"&gt;100%",AND(M74&lt;100%,M74&gt;70%),"&gt;70%",AND(M74&lt;70%,M74&gt;40%),"&gt;40%",AND(M74&lt;40%,M74&gt;0%),"&gt;0%"),"")</f>
        <v>&gt;70%</v>
      </c>
      <c r="O74" t="str">
        <f t="shared" ref="O74:O128" si="5">B68</f>
        <v>LUIS CENTENO</v>
      </c>
      <c r="P74" t="str">
        <f>IF(DATA_ABRIL_2025[[#This Row],[ASER_]]="","",F68)</f>
        <v>KENNETH</v>
      </c>
      <c r="Q74">
        <f>IF(DATA_ABRIL_2025[[#This Row],[SUPERVISOR]]="","",D68)</f>
        <v>21980</v>
      </c>
      <c r="R74">
        <f>IF(DATA_ABRIL_2025[[#This Row],[RECUPERO]]="","",VLOOKUP(DATA_ABRIL_2025[[#This Row],[SUPERVISOR]],$H:$I,2,0))</f>
        <v>26000</v>
      </c>
    </row>
    <row r="75" spans="1:18" x14ac:dyDescent="0.25">
      <c r="A75" t="s">
        <v>6</v>
      </c>
      <c r="B75" t="str">
        <f t="shared" si="3"/>
        <v/>
      </c>
      <c r="E75">
        <f>D1_ABRIL[[#This Row],[RECUPERO]]/VLOOKUP(F75,$H:$I,2,0)</f>
        <v>0</v>
      </c>
      <c r="F75" t="str">
        <f>D1_ABRIL[[#This Row],[SUPER]]</f>
        <v>KENNETH</v>
      </c>
      <c r="L75">
        <v>7</v>
      </c>
      <c r="M75" s="1">
        <f t="shared" si="4"/>
        <v>0.40246153846153848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5"/>
        <v>MARCO SARMIENTO</v>
      </c>
      <c r="P75" t="str">
        <f>IF(DATA_ABRIL_2025[[#This Row],[ASER_]]="","",F69)</f>
        <v>KENNETH</v>
      </c>
      <c r="Q75">
        <f>IF(DATA_ABRIL_2025[[#This Row],[SUPERVISOR]]="","",D69)</f>
        <v>10464</v>
      </c>
      <c r="R75">
        <f>IF(DATA_ABRIL_2025[[#This Row],[RECUPERO]]="","",VLOOKUP(DATA_ABRIL_2025[[#This Row],[SUPERVISOR]],$H:$I,2,0))</f>
        <v>26000</v>
      </c>
    </row>
    <row r="76" spans="1:18" x14ac:dyDescent="0.25">
      <c r="A76" t="s">
        <v>6</v>
      </c>
      <c r="B76" t="str">
        <f t="shared" si="3"/>
        <v/>
      </c>
      <c r="E76">
        <f>D1_ABRIL[[#This Row],[RECUPERO]]/VLOOKUP(F76,$H:$I,2,0)</f>
        <v>0</v>
      </c>
      <c r="F76" t="str">
        <f>D1_ABRIL[[#This Row],[SUPER]]</f>
        <v>KENNETH</v>
      </c>
      <c r="L76">
        <v>8</v>
      </c>
      <c r="M76" s="1">
        <f t="shared" si="4"/>
        <v>0.3092692307692308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MEDALITH NESTARES</v>
      </c>
      <c r="P76" t="str">
        <f>IF(DATA_ABRIL_2025[[#This Row],[ASER_]]="","",F70)</f>
        <v>KENNETH</v>
      </c>
      <c r="Q76">
        <f>IF(DATA_ABRIL_2025[[#This Row],[SUPERVISOR]]="","",D70)</f>
        <v>8041</v>
      </c>
      <c r="R76">
        <f>IF(DATA_ABRIL_2025[[#This Row],[RECUPERO]]="","",VLOOKUP(DATA_ABRIL_2025[[#This Row],[SUPERVISOR]],$H:$I,2,0))</f>
        <v>26000</v>
      </c>
    </row>
    <row r="77" spans="1:18" x14ac:dyDescent="0.25">
      <c r="A77" t="s">
        <v>6</v>
      </c>
      <c r="B77" t="str">
        <f t="shared" si="3"/>
        <v/>
      </c>
      <c r="E77">
        <f>D1_ABRIL[[#This Row],[RECUPERO]]/VLOOKUP(F77,$H:$I,2,0)</f>
        <v>0</v>
      </c>
      <c r="F77" t="str">
        <f>D1_ABRIL[[#This Row],[SUPER]]</f>
        <v>KENNETH</v>
      </c>
      <c r="L77">
        <v>9</v>
      </c>
      <c r="M77" s="1">
        <f t="shared" si="4"/>
        <v>0.24307692307692308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ROGGER RODRIGUEZ</v>
      </c>
      <c r="P77" t="str">
        <f>IF(DATA_ABRIL_2025[[#This Row],[ASER_]]="","",F71)</f>
        <v>KENNETH</v>
      </c>
      <c r="Q77">
        <f>IF(DATA_ABRIL_2025[[#This Row],[SUPERVISOR]]="","",D71)</f>
        <v>6320</v>
      </c>
      <c r="R77">
        <f>IF(DATA_ABRIL_2025[[#This Row],[RECUPERO]]="","",VLOOKUP(DATA_ABRIL_2025[[#This Row],[SUPERVISOR]],$H:$I,2,0))</f>
        <v>26000</v>
      </c>
    </row>
    <row r="78" spans="1:18" x14ac:dyDescent="0.25">
      <c r="A78" t="s">
        <v>132</v>
      </c>
      <c r="B78" t="str">
        <f t="shared" si="3"/>
        <v>ALEJANDRA AVILA</v>
      </c>
      <c r="C78" t="s">
        <v>21</v>
      </c>
      <c r="D78">
        <v>17728.099999999999</v>
      </c>
      <c r="E78">
        <f>D1_ABRIL[[#This Row],[RECUPERO]]/VLOOKUP(F78,$H:$I,2,0)</f>
        <v>0.86478536585365851</v>
      </c>
      <c r="F78" t="str">
        <f>D1_ABRIL[[#This Row],[SUPER]]</f>
        <v>JOHAN</v>
      </c>
      <c r="L78">
        <v>10</v>
      </c>
      <c r="M78" s="1">
        <f t="shared" si="4"/>
        <v>0.75811538461538464</v>
      </c>
      <c r="N78" t="str" cm="1">
        <f t="array" ref="N78">IFERROR(_xlfn.IFS(M78&gt;100%,"&gt;100%",AND(M78&lt;100%,M78&gt;70%),"&gt;70%",AND(M78&lt;70%,M78&gt;40%),"&gt;40%",AND(M78&lt;40%,M78&gt;0%),"&gt;0%"),"")</f>
        <v>&gt;70%</v>
      </c>
      <c r="O78" t="str">
        <f t="shared" si="5"/>
        <v>STWUAR MACURI</v>
      </c>
      <c r="P78" t="str">
        <f>IF(DATA_ABRIL_2025[[#This Row],[ASER_]]="","",F72)</f>
        <v>KENNETH</v>
      </c>
      <c r="Q78">
        <f>IF(DATA_ABRIL_2025[[#This Row],[SUPERVISOR]]="","",D72)</f>
        <v>19711</v>
      </c>
      <c r="R78">
        <f>IF(DATA_ABRIL_2025[[#This Row],[RECUPERO]]="","",VLOOKUP(DATA_ABRIL_2025[[#This Row],[SUPERVISOR]],$H:$I,2,0))</f>
        <v>26000</v>
      </c>
    </row>
    <row r="79" spans="1:18" x14ac:dyDescent="0.25">
      <c r="A79" t="s">
        <v>132</v>
      </c>
      <c r="B79" t="str">
        <f t="shared" si="3"/>
        <v>ANDERSON RODRIGUEZ</v>
      </c>
      <c r="C79" t="s">
        <v>15</v>
      </c>
      <c r="D79">
        <v>17644</v>
      </c>
      <c r="E79">
        <f>D1_ABRIL[[#This Row],[RECUPERO]]/VLOOKUP(F79,$H:$I,2,0)</f>
        <v>0.86068292682926828</v>
      </c>
      <c r="F79" t="str">
        <f>D1_ABRIL[[#This Row],[SUPER]]</f>
        <v>JOHAN</v>
      </c>
      <c r="L79">
        <v>11</v>
      </c>
      <c r="M79" s="1">
        <f t="shared" si="4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5"/>
        <v/>
      </c>
      <c r="P79" t="str">
        <f>IF(DATA_ABRIL_2025[[#This Row],[ASER_]]="","",F73)</f>
        <v/>
      </c>
      <c r="Q79" t="str">
        <f>IF(DATA_ABRIL_2025[[#This Row],[SUPERVISOR]]="","",D73)</f>
        <v/>
      </c>
      <c r="R79" t="str">
        <f>IF(DATA_ABRIL_2025[[#This Row],[RECUPERO]]="","",VLOOKUP(DATA_ABRIL_2025[[#This Row],[SUPERVISOR]],$H:$I,2,0))</f>
        <v/>
      </c>
    </row>
    <row r="80" spans="1:18" x14ac:dyDescent="0.25">
      <c r="A80" t="s">
        <v>132</v>
      </c>
      <c r="B80" t="str">
        <f t="shared" si="3"/>
        <v>CARLOS CALAGUA</v>
      </c>
      <c r="C80" t="s">
        <v>108</v>
      </c>
      <c r="D80">
        <v>6061</v>
      </c>
      <c r="E80">
        <f>D1_ABRIL[[#This Row],[RECUPERO]]/VLOOKUP(F80,$H:$I,2,0)</f>
        <v>0.29565853658536584</v>
      </c>
      <c r="F80" t="str">
        <f>D1_ABRIL[[#This Row],[SUPER]]</f>
        <v>JOHAN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  <c r="P80" t="str">
        <f>IF(DATA_ABRIL_2025[[#This Row],[ASER_]]="","",F74)</f>
        <v/>
      </c>
      <c r="Q80" t="str">
        <f>IF(DATA_ABRIL_2025[[#This Row],[SUPERVISOR]]="","",D74)</f>
        <v/>
      </c>
      <c r="R80" t="str">
        <f>IF(DATA_ABRIL_2025[[#This Row],[RECUPERO]]="","",VLOOKUP(DATA_ABRIL_2025[[#This Row],[SUPERVISOR]],$H:$I,2,0))</f>
        <v/>
      </c>
    </row>
    <row r="81" spans="1:18" x14ac:dyDescent="0.25">
      <c r="A81" t="s">
        <v>132</v>
      </c>
      <c r="B81" t="str">
        <f t="shared" si="3"/>
        <v>CHRISTIAN ALVARADO</v>
      </c>
      <c r="C81" t="s">
        <v>41</v>
      </c>
      <c r="D81">
        <v>2970</v>
      </c>
      <c r="E81">
        <f>D1_ABRIL[[#This Row],[RECUPERO]]/VLOOKUP(F81,$H:$I,2,0)</f>
        <v>0.14487804878048779</v>
      </c>
      <c r="F81" t="str">
        <f>D1_ABRIL[[#This Row],[SUPER]]</f>
        <v>JOHAN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IF(DATA_ABRIL_2025[[#This Row],[ASER_]]="","",F75)</f>
        <v/>
      </c>
      <c r="Q81" t="str">
        <f>IF(DATA_ABRIL_2025[[#This Row],[SUPERVISOR]]="","",D75)</f>
        <v/>
      </c>
      <c r="R81" t="str">
        <f>IF(DATA_ABRIL_2025[[#This Row],[RECUPERO]]="","",VLOOKUP(DATA_ABRIL_2025[[#This Row],[SUPERVISOR]],$H:$I,2,0))</f>
        <v/>
      </c>
    </row>
    <row r="82" spans="1:18" x14ac:dyDescent="0.25">
      <c r="A82" t="s">
        <v>132</v>
      </c>
      <c r="B82" t="str">
        <f t="shared" si="3"/>
        <v>GIULIANA QUISPE</v>
      </c>
      <c r="C82" t="s">
        <v>71</v>
      </c>
      <c r="D82">
        <v>11476</v>
      </c>
      <c r="E82">
        <f>D1_ABRIL[[#This Row],[RECUPERO]]/VLOOKUP(F82,$H:$I,2,0)</f>
        <v>0.55980487804878054</v>
      </c>
      <c r="F82" t="str">
        <f>D1_ABRIL[[#This Row],[SUPER]]</f>
        <v>JOHAN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IF(DATA_ABRIL_2025[[#This Row],[ASER_]]="","",F76)</f>
        <v/>
      </c>
      <c r="Q82" t="str">
        <f>IF(DATA_ABRIL_2025[[#This Row],[SUPERVISOR]]="","",D76)</f>
        <v/>
      </c>
      <c r="R82" t="str">
        <f>IF(DATA_ABRIL_2025[[#This Row],[RECUPERO]]="","",VLOOKUP(DATA_ABRIL_2025[[#This Row],[SUPERVISOR]],$H:$I,2,0))</f>
        <v/>
      </c>
    </row>
    <row r="83" spans="1:18" x14ac:dyDescent="0.25">
      <c r="A83" t="s">
        <v>132</v>
      </c>
      <c r="B83" t="str">
        <f t="shared" si="3"/>
        <v>HAROLD FLORES</v>
      </c>
      <c r="C83" t="s">
        <v>42</v>
      </c>
      <c r="D83">
        <v>0</v>
      </c>
      <c r="E83">
        <f>D1_ABRIL[[#This Row],[RECUPERO]]/VLOOKUP(F83,$H:$I,2,0)</f>
        <v>0</v>
      </c>
      <c r="F83" t="str">
        <f>D1_ABRIL[[#This Row],[SUPER]]</f>
        <v>JOHAN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IF(DATA_ABRIL_2025[[#This Row],[ASER_]]="","",F77)</f>
        <v/>
      </c>
      <c r="Q83" t="str">
        <f>IF(DATA_ABRIL_2025[[#This Row],[SUPERVISOR]]="","",D77)</f>
        <v/>
      </c>
      <c r="R83" t="str">
        <f>IF(DATA_ABRIL_2025[[#This Row],[RECUPERO]]="","",VLOOKUP(DATA_ABRIL_2025[[#This Row],[SUPERVISOR]],$H:$I,2,0))</f>
        <v/>
      </c>
    </row>
    <row r="84" spans="1:18" x14ac:dyDescent="0.25">
      <c r="A84" t="s">
        <v>132</v>
      </c>
      <c r="B84" t="str">
        <f t="shared" si="3"/>
        <v>JHOVANA TORRES</v>
      </c>
      <c r="C84" t="s">
        <v>20</v>
      </c>
      <c r="D84">
        <v>14580</v>
      </c>
      <c r="E84">
        <f>D1_ABRIL[[#This Row],[RECUPERO]]/VLOOKUP(F84,$H:$I,2,0)</f>
        <v>0.71121951219512192</v>
      </c>
      <c r="F84" t="str">
        <f>D1_ABRIL[[#This Row],[SUPER]]</f>
        <v>JOHAN</v>
      </c>
      <c r="L84">
        <v>1</v>
      </c>
      <c r="M84" s="1">
        <f t="shared" si="4"/>
        <v>0.86478536585365851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5"/>
        <v>ALEJANDRA AVILA</v>
      </c>
      <c r="P84" t="str">
        <f>IF(DATA_ABRIL_2025[[#This Row],[ASER_]]="","",F78)</f>
        <v>JOHAN</v>
      </c>
      <c r="Q84">
        <f>IF(DATA_ABRIL_2025[[#This Row],[SUPERVISOR]]="","",D78)</f>
        <v>17728.099999999999</v>
      </c>
      <c r="R84">
        <f>IF(DATA_ABRIL_2025[[#This Row],[RECUPERO]]="","",VLOOKUP(DATA_ABRIL_2025[[#This Row],[SUPERVISOR]],$H:$I,2,0))</f>
        <v>20500</v>
      </c>
    </row>
    <row r="85" spans="1:18" x14ac:dyDescent="0.25">
      <c r="A85" t="s">
        <v>132</v>
      </c>
      <c r="B85" t="str">
        <f t="shared" si="3"/>
        <v>JOANA GIL</v>
      </c>
      <c r="C85" t="s">
        <v>111</v>
      </c>
      <c r="D85">
        <v>6397.5</v>
      </c>
      <c r="E85">
        <f>D1_ABRIL[[#This Row],[RECUPERO]]/VLOOKUP(F85,$H:$I,2,0)</f>
        <v>0.31207317073170732</v>
      </c>
      <c r="F85" t="str">
        <f>D1_ABRIL[[#This Row],[SUPER]]</f>
        <v>JOHAN</v>
      </c>
      <c r="L85">
        <v>2</v>
      </c>
      <c r="M85" s="1">
        <f t="shared" si="4"/>
        <v>0.86068292682926828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5"/>
        <v>ANDERSON RODRIGUEZ</v>
      </c>
      <c r="P85" t="str">
        <f>IF(DATA_ABRIL_2025[[#This Row],[ASER_]]="","",F79)</f>
        <v>JOHAN</v>
      </c>
      <c r="Q85">
        <f>IF(DATA_ABRIL_2025[[#This Row],[SUPERVISOR]]="","",D79)</f>
        <v>17644</v>
      </c>
      <c r="R85">
        <f>IF(DATA_ABRIL_2025[[#This Row],[RECUPERO]]="","",VLOOKUP(DATA_ABRIL_2025[[#This Row],[SUPERVISOR]],$H:$I,2,0))</f>
        <v>20500</v>
      </c>
    </row>
    <row r="86" spans="1:18" x14ac:dyDescent="0.25">
      <c r="A86" t="s">
        <v>132</v>
      </c>
      <c r="B86" t="str">
        <f t="shared" si="3"/>
        <v>SARITA GARAY</v>
      </c>
      <c r="C86" t="s">
        <v>73</v>
      </c>
      <c r="D86">
        <v>7976</v>
      </c>
      <c r="E86">
        <f>D1_ABRIL[[#This Row],[RECUPERO]]/VLOOKUP(F86,$H:$I,2,0)</f>
        <v>0.38907317073170733</v>
      </c>
      <c r="F86" t="str">
        <f>D1_ABRIL[[#This Row],[SUPER]]</f>
        <v>JOHAN</v>
      </c>
      <c r="L86">
        <v>3</v>
      </c>
      <c r="M86" s="1">
        <f t="shared" si="4"/>
        <v>0.29565853658536584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5"/>
        <v>CARLOS CALAGUA</v>
      </c>
      <c r="P86" t="str">
        <f>IF(DATA_ABRIL_2025[[#This Row],[ASER_]]="","",F80)</f>
        <v>JOHAN</v>
      </c>
      <c r="Q86">
        <f>IF(DATA_ABRIL_2025[[#This Row],[SUPERVISOR]]="","",D80)</f>
        <v>6061</v>
      </c>
      <c r="R86">
        <f>IF(DATA_ABRIL_2025[[#This Row],[RECUPERO]]="","",VLOOKUP(DATA_ABRIL_2025[[#This Row],[SUPERVISOR]],$H:$I,2,0))</f>
        <v>20500</v>
      </c>
    </row>
    <row r="87" spans="1:18" x14ac:dyDescent="0.25">
      <c r="A87" t="s">
        <v>132</v>
      </c>
      <c r="B87" t="str">
        <f t="shared" si="3"/>
        <v/>
      </c>
      <c r="E87">
        <f>D1_ABRIL[[#This Row],[RECUPERO]]/VLOOKUP(F87,$H:$I,2,0)</f>
        <v>0</v>
      </c>
      <c r="F87" t="str">
        <f>D1_ABRIL[[#This Row],[SUPER]]</f>
        <v>JOHAN</v>
      </c>
      <c r="L87">
        <v>4</v>
      </c>
      <c r="M87" s="1">
        <f t="shared" si="4"/>
        <v>0.14487804878048779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5"/>
        <v>CHRISTIAN ALVARADO</v>
      </c>
      <c r="P87" t="str">
        <f>IF(DATA_ABRIL_2025[[#This Row],[ASER_]]="","",F81)</f>
        <v>JOHAN</v>
      </c>
      <c r="Q87">
        <f>IF(DATA_ABRIL_2025[[#This Row],[SUPERVISOR]]="","",D81)</f>
        <v>2970</v>
      </c>
      <c r="R87">
        <f>IF(DATA_ABRIL_2025[[#This Row],[RECUPERO]]="","",VLOOKUP(DATA_ABRIL_2025[[#This Row],[SUPERVISOR]],$H:$I,2,0))</f>
        <v>20500</v>
      </c>
    </row>
    <row r="88" spans="1:18" x14ac:dyDescent="0.25">
      <c r="A88" t="s">
        <v>132</v>
      </c>
      <c r="B88" t="str">
        <f t="shared" si="3"/>
        <v/>
      </c>
      <c r="E88">
        <f>D1_ABRIL[[#This Row],[RECUPERO]]/VLOOKUP(F88,$H:$I,2,0)</f>
        <v>0</v>
      </c>
      <c r="F88" t="str">
        <f>D1_ABRIL[[#This Row],[SUPER]]</f>
        <v>JOHAN</v>
      </c>
      <c r="L88">
        <v>5</v>
      </c>
      <c r="M88" s="1">
        <f t="shared" si="4"/>
        <v>0.55980487804878054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GIULIANA QUISPE</v>
      </c>
      <c r="P88" t="str">
        <f>IF(DATA_ABRIL_2025[[#This Row],[ASER_]]="","",F82)</f>
        <v>JOHAN</v>
      </c>
      <c r="Q88">
        <f>IF(DATA_ABRIL_2025[[#This Row],[SUPERVISOR]]="","",D82)</f>
        <v>11476</v>
      </c>
      <c r="R88">
        <f>IF(DATA_ABRIL_2025[[#This Row],[RECUPERO]]="","",VLOOKUP(DATA_ABRIL_2025[[#This Row],[SUPERVISOR]],$H:$I,2,0))</f>
        <v>20500</v>
      </c>
    </row>
    <row r="89" spans="1:18" x14ac:dyDescent="0.25">
      <c r="A89" t="s">
        <v>132</v>
      </c>
      <c r="B89" t="str">
        <f t="shared" si="3"/>
        <v/>
      </c>
      <c r="E89">
        <f>D1_ABRIL[[#This Row],[RECUPERO]]/VLOOKUP(F89,$H:$I,2,0)</f>
        <v>0</v>
      </c>
      <c r="F89" t="str">
        <f>D1_ABRIL[[#This Row],[SUPER]]</f>
        <v>JOHAN</v>
      </c>
      <c r="L89">
        <v>6</v>
      </c>
      <c r="M89" s="1">
        <f t="shared" si="4"/>
        <v>0</v>
      </c>
      <c r="N89" t="str" cm="1">
        <f t="array" ref="N89">IFERROR(_xlfn.IFS(M89&gt;100%,"&gt;100%",AND(M89&lt;100%,M89&gt;70%),"&gt;70%",AND(M89&lt;70%,M89&gt;40%),"&gt;40%",AND(M89&lt;40%,M89&gt;0%),"&gt;0%"),"")</f>
        <v/>
      </c>
      <c r="O89" t="str">
        <f t="shared" si="5"/>
        <v>HAROLD FLORES</v>
      </c>
      <c r="P89" t="str">
        <f>IF(DATA_ABRIL_2025[[#This Row],[ASER_]]="","",F83)</f>
        <v>JOHAN</v>
      </c>
      <c r="Q89">
        <f>IF(DATA_ABRIL_2025[[#This Row],[SUPERVISOR]]="","",D83)</f>
        <v>0</v>
      </c>
      <c r="R89">
        <f>IF(DATA_ABRIL_2025[[#This Row],[RECUPERO]]="","",VLOOKUP(DATA_ABRIL_2025[[#This Row],[SUPERVISOR]],$H:$I,2,0))</f>
        <v>20500</v>
      </c>
    </row>
    <row r="90" spans="1:18" x14ac:dyDescent="0.25">
      <c r="A90" t="s">
        <v>132</v>
      </c>
      <c r="B90" t="str">
        <f t="shared" si="3"/>
        <v/>
      </c>
      <c r="E90">
        <f>D1_ABRIL[[#This Row],[RECUPERO]]/VLOOKUP(F90,$H:$I,2,0)</f>
        <v>0</v>
      </c>
      <c r="F90" t="str">
        <f>D1_ABRIL[[#This Row],[SUPER]]</f>
        <v>JOHAN</v>
      </c>
      <c r="L90">
        <v>7</v>
      </c>
      <c r="M90" s="1">
        <f t="shared" si="4"/>
        <v>0.71121951219512192</v>
      </c>
      <c r="N90" t="str" cm="1">
        <f t="array" ref="N90">IFERROR(_xlfn.IFS(M90&gt;100%,"&gt;100%",AND(M90&lt;100%,M90&gt;70%),"&gt;70%",AND(M90&lt;70%,M90&gt;40%),"&gt;40%",AND(M90&lt;40%,M90&gt;0%),"&gt;0%"),"")</f>
        <v>&gt;70%</v>
      </c>
      <c r="O90" t="str">
        <f t="shared" si="5"/>
        <v>JHOVANA TORRES</v>
      </c>
      <c r="P90" t="str">
        <f>IF(DATA_ABRIL_2025[[#This Row],[ASER_]]="","",F84)</f>
        <v>JOHAN</v>
      </c>
      <c r="Q90">
        <f>IF(DATA_ABRIL_2025[[#This Row],[SUPERVISOR]]="","",D84)</f>
        <v>14580</v>
      </c>
      <c r="R90">
        <f>IF(DATA_ABRIL_2025[[#This Row],[RECUPERO]]="","",VLOOKUP(DATA_ABRIL_2025[[#This Row],[SUPERVISOR]],$H:$I,2,0))</f>
        <v>20500</v>
      </c>
    </row>
    <row r="91" spans="1:18" x14ac:dyDescent="0.25">
      <c r="A91" t="s">
        <v>132</v>
      </c>
      <c r="B91" t="str">
        <f t="shared" si="3"/>
        <v/>
      </c>
      <c r="E91">
        <f>D1_ABRIL[[#This Row],[RECUPERO]]/VLOOKUP(F91,$H:$I,2,0)</f>
        <v>0</v>
      </c>
      <c r="F91" t="str">
        <f>D1_ABRIL[[#This Row],[SUPER]]</f>
        <v>JOHAN</v>
      </c>
      <c r="L91">
        <v>8</v>
      </c>
      <c r="M91" s="1">
        <f t="shared" si="4"/>
        <v>0.31207317073170732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JOANA GIL</v>
      </c>
      <c r="P91" t="str">
        <f>IF(DATA_ABRIL_2025[[#This Row],[ASER_]]="","",F85)</f>
        <v>JOHAN</v>
      </c>
      <c r="Q91">
        <f>IF(DATA_ABRIL_2025[[#This Row],[SUPERVISOR]]="","",D85)</f>
        <v>6397.5</v>
      </c>
      <c r="R91">
        <f>IF(DATA_ABRIL_2025[[#This Row],[RECUPERO]]="","",VLOOKUP(DATA_ABRIL_2025[[#This Row],[SUPERVISOR]],$H:$I,2,0))</f>
        <v>20500</v>
      </c>
    </row>
    <row r="92" spans="1:18" x14ac:dyDescent="0.25">
      <c r="A92" t="s">
        <v>132</v>
      </c>
      <c r="B92" t="str">
        <f t="shared" si="3"/>
        <v/>
      </c>
      <c r="E92">
        <f>D1_ABRIL[[#This Row],[RECUPERO]]/VLOOKUP(F92,$H:$I,2,0)</f>
        <v>0</v>
      </c>
      <c r="F92" t="str">
        <f>D1_ABRIL[[#This Row],[SUPER]]</f>
        <v>JOHAN</v>
      </c>
      <c r="L92">
        <v>9</v>
      </c>
      <c r="M92" s="1">
        <f t="shared" si="4"/>
        <v>0.38907317073170733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SARITA GARAY</v>
      </c>
      <c r="P92" t="str">
        <f>IF(DATA_ABRIL_2025[[#This Row],[ASER_]]="","",F86)</f>
        <v>JOHAN</v>
      </c>
      <c r="Q92">
        <f>IF(DATA_ABRIL_2025[[#This Row],[SUPERVISOR]]="","",D86)</f>
        <v>7976</v>
      </c>
      <c r="R92">
        <f>IF(DATA_ABRIL_2025[[#This Row],[RECUPERO]]="","",VLOOKUP(DATA_ABRIL_2025[[#This Row],[SUPERVISOR]],$H:$I,2,0))</f>
        <v>20500</v>
      </c>
    </row>
    <row r="93" spans="1:18" x14ac:dyDescent="0.25">
      <c r="A93" t="s">
        <v>8</v>
      </c>
      <c r="B93" t="str">
        <f t="shared" si="3"/>
        <v>BRINA SOTO</v>
      </c>
      <c r="C93" t="s">
        <v>14</v>
      </c>
      <c r="D93">
        <v>6701</v>
      </c>
      <c r="E93">
        <f>D1_ABRIL[[#This Row],[RECUPERO]]/VLOOKUP(F93,$H:$I,2,0)</f>
        <v>0.32687804878048782</v>
      </c>
      <c r="F93" t="str">
        <f>D1_ABRIL[[#This Row],[SUPER]]</f>
        <v>BRYAN</v>
      </c>
      <c r="L93">
        <v>10</v>
      </c>
      <c r="M93" s="1">
        <f t="shared" si="4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5"/>
        <v/>
      </c>
      <c r="P93" t="str">
        <f>IF(DATA_ABRIL_2025[[#This Row],[ASER_]]="","",F87)</f>
        <v/>
      </c>
      <c r="Q93" t="str">
        <f>IF(DATA_ABRIL_2025[[#This Row],[SUPERVISOR]]="","",D87)</f>
        <v/>
      </c>
      <c r="R93" t="str">
        <f>IF(DATA_ABRIL_2025[[#This Row],[RECUPERO]]="","",VLOOKUP(DATA_ABRIL_2025[[#This Row],[SUPERVISOR]],$H:$I,2,0))</f>
        <v/>
      </c>
    </row>
    <row r="94" spans="1:18" x14ac:dyDescent="0.25">
      <c r="A94" t="s">
        <v>8</v>
      </c>
      <c r="B94" t="str">
        <f t="shared" si="3"/>
        <v>EDSON MAMANI</v>
      </c>
      <c r="C94" t="s">
        <v>136</v>
      </c>
      <c r="D94">
        <v>4300</v>
      </c>
      <c r="E94">
        <f>D1_ABRIL[[#This Row],[RECUPERO]]/VLOOKUP(F94,$H:$I,2,0)</f>
        <v>0.2097560975609756</v>
      </c>
      <c r="F94" t="str">
        <f>D1_ABRIL[[#This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IF(DATA_ABRIL_2025[[#This Row],[ASER_]]="","",F88)</f>
        <v/>
      </c>
      <c r="Q94" t="str">
        <f>IF(DATA_ABRIL_2025[[#This Row],[SUPERVISOR]]="","",D88)</f>
        <v/>
      </c>
      <c r="R94" t="str">
        <f>IF(DATA_ABRIL_2025[[#This Row],[RECUPERO]]="","",VLOOKUP(DATA_ABRIL_2025[[#This Row],[SUPERVISOR]],$H:$I,2,0))</f>
        <v/>
      </c>
    </row>
    <row r="95" spans="1:18" x14ac:dyDescent="0.25">
      <c r="A95" t="s">
        <v>8</v>
      </c>
      <c r="B95" t="str">
        <f t="shared" si="3"/>
        <v>FRANCO HUAMANI</v>
      </c>
      <c r="C95" t="s">
        <v>24</v>
      </c>
      <c r="D95">
        <v>16516</v>
      </c>
      <c r="E95">
        <f>D1_ABRIL[[#This Row],[RECUPERO]]/VLOOKUP(F95,$H:$I,2,0)</f>
        <v>0.8056585365853659</v>
      </c>
      <c r="F95" t="str">
        <f>D1_ABRIL[[#This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IF(DATA_ABRIL_2025[[#This Row],[ASER_]]="","",F89)</f>
        <v/>
      </c>
      <c r="Q95" t="str">
        <f>IF(DATA_ABRIL_2025[[#This Row],[SUPERVISOR]]="","",D89)</f>
        <v/>
      </c>
      <c r="R95" t="str">
        <f>IF(DATA_ABRIL_2025[[#This Row],[RECUPERO]]="","",VLOOKUP(DATA_ABRIL_2025[[#This Row],[SUPERVISOR]],$H:$I,2,0))</f>
        <v/>
      </c>
    </row>
    <row r="96" spans="1:18" x14ac:dyDescent="0.25">
      <c r="A96" t="s">
        <v>8</v>
      </c>
      <c r="B96" t="str">
        <f t="shared" si="3"/>
        <v>GERALDINE ARROYO</v>
      </c>
      <c r="C96" t="s">
        <v>51</v>
      </c>
      <c r="D96">
        <v>4431</v>
      </c>
      <c r="E96">
        <f>D1_ABRIL[[#This Row],[RECUPERO]]/VLOOKUP(F96,$H:$I,2,0)</f>
        <v>0.21614634146341463</v>
      </c>
      <c r="F96" t="str">
        <f>D1_ABRIL[[#This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IF(DATA_ABRIL_2025[[#This Row],[ASER_]]="","",F90)</f>
        <v/>
      </c>
      <c r="Q96" t="str">
        <f>IF(DATA_ABRIL_2025[[#This Row],[SUPERVISOR]]="","",D90)</f>
        <v/>
      </c>
      <c r="R96" t="str">
        <f>IF(DATA_ABRIL_2025[[#This Row],[RECUPERO]]="","",VLOOKUP(DATA_ABRIL_2025[[#This Row],[SUPERVISOR]],$H:$I,2,0))</f>
        <v/>
      </c>
    </row>
    <row r="97" spans="1:18" x14ac:dyDescent="0.25">
      <c r="A97" t="s">
        <v>8</v>
      </c>
      <c r="B97" t="str">
        <f t="shared" si="3"/>
        <v>ISABEL BEJARANO</v>
      </c>
      <c r="C97" t="s">
        <v>83</v>
      </c>
      <c r="D97">
        <v>14890</v>
      </c>
      <c r="E97">
        <f>D1_ABRIL[[#This Row],[RECUPERO]]/VLOOKUP(F97,$H:$I,2,0)</f>
        <v>0.72634146341463413</v>
      </c>
      <c r="F97" t="str">
        <f>D1_ABRIL[[#This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IF(DATA_ABRIL_2025[[#This Row],[ASER_]]="","",F91)</f>
        <v/>
      </c>
      <c r="Q97" t="str">
        <f>IF(DATA_ABRIL_2025[[#This Row],[SUPERVISOR]]="","",D91)</f>
        <v/>
      </c>
      <c r="R97" t="str">
        <f>IF(DATA_ABRIL_2025[[#This Row],[RECUPERO]]="","",VLOOKUP(DATA_ABRIL_2025[[#This Row],[SUPERVISOR]],$H:$I,2,0))</f>
        <v/>
      </c>
    </row>
    <row r="98" spans="1:18" x14ac:dyDescent="0.25">
      <c r="A98" t="s">
        <v>8</v>
      </c>
      <c r="B98" t="str">
        <f t="shared" si="3"/>
        <v>LINDA TUESTA</v>
      </c>
      <c r="C98" t="s">
        <v>33</v>
      </c>
      <c r="D98">
        <v>5162.8</v>
      </c>
      <c r="E98">
        <f>D1_ABRIL[[#This Row],[RECUPERO]]/VLOOKUP(F98,$H:$I,2,0)</f>
        <v>0.25184390243902438</v>
      </c>
      <c r="F98" t="str">
        <f>D1_ABRIL[[#This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IF(DATA_ABRIL_2025[[#This Row],[ASER_]]="","",F92)</f>
        <v/>
      </c>
      <c r="Q98" t="str">
        <f>IF(DATA_ABRIL_2025[[#This Row],[SUPERVISOR]]="","",D92)</f>
        <v/>
      </c>
      <c r="R98" t="str">
        <f>IF(DATA_ABRIL_2025[[#This Row],[RECUPERO]]="","",VLOOKUP(DATA_ABRIL_2025[[#This Row],[SUPERVISOR]],$H:$I,2,0))</f>
        <v/>
      </c>
    </row>
    <row r="99" spans="1:18" x14ac:dyDescent="0.25">
      <c r="A99" t="s">
        <v>8</v>
      </c>
      <c r="B99" t="str">
        <f t="shared" si="3"/>
        <v>URSULA CENTENO</v>
      </c>
      <c r="C99" t="s">
        <v>78</v>
      </c>
      <c r="D99">
        <v>19938</v>
      </c>
      <c r="E99">
        <f>D1_ABRIL[[#This Row],[RECUPERO]]/VLOOKUP(F99,$H:$I,2,0)</f>
        <v>0.97258536585365851</v>
      </c>
      <c r="F99" t="str">
        <f>D1_ABRIL[[#This Row],[SUPER]]</f>
        <v>BRYAN</v>
      </c>
      <c r="L99">
        <v>1</v>
      </c>
      <c r="M99" s="1">
        <f t="shared" si="4"/>
        <v>0.32687804878048782</v>
      </c>
      <c r="N99" t="str" cm="1">
        <f t="array" ref="N99">IFERROR(_xlfn.IFS(M99&gt;100%,"&gt;100%",AND(M99&lt;100%,M99&gt;70%),"&gt;70%",AND(M99&lt;70%,M99&gt;40%),"&gt;40%",AND(M99&lt;40%,M99&gt;0%),"&gt;0%"),"")</f>
        <v>&gt;0%</v>
      </c>
      <c r="O99" t="str">
        <f t="shared" si="5"/>
        <v>BRINA SOTO</v>
      </c>
      <c r="P99" t="str">
        <f>IF(DATA_ABRIL_2025[[#This Row],[ASER_]]="","",F93)</f>
        <v>BRYAN</v>
      </c>
      <c r="Q99">
        <f>IF(DATA_ABRIL_2025[[#This Row],[SUPERVISOR]]="","",D93)</f>
        <v>6701</v>
      </c>
      <c r="R99">
        <f>IF(DATA_ABRIL_2025[[#This Row],[RECUPERO]]="","",VLOOKUP(DATA_ABRIL_2025[[#This Row],[SUPERVISOR]],$H:$I,2,0))</f>
        <v>20500</v>
      </c>
    </row>
    <row r="100" spans="1:18" x14ac:dyDescent="0.25">
      <c r="A100" t="s">
        <v>8</v>
      </c>
      <c r="B100" t="str">
        <f t="shared" si="3"/>
        <v>YENNY INGA</v>
      </c>
      <c r="C100" t="s">
        <v>39</v>
      </c>
      <c r="D100">
        <v>30316</v>
      </c>
      <c r="E100">
        <f>D1_ABRIL[[#This Row],[RECUPERO]]/VLOOKUP(F100,$H:$I,2,0)</f>
        <v>1.4788292682926829</v>
      </c>
      <c r="F100" t="str">
        <f>D1_ABRIL[[#This Row],[SUPER]]</f>
        <v>BRYAN</v>
      </c>
      <c r="L100">
        <v>2</v>
      </c>
      <c r="M100" s="1">
        <f t="shared" si="4"/>
        <v>0.2097560975609756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5"/>
        <v>EDSON MAMANI</v>
      </c>
      <c r="P100" t="str">
        <f>IF(DATA_ABRIL_2025[[#This Row],[ASER_]]="","",F94)</f>
        <v>BRYAN</v>
      </c>
      <c r="Q100">
        <f>IF(DATA_ABRIL_2025[[#This Row],[SUPERVISOR]]="","",D94)</f>
        <v>4300</v>
      </c>
      <c r="R100">
        <f>IF(DATA_ABRIL_2025[[#This Row],[RECUPERO]]="","",VLOOKUP(DATA_ABRIL_2025[[#This Row],[SUPERVISOR]],$H:$I,2,0))</f>
        <v>20500</v>
      </c>
    </row>
    <row r="101" spans="1:18" x14ac:dyDescent="0.25">
      <c r="A101" t="s">
        <v>8</v>
      </c>
      <c r="B101" t="str">
        <f t="shared" si="3"/>
        <v>YEYMY HUERTA</v>
      </c>
      <c r="C101" t="s">
        <v>56</v>
      </c>
      <c r="D101">
        <v>681</v>
      </c>
      <c r="E101">
        <f>D1_ABRIL[[#This Row],[RECUPERO]]/VLOOKUP(F101,$H:$I,2,0)</f>
        <v>3.3219512195121953E-2</v>
      </c>
      <c r="F101" t="str">
        <f>D1_ABRIL[[#This Row],[SUPER]]</f>
        <v>BRYAN</v>
      </c>
      <c r="L101">
        <v>3</v>
      </c>
      <c r="M101" s="1">
        <f t="shared" si="4"/>
        <v>0.8056585365853659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5"/>
        <v>FRANCO HUAMANI</v>
      </c>
      <c r="P101" t="str">
        <f>IF(DATA_ABRIL_2025[[#This Row],[ASER_]]="","",F95)</f>
        <v>BRYAN</v>
      </c>
      <c r="Q101">
        <f>IF(DATA_ABRIL_2025[[#This Row],[SUPERVISOR]]="","",D95)</f>
        <v>16516</v>
      </c>
      <c r="R101">
        <f>IF(DATA_ABRIL_2025[[#This Row],[RECUPERO]]="","",VLOOKUP(DATA_ABRIL_2025[[#This Row],[SUPERVISOR]],$H:$I,2,0))</f>
        <v>20500</v>
      </c>
    </row>
    <row r="102" spans="1:18" x14ac:dyDescent="0.25">
      <c r="A102" t="s">
        <v>8</v>
      </c>
      <c r="B102" t="str">
        <f t="shared" si="3"/>
        <v/>
      </c>
      <c r="E102">
        <f>D1_ABRIL[[#This Row],[RECUPERO]]/VLOOKUP(F102,$H:$I,2,0)</f>
        <v>0</v>
      </c>
      <c r="F102" t="str">
        <f>D1_ABRIL[[#This Row],[SUPER]]</f>
        <v>BRYAN</v>
      </c>
      <c r="L102">
        <v>4</v>
      </c>
      <c r="M102" s="1">
        <f t="shared" si="4"/>
        <v>0.21614634146341463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5"/>
        <v>GERALDINE ARROYO</v>
      </c>
      <c r="P102" t="str">
        <f>IF(DATA_ABRIL_2025[[#This Row],[ASER_]]="","",F96)</f>
        <v>BRYAN</v>
      </c>
      <c r="Q102">
        <f>IF(DATA_ABRIL_2025[[#This Row],[SUPERVISOR]]="","",D96)</f>
        <v>4431</v>
      </c>
      <c r="R102">
        <f>IF(DATA_ABRIL_2025[[#This Row],[RECUPERO]]="","",VLOOKUP(DATA_ABRIL_2025[[#This Row],[SUPERVISOR]],$H:$I,2,0))</f>
        <v>20500</v>
      </c>
    </row>
    <row r="103" spans="1:18" x14ac:dyDescent="0.25">
      <c r="A103" t="s">
        <v>8</v>
      </c>
      <c r="B103" t="str">
        <f t="shared" si="3"/>
        <v/>
      </c>
      <c r="E103">
        <f>D1_ABRIL[[#This Row],[RECUPERO]]/VLOOKUP(F103,$H:$I,2,0)</f>
        <v>0</v>
      </c>
      <c r="F103" t="str">
        <f>D1_ABRIL[[#This Row],[SUPER]]</f>
        <v>BRYAN</v>
      </c>
      <c r="L103">
        <v>5</v>
      </c>
      <c r="M103" s="1">
        <f t="shared" si="4"/>
        <v>0.72634146341463413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ISABEL BEJARANO</v>
      </c>
      <c r="P103" t="str">
        <f>IF(DATA_ABRIL_2025[[#This Row],[ASER_]]="","",F97)</f>
        <v>BRYAN</v>
      </c>
      <c r="Q103">
        <f>IF(DATA_ABRIL_2025[[#This Row],[SUPERVISOR]]="","",D97)</f>
        <v>14890</v>
      </c>
      <c r="R103">
        <f>IF(DATA_ABRIL_2025[[#This Row],[RECUPERO]]="","",VLOOKUP(DATA_ABRIL_2025[[#This Row],[SUPERVISOR]],$H:$I,2,0))</f>
        <v>20500</v>
      </c>
    </row>
    <row r="104" spans="1:18" x14ac:dyDescent="0.25">
      <c r="A104" t="s">
        <v>8</v>
      </c>
      <c r="B104" t="str">
        <f t="shared" si="3"/>
        <v/>
      </c>
      <c r="E104">
        <f>D1_ABRIL[[#This Row],[RECUPERO]]/VLOOKUP(F104,$H:$I,2,0)</f>
        <v>0</v>
      </c>
      <c r="F104" t="str">
        <f>D1_ABRIL[[#This Row],[SUPER]]</f>
        <v>BRYAN</v>
      </c>
      <c r="L104">
        <v>6</v>
      </c>
      <c r="M104" s="1">
        <f t="shared" si="4"/>
        <v>0.25184390243902438</v>
      </c>
      <c r="N104" t="str" cm="1">
        <f t="array" ref="N104">IFERROR(_xlfn.IFS(M104&gt;100%,"&gt;100%",AND(M104&lt;100%,M104&gt;70%),"&gt;70%",AND(M104&lt;70%,M104&gt;40%),"&gt;40%",AND(M104&lt;40%,M104&gt;0%),"&gt;0%"),"")</f>
        <v>&gt;0%</v>
      </c>
      <c r="O104" t="str">
        <f t="shared" si="5"/>
        <v>LINDA TUESTA</v>
      </c>
      <c r="P104" t="str">
        <f>IF(DATA_ABRIL_2025[[#This Row],[ASER_]]="","",F98)</f>
        <v>BRYAN</v>
      </c>
      <c r="Q104">
        <f>IF(DATA_ABRIL_2025[[#This Row],[SUPERVISOR]]="","",D98)</f>
        <v>5162.8</v>
      </c>
      <c r="R104">
        <f>IF(DATA_ABRIL_2025[[#This Row],[RECUPERO]]="","",VLOOKUP(DATA_ABRIL_2025[[#This Row],[SUPERVISOR]],$H:$I,2,0))</f>
        <v>20500</v>
      </c>
    </row>
    <row r="105" spans="1:18" x14ac:dyDescent="0.25">
      <c r="A105" t="s">
        <v>8</v>
      </c>
      <c r="B105" t="str">
        <f t="shared" si="3"/>
        <v/>
      </c>
      <c r="E105">
        <f>D1_ABRIL[[#This Row],[RECUPERO]]/VLOOKUP(F105,$H:$I,2,0)</f>
        <v>0</v>
      </c>
      <c r="F105" t="str">
        <f>D1_ABRIL[[#This Row],[SUPER]]</f>
        <v>BRYAN</v>
      </c>
      <c r="L105">
        <v>7</v>
      </c>
      <c r="M105" s="1">
        <f t="shared" si="4"/>
        <v>0.97258536585365851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URSULA CENTENO</v>
      </c>
      <c r="P105" t="str">
        <f>IF(DATA_ABRIL_2025[[#This Row],[ASER_]]="","",F99)</f>
        <v>BRYAN</v>
      </c>
      <c r="Q105">
        <f>IF(DATA_ABRIL_2025[[#This Row],[SUPERVISOR]]="","",D99)</f>
        <v>19938</v>
      </c>
      <c r="R105">
        <f>IF(DATA_ABRIL_2025[[#This Row],[RECUPERO]]="","",VLOOKUP(DATA_ABRIL_2025[[#This Row],[SUPERVISOR]],$H:$I,2,0))</f>
        <v>20500</v>
      </c>
    </row>
    <row r="106" spans="1:18" x14ac:dyDescent="0.25">
      <c r="A106" t="s">
        <v>8</v>
      </c>
      <c r="B106" t="str">
        <f t="shared" si="3"/>
        <v/>
      </c>
      <c r="E106">
        <f>D1_ABRIL[[#This Row],[RECUPERO]]/VLOOKUP(F106,$H:$I,2,0)</f>
        <v>0</v>
      </c>
      <c r="F106" t="str">
        <f>D1_ABRIL[[#This Row],[SUPER]]</f>
        <v>BRYAN</v>
      </c>
      <c r="L106">
        <v>8</v>
      </c>
      <c r="M106" s="1">
        <f t="shared" si="4"/>
        <v>1.4788292682926829</v>
      </c>
      <c r="N106" t="str" cm="1">
        <f t="array" ref="N106">IFERROR(_xlfn.IFS(M106&gt;100%,"&gt;100%",AND(M106&lt;100%,M106&gt;70%),"&gt;70%",AND(M106&lt;70%,M106&gt;40%),"&gt;40%",AND(M106&lt;40%,M106&gt;0%),"&gt;0%"),"")</f>
        <v>&gt;100%</v>
      </c>
      <c r="O106" t="str">
        <f t="shared" si="5"/>
        <v>YENNY INGA</v>
      </c>
      <c r="P106" t="str">
        <f>IF(DATA_ABRIL_2025[[#This Row],[ASER_]]="","",F100)</f>
        <v>BRYAN</v>
      </c>
      <c r="Q106">
        <f>IF(DATA_ABRIL_2025[[#This Row],[SUPERVISOR]]="","",D100)</f>
        <v>30316</v>
      </c>
      <c r="R106">
        <f>IF(DATA_ABRIL_2025[[#This Row],[RECUPERO]]="","",VLOOKUP(DATA_ABRIL_2025[[#This Row],[SUPERVISOR]],$H:$I,2,0))</f>
        <v>20500</v>
      </c>
    </row>
    <row r="107" spans="1:18" x14ac:dyDescent="0.25">
      <c r="A107" t="s">
        <v>8</v>
      </c>
      <c r="B107" t="str">
        <f t="shared" si="3"/>
        <v/>
      </c>
      <c r="E107">
        <f>D1_ABRIL[[#This Row],[RECUPERO]]/VLOOKUP(F107,$H:$I,2,0)</f>
        <v>0</v>
      </c>
      <c r="F107" t="str">
        <f>D1_ABRIL[[#This Row],[SUPER]]</f>
        <v>BRYAN</v>
      </c>
      <c r="L107">
        <v>9</v>
      </c>
      <c r="M107" s="1">
        <f t="shared" si="4"/>
        <v>3.3219512195121953E-2</v>
      </c>
      <c r="N107" t="str" cm="1">
        <f t="array" ref="N107">IFERROR(_xlfn.IFS(M107&gt;100%,"&gt;100%",AND(M107&lt;100%,M107&gt;70%),"&gt;70%",AND(M107&lt;70%,M107&gt;40%),"&gt;40%",AND(M107&lt;40%,M107&gt;0%),"&gt;0%"),"")</f>
        <v>&gt;0%</v>
      </c>
      <c r="O107" t="str">
        <f t="shared" si="5"/>
        <v>YEYMY HUERTA</v>
      </c>
      <c r="P107" t="str">
        <f>IF(DATA_ABRIL_2025[[#This Row],[ASER_]]="","",F101)</f>
        <v>BRYAN</v>
      </c>
      <c r="Q107">
        <f>IF(DATA_ABRIL_2025[[#This Row],[SUPERVISOR]]="","",D101)</f>
        <v>681</v>
      </c>
      <c r="R107">
        <f>IF(DATA_ABRIL_2025[[#This Row],[RECUPERO]]="","",VLOOKUP(DATA_ABRIL_2025[[#This Row],[SUPERVISOR]],$H:$I,2,0))</f>
        <v>20500</v>
      </c>
    </row>
    <row r="108" spans="1:18" x14ac:dyDescent="0.25">
      <c r="A108" t="s">
        <v>131</v>
      </c>
      <c r="B108" t="str">
        <f t="shared" si="3"/>
        <v>CRISTINA TICONA</v>
      </c>
      <c r="C108" t="s">
        <v>61</v>
      </c>
      <c r="D108">
        <v>21531.5</v>
      </c>
      <c r="E108">
        <f>D1_ABRIL[[#This Row],[RECUPERO]]/VLOOKUP(F108,$H:$I,2,0)</f>
        <v>1.0503170731707316</v>
      </c>
      <c r="F108" t="str">
        <f>D1_ABRIL[[#This Row],[SUPER]]</f>
        <v>GUSTAVO</v>
      </c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/>
      </c>
      <c r="P108" t="str">
        <f>IF(DATA_ABRIL_2025[[#This Row],[ASER_]]="","",F102)</f>
        <v/>
      </c>
      <c r="Q108" t="str">
        <f>IF(DATA_ABRIL_2025[[#This Row],[SUPERVISOR]]="","",D102)</f>
        <v/>
      </c>
      <c r="R108" t="str">
        <f>IF(DATA_ABRIL_2025[[#This Row],[RECUPERO]]="","",VLOOKUP(DATA_ABRIL_2025[[#This Row],[SUPERVISOR]],$H:$I,2,0))</f>
        <v/>
      </c>
    </row>
    <row r="109" spans="1:18" x14ac:dyDescent="0.25">
      <c r="A109" t="s">
        <v>131</v>
      </c>
      <c r="B109" t="str">
        <f t="shared" si="3"/>
        <v>DANIEL ZAPATA</v>
      </c>
      <c r="C109" t="s">
        <v>80</v>
      </c>
      <c r="D109">
        <v>9714</v>
      </c>
      <c r="E109">
        <f>D1_ABRIL[[#This Row],[RECUPERO]]/VLOOKUP(F109,$H:$I,2,0)</f>
        <v>0.47385365853658534</v>
      </c>
      <c r="F109" t="str">
        <f>D1_ABRIL[[#This Row],[SUPER]]</f>
        <v>GUSTAVO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  <c r="P109" t="str">
        <f>IF(DATA_ABRIL_2025[[#This Row],[ASER_]]="","",F103)</f>
        <v/>
      </c>
      <c r="Q109" t="str">
        <f>IF(DATA_ABRIL_2025[[#This Row],[SUPERVISOR]]="","",D103)</f>
        <v/>
      </c>
      <c r="R109" t="str">
        <f>IF(DATA_ABRIL_2025[[#This Row],[RECUPERO]]="","",VLOOKUP(DATA_ABRIL_2025[[#This Row],[SUPERVISOR]],$H:$I,2,0))</f>
        <v/>
      </c>
    </row>
    <row r="110" spans="1:18" x14ac:dyDescent="0.25">
      <c r="A110" t="s">
        <v>131</v>
      </c>
      <c r="B110" t="str">
        <f t="shared" si="3"/>
        <v>FRANS TACSI</v>
      </c>
      <c r="C110" t="s">
        <v>16</v>
      </c>
      <c r="D110">
        <v>8117</v>
      </c>
      <c r="E110">
        <f>D1_ABRIL[[#This Row],[RECUPERO]]/VLOOKUP(F110,$H:$I,2,0)</f>
        <v>0.39595121951219514</v>
      </c>
      <c r="F110" t="str">
        <f>D1_ABRIL[[#This Row],[SUPER]]</f>
        <v>GUSTAVO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  <c r="P110" t="str">
        <f>IF(DATA_ABRIL_2025[[#This Row],[ASER_]]="","",F104)</f>
        <v/>
      </c>
      <c r="Q110" t="str">
        <f>IF(DATA_ABRIL_2025[[#This Row],[SUPERVISOR]]="","",D104)</f>
        <v/>
      </c>
      <c r="R110" t="str">
        <f>IF(DATA_ABRIL_2025[[#This Row],[RECUPERO]]="","",VLOOKUP(DATA_ABRIL_2025[[#This Row],[SUPERVISOR]],$H:$I,2,0))</f>
        <v/>
      </c>
    </row>
    <row r="111" spans="1:18" x14ac:dyDescent="0.25">
      <c r="A111" t="s">
        <v>131</v>
      </c>
      <c r="B111" t="str">
        <f t="shared" si="3"/>
        <v>GABRIELA APONTE</v>
      </c>
      <c r="C111" t="s">
        <v>27</v>
      </c>
      <c r="D111">
        <v>5890</v>
      </c>
      <c r="E111">
        <f>D1_ABRIL[[#This Row],[RECUPERO]]/VLOOKUP(F111,$H:$I,2,0)</f>
        <v>0.28731707317073168</v>
      </c>
      <c r="F111" t="str">
        <f>D1_ABRIL[[#This Row],[SUPER]]</f>
        <v>GUSTAVO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  <c r="P111" t="str">
        <f>IF(DATA_ABRIL_2025[[#This Row],[ASER_]]="","",F105)</f>
        <v/>
      </c>
      <c r="Q111" t="str">
        <f>IF(DATA_ABRIL_2025[[#This Row],[SUPERVISOR]]="","",D105)</f>
        <v/>
      </c>
      <c r="R111" t="str">
        <f>IF(DATA_ABRIL_2025[[#This Row],[RECUPERO]]="","",VLOOKUP(DATA_ABRIL_2025[[#This Row],[SUPERVISOR]],$H:$I,2,0))</f>
        <v/>
      </c>
    </row>
    <row r="112" spans="1:18" x14ac:dyDescent="0.25">
      <c r="A112" t="s">
        <v>131</v>
      </c>
      <c r="B112" t="str">
        <f t="shared" si="3"/>
        <v>GIANNINA AGUILAR</v>
      </c>
      <c r="C112" t="s">
        <v>32</v>
      </c>
      <c r="D112">
        <v>5817</v>
      </c>
      <c r="E112">
        <f>D1_ABRIL[[#This Row],[RECUPERO]]/VLOOKUP(F112,$H:$I,2,0)</f>
        <v>0.28375609756097558</v>
      </c>
      <c r="F112" t="str">
        <f>D1_ABRIL[[#This Row],[SUPER]]</f>
        <v>GUSTAVO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  <c r="P112" t="str">
        <f>IF(DATA_ABRIL_2025[[#This Row],[ASER_]]="","",F106)</f>
        <v/>
      </c>
      <c r="Q112" t="str">
        <f>IF(DATA_ABRIL_2025[[#This Row],[SUPERVISOR]]="","",D106)</f>
        <v/>
      </c>
      <c r="R112" t="str">
        <f>IF(DATA_ABRIL_2025[[#This Row],[RECUPERO]]="","",VLOOKUP(DATA_ABRIL_2025[[#This Row],[SUPERVISOR]],$H:$I,2,0))</f>
        <v/>
      </c>
    </row>
    <row r="113" spans="1:18" x14ac:dyDescent="0.25">
      <c r="A113" t="s">
        <v>131</v>
      </c>
      <c r="B113" t="str">
        <f t="shared" si="3"/>
        <v>HARLINGTON VIDAL</v>
      </c>
      <c r="C113" t="s">
        <v>134</v>
      </c>
      <c r="D113">
        <v>9600</v>
      </c>
      <c r="E113">
        <f>D1_ABRIL[[#This Row],[RECUPERO]]/VLOOKUP(F113,$H:$I,2,0)</f>
        <v>0.4682926829268293</v>
      </c>
      <c r="F113" t="str">
        <f>D1_ABRIL[[#This Row],[SUPER]]</f>
        <v>GUSTAVO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  <c r="P113" t="str">
        <f>IF(DATA_ABRIL_2025[[#This Row],[ASER_]]="","",F107)</f>
        <v/>
      </c>
      <c r="Q113" t="str">
        <f>IF(DATA_ABRIL_2025[[#This Row],[SUPERVISOR]]="","",D107)</f>
        <v/>
      </c>
      <c r="R113" t="str">
        <f>IF(DATA_ABRIL_2025[[#This Row],[RECUPERO]]="","",VLOOKUP(DATA_ABRIL_2025[[#This Row],[SUPERVISOR]],$H:$I,2,0))</f>
        <v/>
      </c>
    </row>
    <row r="114" spans="1:18" x14ac:dyDescent="0.25">
      <c r="A114" t="s">
        <v>131</v>
      </c>
      <c r="B114" t="str">
        <f t="shared" si="3"/>
        <v>NARDIA URPIS</v>
      </c>
      <c r="C114" t="s">
        <v>74</v>
      </c>
      <c r="D114">
        <v>5105.3</v>
      </c>
      <c r="E114">
        <f>D1_ABRIL[[#This Row],[RECUPERO]]/VLOOKUP(F114,$H:$I,2,0)</f>
        <v>0.24903902439024392</v>
      </c>
      <c r="F114" t="str">
        <f>D1_ABRIL[[#This Row],[SUPER]]</f>
        <v>GUSTAVO</v>
      </c>
      <c r="L114">
        <v>1</v>
      </c>
      <c r="M114" s="1">
        <f t="shared" si="4"/>
        <v>1.0503170731707316</v>
      </c>
      <c r="N114" t="str" cm="1">
        <f t="array" ref="N114">IFERROR(_xlfn.IFS(M114&gt;100%,"&gt;100%",AND(M114&lt;100%,M114&gt;70%),"&gt;70%",AND(M114&lt;70%,M114&gt;40%),"&gt;40%",AND(M114&lt;40%,M114&gt;0%),"&gt;0%"),"")</f>
        <v>&gt;100%</v>
      </c>
      <c r="O114" t="str">
        <f t="shared" si="5"/>
        <v>CRISTINA TICONA</v>
      </c>
      <c r="P114" t="str">
        <f>IF(DATA_ABRIL_2025[[#This Row],[ASER_]]="","",F108)</f>
        <v>GUSTAVO</v>
      </c>
      <c r="Q114">
        <f>IF(DATA_ABRIL_2025[[#This Row],[SUPERVISOR]]="","",D108)</f>
        <v>21531.5</v>
      </c>
      <c r="R114">
        <f>IF(DATA_ABRIL_2025[[#This Row],[RECUPERO]]="","",VLOOKUP(DATA_ABRIL_2025[[#This Row],[SUPERVISOR]],$H:$I,2,0))</f>
        <v>20500</v>
      </c>
    </row>
    <row r="115" spans="1:18" x14ac:dyDescent="0.25">
      <c r="A115" t="s">
        <v>131</v>
      </c>
      <c r="B115" t="str">
        <f t="shared" si="3"/>
        <v>VERONICA HUARCA</v>
      </c>
      <c r="C115" t="s">
        <v>48</v>
      </c>
      <c r="D115">
        <v>4977</v>
      </c>
      <c r="E115">
        <f>D1_ABRIL[[#This Row],[RECUPERO]]/VLOOKUP(F115,$H:$I,2,0)</f>
        <v>0.24278048780487804</v>
      </c>
      <c r="F115" t="str">
        <f>D1_ABRIL[[#This Row],[SUPER]]</f>
        <v>GUSTAVO</v>
      </c>
      <c r="L115">
        <v>2</v>
      </c>
      <c r="M115" s="1">
        <f t="shared" si="4"/>
        <v>0.47385365853658534</v>
      </c>
      <c r="N115" t="str" cm="1">
        <f t="array" ref="N115">IFERROR(_xlfn.IFS(M115&gt;100%,"&gt;100%",AND(M115&lt;100%,M115&gt;70%),"&gt;70%",AND(M115&lt;70%,M115&gt;40%),"&gt;40%",AND(M115&lt;40%,M115&gt;0%),"&gt;0%"),"")</f>
        <v>&gt;40%</v>
      </c>
      <c r="O115" t="str">
        <f t="shared" si="5"/>
        <v>DANIEL ZAPATA</v>
      </c>
      <c r="P115" t="str">
        <f>IF(DATA_ABRIL_2025[[#This Row],[ASER_]]="","",F109)</f>
        <v>GUSTAVO</v>
      </c>
      <c r="Q115">
        <f>IF(DATA_ABRIL_2025[[#This Row],[SUPERVISOR]]="","",D109)</f>
        <v>9714</v>
      </c>
      <c r="R115">
        <f>IF(DATA_ABRIL_2025[[#This Row],[RECUPERO]]="","",VLOOKUP(DATA_ABRIL_2025[[#This Row],[SUPERVISOR]],$H:$I,2,0))</f>
        <v>20500</v>
      </c>
    </row>
    <row r="116" spans="1:18" x14ac:dyDescent="0.25">
      <c r="A116" t="s">
        <v>131</v>
      </c>
      <c r="B116" t="str">
        <f t="shared" si="3"/>
        <v/>
      </c>
      <c r="E116">
        <f>D1_ABRIL[[#This Row],[RECUPERO]]/VLOOKUP(F116,$H:$I,2,0)</f>
        <v>0</v>
      </c>
      <c r="F116" t="str">
        <f>D1_ABRIL[[#This Row],[SUPER]]</f>
        <v>GUSTAVO</v>
      </c>
      <c r="L116">
        <v>3</v>
      </c>
      <c r="M116" s="1">
        <f t="shared" si="4"/>
        <v>0.39595121951219514</v>
      </c>
      <c r="N116" t="str" cm="1">
        <f t="array" ref="N116">IFERROR(_xlfn.IFS(M116&gt;100%,"&gt;100%",AND(M116&lt;100%,M116&gt;70%),"&gt;70%",AND(M116&lt;70%,M116&gt;40%),"&gt;40%",AND(M116&lt;40%,M116&gt;0%),"&gt;0%"),"")</f>
        <v>&gt;0%</v>
      </c>
      <c r="O116" t="str">
        <f t="shared" si="5"/>
        <v>FRANS TACSI</v>
      </c>
      <c r="P116" t="str">
        <f>IF(DATA_ABRIL_2025[[#This Row],[ASER_]]="","",F110)</f>
        <v>GUSTAVO</v>
      </c>
      <c r="Q116">
        <f>IF(DATA_ABRIL_2025[[#This Row],[SUPERVISOR]]="","",D110)</f>
        <v>8117</v>
      </c>
      <c r="R116">
        <f>IF(DATA_ABRIL_2025[[#This Row],[RECUPERO]]="","",VLOOKUP(DATA_ABRIL_2025[[#This Row],[SUPERVISOR]],$H:$I,2,0))</f>
        <v>20500</v>
      </c>
    </row>
    <row r="117" spans="1:18" x14ac:dyDescent="0.25">
      <c r="A117" t="s">
        <v>131</v>
      </c>
      <c r="B117" t="str">
        <f t="shared" si="3"/>
        <v/>
      </c>
      <c r="E117">
        <f>D1_ABRIL[[#This Row],[RECUPERO]]/VLOOKUP(F117,$H:$I,2,0)</f>
        <v>0</v>
      </c>
      <c r="F117" t="str">
        <f>D1_ABRIL[[#This Row],[SUPER]]</f>
        <v>GUSTAVO</v>
      </c>
      <c r="L117">
        <v>4</v>
      </c>
      <c r="M117" s="1">
        <f t="shared" si="4"/>
        <v>0.28731707317073168</v>
      </c>
      <c r="N117" t="str" cm="1">
        <f t="array" ref="N117">IFERROR(_xlfn.IFS(M117&gt;100%,"&gt;100%",AND(M117&lt;100%,M117&gt;70%),"&gt;70%",AND(M117&lt;70%,M117&gt;40%),"&gt;40%",AND(M117&lt;40%,M117&gt;0%),"&gt;0%"),"")</f>
        <v>&gt;0%</v>
      </c>
      <c r="O117" t="str">
        <f t="shared" si="5"/>
        <v>GABRIELA APONTE</v>
      </c>
      <c r="P117" t="str">
        <f>IF(DATA_ABRIL_2025[[#This Row],[ASER_]]="","",F111)</f>
        <v>GUSTAVO</v>
      </c>
      <c r="Q117">
        <f>IF(DATA_ABRIL_2025[[#This Row],[SUPERVISOR]]="","",D111)</f>
        <v>5890</v>
      </c>
      <c r="R117">
        <f>IF(DATA_ABRIL_2025[[#This Row],[RECUPERO]]="","",VLOOKUP(DATA_ABRIL_2025[[#This Row],[SUPERVISOR]],$H:$I,2,0))</f>
        <v>20500</v>
      </c>
    </row>
    <row r="118" spans="1:18" x14ac:dyDescent="0.25">
      <c r="A118" t="s">
        <v>131</v>
      </c>
      <c r="B118" t="str">
        <f t="shared" si="3"/>
        <v/>
      </c>
      <c r="E118">
        <f>D1_ABRIL[[#This Row],[RECUPERO]]/VLOOKUP(F118,$H:$I,2,0)</f>
        <v>0</v>
      </c>
      <c r="F118" t="str">
        <f>D1_ABRIL[[#This Row],[SUPER]]</f>
        <v>GUSTAVO</v>
      </c>
      <c r="L118">
        <v>5</v>
      </c>
      <c r="M118" s="1">
        <f t="shared" si="4"/>
        <v>0.28375609756097558</v>
      </c>
      <c r="N118" t="str" cm="1">
        <f t="array" ref="N118">IFERROR(_xlfn.IFS(M118&gt;100%,"&gt;100%",AND(M118&lt;100%,M118&gt;70%),"&gt;70%",AND(M118&lt;70%,M118&gt;40%),"&gt;40%",AND(M118&lt;40%,M118&gt;0%),"&gt;0%"),"")</f>
        <v>&gt;0%</v>
      </c>
      <c r="O118" t="str">
        <f t="shared" si="5"/>
        <v>GIANNINA AGUILAR</v>
      </c>
      <c r="P118" t="str">
        <f>IF(DATA_ABRIL_2025[[#This Row],[ASER_]]="","",F112)</f>
        <v>GUSTAVO</v>
      </c>
      <c r="Q118">
        <f>IF(DATA_ABRIL_2025[[#This Row],[SUPERVISOR]]="","",D112)</f>
        <v>5817</v>
      </c>
      <c r="R118">
        <f>IF(DATA_ABRIL_2025[[#This Row],[RECUPERO]]="","",VLOOKUP(DATA_ABRIL_2025[[#This Row],[SUPERVISOR]],$H:$I,2,0))</f>
        <v>20500</v>
      </c>
    </row>
    <row r="119" spans="1:18" x14ac:dyDescent="0.25">
      <c r="A119" t="s">
        <v>131</v>
      </c>
      <c r="B119" t="str">
        <f t="shared" si="3"/>
        <v/>
      </c>
      <c r="E119">
        <f>D1_ABRIL[[#This Row],[RECUPERO]]/VLOOKUP(F119,$H:$I,2,0)</f>
        <v>0</v>
      </c>
      <c r="F119" t="str">
        <f>D1_ABRIL[[#This Row],[SUPER]]</f>
        <v>GUSTAVO</v>
      </c>
      <c r="L119">
        <v>6</v>
      </c>
      <c r="M119" s="1">
        <f t="shared" si="4"/>
        <v>0.4682926829268293</v>
      </c>
      <c r="N119" t="str" cm="1">
        <f t="array" ref="N119">IFERROR(_xlfn.IFS(M119&gt;100%,"&gt;100%",AND(M119&lt;100%,M119&gt;70%),"&gt;70%",AND(M119&lt;70%,M119&gt;40%),"&gt;40%",AND(M119&lt;40%,M119&gt;0%),"&gt;0%"),"")</f>
        <v>&gt;40%</v>
      </c>
      <c r="O119" t="str">
        <f t="shared" si="5"/>
        <v>HARLINGTON VIDAL</v>
      </c>
      <c r="P119" t="str">
        <f>IF(DATA_ABRIL_2025[[#This Row],[ASER_]]="","",F113)</f>
        <v>GUSTAVO</v>
      </c>
      <c r="Q119">
        <f>IF(DATA_ABRIL_2025[[#This Row],[SUPERVISOR]]="","",D113)</f>
        <v>9600</v>
      </c>
      <c r="R119">
        <f>IF(DATA_ABRIL_2025[[#This Row],[RECUPERO]]="","",VLOOKUP(DATA_ABRIL_2025[[#This Row],[SUPERVISOR]],$H:$I,2,0))</f>
        <v>20500</v>
      </c>
    </row>
    <row r="120" spans="1:18" x14ac:dyDescent="0.25">
      <c r="A120" t="s">
        <v>131</v>
      </c>
      <c r="B120" t="str">
        <f t="shared" si="3"/>
        <v/>
      </c>
      <c r="E120">
        <f>D1_ABRIL[[#This Row],[RECUPERO]]/VLOOKUP(F120,$H:$I,2,0)</f>
        <v>0</v>
      </c>
      <c r="F120" t="str">
        <f>D1_ABRIL[[#This Row],[SUPER]]</f>
        <v>GUSTAVO</v>
      </c>
      <c r="L120">
        <v>7</v>
      </c>
      <c r="M120" s="1">
        <f t="shared" si="4"/>
        <v>0.24903902439024392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NARDIA URPIS</v>
      </c>
      <c r="P120" t="str">
        <f>IF(DATA_ABRIL_2025[[#This Row],[ASER_]]="","",F114)</f>
        <v>GUSTAVO</v>
      </c>
      <c r="Q120">
        <f>IF(DATA_ABRIL_2025[[#This Row],[SUPERVISOR]]="","",D114)</f>
        <v>5105.3</v>
      </c>
      <c r="R120">
        <f>IF(DATA_ABRIL_2025[[#This Row],[RECUPERO]]="","",VLOOKUP(DATA_ABRIL_2025[[#This Row],[SUPERVISOR]],$H:$I,2,0))</f>
        <v>20500</v>
      </c>
    </row>
    <row r="121" spans="1:18" x14ac:dyDescent="0.25">
      <c r="A121" t="s">
        <v>131</v>
      </c>
      <c r="B121" t="str">
        <f t="shared" si="3"/>
        <v/>
      </c>
      <c r="E121">
        <f>D1_ABRIL[[#This Row],[RECUPERO]]/VLOOKUP(F121,$H:$I,2,0)</f>
        <v>0</v>
      </c>
      <c r="F121" t="str">
        <f>D1_ABRIL[[#This Row],[SUPER]]</f>
        <v>GUSTAVO</v>
      </c>
      <c r="L121">
        <v>8</v>
      </c>
      <c r="M121" s="1">
        <f t="shared" si="4"/>
        <v>0.24278048780487804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VERONICA HUARCA</v>
      </c>
      <c r="P121" t="str">
        <f>IF(DATA_ABRIL_2025[[#This Row],[ASER_]]="","",F115)</f>
        <v>GUSTAVO</v>
      </c>
      <c r="Q121">
        <f>IF(DATA_ABRIL_2025[[#This Row],[SUPERVISOR]]="","",D115)</f>
        <v>4977</v>
      </c>
      <c r="R121">
        <f>IF(DATA_ABRIL_2025[[#This Row],[RECUPERO]]="","",VLOOKUP(DATA_ABRIL_2025[[#This Row],[SUPERVISOR]],$H:$I,2,0))</f>
        <v>20500</v>
      </c>
    </row>
    <row r="122" spans="1:18" x14ac:dyDescent="0.25">
      <c r="A122" t="s">
        <v>131</v>
      </c>
      <c r="B122" t="str">
        <f t="shared" si="3"/>
        <v/>
      </c>
      <c r="E122">
        <f>D1_ABRIL[[#This Row],[RECUPERO]]/VLOOKUP(F122,$H:$I,2,0)</f>
        <v>0</v>
      </c>
      <c r="F122" t="str">
        <f>D1_ABRIL[[#This Row],[SUPER]]</f>
        <v>GUSTAVO</v>
      </c>
      <c r="L122">
        <v>9</v>
      </c>
      <c r="M122" s="1">
        <f t="shared" si="4"/>
        <v>0</v>
      </c>
      <c r="N122" t="str" cm="1">
        <f t="array" ref="N122">IFERROR(_xlfn.IFS(M122&gt;100%,"&gt;100%",AND(M122&lt;100%,M122&gt;70%),"&gt;70%",AND(M122&lt;70%,M122&gt;40%),"&gt;40%",AND(M122&lt;40%,M122&gt;0%),"&gt;0%"),"")</f>
        <v/>
      </c>
      <c r="O122" t="str">
        <f t="shared" si="5"/>
        <v/>
      </c>
      <c r="P122" t="str">
        <f>IF(DATA_ABRIL_2025[[#This Row],[ASER_]]="","",F116)</f>
        <v/>
      </c>
      <c r="Q122" t="str">
        <f>IF(DATA_ABRIL_2025[[#This Row],[SUPERVISOR]]="","",D116)</f>
        <v/>
      </c>
      <c r="R122" t="str">
        <f>IF(DATA_ABRIL_2025[[#This Row],[RECUPERO]]="","",VLOOKUP(DATA_ABRIL_2025[[#This Row],[SUPERVISOR]],$H:$I,2,0))</f>
        <v/>
      </c>
    </row>
    <row r="123" spans="1:18" x14ac:dyDescent="0.25">
      <c r="L123">
        <v>10</v>
      </c>
      <c r="M123" s="1">
        <f t="shared" si="4"/>
        <v>0</v>
      </c>
      <c r="N123" t="str" cm="1">
        <f t="array" ref="N123">IFERROR(_xlfn.IFS(M123&gt;100%,"&gt;100%",AND(M123&lt;100%,M123&gt;70%),"&gt;70%",AND(M123&lt;70%,M123&gt;40%),"&gt;40%",AND(M123&lt;40%,M123&gt;0%),"&gt;0%"),"")</f>
        <v/>
      </c>
      <c r="O123" t="str">
        <f t="shared" si="5"/>
        <v/>
      </c>
      <c r="P123" t="str">
        <f>IF(DATA_ABRIL_2025[[#This Row],[ASER_]]="","",F117)</f>
        <v/>
      </c>
      <c r="Q123" t="str">
        <f>IF(DATA_ABRIL_2025[[#This Row],[SUPERVISOR]]="","",D117)</f>
        <v/>
      </c>
      <c r="R123" t="str">
        <f>IF(DATA_ABRIL_2025[[#This Row],[RECUPERO]]="","",VLOOKUP(DATA_ABRIL_2025[[#This Row],[SUPERVISOR]],$H:$I,2,0))</f>
        <v/>
      </c>
    </row>
    <row r="124" spans="1:18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  <c r="P124" t="str">
        <f>IF(DATA_ABRIL_2025[[#This Row],[ASER_]]="","",F118)</f>
        <v/>
      </c>
      <c r="Q124" t="str">
        <f>IF(DATA_ABRIL_2025[[#This Row],[SUPERVISOR]]="","",D118)</f>
        <v/>
      </c>
      <c r="R124" t="str">
        <f>IF(DATA_ABRIL_2025[[#This Row],[RECUPERO]]="","",VLOOKUP(DATA_ABRIL_2025[[#This Row],[SUPERVISOR]],$H:$I,2,0))</f>
        <v/>
      </c>
    </row>
    <row r="125" spans="1:18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  <c r="P125" t="str">
        <f>IF(DATA_ABRIL_2025[[#This Row],[ASER_]]="","",F119)</f>
        <v/>
      </c>
      <c r="Q125" t="str">
        <f>IF(DATA_ABRIL_2025[[#This Row],[SUPERVISOR]]="","",D119)</f>
        <v/>
      </c>
      <c r="R125" t="str">
        <f>IF(DATA_ABRIL_2025[[#This Row],[RECUPERO]]="","",VLOOKUP(DATA_ABRIL_2025[[#This Row],[SUPERVISOR]],$H:$I,2,0))</f>
        <v/>
      </c>
    </row>
    <row r="126" spans="1:18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  <c r="P126" t="str">
        <f>IF(DATA_ABRIL_2025[[#This Row],[ASER_]]="","",F120)</f>
        <v/>
      </c>
      <c r="Q126" t="str">
        <f>IF(DATA_ABRIL_2025[[#This Row],[SUPERVISOR]]="","",D120)</f>
        <v/>
      </c>
      <c r="R126" t="str">
        <f>IF(DATA_ABRIL_2025[[#This Row],[RECUPERO]]="","",VLOOKUP(DATA_ABRIL_2025[[#This Row],[SUPERVISOR]],$H:$I,2,0))</f>
        <v/>
      </c>
    </row>
    <row r="127" spans="1:18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  <c r="P127" t="str">
        <f>IF(DATA_ABRIL_2025[[#This Row],[ASER_]]="","",F121)</f>
        <v/>
      </c>
      <c r="Q127" t="str">
        <f>IF(DATA_ABRIL_2025[[#This Row],[SUPERVISOR]]="","",D121)</f>
        <v/>
      </c>
      <c r="R127" t="str">
        <f>IF(DATA_ABRIL_2025[[#This Row],[RECUPERO]]="","",VLOOKUP(DATA_ABRIL_2025[[#This Row],[SUPERVISOR]],$H:$I,2,0))</f>
        <v/>
      </c>
    </row>
    <row r="128" spans="1:18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  <c r="P128" t="str">
        <f>IF(DATA_ABRIL_2025[[#This Row],[ASER_]]="","",F122)</f>
        <v/>
      </c>
      <c r="Q128" t="str">
        <f>IF(DATA_ABRIL_2025[[#This Row],[SUPERVISOR]]="","",D122)</f>
        <v/>
      </c>
      <c r="R128" t="str">
        <f>IF(DATA_ABRIL_2025[[#This Row],[RECUPERO]]="","",VLOOKUP(DATA_ABRIL_2025[[#This Row],[SUPERVISOR]],$H:$I,2,0))</f>
        <v/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R128"/>
  <sheetViews>
    <sheetView zoomScale="85" zoomScaleNormal="85" workbookViewId="0">
      <selection activeCell="H20" sqref="H20"/>
    </sheetView>
  </sheetViews>
  <sheetFormatPr baseColWidth="10" defaultRowHeight="15" x14ac:dyDescent="0.25"/>
  <cols>
    <col min="1" max="1" width="9.28515625" customWidth="1"/>
    <col min="2" max="3" width="22.7109375" customWidth="1"/>
    <col min="4" max="4" width="13.42578125" customWidth="1"/>
    <col min="5" max="5" width="12" customWidth="1"/>
    <col min="6" max="6" width="10.28515625" customWidth="1"/>
    <col min="7" max="7" width="11.42578125" customWidth="1"/>
    <col min="8" max="8" width="9.42578125" customWidth="1"/>
    <col min="9" max="9" width="8.140625" customWidth="1"/>
    <col min="10" max="11" width="11.42578125" customWidth="1"/>
    <col min="12" max="12" width="10" customWidth="1"/>
    <col min="13" max="13" width="11.140625" customWidth="1"/>
    <col min="14" max="14" width="19.85546875" customWidth="1"/>
    <col min="15" max="15" width="22.7109375" customWidth="1"/>
    <col min="16" max="16" width="11.42578125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3</v>
      </c>
      <c r="B3" t="str">
        <f>TRIM(C3)</f>
        <v>ALEJANDRO GONZALES</v>
      </c>
      <c r="C3" t="s">
        <v>116</v>
      </c>
      <c r="D3">
        <v>34711</v>
      </c>
      <c r="E3">
        <f>D1_MAYO[[#This Row],[RECUPERO]]/VLOOKUP(F3,$H:$I,2,0)</f>
        <v>0.53401538461538467</v>
      </c>
      <c r="F3" t="str">
        <f>D1_MAYO[[#This Row],[SUPER]]</f>
        <v>SANDY</v>
      </c>
      <c r="H3" t="s">
        <v>8</v>
      </c>
      <c r="I3">
        <v>20000</v>
      </c>
    </row>
    <row r="4" spans="1:18" x14ac:dyDescent="0.25">
      <c r="A4" t="s">
        <v>3</v>
      </c>
      <c r="B4" t="str">
        <f t="shared" ref="B4:B67" si="0">TRIM(C4)</f>
        <v>CHRISTIAN ALBUJAR</v>
      </c>
      <c r="C4" t="s">
        <v>53</v>
      </c>
      <c r="D4">
        <v>27635</v>
      </c>
      <c r="E4">
        <f>D1_MAYO[[#This Row],[RECUPERO]]/VLOOKUP(F4,$H:$I,2,0)</f>
        <v>0.42515384615384616</v>
      </c>
      <c r="F4" t="str">
        <f>D1_MAYO[[#This Row],[SUPER]]</f>
        <v>SANDY</v>
      </c>
      <c r="H4" t="s">
        <v>132</v>
      </c>
      <c r="I4">
        <v>20000</v>
      </c>
    </row>
    <row r="5" spans="1:18" x14ac:dyDescent="0.35">
      <c r="A5" t="s">
        <v>3</v>
      </c>
      <c r="B5" t="str">
        <f t="shared" si="0"/>
        <v>EVELY TENORIO</v>
      </c>
      <c r="C5" t="s">
        <v>22</v>
      </c>
      <c r="D5">
        <v>67766.75</v>
      </c>
      <c r="E5">
        <f>D1_MAYO[[#This Row],[RECUPERO]]/VLOOKUP(F5,$H:$I,2,0)</f>
        <v>1.0425653846153846</v>
      </c>
      <c r="F5" t="str">
        <f>D1_MAYO[[#This Row],[SUPER]]</f>
        <v>SANDY</v>
      </c>
      <c r="H5" t="s">
        <v>5</v>
      </c>
      <c r="I5">
        <v>65000</v>
      </c>
    </row>
    <row r="6" spans="1:18" x14ac:dyDescent="0.25">
      <c r="A6" t="s">
        <v>3</v>
      </c>
      <c r="B6" t="str">
        <f t="shared" si="0"/>
        <v>JENY LAZARO</v>
      </c>
      <c r="C6" t="s">
        <v>26</v>
      </c>
      <c r="D6">
        <v>31800</v>
      </c>
      <c r="E6">
        <f>D1_MAYO[[#This Row],[RECUPERO]]/VLOOKUP(F6,$H:$I,2,0)</f>
        <v>0.48923076923076925</v>
      </c>
      <c r="F6" t="str">
        <f>D1_MAYO[[#This Row],[SUPER]]</f>
        <v>SANDY</v>
      </c>
      <c r="H6" t="s">
        <v>2</v>
      </c>
      <c r="I6">
        <v>65000</v>
      </c>
    </row>
    <row r="7" spans="1:18" x14ac:dyDescent="0.25">
      <c r="A7" t="s">
        <v>3</v>
      </c>
      <c r="B7" t="str">
        <f t="shared" si="0"/>
        <v>LISELY MERA</v>
      </c>
      <c r="C7" t="s">
        <v>23</v>
      </c>
      <c r="D7">
        <v>103512.12</v>
      </c>
      <c r="E7">
        <f>D1_MAYO[[#This Row],[RECUPERO]]/VLOOKUP(F7,$H:$I,2,0)</f>
        <v>1.5924941538461537</v>
      </c>
      <c r="F7" t="str">
        <f>D1_MAYO[[#This Row],[SUPER]]</f>
        <v>SANDY</v>
      </c>
      <c r="H7" t="s">
        <v>6</v>
      </c>
      <c r="I7">
        <v>26000</v>
      </c>
    </row>
    <row r="8" spans="1:18" x14ac:dyDescent="0.25">
      <c r="A8" t="s">
        <v>3</v>
      </c>
      <c r="B8" t="str">
        <f t="shared" si="0"/>
        <v>MALORY MONTEBLANCO</v>
      </c>
      <c r="C8" t="s">
        <v>25</v>
      </c>
      <c r="D8">
        <v>30396</v>
      </c>
      <c r="E8">
        <f>D1_MAYO[[#This Row],[RECUPERO]]/VLOOKUP(F8,$H:$I,2,0)</f>
        <v>0.46763076923076924</v>
      </c>
      <c r="F8" t="str">
        <f>D1_MAYO[[#This Row],[SUPER]]</f>
        <v>SANDY</v>
      </c>
      <c r="H8" t="s">
        <v>9</v>
      </c>
      <c r="I8">
        <v>20000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3</v>
      </c>
      <c r="B9" t="str">
        <f t="shared" si="0"/>
        <v>MICHAEL TAFUR</v>
      </c>
      <c r="C9" t="s">
        <v>112</v>
      </c>
      <c r="D9">
        <v>28500</v>
      </c>
      <c r="E9">
        <f>D1_MAYO[[#This Row],[RECUPERO]]/VLOOKUP(F9,$H:$I,2,0)</f>
        <v>0.43846153846153846</v>
      </c>
      <c r="F9" t="str">
        <f>D1_MAYO[[#This Row],[SUPER]]</f>
        <v>SANDY</v>
      </c>
      <c r="H9" t="s">
        <v>4</v>
      </c>
      <c r="I9">
        <v>65000</v>
      </c>
      <c r="L9">
        <v>1</v>
      </c>
      <c r="M9" s="1">
        <f>E3</f>
        <v>0.53401538461538467</v>
      </c>
      <c r="N9" t="str" cm="1">
        <f t="array" ref="N9">IFERROR(_xlfn.IFS(M9&gt;100%,"&gt;100%",AND(M9&lt;100%,M9&gt;70%),"&gt;70%",AND(M9&lt;70%,M9&gt;40%),"&gt;40%",AND(M9&lt;40%,M9&gt;0%),"&gt;0%"),"")</f>
        <v>&gt;40%</v>
      </c>
      <c r="O9" t="str">
        <f>B3</f>
        <v>ALEJANDRO GONZALES</v>
      </c>
      <c r="P9" t="str">
        <f>IF(DATA_MAYO_2025[[#This Row],[ASER_]]="","",F3)</f>
        <v>SANDY</v>
      </c>
      <c r="Q9">
        <f>IF(DATA_MAYO_2025[[#This Row],[SUPERVISOR]]="","",D3)</f>
        <v>34711</v>
      </c>
      <c r="R9">
        <f>IF(DATA_MAYO_2025[[#This Row],[RECUPERO]]="","",VLOOKUP(DATA_MAYO_2025[[#This Row],[SUPERVISOR]],$H:$I,2,0))</f>
        <v>65000</v>
      </c>
    </row>
    <row r="10" spans="1:18" x14ac:dyDescent="0.25">
      <c r="A10" t="s">
        <v>3</v>
      </c>
      <c r="B10" t="str">
        <f t="shared" si="0"/>
        <v>ROCIO TERRONES</v>
      </c>
      <c r="C10" t="s">
        <v>107</v>
      </c>
      <c r="D10">
        <v>500</v>
      </c>
      <c r="E10">
        <f>D1_MAYO[[#This Row],[RECUPERO]]/VLOOKUP(F10,$H:$I,2,0)</f>
        <v>7.6923076923076927E-3</v>
      </c>
      <c r="F10" t="str">
        <f>D1_MAYO[[#This Row],[SUPER]]</f>
        <v>SANDY</v>
      </c>
      <c r="H10" t="s">
        <v>3</v>
      </c>
      <c r="I10">
        <v>65000</v>
      </c>
      <c r="L10">
        <v>2</v>
      </c>
      <c r="M10" s="1">
        <f t="shared" ref="M10:M73" si="1">E4</f>
        <v>0.42515384615384616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CHRISTIAN ALBUJAR</v>
      </c>
      <c r="P10" t="str">
        <f>IF(DATA_MAYO_2025[[#This Row],[ASER_]]="","",F4)</f>
        <v>SANDY</v>
      </c>
      <c r="Q10">
        <f>IF(DATA_MAYO_2025[[#This Row],[SUPERVISOR]]="","",D4)</f>
        <v>27635</v>
      </c>
      <c r="R10">
        <f>IF(DATA_MAYO_2025[[#This Row],[RECUPERO]]="","",VLOOKUP(DATA_MAYO_2025[[#This Row],[SUPERVISOR]],$H:$I,2,0))</f>
        <v>65000</v>
      </c>
    </row>
    <row r="11" spans="1:18" x14ac:dyDescent="0.25">
      <c r="A11" t="s">
        <v>3</v>
      </c>
      <c r="B11" t="str">
        <f t="shared" si="0"/>
        <v>VICTOR RAMIREZ</v>
      </c>
      <c r="C11" t="s">
        <v>76</v>
      </c>
      <c r="D11">
        <v>72761.570000000007</v>
      </c>
      <c r="E11">
        <f>D1_MAYO[[#This Row],[RECUPERO]]/VLOOKUP(F11,$H:$I,2,0)</f>
        <v>1.1194087692307693</v>
      </c>
      <c r="F11" t="str">
        <f>D1_MAYO[[#This Row],[SUPER]]</f>
        <v>SANDY</v>
      </c>
      <c r="L11">
        <v>3</v>
      </c>
      <c r="M11" s="1">
        <f t="shared" si="1"/>
        <v>1.0425653846153846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2"/>
        <v>EVELY TENORIO</v>
      </c>
      <c r="P11" t="str">
        <f>IF(DATA_MAYO_2025[[#This Row],[ASER_]]="","",F5)</f>
        <v>SANDY</v>
      </c>
      <c r="Q11">
        <f>IF(DATA_MAYO_2025[[#This Row],[SUPERVISOR]]="","",D5)</f>
        <v>67766.75</v>
      </c>
      <c r="R11">
        <f>IF(DATA_MAYO_2025[[#This Row],[RECUPERO]]="","",VLOOKUP(DATA_MAYO_2025[[#This Row],[SUPERVISOR]],$H:$I,2,0))</f>
        <v>65000</v>
      </c>
    </row>
    <row r="12" spans="1:18" x14ac:dyDescent="0.25">
      <c r="A12" t="s">
        <v>3</v>
      </c>
      <c r="B12" t="str">
        <f t="shared" si="0"/>
        <v/>
      </c>
      <c r="E12">
        <f>D1_MAYO[[#This Row],[RECUPERO]]/VLOOKUP(F12,$H:$I,2,0)</f>
        <v>0</v>
      </c>
      <c r="F12" t="str">
        <f>D1_MAYO[[#This Row],[SUPER]]</f>
        <v>SANDY</v>
      </c>
      <c r="L12">
        <v>4</v>
      </c>
      <c r="M12" s="1">
        <f t="shared" si="1"/>
        <v>0.48923076923076925</v>
      </c>
      <c r="N12" t="str" cm="1">
        <f t="array" ref="N12">IFERROR(_xlfn.IFS(M12&gt;100%,"&gt;100%",AND(M12&lt;100%,M12&gt;70%),"&gt;70%",AND(M12&lt;70%,M12&gt;40%),"&gt;40%",AND(M12&lt;40%,M12&gt;0%),"&gt;0%"),"")</f>
        <v>&gt;40%</v>
      </c>
      <c r="O12" t="str">
        <f t="shared" si="2"/>
        <v>JENY LAZARO</v>
      </c>
      <c r="P12" t="str">
        <f>IF(DATA_MAYO_2025[[#This Row],[ASER_]]="","",F6)</f>
        <v>SANDY</v>
      </c>
      <c r="Q12">
        <f>IF(DATA_MAYO_2025[[#This Row],[SUPERVISOR]]="","",D6)</f>
        <v>31800</v>
      </c>
      <c r="R12">
        <f>IF(DATA_MAYO_2025[[#This Row],[RECUPERO]]="","",VLOOKUP(DATA_MAYO_2025[[#This Row],[SUPERVISOR]],$H:$I,2,0))</f>
        <v>65000</v>
      </c>
    </row>
    <row r="13" spans="1:18" x14ac:dyDescent="0.25">
      <c r="A13" t="s">
        <v>3</v>
      </c>
      <c r="B13" t="str">
        <f t="shared" si="0"/>
        <v/>
      </c>
      <c r="E13">
        <f>D1_MAYO[[#This Row],[RECUPERO]]/VLOOKUP(F13,$H:$I,2,0)</f>
        <v>0</v>
      </c>
      <c r="F13" t="str">
        <f>D1_MAYO[[#This Row],[SUPER]]</f>
        <v>SANDY</v>
      </c>
      <c r="L13">
        <v>5</v>
      </c>
      <c r="M13" s="1">
        <f t="shared" si="1"/>
        <v>1.5924941538461537</v>
      </c>
      <c r="N13" t="str" cm="1">
        <f t="array" ref="N13">IFERROR(_xlfn.IFS(M13&gt;100%,"&gt;100%",AND(M13&lt;100%,M13&gt;70%),"&gt;70%",AND(M13&lt;70%,M13&gt;40%),"&gt;40%",AND(M13&lt;40%,M13&gt;0%),"&gt;0%"),"")</f>
        <v>&gt;100%</v>
      </c>
      <c r="O13" t="str">
        <f t="shared" si="2"/>
        <v>LISELY MERA</v>
      </c>
      <c r="P13" t="str">
        <f>IF(DATA_MAYO_2025[[#This Row],[ASER_]]="","",F7)</f>
        <v>SANDY</v>
      </c>
      <c r="Q13">
        <f>IF(DATA_MAYO_2025[[#This Row],[SUPERVISOR]]="","",D7)</f>
        <v>103512.12</v>
      </c>
      <c r="R13">
        <f>IF(DATA_MAYO_2025[[#This Row],[RECUPERO]]="","",VLOOKUP(DATA_MAYO_2025[[#This Row],[SUPERVISOR]],$H:$I,2,0))</f>
        <v>65000</v>
      </c>
    </row>
    <row r="14" spans="1:18" x14ac:dyDescent="0.25">
      <c r="A14" t="s">
        <v>3</v>
      </c>
      <c r="B14" t="str">
        <f t="shared" si="0"/>
        <v/>
      </c>
      <c r="E14">
        <f>D1_MAYO[[#This Row],[RECUPERO]]/VLOOKUP(F14,$H:$I,2,0)</f>
        <v>0</v>
      </c>
      <c r="F14" t="str">
        <f>D1_MAYO[[#This Row],[SUPER]]</f>
        <v>SANDY</v>
      </c>
      <c r="H14" s="11"/>
      <c r="L14">
        <v>6</v>
      </c>
      <c r="M14" s="1">
        <f t="shared" si="1"/>
        <v>0.46763076923076924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MALORY MONTEBLANCO</v>
      </c>
      <c r="P14" t="str">
        <f>IF(DATA_MAYO_2025[[#This Row],[ASER_]]="","",F8)</f>
        <v>SANDY</v>
      </c>
      <c r="Q14">
        <f>IF(DATA_MAYO_2025[[#This Row],[SUPERVISOR]]="","",D8)</f>
        <v>30396</v>
      </c>
      <c r="R14">
        <f>IF(DATA_MAYO_2025[[#This Row],[RECUPERO]]="","",VLOOKUP(DATA_MAYO_2025[[#This Row],[SUPERVISOR]],$H:$I,2,0))</f>
        <v>65000</v>
      </c>
    </row>
    <row r="15" spans="1:18" x14ac:dyDescent="0.25">
      <c r="A15" t="s">
        <v>3</v>
      </c>
      <c r="B15" t="str">
        <f t="shared" si="0"/>
        <v/>
      </c>
      <c r="E15">
        <f>D1_MAYO[[#This Row],[RECUPERO]]/VLOOKUP(F15,$H:$I,2,0)</f>
        <v>0</v>
      </c>
      <c r="F15" t="str">
        <f>D1_MAYO[[#This Row],[SUPER]]</f>
        <v>SANDY</v>
      </c>
      <c r="H15" s="11"/>
      <c r="L15">
        <v>7</v>
      </c>
      <c r="M15" s="1">
        <f t="shared" si="1"/>
        <v>0.43846153846153846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2"/>
        <v>MICHAEL TAFUR</v>
      </c>
      <c r="P15" t="str">
        <f>IF(DATA_MAYO_2025[[#This Row],[ASER_]]="","",F9)</f>
        <v>SANDY</v>
      </c>
      <c r="Q15">
        <f>IF(DATA_MAYO_2025[[#This Row],[SUPERVISOR]]="","",D9)</f>
        <v>28500</v>
      </c>
      <c r="R15">
        <f>IF(DATA_MAYO_2025[[#This Row],[RECUPERO]]="","",VLOOKUP(DATA_MAYO_2025[[#This Row],[SUPERVISOR]],$H:$I,2,0))</f>
        <v>65000</v>
      </c>
    </row>
    <row r="16" spans="1:18" x14ac:dyDescent="0.25">
      <c r="A16" t="s">
        <v>3</v>
      </c>
      <c r="B16" t="str">
        <f t="shared" si="0"/>
        <v/>
      </c>
      <c r="E16">
        <f>D1_MAYO[[#This Row],[RECUPERO]]/VLOOKUP(F16,$H:$I,2,0)</f>
        <v>0</v>
      </c>
      <c r="F16" t="str">
        <f>D1_MAYO[[#This Row],[SUPER]]</f>
        <v>SANDY</v>
      </c>
      <c r="L16">
        <v>8</v>
      </c>
      <c r="M16" s="1">
        <f t="shared" si="1"/>
        <v>7.6923076923076927E-3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ROCIO TERRONES</v>
      </c>
      <c r="P16" t="str">
        <f>IF(DATA_MAYO_2025[[#This Row],[ASER_]]="","",F10)</f>
        <v>SANDY</v>
      </c>
      <c r="Q16">
        <f>IF(DATA_MAYO_2025[[#This Row],[SUPERVISOR]]="","",D10)</f>
        <v>500</v>
      </c>
      <c r="R16">
        <f>IF(DATA_MAYO_2025[[#This Row],[RECUPERO]]="","",VLOOKUP(DATA_MAYO_2025[[#This Row],[SUPERVISOR]],$H:$I,2,0))</f>
        <v>65000</v>
      </c>
    </row>
    <row r="17" spans="1:18" x14ac:dyDescent="0.25">
      <c r="A17" t="s">
        <v>3</v>
      </c>
      <c r="B17" t="str">
        <f t="shared" si="0"/>
        <v/>
      </c>
      <c r="E17">
        <f>D1_MAYO[[#This Row],[RECUPERO]]/VLOOKUP(F17,$H:$I,2,0)</f>
        <v>0</v>
      </c>
      <c r="F17" t="str">
        <f>D1_MAYO[[#This Row],[SUPER]]</f>
        <v>SANDY</v>
      </c>
      <c r="L17">
        <v>9</v>
      </c>
      <c r="M17" s="1">
        <f t="shared" si="1"/>
        <v>1.1194087692307693</v>
      </c>
      <c r="N17" t="str" cm="1">
        <f t="array" ref="N17">IFERROR(_xlfn.IFS(M17&gt;100%,"&gt;100%",AND(M17&lt;100%,M17&gt;70%),"&gt;70%",AND(M17&lt;70%,M17&gt;40%),"&gt;40%",AND(M17&lt;40%,M17&gt;0%),"&gt;0%"),"")</f>
        <v>&gt;100%</v>
      </c>
      <c r="O17" t="str">
        <f t="shared" si="2"/>
        <v>VICTOR RAMIREZ</v>
      </c>
      <c r="P17" t="str">
        <f>IF(DATA_MAYO_2025[[#This Row],[ASER_]]="","",F11)</f>
        <v>SANDY</v>
      </c>
      <c r="Q17">
        <f>IF(DATA_MAYO_2025[[#This Row],[SUPERVISOR]]="","",D11)</f>
        <v>72761.570000000007</v>
      </c>
      <c r="R17">
        <f>IF(DATA_MAYO_2025[[#This Row],[RECUPERO]]="","",VLOOKUP(DATA_MAYO_2025[[#This Row],[SUPERVISOR]],$H:$I,2,0))</f>
        <v>65000</v>
      </c>
    </row>
    <row r="18" spans="1:18" x14ac:dyDescent="0.25">
      <c r="A18" t="s">
        <v>4</v>
      </c>
      <c r="B18" t="str">
        <f t="shared" si="0"/>
        <v>CINTHYA PAUCAR</v>
      </c>
      <c r="C18" t="s">
        <v>82</v>
      </c>
      <c r="D18">
        <v>1000</v>
      </c>
      <c r="E18">
        <f>D1_MAYO[[#This Row],[RECUPERO]]/VLOOKUP(F18,$H:$I,2,0)</f>
        <v>1.5384615384615385E-2</v>
      </c>
      <c r="F18" t="str">
        <f>D1_MAYO[[#This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P18" t="str">
        <f>IF(DATA_MAYO_2025[[#This Row],[ASER_]]="","",F12)</f>
        <v/>
      </c>
      <c r="Q18" t="str">
        <f>IF(DATA_MAYO_2025[[#This Row],[SUPERVISOR]]="","",D12)</f>
        <v/>
      </c>
      <c r="R18" t="str">
        <f>IF(DATA_MAYO_2025[[#This Row],[RECUPERO]]="","",VLOOKUP(DATA_MAYO_2025[[#This Row],[SUPERVISOR]],$H:$I,2,0))</f>
        <v/>
      </c>
    </row>
    <row r="19" spans="1:18" x14ac:dyDescent="0.25">
      <c r="A19" t="s">
        <v>4</v>
      </c>
      <c r="B19" t="str">
        <f t="shared" si="0"/>
        <v>CRISTINA TICONA</v>
      </c>
      <c r="C19" t="s">
        <v>61</v>
      </c>
      <c r="D19">
        <v>44589.5</v>
      </c>
      <c r="E19">
        <f>D1_MAYO[[#This Row],[RECUPERO]]/VLOOKUP(F19,$H:$I,2,0)</f>
        <v>0.68599230769230768</v>
      </c>
      <c r="F19" t="str">
        <f>D1_MAYO[[#This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P19" t="str">
        <f>IF(DATA_MAYO_2025[[#This Row],[ASER_]]="","",F13)</f>
        <v/>
      </c>
      <c r="Q19" t="str">
        <f>IF(DATA_MAYO_2025[[#This Row],[SUPERVISOR]]="","",D13)</f>
        <v/>
      </c>
      <c r="R19" t="str">
        <f>IF(DATA_MAYO_2025[[#This Row],[RECUPERO]]="","",VLOOKUP(DATA_MAYO_2025[[#This Row],[SUPERVISOR]],$H:$I,2,0))</f>
        <v/>
      </c>
    </row>
    <row r="20" spans="1:18" x14ac:dyDescent="0.25">
      <c r="A20" t="s">
        <v>4</v>
      </c>
      <c r="B20" t="str">
        <f t="shared" si="0"/>
        <v>JAIR MARTINEZ</v>
      </c>
      <c r="C20" t="s">
        <v>57</v>
      </c>
      <c r="D20">
        <v>81853</v>
      </c>
      <c r="E20">
        <f>D1_MAYO[[#This Row],[RECUPERO]]/VLOOKUP(F20,$H:$I,2,0)</f>
        <v>1.2592769230769232</v>
      </c>
      <c r="F20" t="str">
        <f>D1_MAYO[[#This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IF(DATA_MAYO_2025[[#This Row],[ASER_]]="","",F14)</f>
        <v/>
      </c>
      <c r="Q20" t="str">
        <f>IF(DATA_MAYO_2025[[#This Row],[SUPERVISOR]]="","",D14)</f>
        <v/>
      </c>
      <c r="R20" t="str">
        <f>IF(DATA_MAYO_2025[[#This Row],[RECUPERO]]="","",VLOOKUP(DATA_MAYO_2025[[#This Row],[SUPERVISOR]],$H:$I,2,0))</f>
        <v/>
      </c>
    </row>
    <row r="21" spans="1:18" x14ac:dyDescent="0.25">
      <c r="A21" t="s">
        <v>4</v>
      </c>
      <c r="B21" t="str">
        <f t="shared" si="0"/>
        <v>JHONATAN CHAVEZ</v>
      </c>
      <c r="C21" t="s">
        <v>65</v>
      </c>
      <c r="D21">
        <v>37409</v>
      </c>
      <c r="E21">
        <f>D1_MAYO[[#This Row],[RECUPERO]]/VLOOKUP(F21,$H:$I,2,0)</f>
        <v>0.57552307692307692</v>
      </c>
      <c r="F21" t="str">
        <f>D1_MAYO[[#This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IF(DATA_MAYO_2025[[#This Row],[ASER_]]="","",F15)</f>
        <v/>
      </c>
      <c r="Q21" t="str">
        <f>IF(DATA_MAYO_2025[[#This Row],[SUPERVISOR]]="","",D15)</f>
        <v/>
      </c>
      <c r="R21" t="str">
        <f>IF(DATA_MAYO_2025[[#This Row],[RECUPERO]]="","",VLOOKUP(DATA_MAYO_2025[[#This Row],[SUPERVISOR]],$H:$I,2,0))</f>
        <v/>
      </c>
    </row>
    <row r="22" spans="1:18" x14ac:dyDescent="0.25">
      <c r="A22" t="s">
        <v>4</v>
      </c>
      <c r="B22" t="str">
        <f t="shared" si="0"/>
        <v>MARIA TINTAYA</v>
      </c>
      <c r="C22" t="s">
        <v>75</v>
      </c>
      <c r="D22">
        <v>24661</v>
      </c>
      <c r="E22">
        <f>D1_MAYO[[#This Row],[RECUPERO]]/VLOOKUP(F22,$H:$I,2,0)</f>
        <v>0.37940000000000002</v>
      </c>
      <c r="F22" t="str">
        <f>D1_MAYO[[#This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IF(DATA_MAYO_2025[[#This Row],[ASER_]]="","",F16)</f>
        <v/>
      </c>
      <c r="Q22" t="str">
        <f>IF(DATA_MAYO_2025[[#This Row],[SUPERVISOR]]="","",D16)</f>
        <v/>
      </c>
      <c r="R22" t="str">
        <f>IF(DATA_MAYO_2025[[#This Row],[RECUPERO]]="","",VLOOKUP(DATA_MAYO_2025[[#This Row],[SUPERVISOR]],$H:$I,2,0))</f>
        <v/>
      </c>
    </row>
    <row r="23" spans="1:18" x14ac:dyDescent="0.25">
      <c r="A23" t="s">
        <v>4</v>
      </c>
      <c r="B23" t="str">
        <f t="shared" si="0"/>
        <v>MELISSA GUERRERO</v>
      </c>
      <c r="C23" t="s">
        <v>62</v>
      </c>
      <c r="D23">
        <v>25143.55</v>
      </c>
      <c r="E23">
        <f>D1_MAYO[[#This Row],[RECUPERO]]/VLOOKUP(F23,$H:$I,2,0)</f>
        <v>0.38682384615384613</v>
      </c>
      <c r="F23" t="str">
        <f>D1_MAYO[[#This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IF(DATA_MAYO_2025[[#This Row],[ASER_]]="","",F17)</f>
        <v/>
      </c>
      <c r="Q23" t="str">
        <f>IF(DATA_MAYO_2025[[#This Row],[SUPERVISOR]]="","",D17)</f>
        <v/>
      </c>
      <c r="R23" t="str">
        <f>IF(DATA_MAYO_2025[[#This Row],[RECUPERO]]="","",VLOOKUP(DATA_MAYO_2025[[#This Row],[SUPERVISOR]],$H:$I,2,0))</f>
        <v/>
      </c>
    </row>
    <row r="24" spans="1:18" x14ac:dyDescent="0.25">
      <c r="A24" t="s">
        <v>4</v>
      </c>
      <c r="B24" t="str">
        <f t="shared" si="0"/>
        <v>MICAELA PEREZ</v>
      </c>
      <c r="C24" t="s">
        <v>64</v>
      </c>
      <c r="D24">
        <v>16449</v>
      </c>
      <c r="E24">
        <f>D1_MAYO[[#This Row],[RECUPERO]]/VLOOKUP(F24,$H:$I,2,0)</f>
        <v>0.25306153846153845</v>
      </c>
      <c r="F24" t="str">
        <f>D1_MAYO[[#This Row],[SUPER]]</f>
        <v>MELINA</v>
      </c>
      <c r="L24">
        <v>1</v>
      </c>
      <c r="M24" s="1">
        <f t="shared" si="1"/>
        <v>1.5384615384615385E-2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2"/>
        <v>CINTHYA PAUCAR</v>
      </c>
      <c r="P24" t="str">
        <f>IF(DATA_MAYO_2025[[#This Row],[ASER_]]="","",F18)</f>
        <v>MELINA</v>
      </c>
      <c r="Q24">
        <f>IF(DATA_MAYO_2025[[#This Row],[SUPERVISOR]]="","",D18)</f>
        <v>1000</v>
      </c>
      <c r="R24">
        <f>IF(DATA_MAYO_2025[[#This Row],[RECUPERO]]="","",VLOOKUP(DATA_MAYO_2025[[#This Row],[SUPERVISOR]],$H:$I,2,0))</f>
        <v>65000</v>
      </c>
    </row>
    <row r="25" spans="1:18" x14ac:dyDescent="0.25">
      <c r="A25" t="s">
        <v>4</v>
      </c>
      <c r="B25" t="str">
        <f t="shared" si="0"/>
        <v>PIERINA TESEN</v>
      </c>
      <c r="C25" t="s">
        <v>59</v>
      </c>
      <c r="D25">
        <v>52934.979999999901</v>
      </c>
      <c r="E25">
        <f>D1_MAYO[[#This Row],[RECUPERO]]/VLOOKUP(F25,$H:$I,2,0)</f>
        <v>0.81438430769230619</v>
      </c>
      <c r="F25" t="str">
        <f>D1_MAYO[[#This Row],[SUPER]]</f>
        <v>MELINA</v>
      </c>
      <c r="L25">
        <v>2</v>
      </c>
      <c r="M25" s="1">
        <f t="shared" si="1"/>
        <v>0.68599230769230768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2"/>
        <v>CRISTINA TICONA</v>
      </c>
      <c r="P25" t="str">
        <f>IF(DATA_MAYO_2025[[#This Row],[ASER_]]="","",F19)</f>
        <v>MELINA</v>
      </c>
      <c r="Q25">
        <f>IF(DATA_MAYO_2025[[#This Row],[SUPERVISOR]]="","",D19)</f>
        <v>44589.5</v>
      </c>
      <c r="R25">
        <f>IF(DATA_MAYO_2025[[#This Row],[RECUPERO]]="","",VLOOKUP(DATA_MAYO_2025[[#This Row],[SUPERVISOR]],$H:$I,2,0))</f>
        <v>65000</v>
      </c>
    </row>
    <row r="26" spans="1:18" x14ac:dyDescent="0.25">
      <c r="A26" t="s">
        <v>4</v>
      </c>
      <c r="B26" t="str">
        <f t="shared" si="0"/>
        <v/>
      </c>
      <c r="E26">
        <f>D1_MAYO[[#This Row],[RECUPERO]]/VLOOKUP(F26,$H:$I,2,0)</f>
        <v>0</v>
      </c>
      <c r="F26" t="str">
        <f>D1_MAYO[[#This Row],[SUPER]]</f>
        <v>MELINA</v>
      </c>
      <c r="L26">
        <v>3</v>
      </c>
      <c r="M26" s="1">
        <f t="shared" si="1"/>
        <v>1.2592769230769232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JAIR MARTINEZ</v>
      </c>
      <c r="P26" t="str">
        <f>IF(DATA_MAYO_2025[[#This Row],[ASER_]]="","",F20)</f>
        <v>MELINA</v>
      </c>
      <c r="Q26">
        <f>IF(DATA_MAYO_2025[[#This Row],[SUPERVISOR]]="","",D20)</f>
        <v>81853</v>
      </c>
      <c r="R26">
        <f>IF(DATA_MAYO_2025[[#This Row],[RECUPERO]]="","",VLOOKUP(DATA_MAYO_2025[[#This Row],[SUPERVISOR]],$H:$I,2,0))</f>
        <v>65000</v>
      </c>
    </row>
    <row r="27" spans="1:18" x14ac:dyDescent="0.25">
      <c r="A27" t="s">
        <v>4</v>
      </c>
      <c r="B27" t="str">
        <f t="shared" si="0"/>
        <v/>
      </c>
      <c r="E27">
        <f>D1_MAYO[[#This Row],[RECUPERO]]/VLOOKUP(F27,$H:$I,2,0)</f>
        <v>0</v>
      </c>
      <c r="F27" t="str">
        <f>D1_MAYO[[#This Row],[SUPER]]</f>
        <v>MELINA</v>
      </c>
      <c r="L27">
        <v>4</v>
      </c>
      <c r="M27" s="1">
        <f t="shared" si="1"/>
        <v>0.57552307692307692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2"/>
        <v>JHONATAN CHAVEZ</v>
      </c>
      <c r="P27" t="str">
        <f>IF(DATA_MAYO_2025[[#This Row],[ASER_]]="","",F21)</f>
        <v>MELINA</v>
      </c>
      <c r="Q27">
        <f>IF(DATA_MAYO_2025[[#This Row],[SUPERVISOR]]="","",D21)</f>
        <v>37409</v>
      </c>
      <c r="R27">
        <f>IF(DATA_MAYO_2025[[#This Row],[RECUPERO]]="","",VLOOKUP(DATA_MAYO_2025[[#This Row],[SUPERVISOR]],$H:$I,2,0))</f>
        <v>65000</v>
      </c>
    </row>
    <row r="28" spans="1:18" x14ac:dyDescent="0.25">
      <c r="A28" t="s">
        <v>4</v>
      </c>
      <c r="B28" t="str">
        <f t="shared" si="0"/>
        <v/>
      </c>
      <c r="E28">
        <f>D1_MAYO[[#This Row],[RECUPERO]]/VLOOKUP(F28,$H:$I,2,0)</f>
        <v>0</v>
      </c>
      <c r="F28" t="str">
        <f>D1_MAYO[[#This Row],[SUPER]]</f>
        <v>MELINA</v>
      </c>
      <c r="L28">
        <v>5</v>
      </c>
      <c r="M28" s="1">
        <f t="shared" si="1"/>
        <v>0.37940000000000002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2"/>
        <v>MARIA TINTAYA</v>
      </c>
      <c r="P28" t="str">
        <f>IF(DATA_MAYO_2025[[#This Row],[ASER_]]="","",F22)</f>
        <v>MELINA</v>
      </c>
      <c r="Q28">
        <f>IF(DATA_MAYO_2025[[#This Row],[SUPERVISOR]]="","",D22)</f>
        <v>24661</v>
      </c>
      <c r="R28">
        <f>IF(DATA_MAYO_2025[[#This Row],[RECUPERO]]="","",VLOOKUP(DATA_MAYO_2025[[#This Row],[SUPERVISOR]],$H:$I,2,0))</f>
        <v>65000</v>
      </c>
    </row>
    <row r="29" spans="1:18" x14ac:dyDescent="0.25">
      <c r="A29" t="s">
        <v>4</v>
      </c>
      <c r="B29" t="str">
        <f t="shared" si="0"/>
        <v/>
      </c>
      <c r="E29">
        <f>D1_MAYO[[#This Row],[RECUPERO]]/VLOOKUP(F29,$H:$I,2,0)</f>
        <v>0</v>
      </c>
      <c r="F29" t="str">
        <f>D1_MAYO[[#This Row],[SUPER]]</f>
        <v>MELINA</v>
      </c>
      <c r="L29">
        <v>6</v>
      </c>
      <c r="M29" s="1">
        <f t="shared" si="1"/>
        <v>0.38682384615384613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MELISSA GUERRERO</v>
      </c>
      <c r="P29" t="str">
        <f>IF(DATA_MAYO_2025[[#This Row],[ASER_]]="","",F23)</f>
        <v>MELINA</v>
      </c>
      <c r="Q29">
        <f>IF(DATA_MAYO_2025[[#This Row],[SUPERVISOR]]="","",D23)</f>
        <v>25143.55</v>
      </c>
      <c r="R29">
        <f>IF(DATA_MAYO_2025[[#This Row],[RECUPERO]]="","",VLOOKUP(DATA_MAYO_2025[[#This Row],[SUPERVISOR]],$H:$I,2,0))</f>
        <v>65000</v>
      </c>
    </row>
    <row r="30" spans="1:18" x14ac:dyDescent="0.25">
      <c r="A30" t="s">
        <v>4</v>
      </c>
      <c r="B30" t="str">
        <f t="shared" si="0"/>
        <v/>
      </c>
      <c r="E30">
        <f>D1_MAYO[[#This Row],[RECUPERO]]/VLOOKUP(F30,$H:$I,2,0)</f>
        <v>0</v>
      </c>
      <c r="F30" t="str">
        <f>D1_MAYO[[#This Row],[SUPER]]</f>
        <v>MELINA</v>
      </c>
      <c r="L30">
        <v>7</v>
      </c>
      <c r="M30" s="1">
        <f t="shared" si="1"/>
        <v>0.25306153846153845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2"/>
        <v>MICAELA PEREZ</v>
      </c>
      <c r="P30" t="str">
        <f>IF(DATA_MAYO_2025[[#This Row],[ASER_]]="","",F24)</f>
        <v>MELINA</v>
      </c>
      <c r="Q30">
        <f>IF(DATA_MAYO_2025[[#This Row],[SUPERVISOR]]="","",D24)</f>
        <v>16449</v>
      </c>
      <c r="R30">
        <f>IF(DATA_MAYO_2025[[#This Row],[RECUPERO]]="","",VLOOKUP(DATA_MAYO_2025[[#This Row],[SUPERVISOR]],$H:$I,2,0))</f>
        <v>65000</v>
      </c>
    </row>
    <row r="31" spans="1:18" x14ac:dyDescent="0.25">
      <c r="A31" t="s">
        <v>4</v>
      </c>
      <c r="B31" t="str">
        <f t="shared" si="0"/>
        <v/>
      </c>
      <c r="E31">
        <f>D1_MAYO[[#This Row],[RECUPERO]]/VLOOKUP(F31,$H:$I,2,0)</f>
        <v>0</v>
      </c>
      <c r="F31" t="str">
        <f>D1_MAYO[[#This Row],[SUPER]]</f>
        <v>MELINA</v>
      </c>
      <c r="L31">
        <v>8</v>
      </c>
      <c r="M31" s="1">
        <f t="shared" si="1"/>
        <v>0.81438430769230619</v>
      </c>
      <c r="N31" t="str" cm="1">
        <f t="array" ref="N31">IFERROR(_xlfn.IFS(M31&gt;100%,"&gt;100%",AND(M31&lt;100%,M31&gt;70%),"&gt;70%",AND(M31&lt;70%,M31&gt;40%),"&gt;40%",AND(M31&lt;40%,M31&gt;0%),"&gt;0%"),"")</f>
        <v>&gt;70%</v>
      </c>
      <c r="O31" t="str">
        <f t="shared" si="2"/>
        <v>PIERINA TESEN</v>
      </c>
      <c r="P31" t="str">
        <f>IF(DATA_MAYO_2025[[#This Row],[ASER_]]="","",F25)</f>
        <v>MELINA</v>
      </c>
      <c r="Q31">
        <f>IF(DATA_MAYO_2025[[#This Row],[SUPERVISOR]]="","",D25)</f>
        <v>52934.979999999901</v>
      </c>
      <c r="R31">
        <f>IF(DATA_MAYO_2025[[#This Row],[RECUPERO]]="","",VLOOKUP(DATA_MAYO_2025[[#This Row],[SUPERVISOR]],$H:$I,2,0))</f>
        <v>65000</v>
      </c>
    </row>
    <row r="32" spans="1:18" x14ac:dyDescent="0.25">
      <c r="A32" t="s">
        <v>4</v>
      </c>
      <c r="B32" t="str">
        <f t="shared" si="0"/>
        <v/>
      </c>
      <c r="E32">
        <f>D1_MAYO[[#This Row],[RECUPERO]]/VLOOKUP(F32,$H:$I,2,0)</f>
        <v>0</v>
      </c>
      <c r="F32" t="str">
        <f>D1_MAYO[[#This Row],[SUPER]]</f>
        <v>MELINA</v>
      </c>
      <c r="L32">
        <v>9</v>
      </c>
      <c r="M32" s="1">
        <f t="shared" si="1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2"/>
        <v/>
      </c>
      <c r="P32" t="str">
        <f>IF(DATA_MAYO_2025[[#This Row],[ASER_]]="","",F26)</f>
        <v/>
      </c>
      <c r="Q32" t="str">
        <f>IF(DATA_MAYO_2025[[#This Row],[SUPERVISOR]]="","",D26)</f>
        <v/>
      </c>
      <c r="R32" t="str">
        <f>IF(DATA_MAYO_2025[[#This Row],[RECUPERO]]="","",VLOOKUP(DATA_MAYO_2025[[#This Row],[SUPERVISOR]],$H:$I,2,0))</f>
        <v/>
      </c>
    </row>
    <row r="33" spans="1:18" x14ac:dyDescent="0.25">
      <c r="A33" t="s">
        <v>2</v>
      </c>
      <c r="B33" t="str">
        <f t="shared" si="0"/>
        <v>FRANS TACSI</v>
      </c>
      <c r="C33" t="s">
        <v>16</v>
      </c>
      <c r="D33">
        <v>35318</v>
      </c>
      <c r="E33">
        <f>D1_MAYO[[#This Row],[RECUPERO]]/VLOOKUP(F33,$H:$I,2,0)</f>
        <v>0.54335384615384619</v>
      </c>
      <c r="F33" t="str">
        <f>D1_MAYO[[#This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P33" t="str">
        <f>IF(DATA_MAYO_2025[[#This Row],[ASER_]]="","",F27)</f>
        <v/>
      </c>
      <c r="Q33" t="str">
        <f>IF(DATA_MAYO_2025[[#This Row],[SUPERVISOR]]="","",D27)</f>
        <v/>
      </c>
      <c r="R33" t="str">
        <f>IF(DATA_MAYO_2025[[#This Row],[RECUPERO]]="","",VLOOKUP(DATA_MAYO_2025[[#This Row],[SUPERVISOR]],$H:$I,2,0))</f>
        <v/>
      </c>
    </row>
    <row r="34" spans="1:18" x14ac:dyDescent="0.25">
      <c r="A34" t="s">
        <v>2</v>
      </c>
      <c r="B34" t="str">
        <f t="shared" si="0"/>
        <v>GENESIS VICUNA</v>
      </c>
      <c r="C34" t="s">
        <v>12</v>
      </c>
      <c r="D34">
        <v>31821</v>
      </c>
      <c r="E34">
        <f>D1_MAYO[[#This Row],[RECUPERO]]/VLOOKUP(F34,$H:$I,2,0)</f>
        <v>0.48955384615384617</v>
      </c>
      <c r="F34" t="str">
        <f>D1_MAYO[[#This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P34" t="str">
        <f>IF(DATA_MAYO_2025[[#This Row],[ASER_]]="","",F28)</f>
        <v/>
      </c>
      <c r="Q34" t="str">
        <f>IF(DATA_MAYO_2025[[#This Row],[SUPERVISOR]]="","",D28)</f>
        <v/>
      </c>
      <c r="R34" t="str">
        <f>IF(DATA_MAYO_2025[[#This Row],[RECUPERO]]="","",VLOOKUP(DATA_MAYO_2025[[#This Row],[SUPERVISOR]],$H:$I,2,0))</f>
        <v/>
      </c>
    </row>
    <row r="35" spans="1:18" x14ac:dyDescent="0.25">
      <c r="A35" t="s">
        <v>2</v>
      </c>
      <c r="B35" t="str">
        <f t="shared" si="0"/>
        <v>GIANFRANCO PINEDO</v>
      </c>
      <c r="C35" t="s">
        <v>13</v>
      </c>
      <c r="D35">
        <v>29515</v>
      </c>
      <c r="E35">
        <f>D1_MAYO[[#This Row],[RECUPERO]]/VLOOKUP(F35,$H:$I,2,0)</f>
        <v>0.4540769230769231</v>
      </c>
      <c r="F35" t="str">
        <f>D1_MAYO[[#This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IF(DATA_MAYO_2025[[#This Row],[ASER_]]="","",F29)</f>
        <v/>
      </c>
      <c r="Q35" t="str">
        <f>IF(DATA_MAYO_2025[[#This Row],[SUPERVISOR]]="","",D29)</f>
        <v/>
      </c>
      <c r="R35" t="str">
        <f>IF(DATA_MAYO_2025[[#This Row],[RECUPERO]]="","",VLOOKUP(DATA_MAYO_2025[[#This Row],[SUPERVISOR]],$H:$I,2,0))</f>
        <v/>
      </c>
    </row>
    <row r="36" spans="1:18" x14ac:dyDescent="0.25">
      <c r="A36" t="s">
        <v>2</v>
      </c>
      <c r="B36" t="str">
        <f t="shared" si="0"/>
        <v>JUAN ALANOCCA</v>
      </c>
      <c r="C36" t="s">
        <v>77</v>
      </c>
      <c r="D36">
        <v>32754.449999999899</v>
      </c>
      <c r="E36">
        <f>D1_MAYO[[#This Row],[RECUPERO]]/VLOOKUP(F36,$H:$I,2,0)</f>
        <v>0.5039146153846138</v>
      </c>
      <c r="F36" t="str">
        <f>D1_MAYO[[#This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IF(DATA_MAYO_2025[[#This Row],[ASER_]]="","",F30)</f>
        <v/>
      </c>
      <c r="Q36" t="str">
        <f>IF(DATA_MAYO_2025[[#This Row],[SUPERVISOR]]="","",D30)</f>
        <v/>
      </c>
      <c r="R36" t="str">
        <f>IF(DATA_MAYO_2025[[#This Row],[RECUPERO]]="","",VLOOKUP(DATA_MAYO_2025[[#This Row],[SUPERVISOR]],$H:$I,2,0))</f>
        <v/>
      </c>
    </row>
    <row r="37" spans="1:18" x14ac:dyDescent="0.25">
      <c r="A37" t="s">
        <v>2</v>
      </c>
      <c r="B37" t="str">
        <f t="shared" si="0"/>
        <v>LUIS VALLADARES</v>
      </c>
      <c r="C37" t="s">
        <v>29</v>
      </c>
      <c r="D37">
        <v>43416</v>
      </c>
      <c r="E37">
        <f>D1_MAYO[[#This Row],[RECUPERO]]/VLOOKUP(F37,$H:$I,2,0)</f>
        <v>0.66793846153846159</v>
      </c>
      <c r="F37" t="str">
        <f>D1_MAYO[[#This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IF(DATA_MAYO_2025[[#This Row],[ASER_]]="","",F31)</f>
        <v/>
      </c>
      <c r="Q37" t="str">
        <f>IF(DATA_MAYO_2025[[#This Row],[SUPERVISOR]]="","",D31)</f>
        <v/>
      </c>
      <c r="R37" t="str">
        <f>IF(DATA_MAYO_2025[[#This Row],[RECUPERO]]="","",VLOOKUP(DATA_MAYO_2025[[#This Row],[SUPERVISOR]],$H:$I,2,0))</f>
        <v/>
      </c>
    </row>
    <row r="38" spans="1:18" x14ac:dyDescent="0.25">
      <c r="A38" t="s">
        <v>2</v>
      </c>
      <c r="B38" t="str">
        <f t="shared" si="0"/>
        <v>MARGARITA PIANCHACHI</v>
      </c>
      <c r="C38" t="s">
        <v>17</v>
      </c>
      <c r="D38">
        <v>42620</v>
      </c>
      <c r="E38">
        <f>D1_MAYO[[#This Row],[RECUPERO]]/VLOOKUP(F38,$H:$I,2,0)</f>
        <v>0.65569230769230769</v>
      </c>
      <c r="F38" t="str">
        <f>D1_MAYO[[#This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IF(DATA_MAYO_2025[[#This Row],[ASER_]]="","",F32)</f>
        <v/>
      </c>
      <c r="Q38" t="str">
        <f>IF(DATA_MAYO_2025[[#This Row],[SUPERVISOR]]="","",D32)</f>
        <v/>
      </c>
      <c r="R38" t="str">
        <f>IF(DATA_MAYO_2025[[#This Row],[RECUPERO]]="","",VLOOKUP(DATA_MAYO_2025[[#This Row],[SUPERVISOR]],$H:$I,2,0))</f>
        <v/>
      </c>
    </row>
    <row r="39" spans="1:18" x14ac:dyDescent="0.25">
      <c r="A39" t="s">
        <v>2</v>
      </c>
      <c r="B39" t="str">
        <f t="shared" si="0"/>
        <v>MILAGROS QUIO</v>
      </c>
      <c r="C39" t="s">
        <v>11</v>
      </c>
      <c r="D39">
        <v>44739.1</v>
      </c>
      <c r="E39">
        <f>D1_MAYO[[#This Row],[RECUPERO]]/VLOOKUP(F39,$H:$I,2,0)</f>
        <v>0.68829384615384614</v>
      </c>
      <c r="F39" t="str">
        <f>D1_MAYO[[#This Row],[SUPER]]</f>
        <v>JORGE</v>
      </c>
      <c r="L39">
        <v>1</v>
      </c>
      <c r="M39" s="1">
        <f t="shared" si="1"/>
        <v>0.54335384615384619</v>
      </c>
      <c r="N39" t="str" cm="1">
        <f t="array" ref="N39">IFERROR(_xlfn.IFS(M39&gt;100%,"&gt;100%",AND(M39&lt;100%,M39&gt;70%),"&gt;70%",AND(M39&lt;70%,M39&gt;40%),"&gt;40%",AND(M39&lt;40%,M39&gt;0%),"&gt;0%"),"")</f>
        <v>&gt;40%</v>
      </c>
      <c r="O39" t="str">
        <f t="shared" si="2"/>
        <v>FRANS TACSI</v>
      </c>
      <c r="P39" t="str">
        <f>IF(DATA_MAYO_2025[[#This Row],[ASER_]]="","",F33)</f>
        <v>JORGE</v>
      </c>
      <c r="Q39">
        <f>IF(DATA_MAYO_2025[[#This Row],[SUPERVISOR]]="","",D33)</f>
        <v>35318</v>
      </c>
      <c r="R39">
        <f>IF(DATA_MAYO_2025[[#This Row],[RECUPERO]]="","",VLOOKUP(DATA_MAYO_2025[[#This Row],[SUPERVISOR]],$H:$I,2,0))</f>
        <v>65000</v>
      </c>
    </row>
    <row r="40" spans="1:18" x14ac:dyDescent="0.25">
      <c r="A40" t="s">
        <v>2</v>
      </c>
      <c r="B40" t="str">
        <f t="shared" si="0"/>
        <v>SOLMAIRA BRAVO</v>
      </c>
      <c r="C40" t="s">
        <v>86</v>
      </c>
      <c r="D40">
        <v>0</v>
      </c>
      <c r="E40">
        <f>D1_MAYO[[#This Row],[RECUPERO]]/VLOOKUP(F40,$H:$I,2,0)</f>
        <v>0</v>
      </c>
      <c r="F40" t="str">
        <f>D1_MAYO[[#This Row],[SUPER]]</f>
        <v>JORGE</v>
      </c>
      <c r="L40">
        <v>2</v>
      </c>
      <c r="M40" s="1">
        <f t="shared" si="1"/>
        <v>0.48955384615384617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2"/>
        <v>GENESIS VICUNA</v>
      </c>
      <c r="P40" t="str">
        <f>IF(DATA_MAYO_2025[[#This Row],[ASER_]]="","",F34)</f>
        <v>JORGE</v>
      </c>
      <c r="Q40">
        <f>IF(DATA_MAYO_2025[[#This Row],[SUPERVISOR]]="","",D34)</f>
        <v>31821</v>
      </c>
      <c r="R40">
        <f>IF(DATA_MAYO_2025[[#This Row],[RECUPERO]]="","",VLOOKUP(DATA_MAYO_2025[[#This Row],[SUPERVISOR]],$H:$I,2,0))</f>
        <v>65000</v>
      </c>
    </row>
    <row r="41" spans="1:18" x14ac:dyDescent="0.25">
      <c r="A41" t="s">
        <v>2</v>
      </c>
      <c r="B41" t="str">
        <f t="shared" si="0"/>
        <v>VERONICA TASAYCO</v>
      </c>
      <c r="C41" t="s">
        <v>10</v>
      </c>
      <c r="D41">
        <v>16557.5</v>
      </c>
      <c r="E41">
        <f>D1_MAYO[[#This Row],[RECUPERO]]/VLOOKUP(F41,$H:$I,2,0)</f>
        <v>0.25473076923076921</v>
      </c>
      <c r="F41" t="str">
        <f>D1_MAYO[[#This Row],[SUPER]]</f>
        <v>JORGE</v>
      </c>
      <c r="L41">
        <v>3</v>
      </c>
      <c r="M41" s="1">
        <f t="shared" si="1"/>
        <v>0.4540769230769231</v>
      </c>
      <c r="N41" t="str" cm="1">
        <f t="array" ref="N41">IFERROR(_xlfn.IFS(M41&gt;100%,"&gt;100%",AND(M41&lt;100%,M41&gt;70%),"&gt;70%",AND(M41&lt;70%,M41&gt;40%),"&gt;40%",AND(M41&lt;40%,M41&gt;0%),"&gt;0%"),"")</f>
        <v>&gt;40%</v>
      </c>
      <c r="O41" t="str">
        <f t="shared" si="2"/>
        <v>GIANFRANCO PINEDO</v>
      </c>
      <c r="P41" t="str">
        <f>IF(DATA_MAYO_2025[[#This Row],[ASER_]]="","",F35)</f>
        <v>JORGE</v>
      </c>
      <c r="Q41">
        <f>IF(DATA_MAYO_2025[[#This Row],[SUPERVISOR]]="","",D35)</f>
        <v>29515</v>
      </c>
      <c r="R41">
        <f>IF(DATA_MAYO_2025[[#This Row],[RECUPERO]]="","",VLOOKUP(DATA_MAYO_2025[[#This Row],[SUPERVISOR]],$H:$I,2,0))</f>
        <v>65000</v>
      </c>
    </row>
    <row r="42" spans="1:18" x14ac:dyDescent="0.25">
      <c r="A42" t="s">
        <v>2</v>
      </c>
      <c r="B42" t="str">
        <f t="shared" si="0"/>
        <v/>
      </c>
      <c r="E42">
        <f>D1_MAYO[[#This Row],[RECUPERO]]/VLOOKUP(F42,$H:$I,2,0)</f>
        <v>0</v>
      </c>
      <c r="F42" t="str">
        <f>D1_MAYO[[#This Row],[SUPER]]</f>
        <v>JORGE</v>
      </c>
      <c r="L42">
        <v>4</v>
      </c>
      <c r="M42" s="1">
        <f t="shared" si="1"/>
        <v>0.5039146153846138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JUAN ALANOCCA</v>
      </c>
      <c r="P42" t="str">
        <f>IF(DATA_MAYO_2025[[#This Row],[ASER_]]="","",F36)</f>
        <v>JORGE</v>
      </c>
      <c r="Q42">
        <f>IF(DATA_MAYO_2025[[#This Row],[SUPERVISOR]]="","",D36)</f>
        <v>32754.449999999899</v>
      </c>
      <c r="R42">
        <f>IF(DATA_MAYO_2025[[#This Row],[RECUPERO]]="","",VLOOKUP(DATA_MAYO_2025[[#This Row],[SUPERVISOR]],$H:$I,2,0))</f>
        <v>65000</v>
      </c>
    </row>
    <row r="43" spans="1:18" x14ac:dyDescent="0.25">
      <c r="A43" t="s">
        <v>2</v>
      </c>
      <c r="B43" t="str">
        <f t="shared" si="0"/>
        <v/>
      </c>
      <c r="E43">
        <f>D1_MAYO[[#This Row],[RECUPERO]]/VLOOKUP(F43,$H:$I,2,0)</f>
        <v>0</v>
      </c>
      <c r="F43" t="str">
        <f>D1_MAYO[[#This Row],[SUPER]]</f>
        <v>JORGE</v>
      </c>
      <c r="L43">
        <v>5</v>
      </c>
      <c r="M43" s="1">
        <f t="shared" si="1"/>
        <v>0.66793846153846159</v>
      </c>
      <c r="N43" t="str" cm="1">
        <f t="array" ref="N43">IFERROR(_xlfn.IFS(M43&gt;100%,"&gt;100%",AND(M43&lt;100%,M43&gt;70%),"&gt;70%",AND(M43&lt;70%,M43&gt;40%),"&gt;40%",AND(M43&lt;40%,M43&gt;0%),"&gt;0%"),"")</f>
        <v>&gt;40%</v>
      </c>
      <c r="O43" t="str">
        <f t="shared" si="2"/>
        <v>LUIS VALLADARES</v>
      </c>
      <c r="P43" t="str">
        <f>IF(DATA_MAYO_2025[[#This Row],[ASER_]]="","",F37)</f>
        <v>JORGE</v>
      </c>
      <c r="Q43">
        <f>IF(DATA_MAYO_2025[[#This Row],[SUPERVISOR]]="","",D37)</f>
        <v>43416</v>
      </c>
      <c r="R43">
        <f>IF(DATA_MAYO_2025[[#This Row],[RECUPERO]]="","",VLOOKUP(DATA_MAYO_2025[[#This Row],[SUPERVISOR]],$H:$I,2,0))</f>
        <v>65000</v>
      </c>
    </row>
    <row r="44" spans="1:18" x14ac:dyDescent="0.25">
      <c r="A44" t="s">
        <v>2</v>
      </c>
      <c r="B44" t="str">
        <f t="shared" si="0"/>
        <v/>
      </c>
      <c r="E44">
        <f>D1_MAYO[[#This Row],[RECUPERO]]/VLOOKUP(F44,$H:$I,2,0)</f>
        <v>0</v>
      </c>
      <c r="F44" t="str">
        <f>D1_MAYO[[#This Row],[SUPER]]</f>
        <v>JORGE</v>
      </c>
      <c r="L44">
        <v>6</v>
      </c>
      <c r="M44" s="1">
        <f t="shared" si="1"/>
        <v>0.65569230769230769</v>
      </c>
      <c r="N44" t="str" cm="1">
        <f t="array" ref="N44">IFERROR(_xlfn.IFS(M44&gt;100%,"&gt;100%",AND(M44&lt;100%,M44&gt;70%),"&gt;70%",AND(M44&lt;70%,M44&gt;40%),"&gt;40%",AND(M44&lt;40%,M44&gt;0%),"&gt;0%"),"")</f>
        <v>&gt;40%</v>
      </c>
      <c r="O44" t="str">
        <f t="shared" si="2"/>
        <v>MARGARITA PIANCHACHI</v>
      </c>
      <c r="P44" t="str">
        <f>IF(DATA_MAYO_2025[[#This Row],[ASER_]]="","",F38)</f>
        <v>JORGE</v>
      </c>
      <c r="Q44">
        <f>IF(DATA_MAYO_2025[[#This Row],[SUPERVISOR]]="","",D38)</f>
        <v>42620</v>
      </c>
      <c r="R44">
        <f>IF(DATA_MAYO_2025[[#This Row],[RECUPERO]]="","",VLOOKUP(DATA_MAYO_2025[[#This Row],[SUPERVISOR]],$H:$I,2,0))</f>
        <v>65000</v>
      </c>
    </row>
    <row r="45" spans="1:18" x14ac:dyDescent="0.25">
      <c r="A45" t="s">
        <v>2</v>
      </c>
      <c r="B45" t="str">
        <f t="shared" si="0"/>
        <v/>
      </c>
      <c r="E45">
        <f>D1_MAYO[[#This Row],[RECUPERO]]/VLOOKUP(F45,$H:$I,2,0)</f>
        <v>0</v>
      </c>
      <c r="F45" t="str">
        <f>D1_MAYO[[#This Row],[SUPER]]</f>
        <v>JORGE</v>
      </c>
      <c r="L45">
        <v>7</v>
      </c>
      <c r="M45" s="1">
        <f t="shared" si="1"/>
        <v>0.68829384615384614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2"/>
        <v>MILAGROS QUIO</v>
      </c>
      <c r="P45" t="str">
        <f>IF(DATA_MAYO_2025[[#This Row],[ASER_]]="","",F39)</f>
        <v>JORGE</v>
      </c>
      <c r="Q45">
        <f>IF(DATA_MAYO_2025[[#This Row],[SUPERVISOR]]="","",D39)</f>
        <v>44739.1</v>
      </c>
      <c r="R45">
        <f>IF(DATA_MAYO_2025[[#This Row],[RECUPERO]]="","",VLOOKUP(DATA_MAYO_2025[[#This Row],[SUPERVISOR]],$H:$I,2,0))</f>
        <v>65000</v>
      </c>
    </row>
    <row r="46" spans="1:18" x14ac:dyDescent="0.25">
      <c r="A46" t="s">
        <v>2</v>
      </c>
      <c r="B46" t="str">
        <f t="shared" si="0"/>
        <v/>
      </c>
      <c r="E46">
        <f>D1_MAYO[[#This Row],[RECUPERO]]/VLOOKUP(F46,$H:$I,2,0)</f>
        <v>0</v>
      </c>
      <c r="F46" t="str">
        <f>D1_MAYO[[#This Row],[SUPER]]</f>
        <v>JORGE</v>
      </c>
      <c r="L46">
        <v>8</v>
      </c>
      <c r="M46" s="1">
        <f t="shared" si="1"/>
        <v>0</v>
      </c>
      <c r="N46" t="str" cm="1">
        <f t="array" ref="N46">IFERROR(_xlfn.IFS(M46&gt;100%,"&gt;100%",AND(M46&lt;100%,M46&gt;70%),"&gt;70%",AND(M46&lt;70%,M46&gt;40%),"&gt;40%",AND(M46&lt;40%,M46&gt;0%),"&gt;0%"),"")</f>
        <v/>
      </c>
      <c r="O46" t="str">
        <f t="shared" si="2"/>
        <v>SOLMAIRA BRAVO</v>
      </c>
      <c r="P46" t="str">
        <f>IF(DATA_MAYO_2025[[#This Row],[ASER_]]="","",F40)</f>
        <v>JORGE</v>
      </c>
      <c r="Q46">
        <f>IF(DATA_MAYO_2025[[#This Row],[SUPERVISOR]]="","",D40)</f>
        <v>0</v>
      </c>
      <c r="R46">
        <f>IF(DATA_MAYO_2025[[#This Row],[RECUPERO]]="","",VLOOKUP(DATA_MAYO_2025[[#This Row],[SUPERVISOR]],$H:$I,2,0))</f>
        <v>65000</v>
      </c>
    </row>
    <row r="47" spans="1:18" x14ac:dyDescent="0.25">
      <c r="A47" t="s">
        <v>2</v>
      </c>
      <c r="B47" t="str">
        <f t="shared" si="0"/>
        <v/>
      </c>
      <c r="E47">
        <f>D1_MAYO[[#This Row],[RECUPERO]]/VLOOKUP(F47,$H:$I,2,0)</f>
        <v>0</v>
      </c>
      <c r="F47" t="str">
        <f>D1_MAYO[[#This Row],[SUPER]]</f>
        <v>JORGE</v>
      </c>
      <c r="L47">
        <v>9</v>
      </c>
      <c r="M47" s="1">
        <f t="shared" si="1"/>
        <v>0.25473076923076921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2"/>
        <v>VERONICA TASAYCO</v>
      </c>
      <c r="P47" t="str">
        <f>IF(DATA_MAYO_2025[[#This Row],[ASER_]]="","",F41)</f>
        <v>JORGE</v>
      </c>
      <c r="Q47">
        <f>IF(DATA_MAYO_2025[[#This Row],[SUPERVISOR]]="","",D41)</f>
        <v>16557.5</v>
      </c>
      <c r="R47">
        <f>IF(DATA_MAYO_2025[[#This Row],[RECUPERO]]="","",VLOOKUP(DATA_MAYO_2025[[#This Row],[SUPERVISOR]],$H:$I,2,0))</f>
        <v>65000</v>
      </c>
    </row>
    <row r="48" spans="1:18" x14ac:dyDescent="0.25">
      <c r="A48" t="s">
        <v>5</v>
      </c>
      <c r="B48" t="str">
        <f t="shared" si="0"/>
        <v>ALEJANDRA QUISPE</v>
      </c>
      <c r="C48" t="s">
        <v>58</v>
      </c>
      <c r="D48">
        <v>35149</v>
      </c>
      <c r="E48">
        <f>D1_MAYO[[#This Row],[RECUPERO]]/VLOOKUP(F48,$H:$I,2,0)</f>
        <v>0.54075384615384614</v>
      </c>
      <c r="F48" t="str">
        <f>D1_MAYO[[#This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  <c r="P48" t="str">
        <f>IF(DATA_MAYO_2025[[#This Row],[ASER_]]="","",F42)</f>
        <v/>
      </c>
      <c r="Q48" t="str">
        <f>IF(DATA_MAYO_2025[[#This Row],[SUPERVISOR]]="","",D42)</f>
        <v/>
      </c>
      <c r="R48" t="str">
        <f>IF(DATA_MAYO_2025[[#This Row],[RECUPERO]]="","",VLOOKUP(DATA_MAYO_2025[[#This Row],[SUPERVISOR]],$H:$I,2,0))</f>
        <v/>
      </c>
    </row>
    <row r="49" spans="1:18" x14ac:dyDescent="0.25">
      <c r="A49" t="s">
        <v>5</v>
      </c>
      <c r="B49" t="str">
        <f t="shared" si="0"/>
        <v>ANTHONY TORRES</v>
      </c>
      <c r="C49" t="s">
        <v>69</v>
      </c>
      <c r="D49">
        <v>24132.1</v>
      </c>
      <c r="E49">
        <f>D1_MAYO[[#This Row],[RECUPERO]]/VLOOKUP(F49,$H:$I,2,0)</f>
        <v>0.37126307692307692</v>
      </c>
      <c r="F49" t="str">
        <f>D1_MAYO[[#This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  <c r="P49" t="str">
        <f>IF(DATA_MAYO_2025[[#This Row],[ASER_]]="","",F43)</f>
        <v/>
      </c>
      <c r="Q49" t="str">
        <f>IF(DATA_MAYO_2025[[#This Row],[SUPERVISOR]]="","",D43)</f>
        <v/>
      </c>
      <c r="R49" t="str">
        <f>IF(DATA_MAYO_2025[[#This Row],[RECUPERO]]="","",VLOOKUP(DATA_MAYO_2025[[#This Row],[SUPERVISOR]],$H:$I,2,0))</f>
        <v/>
      </c>
    </row>
    <row r="50" spans="1:18" x14ac:dyDescent="0.25">
      <c r="A50" t="s">
        <v>5</v>
      </c>
      <c r="B50" t="str">
        <f t="shared" si="0"/>
        <v>ANTHONY VICENTE</v>
      </c>
      <c r="C50" t="s">
        <v>85</v>
      </c>
      <c r="D50">
        <v>500</v>
      </c>
      <c r="E50">
        <f>D1_MAYO[[#This Row],[RECUPERO]]/VLOOKUP(F50,$H:$I,2,0)</f>
        <v>7.6923076923076927E-3</v>
      </c>
      <c r="F50" t="str">
        <f>D1_MAYO[[#This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  <c r="P50" t="str">
        <f>IF(DATA_MAYO_2025[[#This Row],[ASER_]]="","",F44)</f>
        <v/>
      </c>
      <c r="Q50" t="str">
        <f>IF(DATA_MAYO_2025[[#This Row],[SUPERVISOR]]="","",D44)</f>
        <v/>
      </c>
      <c r="R50" t="str">
        <f>IF(DATA_MAYO_2025[[#This Row],[RECUPERO]]="","",VLOOKUP(DATA_MAYO_2025[[#This Row],[SUPERVISOR]],$H:$I,2,0))</f>
        <v/>
      </c>
    </row>
    <row r="51" spans="1:18" x14ac:dyDescent="0.25">
      <c r="A51" t="s">
        <v>5</v>
      </c>
      <c r="B51" t="str">
        <f t="shared" si="0"/>
        <v>AURORA FAUSTOR</v>
      </c>
      <c r="C51" t="s">
        <v>67</v>
      </c>
      <c r="D51">
        <v>37679.199999999997</v>
      </c>
      <c r="E51">
        <f>D1_MAYO[[#This Row],[RECUPERO]]/VLOOKUP(F51,$H:$I,2,0)</f>
        <v>0.57967999999999997</v>
      </c>
      <c r="F51" t="str">
        <f>D1_MAYO[[#This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IF(DATA_MAYO_2025[[#This Row],[ASER_]]="","",F45)</f>
        <v/>
      </c>
      <c r="Q51" t="str">
        <f>IF(DATA_MAYO_2025[[#This Row],[SUPERVISOR]]="","",D45)</f>
        <v/>
      </c>
      <c r="R51" t="str">
        <f>IF(DATA_MAYO_2025[[#This Row],[RECUPERO]]="","",VLOOKUP(DATA_MAYO_2025[[#This Row],[SUPERVISOR]],$H:$I,2,0))</f>
        <v/>
      </c>
    </row>
    <row r="52" spans="1:18" x14ac:dyDescent="0.25">
      <c r="A52" t="s">
        <v>5</v>
      </c>
      <c r="B52" t="str">
        <f t="shared" si="0"/>
        <v>ERIKA VILLAR</v>
      </c>
      <c r="C52" t="s">
        <v>72</v>
      </c>
      <c r="D52">
        <v>26977</v>
      </c>
      <c r="E52">
        <f>D1_MAYO[[#This Row],[RECUPERO]]/VLOOKUP(F52,$H:$I,2,0)</f>
        <v>0.4150307692307692</v>
      </c>
      <c r="F52" t="str">
        <f>D1_MAYO[[#This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IF(DATA_MAYO_2025[[#This Row],[ASER_]]="","",F46)</f>
        <v/>
      </c>
      <c r="Q52" t="str">
        <f>IF(DATA_MAYO_2025[[#This Row],[SUPERVISOR]]="","",D46)</f>
        <v/>
      </c>
      <c r="R52" t="str">
        <f>IF(DATA_MAYO_2025[[#This Row],[RECUPERO]]="","",VLOOKUP(DATA_MAYO_2025[[#This Row],[SUPERVISOR]],$H:$I,2,0))</f>
        <v/>
      </c>
    </row>
    <row r="53" spans="1:18" x14ac:dyDescent="0.25">
      <c r="A53" t="s">
        <v>5</v>
      </c>
      <c r="B53" t="str">
        <f t="shared" si="0"/>
        <v>GILBERTO PURIZACA</v>
      </c>
      <c r="C53" t="s">
        <v>66</v>
      </c>
      <c r="D53">
        <v>63033</v>
      </c>
      <c r="E53">
        <f>D1_MAYO[[#This Row],[RECUPERO]]/VLOOKUP(F53,$H:$I,2,0)</f>
        <v>0.96973846153846155</v>
      </c>
      <c r="F53" t="str">
        <f>D1_MAYO[[#This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IF(DATA_MAYO_2025[[#This Row],[ASER_]]="","",F47)</f>
        <v/>
      </c>
      <c r="Q53" t="str">
        <f>IF(DATA_MAYO_2025[[#This Row],[SUPERVISOR]]="","",D47)</f>
        <v/>
      </c>
      <c r="R53" t="str">
        <f>IF(DATA_MAYO_2025[[#This Row],[RECUPERO]]="","",VLOOKUP(DATA_MAYO_2025[[#This Row],[SUPERVISOR]],$H:$I,2,0))</f>
        <v/>
      </c>
    </row>
    <row r="54" spans="1:18" x14ac:dyDescent="0.25">
      <c r="A54" t="s">
        <v>5</v>
      </c>
      <c r="B54" t="str">
        <f t="shared" si="0"/>
        <v>LUCERO JORDAN</v>
      </c>
      <c r="C54" t="s">
        <v>68</v>
      </c>
      <c r="D54">
        <v>79387</v>
      </c>
      <c r="E54">
        <f>D1_MAYO[[#This Row],[RECUPERO]]/VLOOKUP(F54,$H:$I,2,0)</f>
        <v>1.2213384615384615</v>
      </c>
      <c r="F54" t="str">
        <f>D1_MAYO[[#This Row],[SUPER]]</f>
        <v>JORDAN</v>
      </c>
      <c r="L54">
        <v>1</v>
      </c>
      <c r="M54" s="1">
        <f t="shared" si="1"/>
        <v>0.54075384615384614</v>
      </c>
      <c r="N54" t="str" cm="1">
        <f t="array" ref="N54">IFERROR(_xlfn.IFS(M54&gt;100%,"&gt;100%",AND(M54&lt;100%,M54&gt;70%),"&gt;70%",AND(M54&lt;70%,M54&gt;40%),"&gt;40%",AND(M54&lt;40%,M54&gt;0%),"&gt;0%"),"")</f>
        <v>&gt;40%</v>
      </c>
      <c r="O54" t="str">
        <f t="shared" si="2"/>
        <v>ALEJANDRA QUISPE</v>
      </c>
      <c r="P54" t="str">
        <f>IF(DATA_MAYO_2025[[#This Row],[ASER_]]="","",F48)</f>
        <v>JORDAN</v>
      </c>
      <c r="Q54">
        <f>IF(DATA_MAYO_2025[[#This Row],[SUPERVISOR]]="","",D48)</f>
        <v>35149</v>
      </c>
      <c r="R54">
        <f>IF(DATA_MAYO_2025[[#This Row],[RECUPERO]]="","",VLOOKUP(DATA_MAYO_2025[[#This Row],[SUPERVISOR]],$H:$I,2,0))</f>
        <v>65000</v>
      </c>
    </row>
    <row r="55" spans="1:18" x14ac:dyDescent="0.25">
      <c r="A55" t="s">
        <v>5</v>
      </c>
      <c r="B55" t="str">
        <f t="shared" si="0"/>
        <v>MERLY CORONEL</v>
      </c>
      <c r="C55" t="s">
        <v>70</v>
      </c>
      <c r="D55">
        <v>49877</v>
      </c>
      <c r="E55">
        <f>D1_MAYO[[#This Row],[RECUPERO]]/VLOOKUP(F55,$H:$I,2,0)</f>
        <v>0.76733846153846152</v>
      </c>
      <c r="F55" t="str">
        <f>D1_MAYO[[#This Row],[SUPER]]</f>
        <v>JORDAN</v>
      </c>
      <c r="L55">
        <v>2</v>
      </c>
      <c r="M55" s="1">
        <f t="shared" si="1"/>
        <v>0.37126307692307692</v>
      </c>
      <c r="N55" t="str" cm="1">
        <f t="array" ref="N55">IFERROR(_xlfn.IFS(M55&gt;100%,"&gt;100%",AND(M55&lt;100%,M55&gt;70%),"&gt;70%",AND(M55&lt;70%,M55&gt;40%),"&gt;40%",AND(M55&lt;40%,M55&gt;0%),"&gt;0%"),"")</f>
        <v>&gt;0%</v>
      </c>
      <c r="O55" t="str">
        <f t="shared" si="2"/>
        <v>ANTHONY TORRES</v>
      </c>
      <c r="P55" t="str">
        <f>IF(DATA_MAYO_2025[[#This Row],[ASER_]]="","",F49)</f>
        <v>JORDAN</v>
      </c>
      <c r="Q55">
        <f>IF(DATA_MAYO_2025[[#This Row],[SUPERVISOR]]="","",D49)</f>
        <v>24132.1</v>
      </c>
      <c r="R55">
        <f>IF(DATA_MAYO_2025[[#This Row],[RECUPERO]]="","",VLOOKUP(DATA_MAYO_2025[[#This Row],[SUPERVISOR]],$H:$I,2,0))</f>
        <v>65000</v>
      </c>
    </row>
    <row r="56" spans="1:18" x14ac:dyDescent="0.25">
      <c r="A56" t="s">
        <v>5</v>
      </c>
      <c r="B56" t="str">
        <f t="shared" si="0"/>
        <v>NATALIA MARIN</v>
      </c>
      <c r="C56" t="s">
        <v>79</v>
      </c>
      <c r="D56">
        <v>7550</v>
      </c>
      <c r="E56">
        <f>D1_MAYO[[#This Row],[RECUPERO]]/VLOOKUP(F56,$H:$I,2,0)</f>
        <v>0.11615384615384615</v>
      </c>
      <c r="F56" t="str">
        <f>D1_MAYO[[#This Row],[SUPER]]</f>
        <v>JORDAN</v>
      </c>
      <c r="L56">
        <v>3</v>
      </c>
      <c r="M56" s="1">
        <f t="shared" si="1"/>
        <v>7.6923076923076927E-3</v>
      </c>
      <c r="N56" t="str" cm="1">
        <f t="array" ref="N56">IFERROR(_xlfn.IFS(M56&gt;100%,"&gt;100%",AND(M56&lt;100%,M56&gt;70%),"&gt;70%",AND(M56&lt;70%,M56&gt;40%),"&gt;40%",AND(M56&lt;40%,M56&gt;0%),"&gt;0%"),"")</f>
        <v>&gt;0%</v>
      </c>
      <c r="O56" t="str">
        <f t="shared" si="2"/>
        <v>ANTHONY VICENTE</v>
      </c>
      <c r="P56" t="str">
        <f>IF(DATA_MAYO_2025[[#This Row],[ASER_]]="","",F50)</f>
        <v>JORDAN</v>
      </c>
      <c r="Q56">
        <f>IF(DATA_MAYO_2025[[#This Row],[SUPERVISOR]]="","",D50)</f>
        <v>500</v>
      </c>
      <c r="R56">
        <f>IF(DATA_MAYO_2025[[#This Row],[RECUPERO]]="","",VLOOKUP(DATA_MAYO_2025[[#This Row],[SUPERVISOR]],$H:$I,2,0))</f>
        <v>65000</v>
      </c>
    </row>
    <row r="57" spans="1:18" x14ac:dyDescent="0.25">
      <c r="A57" t="s">
        <v>5</v>
      </c>
      <c r="B57" t="str">
        <f t="shared" si="0"/>
        <v/>
      </c>
      <c r="E57">
        <f>D1_MAYO[[#This Row],[RECUPERO]]/VLOOKUP(F57,$H:$I,2,0)</f>
        <v>0</v>
      </c>
      <c r="F57" t="str">
        <f>D1_MAYO[[#This Row],[SUPER]]</f>
        <v>JORDAN</v>
      </c>
      <c r="L57">
        <v>4</v>
      </c>
      <c r="M57" s="1">
        <f t="shared" si="1"/>
        <v>0.57967999999999997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AURORA FAUSTOR</v>
      </c>
      <c r="P57" t="str">
        <f>IF(DATA_MAYO_2025[[#This Row],[ASER_]]="","",F51)</f>
        <v>JORDAN</v>
      </c>
      <c r="Q57">
        <f>IF(DATA_MAYO_2025[[#This Row],[SUPERVISOR]]="","",D51)</f>
        <v>37679.199999999997</v>
      </c>
      <c r="R57">
        <f>IF(DATA_MAYO_2025[[#This Row],[RECUPERO]]="","",VLOOKUP(DATA_MAYO_2025[[#This Row],[SUPERVISOR]],$H:$I,2,0))</f>
        <v>65000</v>
      </c>
    </row>
    <row r="58" spans="1:18" x14ac:dyDescent="0.25">
      <c r="A58" t="s">
        <v>5</v>
      </c>
      <c r="B58" t="str">
        <f t="shared" si="0"/>
        <v/>
      </c>
      <c r="E58">
        <f>D1_MAYO[[#This Row],[RECUPERO]]/VLOOKUP(F58,$H:$I,2,0)</f>
        <v>0</v>
      </c>
      <c r="F58" t="str">
        <f>D1_MAYO[[#This Row],[SUPER]]</f>
        <v>JORDAN</v>
      </c>
      <c r="L58">
        <v>5</v>
      </c>
      <c r="M58" s="1">
        <f t="shared" si="1"/>
        <v>0.4150307692307692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ERIKA VILLAR</v>
      </c>
      <c r="P58" t="str">
        <f>IF(DATA_MAYO_2025[[#This Row],[ASER_]]="","",F52)</f>
        <v>JORDAN</v>
      </c>
      <c r="Q58">
        <f>IF(DATA_MAYO_2025[[#This Row],[SUPERVISOR]]="","",D52)</f>
        <v>26977</v>
      </c>
      <c r="R58">
        <f>IF(DATA_MAYO_2025[[#This Row],[RECUPERO]]="","",VLOOKUP(DATA_MAYO_2025[[#This Row],[SUPERVISOR]],$H:$I,2,0))</f>
        <v>65000</v>
      </c>
    </row>
    <row r="59" spans="1:18" x14ac:dyDescent="0.25">
      <c r="A59" t="s">
        <v>5</v>
      </c>
      <c r="B59" t="str">
        <f t="shared" si="0"/>
        <v/>
      </c>
      <c r="E59">
        <f>D1_MAYO[[#This Row],[RECUPERO]]/VLOOKUP(F59,$H:$I,2,0)</f>
        <v>0</v>
      </c>
      <c r="F59" t="str">
        <f>D1_MAYO[[#This Row],[SUPER]]</f>
        <v>JORDAN</v>
      </c>
      <c r="L59">
        <v>6</v>
      </c>
      <c r="M59" s="1">
        <f t="shared" si="1"/>
        <v>0.96973846153846155</v>
      </c>
      <c r="N59" t="str" cm="1">
        <f t="array" ref="N59">IFERROR(_xlfn.IFS(M59&gt;100%,"&gt;100%",AND(M59&lt;100%,M59&gt;70%),"&gt;70%",AND(M59&lt;70%,M59&gt;40%),"&gt;40%",AND(M59&lt;40%,M59&gt;0%),"&gt;0%"),"")</f>
        <v>&gt;70%</v>
      </c>
      <c r="O59" t="str">
        <f t="shared" si="2"/>
        <v>GILBERTO PURIZACA</v>
      </c>
      <c r="P59" t="str">
        <f>IF(DATA_MAYO_2025[[#This Row],[ASER_]]="","",F53)</f>
        <v>JORDAN</v>
      </c>
      <c r="Q59">
        <f>IF(DATA_MAYO_2025[[#This Row],[SUPERVISOR]]="","",D53)</f>
        <v>63033</v>
      </c>
      <c r="R59">
        <f>IF(DATA_MAYO_2025[[#This Row],[RECUPERO]]="","",VLOOKUP(DATA_MAYO_2025[[#This Row],[SUPERVISOR]],$H:$I,2,0))</f>
        <v>65000</v>
      </c>
    </row>
    <row r="60" spans="1:18" x14ac:dyDescent="0.25">
      <c r="A60" t="s">
        <v>5</v>
      </c>
      <c r="B60" t="str">
        <f t="shared" si="0"/>
        <v/>
      </c>
      <c r="E60">
        <f>D1_MAYO[[#This Row],[RECUPERO]]/VLOOKUP(F60,$H:$I,2,0)</f>
        <v>0</v>
      </c>
      <c r="F60" t="str">
        <f>D1_MAYO[[#This Row],[SUPER]]</f>
        <v>JORDAN</v>
      </c>
      <c r="L60">
        <v>7</v>
      </c>
      <c r="M60" s="1">
        <f t="shared" si="1"/>
        <v>1.2213384615384615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2"/>
        <v>LUCERO JORDAN</v>
      </c>
      <c r="P60" t="str">
        <f>IF(DATA_MAYO_2025[[#This Row],[ASER_]]="","",F54)</f>
        <v>JORDAN</v>
      </c>
      <c r="Q60">
        <f>IF(DATA_MAYO_2025[[#This Row],[SUPERVISOR]]="","",D54)</f>
        <v>79387</v>
      </c>
      <c r="R60">
        <f>IF(DATA_MAYO_2025[[#This Row],[RECUPERO]]="","",VLOOKUP(DATA_MAYO_2025[[#This Row],[SUPERVISOR]],$H:$I,2,0))</f>
        <v>65000</v>
      </c>
    </row>
    <row r="61" spans="1:18" x14ac:dyDescent="0.25">
      <c r="A61" t="s">
        <v>5</v>
      </c>
      <c r="B61" t="str">
        <f t="shared" si="0"/>
        <v/>
      </c>
      <c r="E61">
        <f>D1_MAYO[[#This Row],[RECUPERO]]/VLOOKUP(F61,$H:$I,2,0)</f>
        <v>0</v>
      </c>
      <c r="F61" t="str">
        <f>D1_MAYO[[#This Row],[SUPER]]</f>
        <v>JORDAN</v>
      </c>
      <c r="L61">
        <v>8</v>
      </c>
      <c r="M61" s="1">
        <f t="shared" si="1"/>
        <v>0.76733846153846152</v>
      </c>
      <c r="N61" t="str" cm="1">
        <f t="array" ref="N61">IFERROR(_xlfn.IFS(M61&gt;100%,"&gt;100%",AND(M61&lt;100%,M61&gt;70%),"&gt;70%",AND(M61&lt;70%,M61&gt;40%),"&gt;40%",AND(M61&lt;40%,M61&gt;0%),"&gt;0%"),"")</f>
        <v>&gt;70%</v>
      </c>
      <c r="O61" t="str">
        <f t="shared" si="2"/>
        <v>MERLY CORONEL</v>
      </c>
      <c r="P61" t="str">
        <f>IF(DATA_MAYO_2025[[#This Row],[ASER_]]="","",F55)</f>
        <v>JORDAN</v>
      </c>
      <c r="Q61">
        <f>IF(DATA_MAYO_2025[[#This Row],[SUPERVISOR]]="","",D55)</f>
        <v>49877</v>
      </c>
      <c r="R61">
        <f>IF(DATA_MAYO_2025[[#This Row],[RECUPERO]]="","",VLOOKUP(DATA_MAYO_2025[[#This Row],[SUPERVISOR]],$H:$I,2,0))</f>
        <v>65000</v>
      </c>
    </row>
    <row r="62" spans="1:18" x14ac:dyDescent="0.25">
      <c r="A62" t="s">
        <v>5</v>
      </c>
      <c r="B62" t="str">
        <f t="shared" si="0"/>
        <v/>
      </c>
      <c r="E62">
        <f>D1_MAYO[[#This Row],[RECUPERO]]/VLOOKUP(F62,$H:$I,2,0)</f>
        <v>0</v>
      </c>
      <c r="F62" t="str">
        <f>D1_MAYO[[#This Row],[SUPER]]</f>
        <v>JORDAN</v>
      </c>
      <c r="L62">
        <v>9</v>
      </c>
      <c r="M62" s="1">
        <f t="shared" si="1"/>
        <v>0.11615384615384615</v>
      </c>
      <c r="N62" t="str" cm="1">
        <f t="array" ref="N62">IFERROR(_xlfn.IFS(M62&gt;100%,"&gt;100%",AND(M62&lt;100%,M62&gt;70%),"&gt;70%",AND(M62&lt;70%,M62&gt;40%),"&gt;40%",AND(M62&lt;40%,M62&gt;0%),"&gt;0%"),"")</f>
        <v>&gt;0%</v>
      </c>
      <c r="O62" t="str">
        <f t="shared" si="2"/>
        <v>NATALIA MARIN</v>
      </c>
      <c r="P62" t="str">
        <f>IF(DATA_MAYO_2025[[#This Row],[ASER_]]="","",F56)</f>
        <v>JORDAN</v>
      </c>
      <c r="Q62">
        <f>IF(DATA_MAYO_2025[[#This Row],[SUPERVISOR]]="","",D56)</f>
        <v>7550</v>
      </c>
      <c r="R62">
        <f>IF(DATA_MAYO_2025[[#This Row],[RECUPERO]]="","",VLOOKUP(DATA_MAYO_2025[[#This Row],[SUPERVISOR]],$H:$I,2,0))</f>
        <v>65000</v>
      </c>
    </row>
    <row r="63" spans="1:18" x14ac:dyDescent="0.25">
      <c r="A63" t="s">
        <v>6</v>
      </c>
      <c r="B63" t="str">
        <f t="shared" si="0"/>
        <v>ALEIDITH GUEVARA</v>
      </c>
      <c r="C63" t="s">
        <v>18</v>
      </c>
      <c r="D63">
        <v>10450</v>
      </c>
      <c r="E63">
        <f>D1_MAYO[[#This Row],[RECUPERO]]/VLOOKUP(F63,$H:$I,2,0)</f>
        <v>0.40192307692307694</v>
      </c>
      <c r="F63" t="str">
        <f>D1_MAYO[[#This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  <c r="P63" t="str">
        <f>IF(DATA_MAYO_2025[[#This Row],[ASER_]]="","",F57)</f>
        <v/>
      </c>
      <c r="Q63" t="str">
        <f>IF(DATA_MAYO_2025[[#This Row],[SUPERVISOR]]="","",D57)</f>
        <v/>
      </c>
      <c r="R63" t="str">
        <f>IF(DATA_MAYO_2025[[#This Row],[RECUPERO]]="","",VLOOKUP(DATA_MAYO_2025[[#This Row],[SUPERVISOR]],$H:$I,2,0))</f>
        <v/>
      </c>
    </row>
    <row r="64" spans="1:18" x14ac:dyDescent="0.25">
      <c r="A64" t="s">
        <v>6</v>
      </c>
      <c r="B64" t="str">
        <f t="shared" si="0"/>
        <v>CARMEN PUMA</v>
      </c>
      <c r="C64" t="s">
        <v>19</v>
      </c>
      <c r="D64">
        <v>17640</v>
      </c>
      <c r="E64">
        <f>D1_MAYO[[#This Row],[RECUPERO]]/VLOOKUP(F64,$H:$I,2,0)</f>
        <v>0.67846153846153845</v>
      </c>
      <c r="F64" t="str">
        <f>D1_MAYO[[#This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  <c r="P64" t="str">
        <f>IF(DATA_MAYO_2025[[#This Row],[ASER_]]="","",F58)</f>
        <v/>
      </c>
      <c r="Q64" t="str">
        <f>IF(DATA_MAYO_2025[[#This Row],[SUPERVISOR]]="","",D58)</f>
        <v/>
      </c>
      <c r="R64" t="str">
        <f>IF(DATA_MAYO_2025[[#This Row],[RECUPERO]]="","",VLOOKUP(DATA_MAYO_2025[[#This Row],[SUPERVISOR]],$H:$I,2,0))</f>
        <v/>
      </c>
    </row>
    <row r="65" spans="1:18" x14ac:dyDescent="0.25">
      <c r="A65" t="s">
        <v>6</v>
      </c>
      <c r="B65" t="str">
        <f t="shared" si="0"/>
        <v>DAVID SANCHEZ</v>
      </c>
      <c r="C65" t="s">
        <v>81</v>
      </c>
      <c r="D65">
        <v>10694</v>
      </c>
      <c r="E65">
        <f>D1_MAYO[[#This Row],[RECUPERO]]/VLOOKUP(F65,$H:$I,2,0)</f>
        <v>0.41130769230769232</v>
      </c>
      <c r="F65" t="str">
        <f>D1_MAYO[[#This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  <c r="P65" t="str">
        <f>IF(DATA_MAYO_2025[[#This Row],[ASER_]]="","",F59)</f>
        <v/>
      </c>
      <c r="Q65" t="str">
        <f>IF(DATA_MAYO_2025[[#This Row],[SUPERVISOR]]="","",D59)</f>
        <v/>
      </c>
      <c r="R65" t="str">
        <f>IF(DATA_MAYO_2025[[#This Row],[RECUPERO]]="","",VLOOKUP(DATA_MAYO_2025[[#This Row],[SUPERVISOR]],$H:$I,2,0))</f>
        <v/>
      </c>
    </row>
    <row r="66" spans="1:18" x14ac:dyDescent="0.25">
      <c r="A66" t="s">
        <v>6</v>
      </c>
      <c r="B66" t="str">
        <f t="shared" si="0"/>
        <v>FRANK PACORA</v>
      </c>
      <c r="C66" t="s">
        <v>110</v>
      </c>
      <c r="D66">
        <v>27975</v>
      </c>
      <c r="E66">
        <f>D1_MAYO[[#This Row],[RECUPERO]]/VLOOKUP(F66,$H:$I,2,0)</f>
        <v>1.0759615384615384</v>
      </c>
      <c r="F66" t="str">
        <f>D1_MAYO[[#This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  <c r="P66" t="str">
        <f>IF(DATA_MAYO_2025[[#This Row],[ASER_]]="","",F60)</f>
        <v/>
      </c>
      <c r="Q66" t="str">
        <f>IF(DATA_MAYO_2025[[#This Row],[SUPERVISOR]]="","",D60)</f>
        <v/>
      </c>
      <c r="R66" t="str">
        <f>IF(DATA_MAYO_2025[[#This Row],[RECUPERO]]="","",VLOOKUP(DATA_MAYO_2025[[#This Row],[SUPERVISOR]],$H:$I,2,0))</f>
        <v/>
      </c>
    </row>
    <row r="67" spans="1:18" x14ac:dyDescent="0.25">
      <c r="A67" t="s">
        <v>6</v>
      </c>
      <c r="B67" t="str">
        <f t="shared" si="0"/>
        <v>GINA HUAMANI</v>
      </c>
      <c r="C67" t="s">
        <v>44</v>
      </c>
      <c r="D67">
        <v>312</v>
      </c>
      <c r="E67">
        <f>D1_MAYO[[#This Row],[RECUPERO]]/VLOOKUP(F67,$H:$I,2,0)</f>
        <v>1.2E-2</v>
      </c>
      <c r="F67" t="str">
        <f>D1_MAYO[[#This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IF(DATA_MAYO_2025[[#This Row],[ASER_]]="","",F61)</f>
        <v/>
      </c>
      <c r="Q67" t="str">
        <f>IF(DATA_MAYO_2025[[#This Row],[SUPERVISOR]]="","",D61)</f>
        <v/>
      </c>
      <c r="R67" t="str">
        <f>IF(DATA_MAYO_2025[[#This Row],[RECUPERO]]="","",VLOOKUP(DATA_MAYO_2025[[#This Row],[SUPERVISOR]],$H:$I,2,0))</f>
        <v/>
      </c>
    </row>
    <row r="68" spans="1:18" x14ac:dyDescent="0.25">
      <c r="A68" t="s">
        <v>6</v>
      </c>
      <c r="B68" t="str">
        <f t="shared" ref="B68:B122" si="3">TRIM(C68)</f>
        <v>JIMENA MEDINA</v>
      </c>
      <c r="C68" t="s">
        <v>37</v>
      </c>
      <c r="D68">
        <v>3939</v>
      </c>
      <c r="E68">
        <f>D1_MAYO[[#This Row],[RECUPERO]]/VLOOKUP(F68,$H:$I,2,0)</f>
        <v>0.1515</v>
      </c>
      <c r="F68" t="str">
        <f>D1_MAYO[[#This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IF(DATA_MAYO_2025[[#This Row],[ASER_]]="","",F62)</f>
        <v/>
      </c>
      <c r="Q68" t="str">
        <f>IF(DATA_MAYO_2025[[#This Row],[SUPERVISOR]]="","",D62)</f>
        <v/>
      </c>
      <c r="R68" t="str">
        <f>IF(DATA_MAYO_2025[[#This Row],[RECUPERO]]="","",VLOOKUP(DATA_MAYO_2025[[#This Row],[SUPERVISOR]],$H:$I,2,0))</f>
        <v/>
      </c>
    </row>
    <row r="69" spans="1:18" x14ac:dyDescent="0.25">
      <c r="A69" t="s">
        <v>6</v>
      </c>
      <c r="B69" t="str">
        <f t="shared" si="3"/>
        <v>JUAN LOZA</v>
      </c>
      <c r="C69" t="s">
        <v>35</v>
      </c>
      <c r="D69">
        <v>4375</v>
      </c>
      <c r="E69">
        <f>D1_MAYO[[#This Row],[RECUPERO]]/VLOOKUP(F69,$H:$I,2,0)</f>
        <v>0.16826923076923078</v>
      </c>
      <c r="F69" t="str">
        <f>D1_MAYO[[#This Row],[SUPER]]</f>
        <v>KENNETH</v>
      </c>
      <c r="L69">
        <v>1</v>
      </c>
      <c r="M69" s="1">
        <f t="shared" si="1"/>
        <v>0.40192307692307694</v>
      </c>
      <c r="N69" t="str" cm="1">
        <f t="array" ref="N69">IFERROR(_xlfn.IFS(M69&gt;100%,"&gt;100%",AND(M69&lt;100%,M69&gt;70%),"&gt;70%",AND(M69&lt;70%,M69&gt;40%),"&gt;40%",AND(M69&lt;40%,M69&gt;0%),"&gt;0%"),"")</f>
        <v>&gt;40%</v>
      </c>
      <c r="O69" t="str">
        <f t="shared" si="2"/>
        <v>ALEIDITH GUEVARA</v>
      </c>
      <c r="P69" t="str">
        <f>IF(DATA_MAYO_2025[[#This Row],[ASER_]]="","",F63)</f>
        <v>KENNETH</v>
      </c>
      <c r="Q69">
        <f>IF(DATA_MAYO_2025[[#This Row],[SUPERVISOR]]="","",D63)</f>
        <v>10450</v>
      </c>
      <c r="R69">
        <f>IF(DATA_MAYO_2025[[#This Row],[RECUPERO]]="","",VLOOKUP(DATA_MAYO_2025[[#This Row],[SUPERVISOR]],$H:$I,2,0))</f>
        <v>26000</v>
      </c>
    </row>
    <row r="70" spans="1:18" x14ac:dyDescent="0.25">
      <c r="A70" t="s">
        <v>6</v>
      </c>
      <c r="B70" t="str">
        <f t="shared" si="3"/>
        <v>KIARA CANEPA</v>
      </c>
      <c r="C70" t="s">
        <v>50</v>
      </c>
      <c r="D70">
        <v>1190</v>
      </c>
      <c r="E70">
        <f>D1_MAYO[[#This Row],[RECUPERO]]/VLOOKUP(F70,$H:$I,2,0)</f>
        <v>4.576923076923077E-2</v>
      </c>
      <c r="F70" t="str">
        <f>D1_MAYO[[#This Row],[SUPER]]</f>
        <v>KENNETH</v>
      </c>
      <c r="L70">
        <v>2</v>
      </c>
      <c r="M70" s="1">
        <f t="shared" si="1"/>
        <v>0.67846153846153845</v>
      </c>
      <c r="N70" t="str" cm="1">
        <f t="array" ref="N70">IFERROR(_xlfn.IFS(M70&gt;100%,"&gt;100%",AND(M70&lt;100%,M70&gt;70%),"&gt;70%",AND(M70&lt;70%,M70&gt;40%),"&gt;40%",AND(M70&lt;40%,M70&gt;0%),"&gt;0%"),"")</f>
        <v>&gt;40%</v>
      </c>
      <c r="O70" t="str">
        <f t="shared" si="2"/>
        <v>CARMEN PUMA</v>
      </c>
      <c r="P70" t="str">
        <f>IF(DATA_MAYO_2025[[#This Row],[ASER_]]="","",F64)</f>
        <v>KENNETH</v>
      </c>
      <c r="Q70">
        <f>IF(DATA_MAYO_2025[[#This Row],[SUPERVISOR]]="","",D64)</f>
        <v>17640</v>
      </c>
      <c r="R70">
        <f>IF(DATA_MAYO_2025[[#This Row],[RECUPERO]]="","",VLOOKUP(DATA_MAYO_2025[[#This Row],[SUPERVISOR]],$H:$I,2,0))</f>
        <v>26000</v>
      </c>
    </row>
    <row r="71" spans="1:18" x14ac:dyDescent="0.25">
      <c r="A71" t="s">
        <v>6</v>
      </c>
      <c r="B71" t="str">
        <f t="shared" si="3"/>
        <v>LUIS CENTENO</v>
      </c>
      <c r="C71" t="s">
        <v>31</v>
      </c>
      <c r="D71">
        <v>13880</v>
      </c>
      <c r="E71">
        <f>D1_MAYO[[#This Row],[RECUPERO]]/VLOOKUP(F71,$H:$I,2,0)</f>
        <v>0.53384615384615386</v>
      </c>
      <c r="F71" t="str">
        <f>D1_MAYO[[#This Row],[SUPER]]</f>
        <v>KENNETH</v>
      </c>
      <c r="L71">
        <v>3</v>
      </c>
      <c r="M71" s="1">
        <f t="shared" si="1"/>
        <v>0.41130769230769232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DAVID SANCHEZ</v>
      </c>
      <c r="P71" t="str">
        <f>IF(DATA_MAYO_2025[[#This Row],[ASER_]]="","",F65)</f>
        <v>KENNETH</v>
      </c>
      <c r="Q71">
        <f>IF(DATA_MAYO_2025[[#This Row],[SUPERVISOR]]="","",D65)</f>
        <v>10694</v>
      </c>
      <c r="R71">
        <f>IF(DATA_MAYO_2025[[#This Row],[RECUPERO]]="","",VLOOKUP(DATA_MAYO_2025[[#This Row],[SUPERVISOR]],$H:$I,2,0))</f>
        <v>26000</v>
      </c>
    </row>
    <row r="72" spans="1:18" x14ac:dyDescent="0.25">
      <c r="A72" t="s">
        <v>6</v>
      </c>
      <c r="B72" t="str">
        <f t="shared" si="3"/>
        <v>MARCO SARMIENTO</v>
      </c>
      <c r="C72" t="s">
        <v>117</v>
      </c>
      <c r="D72">
        <v>16820</v>
      </c>
      <c r="E72">
        <f>D1_MAYO[[#This Row],[RECUPERO]]/VLOOKUP(F72,$H:$I,2,0)</f>
        <v>0.64692307692307693</v>
      </c>
      <c r="F72" t="str">
        <f>D1_MAYO[[#This Row],[SUPER]]</f>
        <v>KENNETH</v>
      </c>
      <c r="L72">
        <v>4</v>
      </c>
      <c r="M72" s="1">
        <f t="shared" si="1"/>
        <v>1.0759615384615384</v>
      </c>
      <c r="N72" t="str" cm="1">
        <f t="array" ref="N72">IFERROR(_xlfn.IFS(M72&gt;100%,"&gt;100%",AND(M72&lt;100%,M72&gt;70%),"&gt;70%",AND(M72&lt;70%,M72&gt;40%),"&gt;40%",AND(M72&lt;40%,M72&gt;0%),"&gt;0%"),"")</f>
        <v>&gt;100%</v>
      </c>
      <c r="O72" t="str">
        <f t="shared" si="2"/>
        <v>FRANK PACORA</v>
      </c>
      <c r="P72" t="str">
        <f>IF(DATA_MAYO_2025[[#This Row],[ASER_]]="","",F66)</f>
        <v>KENNETH</v>
      </c>
      <c r="Q72">
        <f>IF(DATA_MAYO_2025[[#This Row],[SUPERVISOR]]="","",D66)</f>
        <v>27975</v>
      </c>
      <c r="R72">
        <f>IF(DATA_MAYO_2025[[#This Row],[RECUPERO]]="","",VLOOKUP(DATA_MAYO_2025[[#This Row],[SUPERVISOR]],$H:$I,2,0))</f>
        <v>26000</v>
      </c>
    </row>
    <row r="73" spans="1:18" x14ac:dyDescent="0.25">
      <c r="A73" t="s">
        <v>6</v>
      </c>
      <c r="B73" t="str">
        <f t="shared" si="3"/>
        <v>MEDALITH NESTARES</v>
      </c>
      <c r="C73" t="s">
        <v>36</v>
      </c>
      <c r="D73">
        <v>9342</v>
      </c>
      <c r="E73">
        <f>D1_MAYO[[#This Row],[RECUPERO]]/VLOOKUP(F73,$H:$I,2,0)</f>
        <v>0.35930769230769233</v>
      </c>
      <c r="F73" t="str">
        <f>D1_MAYO[[#This Row],[SUPER]]</f>
        <v>KENNETH</v>
      </c>
      <c r="L73">
        <v>5</v>
      </c>
      <c r="M73" s="1">
        <f t="shared" si="1"/>
        <v>1.2E-2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2"/>
        <v>GINA HUAMANI</v>
      </c>
      <c r="P73" t="str">
        <f>IF(DATA_MAYO_2025[[#This Row],[ASER_]]="","",F67)</f>
        <v>KENNETH</v>
      </c>
      <c r="Q73">
        <f>IF(DATA_MAYO_2025[[#This Row],[SUPERVISOR]]="","",D67)</f>
        <v>312</v>
      </c>
      <c r="R73">
        <f>IF(DATA_MAYO_2025[[#This Row],[RECUPERO]]="","",VLOOKUP(DATA_MAYO_2025[[#This Row],[SUPERVISOR]],$H:$I,2,0))</f>
        <v>26000</v>
      </c>
    </row>
    <row r="74" spans="1:18" x14ac:dyDescent="0.25">
      <c r="A74" t="s">
        <v>6</v>
      </c>
      <c r="B74" t="str">
        <f t="shared" si="3"/>
        <v>STWUAR MACURI</v>
      </c>
      <c r="C74" t="s">
        <v>34</v>
      </c>
      <c r="D74">
        <v>47420</v>
      </c>
      <c r="E74">
        <f>D1_MAYO[[#This Row],[RECUPERO]]/VLOOKUP(F74,$H:$I,2,0)</f>
        <v>1.8238461538461539</v>
      </c>
      <c r="F74" t="str">
        <f>D1_MAYO[[#This Row],[SUPER]]</f>
        <v>KENNETH</v>
      </c>
      <c r="L74">
        <v>6</v>
      </c>
      <c r="M74" s="1">
        <f t="shared" ref="M74:M128" si="4">E68</f>
        <v>0.1515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28" si="5">B68</f>
        <v>JIMENA MEDINA</v>
      </c>
      <c r="P74" t="str">
        <f>IF(DATA_MAYO_2025[[#This Row],[ASER_]]="","",F68)</f>
        <v>KENNETH</v>
      </c>
      <c r="Q74">
        <f>IF(DATA_MAYO_2025[[#This Row],[SUPERVISOR]]="","",D68)</f>
        <v>3939</v>
      </c>
      <c r="R74">
        <f>IF(DATA_MAYO_2025[[#This Row],[RECUPERO]]="","",VLOOKUP(DATA_MAYO_2025[[#This Row],[SUPERVISOR]],$H:$I,2,0))</f>
        <v>26000</v>
      </c>
    </row>
    <row r="75" spans="1:18" x14ac:dyDescent="0.25">
      <c r="A75" t="s">
        <v>6</v>
      </c>
      <c r="B75" t="str">
        <f t="shared" si="3"/>
        <v/>
      </c>
      <c r="E75">
        <f>D1_MAYO[[#This Row],[RECUPERO]]/VLOOKUP(F75,$H:$I,2,0)</f>
        <v>0</v>
      </c>
      <c r="F75" t="str">
        <f>D1_MAYO[[#This Row],[SUPER]]</f>
        <v>KENNETH</v>
      </c>
      <c r="L75">
        <v>7</v>
      </c>
      <c r="M75" s="1">
        <f t="shared" si="4"/>
        <v>0.16826923076923078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JUAN LOZA</v>
      </c>
      <c r="P75" t="str">
        <f>IF(DATA_MAYO_2025[[#This Row],[ASER_]]="","",F69)</f>
        <v>KENNETH</v>
      </c>
      <c r="Q75">
        <f>IF(DATA_MAYO_2025[[#This Row],[SUPERVISOR]]="","",D69)</f>
        <v>4375</v>
      </c>
      <c r="R75">
        <f>IF(DATA_MAYO_2025[[#This Row],[RECUPERO]]="","",VLOOKUP(DATA_MAYO_2025[[#This Row],[SUPERVISOR]],$H:$I,2,0))</f>
        <v>26000</v>
      </c>
    </row>
    <row r="76" spans="1:18" x14ac:dyDescent="0.25">
      <c r="A76" t="s">
        <v>6</v>
      </c>
      <c r="B76" t="str">
        <f t="shared" si="3"/>
        <v/>
      </c>
      <c r="E76">
        <f>D1_MAYO[[#This Row],[RECUPERO]]/VLOOKUP(F76,$H:$I,2,0)</f>
        <v>0</v>
      </c>
      <c r="F76" t="str">
        <f>D1_MAYO[[#This Row],[SUPER]]</f>
        <v>KENNETH</v>
      </c>
      <c r="L76">
        <v>8</v>
      </c>
      <c r="M76" s="1">
        <f t="shared" si="4"/>
        <v>4.576923076923077E-2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KIARA CANEPA</v>
      </c>
      <c r="P76" t="str">
        <f>IF(DATA_MAYO_2025[[#This Row],[ASER_]]="","",F70)</f>
        <v>KENNETH</v>
      </c>
      <c r="Q76">
        <f>IF(DATA_MAYO_2025[[#This Row],[SUPERVISOR]]="","",D70)</f>
        <v>1190</v>
      </c>
      <c r="R76">
        <f>IF(DATA_MAYO_2025[[#This Row],[RECUPERO]]="","",VLOOKUP(DATA_MAYO_2025[[#This Row],[SUPERVISOR]],$H:$I,2,0))</f>
        <v>26000</v>
      </c>
    </row>
    <row r="77" spans="1:18" x14ac:dyDescent="0.25">
      <c r="A77" t="s">
        <v>6</v>
      </c>
      <c r="B77" t="str">
        <f t="shared" si="3"/>
        <v/>
      </c>
      <c r="E77">
        <f>D1_MAYO[[#This Row],[RECUPERO]]/VLOOKUP(F77,$H:$I,2,0)</f>
        <v>0</v>
      </c>
      <c r="F77" t="str">
        <f>D1_MAYO[[#This Row],[SUPER]]</f>
        <v>KENNETH</v>
      </c>
      <c r="L77">
        <v>9</v>
      </c>
      <c r="M77" s="1">
        <f t="shared" si="4"/>
        <v>0.53384615384615386</v>
      </c>
      <c r="N77" t="str" cm="1">
        <f t="array" ref="N77">IFERROR(_xlfn.IFS(M77&gt;100%,"&gt;100%",AND(M77&lt;100%,M77&gt;70%),"&gt;70%",AND(M77&lt;70%,M77&gt;40%),"&gt;40%",AND(M77&lt;40%,M77&gt;0%),"&gt;0%"),"")</f>
        <v>&gt;40%</v>
      </c>
      <c r="O77" t="str">
        <f t="shared" si="5"/>
        <v>LUIS CENTENO</v>
      </c>
      <c r="P77" t="str">
        <f>IF(DATA_MAYO_2025[[#This Row],[ASER_]]="","",F71)</f>
        <v>KENNETH</v>
      </c>
      <c r="Q77">
        <f>IF(DATA_MAYO_2025[[#This Row],[SUPERVISOR]]="","",D71)</f>
        <v>13880</v>
      </c>
      <c r="R77">
        <f>IF(DATA_MAYO_2025[[#This Row],[RECUPERO]]="","",VLOOKUP(DATA_MAYO_2025[[#This Row],[SUPERVISOR]],$H:$I,2,0))</f>
        <v>26000</v>
      </c>
    </row>
    <row r="78" spans="1:18" x14ac:dyDescent="0.25">
      <c r="A78" t="s">
        <v>132</v>
      </c>
      <c r="B78" t="str">
        <f t="shared" si="3"/>
        <v>ANDREA ALEJOS</v>
      </c>
      <c r="C78" t="s">
        <v>118</v>
      </c>
      <c r="D78">
        <v>700</v>
      </c>
      <c r="E78">
        <f>D1_MAYO[[#This Row],[RECUPERO]]/VLOOKUP(F78,$H:$I,2,0)</f>
        <v>3.5000000000000003E-2</v>
      </c>
      <c r="F78" t="str">
        <f>D1_MAYO[[#This Row],[SUPER]]</f>
        <v>JOHAN</v>
      </c>
      <c r="L78">
        <v>10</v>
      </c>
      <c r="M78" s="1">
        <f t="shared" si="4"/>
        <v>0.64692307692307693</v>
      </c>
      <c r="N78" t="str" cm="1">
        <f t="array" ref="N78">IFERROR(_xlfn.IFS(M78&gt;100%,"&gt;100%",AND(M78&lt;100%,M78&gt;70%),"&gt;70%",AND(M78&lt;70%,M78&gt;40%),"&gt;40%",AND(M78&lt;40%,M78&gt;0%),"&gt;0%"),"")</f>
        <v>&gt;40%</v>
      </c>
      <c r="O78" t="str">
        <f t="shared" si="5"/>
        <v>MARCO SARMIENTO</v>
      </c>
      <c r="P78" t="str">
        <f>IF(DATA_MAYO_2025[[#This Row],[ASER_]]="","",F72)</f>
        <v>KENNETH</v>
      </c>
      <c r="Q78">
        <f>IF(DATA_MAYO_2025[[#This Row],[SUPERVISOR]]="","",D72)</f>
        <v>16820</v>
      </c>
      <c r="R78">
        <f>IF(DATA_MAYO_2025[[#This Row],[RECUPERO]]="","",VLOOKUP(DATA_MAYO_2025[[#This Row],[SUPERVISOR]],$H:$I,2,0))</f>
        <v>26000</v>
      </c>
    </row>
    <row r="79" spans="1:18" x14ac:dyDescent="0.25">
      <c r="A79" t="s">
        <v>132</v>
      </c>
      <c r="B79" t="str">
        <f t="shared" si="3"/>
        <v>DANIEL ZAPATA</v>
      </c>
      <c r="C79" t="s">
        <v>80</v>
      </c>
      <c r="D79">
        <v>33502</v>
      </c>
      <c r="E79">
        <f>D1_MAYO[[#This Row],[RECUPERO]]/VLOOKUP(F79,$H:$I,2,0)</f>
        <v>1.6751</v>
      </c>
      <c r="F79" t="str">
        <f>D1_MAYO[[#This Row],[SUPER]]</f>
        <v>JOHAN</v>
      </c>
      <c r="L79">
        <v>11</v>
      </c>
      <c r="M79" s="1">
        <f t="shared" si="4"/>
        <v>0.35930769230769233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MEDALITH NESTARES</v>
      </c>
      <c r="P79" t="str">
        <f>IF(DATA_MAYO_2025[[#This Row],[ASER_]]="","",F73)</f>
        <v>KENNETH</v>
      </c>
      <c r="Q79">
        <f>IF(DATA_MAYO_2025[[#This Row],[SUPERVISOR]]="","",D73)</f>
        <v>9342</v>
      </c>
      <c r="R79">
        <f>IF(DATA_MAYO_2025[[#This Row],[RECUPERO]]="","",VLOOKUP(DATA_MAYO_2025[[#This Row],[SUPERVISOR]],$H:$I,2,0))</f>
        <v>26000</v>
      </c>
    </row>
    <row r="80" spans="1:18" x14ac:dyDescent="0.25">
      <c r="A80" t="s">
        <v>132</v>
      </c>
      <c r="B80" t="str">
        <f t="shared" si="3"/>
        <v>GABRIELA APONTE</v>
      </c>
      <c r="C80" t="s">
        <v>27</v>
      </c>
      <c r="D80">
        <v>17811</v>
      </c>
      <c r="E80">
        <f>D1_MAYO[[#This Row],[RECUPERO]]/VLOOKUP(F80,$H:$I,2,0)</f>
        <v>0.89054999999999995</v>
      </c>
      <c r="F80" t="str">
        <f>D1_MAYO[[#This Row],[SUPER]]</f>
        <v>JOHAN</v>
      </c>
      <c r="L80">
        <v>12</v>
      </c>
      <c r="M80" s="1">
        <f t="shared" si="4"/>
        <v>1.8238461538461539</v>
      </c>
      <c r="N80" t="str" cm="1">
        <f t="array" ref="N80">IFERROR(_xlfn.IFS(M80&gt;100%,"&gt;100%",AND(M80&lt;100%,M80&gt;70%),"&gt;70%",AND(M80&lt;70%,M80&gt;40%),"&gt;40%",AND(M80&lt;40%,M80&gt;0%),"&gt;0%"),"")</f>
        <v>&gt;100%</v>
      </c>
      <c r="O80" t="str">
        <f t="shared" si="5"/>
        <v>STWUAR MACURI</v>
      </c>
      <c r="P80" t="str">
        <f>IF(DATA_MAYO_2025[[#This Row],[ASER_]]="","",F74)</f>
        <v>KENNETH</v>
      </c>
      <c r="Q80">
        <f>IF(DATA_MAYO_2025[[#This Row],[SUPERVISOR]]="","",D74)</f>
        <v>47420</v>
      </c>
      <c r="R80">
        <f>IF(DATA_MAYO_2025[[#This Row],[RECUPERO]]="","",VLOOKUP(DATA_MAYO_2025[[#This Row],[SUPERVISOR]],$H:$I,2,0))</f>
        <v>26000</v>
      </c>
    </row>
    <row r="81" spans="1:18" x14ac:dyDescent="0.25">
      <c r="A81" t="s">
        <v>132</v>
      </c>
      <c r="B81" t="str">
        <f t="shared" si="3"/>
        <v>JHOVANA TORRES</v>
      </c>
      <c r="C81" t="s">
        <v>20</v>
      </c>
      <c r="D81">
        <v>20257.099999999999</v>
      </c>
      <c r="E81">
        <f>D1_MAYO[[#This Row],[RECUPERO]]/VLOOKUP(F81,$H:$I,2,0)</f>
        <v>1.0128549999999998</v>
      </c>
      <c r="F81" t="str">
        <f>D1_MAYO[[#This Row],[SUPER]]</f>
        <v>JOHAN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IF(DATA_MAYO_2025[[#This Row],[ASER_]]="","",F75)</f>
        <v/>
      </c>
      <c r="Q81" t="str">
        <f>IF(DATA_MAYO_2025[[#This Row],[SUPERVISOR]]="","",D75)</f>
        <v/>
      </c>
      <c r="R81" t="str">
        <f>IF(DATA_MAYO_2025[[#This Row],[RECUPERO]]="","",VLOOKUP(DATA_MAYO_2025[[#This Row],[SUPERVISOR]],$H:$I,2,0))</f>
        <v/>
      </c>
    </row>
    <row r="82" spans="1:18" x14ac:dyDescent="0.25">
      <c r="A82" t="s">
        <v>132</v>
      </c>
      <c r="B82" t="str">
        <f t="shared" si="3"/>
        <v>LINDA TUESTA</v>
      </c>
      <c r="C82" t="s">
        <v>33</v>
      </c>
      <c r="D82">
        <v>8802.4</v>
      </c>
      <c r="E82">
        <f>D1_MAYO[[#This Row],[RECUPERO]]/VLOOKUP(F82,$H:$I,2,0)</f>
        <v>0.44011999999999996</v>
      </c>
      <c r="F82" t="str">
        <f>D1_MAYO[[#This Row],[SUPER]]</f>
        <v>JOHAN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IF(DATA_MAYO_2025[[#This Row],[ASER_]]="","",F76)</f>
        <v/>
      </c>
      <c r="Q82" t="str">
        <f>IF(DATA_MAYO_2025[[#This Row],[SUPERVISOR]]="","",D76)</f>
        <v/>
      </c>
      <c r="R82" t="str">
        <f>IF(DATA_MAYO_2025[[#This Row],[RECUPERO]]="","",VLOOKUP(DATA_MAYO_2025[[#This Row],[SUPERVISOR]],$H:$I,2,0))</f>
        <v/>
      </c>
    </row>
    <row r="83" spans="1:18" x14ac:dyDescent="0.25">
      <c r="A83" t="s">
        <v>132</v>
      </c>
      <c r="B83" t="str">
        <f t="shared" si="3"/>
        <v>MARIA HUARCAYA</v>
      </c>
      <c r="C83" t="s">
        <v>38</v>
      </c>
      <c r="D83">
        <v>1050</v>
      </c>
      <c r="E83">
        <f>D1_MAYO[[#This Row],[RECUPERO]]/VLOOKUP(F83,$H:$I,2,0)</f>
        <v>5.2499999999999998E-2</v>
      </c>
      <c r="F83" t="str">
        <f>D1_MAYO[[#This Row],[SUPER]]</f>
        <v>JOHAN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IF(DATA_MAYO_2025[[#This Row],[ASER_]]="","",F77)</f>
        <v/>
      </c>
      <c r="Q83" t="str">
        <f>IF(DATA_MAYO_2025[[#This Row],[SUPERVISOR]]="","",D77)</f>
        <v/>
      </c>
      <c r="R83" t="str">
        <f>IF(DATA_MAYO_2025[[#This Row],[RECUPERO]]="","",VLOOKUP(DATA_MAYO_2025[[#This Row],[SUPERVISOR]],$H:$I,2,0))</f>
        <v/>
      </c>
    </row>
    <row r="84" spans="1:18" x14ac:dyDescent="0.25">
      <c r="A84" t="s">
        <v>132</v>
      </c>
      <c r="B84" t="str">
        <f t="shared" si="3"/>
        <v>NARDIA URPIS</v>
      </c>
      <c r="C84" t="s">
        <v>74</v>
      </c>
      <c r="D84">
        <v>7207.49</v>
      </c>
      <c r="E84">
        <f>D1_MAYO[[#This Row],[RECUPERO]]/VLOOKUP(F84,$H:$I,2,0)</f>
        <v>0.36037449999999999</v>
      </c>
      <c r="F84" t="str">
        <f>D1_MAYO[[#This Row],[SUPER]]</f>
        <v>JOHAN</v>
      </c>
      <c r="L84">
        <v>1</v>
      </c>
      <c r="M84" s="1">
        <f t="shared" si="4"/>
        <v>3.5000000000000003E-2</v>
      </c>
      <c r="N84" t="str" cm="1">
        <f t="array" ref="N84">IFERROR(_xlfn.IFS(M84&gt;100%,"&gt;100%",AND(M84&lt;100%,M84&gt;70%),"&gt;70%",AND(M84&lt;70%,M84&gt;40%),"&gt;40%",AND(M84&lt;40%,M84&gt;0%),"&gt;0%"),"")</f>
        <v>&gt;0%</v>
      </c>
      <c r="O84" t="str">
        <f t="shared" si="5"/>
        <v>ANDREA ALEJOS</v>
      </c>
      <c r="P84" t="str">
        <f>IF(DATA_MAYO_2025[[#This Row],[ASER_]]="","",F78)</f>
        <v>JOHAN</v>
      </c>
      <c r="Q84">
        <f>IF(DATA_MAYO_2025[[#This Row],[SUPERVISOR]]="","",D78)</f>
        <v>700</v>
      </c>
      <c r="R84">
        <f>IF(DATA_MAYO_2025[[#This Row],[RECUPERO]]="","",VLOOKUP(DATA_MAYO_2025[[#This Row],[SUPERVISOR]],$H:$I,2,0))</f>
        <v>20000</v>
      </c>
    </row>
    <row r="85" spans="1:18" x14ac:dyDescent="0.25">
      <c r="A85" t="s">
        <v>132</v>
      </c>
      <c r="B85" t="str">
        <f t="shared" si="3"/>
        <v>YENNY INGA</v>
      </c>
      <c r="C85" t="s">
        <v>39</v>
      </c>
      <c r="D85">
        <v>15360</v>
      </c>
      <c r="E85">
        <f>D1_MAYO[[#This Row],[RECUPERO]]/VLOOKUP(F85,$H:$I,2,0)</f>
        <v>0.76800000000000002</v>
      </c>
      <c r="F85" t="str">
        <f>D1_MAYO[[#This Row],[SUPER]]</f>
        <v>JOHAN</v>
      </c>
      <c r="L85">
        <v>2</v>
      </c>
      <c r="M85" s="1">
        <f t="shared" si="4"/>
        <v>1.6751</v>
      </c>
      <c r="N85" t="str" cm="1">
        <f t="array" ref="N85">IFERROR(_xlfn.IFS(M85&gt;100%,"&gt;100%",AND(M85&lt;100%,M85&gt;70%),"&gt;70%",AND(M85&lt;70%,M85&gt;40%),"&gt;40%",AND(M85&lt;40%,M85&gt;0%),"&gt;0%"),"")</f>
        <v>&gt;100%</v>
      </c>
      <c r="O85" t="str">
        <f t="shared" si="5"/>
        <v>DANIEL ZAPATA</v>
      </c>
      <c r="P85" t="str">
        <f>IF(DATA_MAYO_2025[[#This Row],[ASER_]]="","",F79)</f>
        <v>JOHAN</v>
      </c>
      <c r="Q85">
        <f>IF(DATA_MAYO_2025[[#This Row],[SUPERVISOR]]="","",D79)</f>
        <v>33502</v>
      </c>
      <c r="R85">
        <f>IF(DATA_MAYO_2025[[#This Row],[RECUPERO]]="","",VLOOKUP(DATA_MAYO_2025[[#This Row],[SUPERVISOR]],$H:$I,2,0))</f>
        <v>20000</v>
      </c>
    </row>
    <row r="86" spans="1:18" x14ac:dyDescent="0.25">
      <c r="A86" t="s">
        <v>132</v>
      </c>
      <c r="B86" t="str">
        <f t="shared" si="3"/>
        <v>YEYMY HUERTA</v>
      </c>
      <c r="C86" t="s">
        <v>56</v>
      </c>
      <c r="D86">
        <v>4444</v>
      </c>
      <c r="E86">
        <f>D1_MAYO[[#This Row],[RECUPERO]]/VLOOKUP(F86,$H:$I,2,0)</f>
        <v>0.22220000000000001</v>
      </c>
      <c r="F86" t="str">
        <f>D1_MAYO[[#This Row],[SUPER]]</f>
        <v>JOHAN</v>
      </c>
      <c r="L86">
        <v>3</v>
      </c>
      <c r="M86" s="1">
        <f t="shared" si="4"/>
        <v>0.89054999999999995</v>
      </c>
      <c r="N86" t="str" cm="1">
        <f t="array" ref="N86">IFERROR(_xlfn.IFS(M86&gt;100%,"&gt;100%",AND(M86&lt;100%,M86&gt;70%),"&gt;70%",AND(M86&lt;70%,M86&gt;40%),"&gt;40%",AND(M86&lt;40%,M86&gt;0%),"&gt;0%"),"")</f>
        <v>&gt;70%</v>
      </c>
      <c r="O86" t="str">
        <f t="shared" si="5"/>
        <v>GABRIELA APONTE</v>
      </c>
      <c r="P86" t="str">
        <f>IF(DATA_MAYO_2025[[#This Row],[ASER_]]="","",F80)</f>
        <v>JOHAN</v>
      </c>
      <c r="Q86">
        <f>IF(DATA_MAYO_2025[[#This Row],[SUPERVISOR]]="","",D80)</f>
        <v>17811</v>
      </c>
      <c r="R86">
        <f>IF(DATA_MAYO_2025[[#This Row],[RECUPERO]]="","",VLOOKUP(DATA_MAYO_2025[[#This Row],[SUPERVISOR]],$H:$I,2,0))</f>
        <v>20000</v>
      </c>
    </row>
    <row r="87" spans="1:18" x14ac:dyDescent="0.25">
      <c r="A87" t="s">
        <v>132</v>
      </c>
      <c r="B87" t="str">
        <f t="shared" si="3"/>
        <v/>
      </c>
      <c r="E87">
        <f>D1_MAYO[[#This Row],[RECUPERO]]/VLOOKUP(F87,$H:$I,2,0)</f>
        <v>0</v>
      </c>
      <c r="F87" t="str">
        <f>D1_MAYO[[#This Row],[SUPER]]</f>
        <v>JOHAN</v>
      </c>
      <c r="L87">
        <v>4</v>
      </c>
      <c r="M87" s="1">
        <f t="shared" si="4"/>
        <v>1.0128549999999998</v>
      </c>
      <c r="N87" t="str" cm="1">
        <f t="array" ref="N87">IFERROR(_xlfn.IFS(M87&gt;100%,"&gt;100%",AND(M87&lt;100%,M87&gt;70%),"&gt;70%",AND(M87&lt;70%,M87&gt;40%),"&gt;40%",AND(M87&lt;40%,M87&gt;0%),"&gt;0%"),"")</f>
        <v>&gt;100%</v>
      </c>
      <c r="O87" t="str">
        <f t="shared" si="5"/>
        <v>JHOVANA TORRES</v>
      </c>
      <c r="P87" t="str">
        <f>IF(DATA_MAYO_2025[[#This Row],[ASER_]]="","",F81)</f>
        <v>JOHAN</v>
      </c>
      <c r="Q87">
        <f>IF(DATA_MAYO_2025[[#This Row],[SUPERVISOR]]="","",D81)</f>
        <v>20257.099999999999</v>
      </c>
      <c r="R87">
        <f>IF(DATA_MAYO_2025[[#This Row],[RECUPERO]]="","",VLOOKUP(DATA_MAYO_2025[[#This Row],[SUPERVISOR]],$H:$I,2,0))</f>
        <v>20000</v>
      </c>
    </row>
    <row r="88" spans="1:18" x14ac:dyDescent="0.25">
      <c r="A88" t="s">
        <v>132</v>
      </c>
      <c r="B88" t="str">
        <f t="shared" si="3"/>
        <v/>
      </c>
      <c r="E88">
        <f>D1_MAYO[[#This Row],[RECUPERO]]/VLOOKUP(F88,$H:$I,2,0)</f>
        <v>0</v>
      </c>
      <c r="F88" t="str">
        <f>D1_MAYO[[#This Row],[SUPER]]</f>
        <v>JOHAN</v>
      </c>
      <c r="L88">
        <v>5</v>
      </c>
      <c r="M88" s="1">
        <f t="shared" si="4"/>
        <v>0.44011999999999996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LINDA TUESTA</v>
      </c>
      <c r="P88" t="str">
        <f>IF(DATA_MAYO_2025[[#This Row],[ASER_]]="","",F82)</f>
        <v>JOHAN</v>
      </c>
      <c r="Q88">
        <f>IF(DATA_MAYO_2025[[#This Row],[SUPERVISOR]]="","",D82)</f>
        <v>8802.4</v>
      </c>
      <c r="R88">
        <f>IF(DATA_MAYO_2025[[#This Row],[RECUPERO]]="","",VLOOKUP(DATA_MAYO_2025[[#This Row],[SUPERVISOR]],$H:$I,2,0))</f>
        <v>20000</v>
      </c>
    </row>
    <row r="89" spans="1:18" x14ac:dyDescent="0.25">
      <c r="A89" t="s">
        <v>132</v>
      </c>
      <c r="B89" t="str">
        <f t="shared" si="3"/>
        <v/>
      </c>
      <c r="E89">
        <f>D1_MAYO[[#This Row],[RECUPERO]]/VLOOKUP(F89,$H:$I,2,0)</f>
        <v>0</v>
      </c>
      <c r="F89" t="str">
        <f>D1_MAYO[[#This Row],[SUPER]]</f>
        <v>JOHAN</v>
      </c>
      <c r="L89">
        <v>6</v>
      </c>
      <c r="M89" s="1">
        <f t="shared" si="4"/>
        <v>5.2499999999999998E-2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5"/>
        <v>MARIA HUARCAYA</v>
      </c>
      <c r="P89" t="str">
        <f>IF(DATA_MAYO_2025[[#This Row],[ASER_]]="","",F83)</f>
        <v>JOHAN</v>
      </c>
      <c r="Q89">
        <f>IF(DATA_MAYO_2025[[#This Row],[SUPERVISOR]]="","",D83)</f>
        <v>1050</v>
      </c>
      <c r="R89">
        <f>IF(DATA_MAYO_2025[[#This Row],[RECUPERO]]="","",VLOOKUP(DATA_MAYO_2025[[#This Row],[SUPERVISOR]],$H:$I,2,0))</f>
        <v>20000</v>
      </c>
    </row>
    <row r="90" spans="1:18" x14ac:dyDescent="0.25">
      <c r="A90" t="s">
        <v>132</v>
      </c>
      <c r="B90" t="str">
        <f t="shared" si="3"/>
        <v/>
      </c>
      <c r="E90">
        <f>D1_MAYO[[#This Row],[RECUPERO]]/VLOOKUP(F90,$H:$I,2,0)</f>
        <v>0</v>
      </c>
      <c r="F90" t="str">
        <f>D1_MAYO[[#This Row],[SUPER]]</f>
        <v>JOHAN</v>
      </c>
      <c r="L90">
        <v>7</v>
      </c>
      <c r="M90" s="1">
        <f t="shared" si="4"/>
        <v>0.36037449999999999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NARDIA URPIS</v>
      </c>
      <c r="P90" t="str">
        <f>IF(DATA_MAYO_2025[[#This Row],[ASER_]]="","",F84)</f>
        <v>JOHAN</v>
      </c>
      <c r="Q90">
        <f>IF(DATA_MAYO_2025[[#This Row],[SUPERVISOR]]="","",D84)</f>
        <v>7207.49</v>
      </c>
      <c r="R90">
        <f>IF(DATA_MAYO_2025[[#This Row],[RECUPERO]]="","",VLOOKUP(DATA_MAYO_2025[[#This Row],[SUPERVISOR]],$H:$I,2,0))</f>
        <v>20000</v>
      </c>
    </row>
    <row r="91" spans="1:18" x14ac:dyDescent="0.25">
      <c r="A91" t="s">
        <v>132</v>
      </c>
      <c r="B91" t="str">
        <f t="shared" si="3"/>
        <v/>
      </c>
      <c r="E91">
        <f>D1_MAYO[[#This Row],[RECUPERO]]/VLOOKUP(F91,$H:$I,2,0)</f>
        <v>0</v>
      </c>
      <c r="F91" t="str">
        <f>D1_MAYO[[#This Row],[SUPER]]</f>
        <v>JOHAN</v>
      </c>
      <c r="L91">
        <v>8</v>
      </c>
      <c r="M91" s="1">
        <f t="shared" si="4"/>
        <v>0.76800000000000002</v>
      </c>
      <c r="N91" t="str" cm="1">
        <f t="array" ref="N91">IFERROR(_xlfn.IFS(M91&gt;100%,"&gt;100%",AND(M91&lt;100%,M91&gt;70%),"&gt;70%",AND(M91&lt;70%,M91&gt;40%),"&gt;40%",AND(M91&lt;40%,M91&gt;0%),"&gt;0%"),"")</f>
        <v>&gt;70%</v>
      </c>
      <c r="O91" t="str">
        <f t="shared" si="5"/>
        <v>YENNY INGA</v>
      </c>
      <c r="P91" t="str">
        <f>IF(DATA_MAYO_2025[[#This Row],[ASER_]]="","",F85)</f>
        <v>JOHAN</v>
      </c>
      <c r="Q91">
        <f>IF(DATA_MAYO_2025[[#This Row],[SUPERVISOR]]="","",D85)</f>
        <v>15360</v>
      </c>
      <c r="R91">
        <f>IF(DATA_MAYO_2025[[#This Row],[RECUPERO]]="","",VLOOKUP(DATA_MAYO_2025[[#This Row],[SUPERVISOR]],$H:$I,2,0))</f>
        <v>20000</v>
      </c>
    </row>
    <row r="92" spans="1:18" x14ac:dyDescent="0.25">
      <c r="A92" t="s">
        <v>132</v>
      </c>
      <c r="B92" t="str">
        <f t="shared" si="3"/>
        <v/>
      </c>
      <c r="E92">
        <f>D1_MAYO[[#This Row],[RECUPERO]]/VLOOKUP(F92,$H:$I,2,0)</f>
        <v>0</v>
      </c>
      <c r="F92" t="str">
        <f>D1_MAYO[[#This Row],[SUPER]]</f>
        <v>JOHAN</v>
      </c>
      <c r="L92">
        <v>9</v>
      </c>
      <c r="M92" s="1">
        <f t="shared" si="4"/>
        <v>0.22220000000000001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YEYMY HUERTA</v>
      </c>
      <c r="P92" t="str">
        <f>IF(DATA_MAYO_2025[[#This Row],[ASER_]]="","",F86)</f>
        <v>JOHAN</v>
      </c>
      <c r="Q92">
        <f>IF(DATA_MAYO_2025[[#This Row],[SUPERVISOR]]="","",D86)</f>
        <v>4444</v>
      </c>
      <c r="R92">
        <f>IF(DATA_MAYO_2025[[#This Row],[RECUPERO]]="","",VLOOKUP(DATA_MAYO_2025[[#This Row],[SUPERVISOR]],$H:$I,2,0))</f>
        <v>20000</v>
      </c>
    </row>
    <row r="93" spans="1:18" x14ac:dyDescent="0.25">
      <c r="A93" t="s">
        <v>8</v>
      </c>
      <c r="B93" t="str">
        <f t="shared" si="3"/>
        <v>ALEJANDRA AVILA</v>
      </c>
      <c r="C93" t="s">
        <v>21</v>
      </c>
      <c r="D93">
        <v>16140</v>
      </c>
      <c r="E93">
        <f>D1_MAYO[[#This Row],[RECUPERO]]/VLOOKUP(F93,$H:$I,2,0)</f>
        <v>0.80700000000000005</v>
      </c>
      <c r="F93" t="str">
        <f>D1_MAYO[[#This Row],[SUPER]]</f>
        <v>BRYAN</v>
      </c>
      <c r="L93">
        <v>10</v>
      </c>
      <c r="M93" s="1">
        <f t="shared" si="4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5"/>
        <v/>
      </c>
      <c r="P93" t="str">
        <f>IF(DATA_MAYO_2025[[#This Row],[ASER_]]="","",F87)</f>
        <v/>
      </c>
      <c r="Q93" t="str">
        <f>IF(DATA_MAYO_2025[[#This Row],[SUPERVISOR]]="","",D87)</f>
        <v/>
      </c>
      <c r="R93" t="str">
        <f>IF(DATA_MAYO_2025[[#This Row],[RECUPERO]]="","",VLOOKUP(DATA_MAYO_2025[[#This Row],[SUPERVISOR]],$H:$I,2,0))</f>
        <v/>
      </c>
    </row>
    <row r="94" spans="1:18" x14ac:dyDescent="0.25">
      <c r="A94" t="s">
        <v>8</v>
      </c>
      <c r="B94" t="str">
        <f t="shared" si="3"/>
        <v>BRINA SOTO</v>
      </c>
      <c r="C94" t="s">
        <v>14</v>
      </c>
      <c r="D94">
        <v>29307</v>
      </c>
      <c r="E94">
        <f>D1_MAYO[[#This Row],[RECUPERO]]/VLOOKUP(F94,$H:$I,2,0)</f>
        <v>1.4653499999999999</v>
      </c>
      <c r="F94" t="str">
        <f>D1_MAYO[[#This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IF(DATA_MAYO_2025[[#This Row],[ASER_]]="","",F88)</f>
        <v/>
      </c>
      <c r="Q94" t="str">
        <f>IF(DATA_MAYO_2025[[#This Row],[SUPERVISOR]]="","",D88)</f>
        <v/>
      </c>
      <c r="R94" t="str">
        <f>IF(DATA_MAYO_2025[[#This Row],[RECUPERO]]="","",VLOOKUP(DATA_MAYO_2025[[#This Row],[SUPERVISOR]],$H:$I,2,0))</f>
        <v/>
      </c>
    </row>
    <row r="95" spans="1:18" x14ac:dyDescent="0.25">
      <c r="A95" t="s">
        <v>8</v>
      </c>
      <c r="B95" t="str">
        <f t="shared" si="3"/>
        <v>CHRISTIAN ALVARADO</v>
      </c>
      <c r="C95" t="s">
        <v>41</v>
      </c>
      <c r="D95">
        <v>4564</v>
      </c>
      <c r="E95">
        <f>D1_MAYO[[#This Row],[RECUPERO]]/VLOOKUP(F95,$H:$I,2,0)</f>
        <v>0.22819999999999999</v>
      </c>
      <c r="F95" t="str">
        <f>D1_MAYO[[#This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IF(DATA_MAYO_2025[[#This Row],[ASER_]]="","",F89)</f>
        <v/>
      </c>
      <c r="Q95" t="str">
        <f>IF(DATA_MAYO_2025[[#This Row],[SUPERVISOR]]="","",D89)</f>
        <v/>
      </c>
      <c r="R95" t="str">
        <f>IF(DATA_MAYO_2025[[#This Row],[RECUPERO]]="","",VLOOKUP(DATA_MAYO_2025[[#This Row],[SUPERVISOR]],$H:$I,2,0))</f>
        <v/>
      </c>
    </row>
    <row r="96" spans="1:18" x14ac:dyDescent="0.25">
      <c r="A96" t="s">
        <v>8</v>
      </c>
      <c r="B96" t="str">
        <f t="shared" si="3"/>
        <v>DARYL FERREL</v>
      </c>
      <c r="C96" t="s">
        <v>40</v>
      </c>
      <c r="D96">
        <v>10513</v>
      </c>
      <c r="E96">
        <f>D1_MAYO[[#This Row],[RECUPERO]]/VLOOKUP(F96,$H:$I,2,0)</f>
        <v>0.52564999999999995</v>
      </c>
      <c r="F96" t="str">
        <f>D1_MAYO[[#This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IF(DATA_MAYO_2025[[#This Row],[ASER_]]="","",F90)</f>
        <v/>
      </c>
      <c r="Q96" t="str">
        <f>IF(DATA_MAYO_2025[[#This Row],[SUPERVISOR]]="","",D90)</f>
        <v/>
      </c>
      <c r="R96" t="str">
        <f>IF(DATA_MAYO_2025[[#This Row],[RECUPERO]]="","",VLOOKUP(DATA_MAYO_2025[[#This Row],[SUPERVISOR]],$H:$I,2,0))</f>
        <v/>
      </c>
    </row>
    <row r="97" spans="1:18" x14ac:dyDescent="0.25">
      <c r="A97" t="s">
        <v>8</v>
      </c>
      <c r="B97" t="str">
        <f t="shared" si="3"/>
        <v>FRANCO HUAMANI</v>
      </c>
      <c r="C97" t="s">
        <v>24</v>
      </c>
      <c r="D97">
        <v>12899.3</v>
      </c>
      <c r="E97">
        <f>D1_MAYO[[#This Row],[RECUPERO]]/VLOOKUP(F97,$H:$I,2,0)</f>
        <v>0.64496500000000001</v>
      </c>
      <c r="F97" t="str">
        <f>D1_MAYO[[#This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IF(DATA_MAYO_2025[[#This Row],[ASER_]]="","",F91)</f>
        <v/>
      </c>
      <c r="Q97" t="str">
        <f>IF(DATA_MAYO_2025[[#This Row],[SUPERVISOR]]="","",D91)</f>
        <v/>
      </c>
      <c r="R97" t="str">
        <f>IF(DATA_MAYO_2025[[#This Row],[RECUPERO]]="","",VLOOKUP(DATA_MAYO_2025[[#This Row],[SUPERVISOR]],$H:$I,2,0))</f>
        <v/>
      </c>
    </row>
    <row r="98" spans="1:18" x14ac:dyDescent="0.25">
      <c r="A98" t="s">
        <v>8</v>
      </c>
      <c r="B98" t="str">
        <f t="shared" si="3"/>
        <v>HAROLD FLORES</v>
      </c>
      <c r="C98" t="s">
        <v>42</v>
      </c>
      <c r="D98">
        <v>7749.5</v>
      </c>
      <c r="E98">
        <f>D1_MAYO[[#This Row],[RECUPERO]]/VLOOKUP(F98,$H:$I,2,0)</f>
        <v>0.38747500000000001</v>
      </c>
      <c r="F98" t="str">
        <f>D1_MAYO[[#This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IF(DATA_MAYO_2025[[#This Row],[ASER_]]="","",F92)</f>
        <v/>
      </c>
      <c r="Q98" t="str">
        <f>IF(DATA_MAYO_2025[[#This Row],[SUPERVISOR]]="","",D92)</f>
        <v/>
      </c>
      <c r="R98" t="str">
        <f>IF(DATA_MAYO_2025[[#This Row],[RECUPERO]]="","",VLOOKUP(DATA_MAYO_2025[[#This Row],[SUPERVISOR]],$H:$I,2,0))</f>
        <v/>
      </c>
    </row>
    <row r="99" spans="1:18" x14ac:dyDescent="0.25">
      <c r="A99" t="s">
        <v>8</v>
      </c>
      <c r="B99" t="str">
        <f t="shared" si="3"/>
        <v>ISABEL BEJARANO</v>
      </c>
      <c r="C99" t="s">
        <v>83</v>
      </c>
      <c r="D99">
        <v>18100.5</v>
      </c>
      <c r="E99">
        <f>D1_MAYO[[#This Row],[RECUPERO]]/VLOOKUP(F99,$H:$I,2,0)</f>
        <v>0.90502499999999997</v>
      </c>
      <c r="F99" t="str">
        <f>D1_MAYO[[#This Row],[SUPER]]</f>
        <v>BRYAN</v>
      </c>
      <c r="L99">
        <v>1</v>
      </c>
      <c r="M99" s="1">
        <f t="shared" si="4"/>
        <v>0.80700000000000005</v>
      </c>
      <c r="N99" t="str" cm="1">
        <f t="array" ref="N99">IFERROR(_xlfn.IFS(M99&gt;100%,"&gt;100%",AND(M99&lt;100%,M99&gt;70%),"&gt;70%",AND(M99&lt;70%,M99&gt;40%),"&gt;40%",AND(M99&lt;40%,M99&gt;0%),"&gt;0%"),"")</f>
        <v>&gt;70%</v>
      </c>
      <c r="O99" t="str">
        <f t="shared" si="5"/>
        <v>ALEJANDRA AVILA</v>
      </c>
      <c r="P99" t="str">
        <f>IF(DATA_MAYO_2025[[#This Row],[ASER_]]="","",F93)</f>
        <v>BRYAN</v>
      </c>
      <c r="Q99">
        <f>IF(DATA_MAYO_2025[[#This Row],[SUPERVISOR]]="","",D93)</f>
        <v>16140</v>
      </c>
      <c r="R99">
        <f>IF(DATA_MAYO_2025[[#This Row],[RECUPERO]]="","",VLOOKUP(DATA_MAYO_2025[[#This Row],[SUPERVISOR]],$H:$I,2,0))</f>
        <v>20000</v>
      </c>
    </row>
    <row r="100" spans="1:18" x14ac:dyDescent="0.25">
      <c r="A100" t="s">
        <v>8</v>
      </c>
      <c r="B100" t="str">
        <f t="shared" si="3"/>
        <v>LIZETH RAMIREZ</v>
      </c>
      <c r="C100" t="s">
        <v>138</v>
      </c>
      <c r="D100">
        <v>10657</v>
      </c>
      <c r="E100">
        <f>D1_MAYO[[#This Row],[RECUPERO]]/VLOOKUP(F100,$H:$I,2,0)</f>
        <v>0.53285000000000005</v>
      </c>
      <c r="F100" t="str">
        <f>D1_MAYO[[#This Row],[SUPER]]</f>
        <v>BRYAN</v>
      </c>
      <c r="L100">
        <v>2</v>
      </c>
      <c r="M100" s="1">
        <f t="shared" si="4"/>
        <v>1.4653499999999999</v>
      </c>
      <c r="N100" t="str" cm="1">
        <f t="array" ref="N100">IFERROR(_xlfn.IFS(M100&gt;100%,"&gt;100%",AND(M100&lt;100%,M100&gt;70%),"&gt;70%",AND(M100&lt;70%,M100&gt;40%),"&gt;40%",AND(M100&lt;40%,M100&gt;0%),"&gt;0%"),"")</f>
        <v>&gt;100%</v>
      </c>
      <c r="O100" t="str">
        <f t="shared" si="5"/>
        <v>BRINA SOTO</v>
      </c>
      <c r="P100" t="str">
        <f>IF(DATA_MAYO_2025[[#This Row],[ASER_]]="","",F94)</f>
        <v>BRYAN</v>
      </c>
      <c r="Q100">
        <f>IF(DATA_MAYO_2025[[#This Row],[SUPERVISOR]]="","",D94)</f>
        <v>29307</v>
      </c>
      <c r="R100">
        <f>IF(DATA_MAYO_2025[[#This Row],[RECUPERO]]="","",VLOOKUP(DATA_MAYO_2025[[#This Row],[SUPERVISOR]],$H:$I,2,0))</f>
        <v>20000</v>
      </c>
    </row>
    <row r="101" spans="1:18" x14ac:dyDescent="0.25">
      <c r="A101" t="s">
        <v>8</v>
      </c>
      <c r="B101" t="str">
        <f t="shared" si="3"/>
        <v>LYNDA PEREZ</v>
      </c>
      <c r="C101" t="s">
        <v>43</v>
      </c>
      <c r="D101">
        <v>14000</v>
      </c>
      <c r="E101">
        <f>D1_MAYO[[#This Row],[RECUPERO]]/VLOOKUP(F101,$H:$I,2,0)</f>
        <v>0.7</v>
      </c>
      <c r="F101" t="str">
        <f>D1_MAYO[[#This Row],[SUPER]]</f>
        <v>BRYAN</v>
      </c>
      <c r="L101">
        <v>3</v>
      </c>
      <c r="M101" s="1">
        <f t="shared" si="4"/>
        <v>0.22819999999999999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5"/>
        <v>CHRISTIAN ALVARADO</v>
      </c>
      <c r="P101" t="str">
        <f>IF(DATA_MAYO_2025[[#This Row],[ASER_]]="","",F95)</f>
        <v>BRYAN</v>
      </c>
      <c r="Q101">
        <f>IF(DATA_MAYO_2025[[#This Row],[SUPERVISOR]]="","",D95)</f>
        <v>4564</v>
      </c>
      <c r="R101">
        <f>IF(DATA_MAYO_2025[[#This Row],[RECUPERO]]="","",VLOOKUP(DATA_MAYO_2025[[#This Row],[SUPERVISOR]],$H:$I,2,0))</f>
        <v>20000</v>
      </c>
    </row>
    <row r="102" spans="1:18" x14ac:dyDescent="0.25">
      <c r="A102" t="s">
        <v>8</v>
      </c>
      <c r="B102" t="str">
        <f t="shared" si="3"/>
        <v>VERONICA HUARCA</v>
      </c>
      <c r="C102" t="s">
        <v>48</v>
      </c>
      <c r="D102">
        <v>0</v>
      </c>
      <c r="E102">
        <f>D1_MAYO[[#This Row],[RECUPERO]]/VLOOKUP(F102,$H:$I,2,0)</f>
        <v>0</v>
      </c>
      <c r="F102" t="str">
        <f>D1_MAYO[[#This Row],[SUPER]]</f>
        <v>BRYAN</v>
      </c>
      <c r="L102">
        <v>4</v>
      </c>
      <c r="M102" s="1">
        <f t="shared" si="4"/>
        <v>0.52564999999999995</v>
      </c>
      <c r="N102" t="str" cm="1">
        <f t="array" ref="N102">IFERROR(_xlfn.IFS(M102&gt;100%,"&gt;100%",AND(M102&lt;100%,M102&gt;70%),"&gt;70%",AND(M102&lt;70%,M102&gt;40%),"&gt;40%",AND(M102&lt;40%,M102&gt;0%),"&gt;0%"),"")</f>
        <v>&gt;40%</v>
      </c>
      <c r="O102" t="str">
        <f t="shared" si="5"/>
        <v>DARYL FERREL</v>
      </c>
      <c r="P102" t="str">
        <f>IF(DATA_MAYO_2025[[#This Row],[ASER_]]="","",F96)</f>
        <v>BRYAN</v>
      </c>
      <c r="Q102">
        <f>IF(DATA_MAYO_2025[[#This Row],[SUPERVISOR]]="","",D96)</f>
        <v>10513</v>
      </c>
      <c r="R102">
        <f>IF(DATA_MAYO_2025[[#This Row],[RECUPERO]]="","",VLOOKUP(DATA_MAYO_2025[[#This Row],[SUPERVISOR]],$H:$I,2,0))</f>
        <v>20000</v>
      </c>
    </row>
    <row r="103" spans="1:18" x14ac:dyDescent="0.25">
      <c r="A103" t="s">
        <v>8</v>
      </c>
      <c r="B103" t="str">
        <f t="shared" si="3"/>
        <v/>
      </c>
      <c r="E103">
        <f>D1_MAYO[[#This Row],[RECUPERO]]/VLOOKUP(F103,$H:$I,2,0)</f>
        <v>0</v>
      </c>
      <c r="F103" t="str">
        <f>D1_MAYO[[#This Row],[SUPER]]</f>
        <v>BRYAN</v>
      </c>
      <c r="L103">
        <v>5</v>
      </c>
      <c r="M103" s="1">
        <f t="shared" si="4"/>
        <v>0.64496500000000001</v>
      </c>
      <c r="N103" t="str" cm="1">
        <f t="array" ref="N103">IFERROR(_xlfn.IFS(M103&gt;100%,"&gt;100%",AND(M103&lt;100%,M103&gt;70%),"&gt;70%",AND(M103&lt;70%,M103&gt;40%),"&gt;40%",AND(M103&lt;40%,M103&gt;0%),"&gt;0%"),"")</f>
        <v>&gt;40%</v>
      </c>
      <c r="O103" t="str">
        <f t="shared" si="5"/>
        <v>FRANCO HUAMANI</v>
      </c>
      <c r="P103" t="str">
        <f>IF(DATA_MAYO_2025[[#This Row],[ASER_]]="","",F97)</f>
        <v>BRYAN</v>
      </c>
      <c r="Q103">
        <f>IF(DATA_MAYO_2025[[#This Row],[SUPERVISOR]]="","",D97)</f>
        <v>12899.3</v>
      </c>
      <c r="R103">
        <f>IF(DATA_MAYO_2025[[#This Row],[RECUPERO]]="","",VLOOKUP(DATA_MAYO_2025[[#This Row],[SUPERVISOR]],$H:$I,2,0))</f>
        <v>20000</v>
      </c>
    </row>
    <row r="104" spans="1:18" x14ac:dyDescent="0.25">
      <c r="A104" t="s">
        <v>8</v>
      </c>
      <c r="B104" t="str">
        <f t="shared" si="3"/>
        <v/>
      </c>
      <c r="E104">
        <f>D1_MAYO[[#This Row],[RECUPERO]]/VLOOKUP(F104,$H:$I,2,0)</f>
        <v>0</v>
      </c>
      <c r="F104" t="str">
        <f>D1_MAYO[[#This Row],[SUPER]]</f>
        <v>BRYAN</v>
      </c>
      <c r="L104">
        <v>6</v>
      </c>
      <c r="M104" s="1">
        <f t="shared" si="4"/>
        <v>0.38747500000000001</v>
      </c>
      <c r="N104" t="str" cm="1">
        <f t="array" ref="N104">IFERROR(_xlfn.IFS(M104&gt;100%,"&gt;100%",AND(M104&lt;100%,M104&gt;70%),"&gt;70%",AND(M104&lt;70%,M104&gt;40%),"&gt;40%",AND(M104&lt;40%,M104&gt;0%),"&gt;0%"),"")</f>
        <v>&gt;0%</v>
      </c>
      <c r="O104" t="str">
        <f t="shared" si="5"/>
        <v>HAROLD FLORES</v>
      </c>
      <c r="P104" t="str">
        <f>IF(DATA_MAYO_2025[[#This Row],[ASER_]]="","",F98)</f>
        <v>BRYAN</v>
      </c>
      <c r="Q104">
        <f>IF(DATA_MAYO_2025[[#This Row],[SUPERVISOR]]="","",D98)</f>
        <v>7749.5</v>
      </c>
      <c r="R104">
        <f>IF(DATA_MAYO_2025[[#This Row],[RECUPERO]]="","",VLOOKUP(DATA_MAYO_2025[[#This Row],[SUPERVISOR]],$H:$I,2,0))</f>
        <v>20000</v>
      </c>
    </row>
    <row r="105" spans="1:18" x14ac:dyDescent="0.25">
      <c r="A105" t="s">
        <v>8</v>
      </c>
      <c r="B105" t="str">
        <f t="shared" si="3"/>
        <v/>
      </c>
      <c r="E105">
        <f>D1_MAYO[[#This Row],[RECUPERO]]/VLOOKUP(F105,$H:$I,2,0)</f>
        <v>0</v>
      </c>
      <c r="F105" t="str">
        <f>D1_MAYO[[#This Row],[SUPER]]</f>
        <v>BRYAN</v>
      </c>
      <c r="L105">
        <v>7</v>
      </c>
      <c r="M105" s="1">
        <f t="shared" si="4"/>
        <v>0.90502499999999997</v>
      </c>
      <c r="N105" t="str" cm="1">
        <f t="array" ref="N105">IFERROR(_xlfn.IFS(M105&gt;100%,"&gt;100%",AND(M105&lt;100%,M105&gt;70%),"&gt;70%",AND(M105&lt;70%,M105&gt;40%),"&gt;40%",AND(M105&lt;40%,M105&gt;0%),"&gt;0%"),"")</f>
        <v>&gt;70%</v>
      </c>
      <c r="O105" t="str">
        <f t="shared" si="5"/>
        <v>ISABEL BEJARANO</v>
      </c>
      <c r="P105" t="str">
        <f>IF(DATA_MAYO_2025[[#This Row],[ASER_]]="","",F99)</f>
        <v>BRYAN</v>
      </c>
      <c r="Q105">
        <f>IF(DATA_MAYO_2025[[#This Row],[SUPERVISOR]]="","",D99)</f>
        <v>18100.5</v>
      </c>
      <c r="R105">
        <f>IF(DATA_MAYO_2025[[#This Row],[RECUPERO]]="","",VLOOKUP(DATA_MAYO_2025[[#This Row],[SUPERVISOR]],$H:$I,2,0))</f>
        <v>20000</v>
      </c>
    </row>
    <row r="106" spans="1:18" x14ac:dyDescent="0.25">
      <c r="A106" t="s">
        <v>8</v>
      </c>
      <c r="B106" t="str">
        <f t="shared" si="3"/>
        <v/>
      </c>
      <c r="E106">
        <f>D1_MAYO[[#This Row],[RECUPERO]]/VLOOKUP(F106,$H:$I,2,0)</f>
        <v>0</v>
      </c>
      <c r="F106" t="str">
        <f>D1_MAYO[[#This Row],[SUPER]]</f>
        <v>BRYAN</v>
      </c>
      <c r="L106">
        <v>8</v>
      </c>
      <c r="M106" s="1">
        <f t="shared" si="4"/>
        <v>0.53285000000000005</v>
      </c>
      <c r="N106" t="str" cm="1">
        <f t="array" ref="N106">IFERROR(_xlfn.IFS(M106&gt;100%,"&gt;100%",AND(M106&lt;100%,M106&gt;70%),"&gt;70%",AND(M106&lt;70%,M106&gt;40%),"&gt;40%",AND(M106&lt;40%,M106&gt;0%),"&gt;0%"),"")</f>
        <v>&gt;40%</v>
      </c>
      <c r="O106" t="str">
        <f t="shared" si="5"/>
        <v>LIZETH RAMIREZ</v>
      </c>
      <c r="P106" t="str">
        <f>IF(DATA_MAYO_2025[[#This Row],[ASER_]]="","",F100)</f>
        <v>BRYAN</v>
      </c>
      <c r="Q106">
        <f>IF(DATA_MAYO_2025[[#This Row],[SUPERVISOR]]="","",D100)</f>
        <v>10657</v>
      </c>
      <c r="R106">
        <f>IF(DATA_MAYO_2025[[#This Row],[RECUPERO]]="","",VLOOKUP(DATA_MAYO_2025[[#This Row],[SUPERVISOR]],$H:$I,2,0))</f>
        <v>20000</v>
      </c>
    </row>
    <row r="107" spans="1:18" x14ac:dyDescent="0.25">
      <c r="A107" t="s">
        <v>8</v>
      </c>
      <c r="B107" t="str">
        <f t="shared" si="3"/>
        <v/>
      </c>
      <c r="E107">
        <f>D1_MAYO[[#This Row],[RECUPERO]]/VLOOKUP(F107,$H:$I,2,0)</f>
        <v>0</v>
      </c>
      <c r="F107" t="str">
        <f>D1_MAYO[[#This Row],[SUPER]]</f>
        <v>BRYAN</v>
      </c>
      <c r="L107">
        <v>9</v>
      </c>
      <c r="M107" s="1">
        <f t="shared" si="4"/>
        <v>0.7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str">
        <f t="shared" si="5"/>
        <v>LYNDA PEREZ</v>
      </c>
      <c r="P107" t="str">
        <f>IF(DATA_MAYO_2025[[#This Row],[ASER_]]="","",F101)</f>
        <v>BRYAN</v>
      </c>
      <c r="Q107">
        <f>IF(DATA_MAYO_2025[[#This Row],[SUPERVISOR]]="","",D101)</f>
        <v>14000</v>
      </c>
      <c r="R107">
        <f>IF(DATA_MAYO_2025[[#This Row],[RECUPERO]]="","",VLOOKUP(DATA_MAYO_2025[[#This Row],[SUPERVISOR]],$H:$I,2,0))</f>
        <v>20000</v>
      </c>
    </row>
    <row r="108" spans="1:18" x14ac:dyDescent="0.25">
      <c r="A108" t="s">
        <v>9</v>
      </c>
      <c r="B108" t="str">
        <f t="shared" si="3"/>
        <v>ANDERSON RODRIGUEZ</v>
      </c>
      <c r="C108" t="s">
        <v>15</v>
      </c>
      <c r="D108">
        <v>9600</v>
      </c>
      <c r="E108">
        <f>D1_MAYO[[#This Row],[RECUPERO]]/VLOOKUP(F108,$H:$I,2,0)</f>
        <v>0.48</v>
      </c>
      <c r="F108" t="str">
        <f>D1_MAYO[[#This Row],[SUPER]]</f>
        <v>LUIS</v>
      </c>
      <c r="L108">
        <v>10</v>
      </c>
      <c r="M108" s="1">
        <f t="shared" si="4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5"/>
        <v>VERONICA HUARCA</v>
      </c>
      <c r="P108" t="str">
        <f>IF(DATA_MAYO_2025[[#This Row],[ASER_]]="","",F102)</f>
        <v>BRYAN</v>
      </c>
      <c r="Q108">
        <f>IF(DATA_MAYO_2025[[#This Row],[SUPERVISOR]]="","",D102)</f>
        <v>0</v>
      </c>
      <c r="R108">
        <f>IF(DATA_MAYO_2025[[#This Row],[RECUPERO]]="","",VLOOKUP(DATA_MAYO_2025[[#This Row],[SUPERVISOR]],$H:$I,2,0))</f>
        <v>20000</v>
      </c>
    </row>
    <row r="109" spans="1:18" x14ac:dyDescent="0.25">
      <c r="A109" t="s">
        <v>9</v>
      </c>
      <c r="B109" t="str">
        <f t="shared" si="3"/>
        <v>CARLOS CALAGUA</v>
      </c>
      <c r="C109" t="s">
        <v>108</v>
      </c>
      <c r="D109">
        <v>5157</v>
      </c>
      <c r="E109">
        <f>D1_MAYO[[#This Row],[RECUPERO]]/VLOOKUP(F109,$H:$I,2,0)</f>
        <v>0.25785000000000002</v>
      </c>
      <c r="F109" t="str">
        <f>D1_MAYO[[#This Row],[SUPER]]</f>
        <v>LUIS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5"/>
        <v/>
      </c>
      <c r="P109" t="str">
        <f>IF(DATA_MAYO_2025[[#This Row],[ASER_]]="","",F103)</f>
        <v/>
      </c>
      <c r="Q109" t="str">
        <f>IF(DATA_MAYO_2025[[#This Row],[SUPERVISOR]]="","",D103)</f>
        <v/>
      </c>
      <c r="R109" t="str">
        <f>IF(DATA_MAYO_2025[[#This Row],[RECUPERO]]="","",VLOOKUP(DATA_MAYO_2025[[#This Row],[SUPERVISOR]],$H:$I,2,0))</f>
        <v/>
      </c>
    </row>
    <row r="110" spans="1:18" x14ac:dyDescent="0.25">
      <c r="A110" t="s">
        <v>9</v>
      </c>
      <c r="B110" t="str">
        <f t="shared" si="3"/>
        <v>GERALDINE ARROYO</v>
      </c>
      <c r="C110" t="s">
        <v>51</v>
      </c>
      <c r="D110">
        <v>7103</v>
      </c>
      <c r="E110">
        <f>D1_MAYO[[#This Row],[RECUPERO]]/VLOOKUP(F110,$H:$I,2,0)</f>
        <v>0.35515000000000002</v>
      </c>
      <c r="F110" t="str">
        <f>D1_MAYO[[#This Row],[SUPER]]</f>
        <v>LUIS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5"/>
        <v/>
      </c>
      <c r="P110" t="str">
        <f>IF(DATA_MAYO_2025[[#This Row],[ASER_]]="","",F104)</f>
        <v/>
      </c>
      <c r="Q110" t="str">
        <f>IF(DATA_MAYO_2025[[#This Row],[SUPERVISOR]]="","",D104)</f>
        <v/>
      </c>
      <c r="R110" t="str">
        <f>IF(DATA_MAYO_2025[[#This Row],[RECUPERO]]="","",VLOOKUP(DATA_MAYO_2025[[#This Row],[SUPERVISOR]],$H:$I,2,0))</f>
        <v/>
      </c>
    </row>
    <row r="111" spans="1:18" x14ac:dyDescent="0.25">
      <c r="A111" t="s">
        <v>9</v>
      </c>
      <c r="B111" t="str">
        <f t="shared" si="3"/>
        <v>GIANNINA AGUILAR</v>
      </c>
      <c r="C111" t="s">
        <v>32</v>
      </c>
      <c r="D111">
        <v>7788</v>
      </c>
      <c r="E111">
        <f>D1_MAYO[[#This Row],[RECUPERO]]/VLOOKUP(F111,$H:$I,2,0)</f>
        <v>0.38940000000000002</v>
      </c>
      <c r="F111" t="str">
        <f>D1_MAYO[[#This Row],[SUPER]]</f>
        <v>LUIS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5"/>
        <v/>
      </c>
      <c r="P111" t="str">
        <f>IF(DATA_MAYO_2025[[#This Row],[ASER_]]="","",F105)</f>
        <v/>
      </c>
      <c r="Q111" t="str">
        <f>IF(DATA_MAYO_2025[[#This Row],[SUPERVISOR]]="","",D105)</f>
        <v/>
      </c>
      <c r="R111" t="str">
        <f>IF(DATA_MAYO_2025[[#This Row],[RECUPERO]]="","",VLOOKUP(DATA_MAYO_2025[[#This Row],[SUPERVISOR]],$H:$I,2,0))</f>
        <v/>
      </c>
    </row>
    <row r="112" spans="1:18" x14ac:dyDescent="0.25">
      <c r="A112" t="s">
        <v>9</v>
      </c>
      <c r="B112" t="str">
        <f t="shared" si="3"/>
        <v>GIULIANA QUISPE</v>
      </c>
      <c r="C112" t="s">
        <v>71</v>
      </c>
      <c r="D112">
        <v>14482</v>
      </c>
      <c r="E112">
        <f>D1_MAYO[[#This Row],[RECUPERO]]/VLOOKUP(F112,$H:$I,2,0)</f>
        <v>0.72409999999999997</v>
      </c>
      <c r="F112" t="str">
        <f>D1_MAYO[[#This Row],[SUPER]]</f>
        <v>LUIS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5"/>
        <v/>
      </c>
      <c r="P112" t="str">
        <f>IF(DATA_MAYO_2025[[#This Row],[ASER_]]="","",F106)</f>
        <v/>
      </c>
      <c r="Q112" t="str">
        <f>IF(DATA_MAYO_2025[[#This Row],[SUPERVISOR]]="","",D106)</f>
        <v/>
      </c>
      <c r="R112" t="str">
        <f>IF(DATA_MAYO_2025[[#This Row],[RECUPERO]]="","",VLOOKUP(DATA_MAYO_2025[[#This Row],[SUPERVISOR]],$H:$I,2,0))</f>
        <v/>
      </c>
    </row>
    <row r="113" spans="1:18" x14ac:dyDescent="0.25">
      <c r="A113" t="s">
        <v>9</v>
      </c>
      <c r="B113" t="str">
        <f t="shared" si="3"/>
        <v>JANETH PORTOCARRERO</v>
      </c>
      <c r="C113" t="s">
        <v>49</v>
      </c>
      <c r="D113">
        <v>3675</v>
      </c>
      <c r="E113">
        <f>D1_MAYO[[#This Row],[RECUPERO]]/VLOOKUP(F113,$H:$I,2,0)</f>
        <v>0.18375</v>
      </c>
      <c r="F113" t="str">
        <f>D1_MAYO[[#This Row],[SUPER]]</f>
        <v>LUIS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5"/>
        <v/>
      </c>
      <c r="P113" t="str">
        <f>IF(DATA_MAYO_2025[[#This Row],[ASER_]]="","",F107)</f>
        <v/>
      </c>
      <c r="Q113" t="str">
        <f>IF(DATA_MAYO_2025[[#This Row],[SUPERVISOR]]="","",D107)</f>
        <v/>
      </c>
      <c r="R113" t="str">
        <f>IF(DATA_MAYO_2025[[#This Row],[RECUPERO]]="","",VLOOKUP(DATA_MAYO_2025[[#This Row],[SUPERVISOR]],$H:$I,2,0))</f>
        <v/>
      </c>
    </row>
    <row r="114" spans="1:18" x14ac:dyDescent="0.25">
      <c r="A114" t="s">
        <v>9</v>
      </c>
      <c r="B114" t="str">
        <f t="shared" si="3"/>
        <v>MIRYAM YAPU</v>
      </c>
      <c r="C114" t="s">
        <v>139</v>
      </c>
      <c r="D114">
        <v>2600</v>
      </c>
      <c r="E114">
        <f>D1_MAYO[[#This Row],[RECUPERO]]/VLOOKUP(F114,$H:$I,2,0)</f>
        <v>0.13</v>
      </c>
      <c r="F114" t="str">
        <f>D1_MAYO[[#This Row],[SUPER]]</f>
        <v>LUIS</v>
      </c>
      <c r="L114">
        <v>1</v>
      </c>
      <c r="M114" s="1">
        <f t="shared" si="4"/>
        <v>0.48</v>
      </c>
      <c r="N114" t="str" cm="1">
        <f t="array" ref="N114">IFERROR(_xlfn.IFS(M114&gt;100%,"&gt;100%",AND(M114&lt;100%,M114&gt;70%),"&gt;70%",AND(M114&lt;70%,M114&gt;40%),"&gt;40%",AND(M114&lt;40%,M114&gt;0%),"&gt;0%"),"")</f>
        <v>&gt;40%</v>
      </c>
      <c r="O114" t="str">
        <f t="shared" si="5"/>
        <v>ANDERSON RODRIGUEZ</v>
      </c>
      <c r="P114" t="str">
        <f>IF(DATA_MAYO_2025[[#This Row],[ASER_]]="","",F108)</f>
        <v>LUIS</v>
      </c>
      <c r="Q114">
        <f>IF(DATA_MAYO_2025[[#This Row],[SUPERVISOR]]="","",D108)</f>
        <v>9600</v>
      </c>
      <c r="R114">
        <f>IF(DATA_MAYO_2025[[#This Row],[RECUPERO]]="","",VLOOKUP(DATA_MAYO_2025[[#This Row],[SUPERVISOR]],$H:$I,2,0))</f>
        <v>20000</v>
      </c>
    </row>
    <row r="115" spans="1:18" x14ac:dyDescent="0.25">
      <c r="A115" t="s">
        <v>9</v>
      </c>
      <c r="B115" t="str">
        <f t="shared" si="3"/>
        <v>RAQUEL RICO</v>
      </c>
      <c r="C115" t="s">
        <v>84</v>
      </c>
      <c r="D115">
        <v>200</v>
      </c>
      <c r="E115">
        <f>D1_MAYO[[#This Row],[RECUPERO]]/VLOOKUP(F115,$H:$I,2,0)</f>
        <v>0.01</v>
      </c>
      <c r="F115" t="str">
        <f>D1_MAYO[[#This Row],[SUPER]]</f>
        <v>LUIS</v>
      </c>
      <c r="L115">
        <v>2</v>
      </c>
      <c r="M115" s="1">
        <f t="shared" si="4"/>
        <v>0.25785000000000002</v>
      </c>
      <c r="N115" t="str" cm="1">
        <f t="array" ref="N115">IFERROR(_xlfn.IFS(M115&gt;100%,"&gt;100%",AND(M115&lt;100%,M115&gt;70%),"&gt;70%",AND(M115&lt;70%,M115&gt;40%),"&gt;40%",AND(M115&lt;40%,M115&gt;0%),"&gt;0%"),"")</f>
        <v>&gt;0%</v>
      </c>
      <c r="O115" t="str">
        <f t="shared" si="5"/>
        <v>CARLOS CALAGUA</v>
      </c>
      <c r="P115" t="str">
        <f>IF(DATA_MAYO_2025[[#This Row],[ASER_]]="","",F109)</f>
        <v>LUIS</v>
      </c>
      <c r="Q115">
        <f>IF(DATA_MAYO_2025[[#This Row],[SUPERVISOR]]="","",D109)</f>
        <v>5157</v>
      </c>
      <c r="R115">
        <f>IF(DATA_MAYO_2025[[#This Row],[RECUPERO]]="","",VLOOKUP(DATA_MAYO_2025[[#This Row],[SUPERVISOR]],$H:$I,2,0))</f>
        <v>20000</v>
      </c>
    </row>
    <row r="116" spans="1:18" x14ac:dyDescent="0.25">
      <c r="A116" t="s">
        <v>9</v>
      </c>
      <c r="B116" t="str">
        <f t="shared" si="3"/>
        <v>SARITA GARAY</v>
      </c>
      <c r="C116" t="s">
        <v>73</v>
      </c>
      <c r="D116">
        <v>11904.93</v>
      </c>
      <c r="E116">
        <f>D1_MAYO[[#This Row],[RECUPERO]]/VLOOKUP(F116,$H:$I,2,0)</f>
        <v>0.59524650000000001</v>
      </c>
      <c r="F116" t="str">
        <f>D1_MAYO[[#This Row],[SUPER]]</f>
        <v>LUIS</v>
      </c>
      <c r="L116">
        <v>3</v>
      </c>
      <c r="M116" s="1">
        <f t="shared" si="4"/>
        <v>0.35515000000000002</v>
      </c>
      <c r="N116" t="str" cm="1">
        <f t="array" ref="N116">IFERROR(_xlfn.IFS(M116&gt;100%,"&gt;100%",AND(M116&lt;100%,M116&gt;70%),"&gt;70%",AND(M116&lt;70%,M116&gt;40%),"&gt;40%",AND(M116&lt;40%,M116&gt;0%),"&gt;0%"),"")</f>
        <v>&gt;0%</v>
      </c>
      <c r="O116" t="str">
        <f t="shared" si="5"/>
        <v>GERALDINE ARROYO</v>
      </c>
      <c r="P116" t="str">
        <f>IF(DATA_MAYO_2025[[#This Row],[ASER_]]="","",F110)</f>
        <v>LUIS</v>
      </c>
      <c r="Q116">
        <f>IF(DATA_MAYO_2025[[#This Row],[SUPERVISOR]]="","",D110)</f>
        <v>7103</v>
      </c>
      <c r="R116">
        <f>IF(DATA_MAYO_2025[[#This Row],[RECUPERO]]="","",VLOOKUP(DATA_MAYO_2025[[#This Row],[SUPERVISOR]],$H:$I,2,0))</f>
        <v>20000</v>
      </c>
    </row>
    <row r="117" spans="1:18" x14ac:dyDescent="0.25">
      <c r="A117" t="s">
        <v>9</v>
      </c>
      <c r="B117" t="str">
        <f t="shared" si="3"/>
        <v>URSULA CENTENO</v>
      </c>
      <c r="C117" t="s">
        <v>78</v>
      </c>
      <c r="D117">
        <v>7950</v>
      </c>
      <c r="E117">
        <f>D1_MAYO[[#This Row],[RECUPERO]]/VLOOKUP(F117,$H:$I,2,0)</f>
        <v>0.39750000000000002</v>
      </c>
      <c r="F117" t="str">
        <f>D1_MAYO[[#This Row],[SUPER]]</f>
        <v>LUIS</v>
      </c>
      <c r="L117">
        <v>4</v>
      </c>
      <c r="M117" s="1">
        <f t="shared" si="4"/>
        <v>0.38940000000000002</v>
      </c>
      <c r="N117" t="str" cm="1">
        <f t="array" ref="N117">IFERROR(_xlfn.IFS(M117&gt;100%,"&gt;100%",AND(M117&lt;100%,M117&gt;70%),"&gt;70%",AND(M117&lt;70%,M117&gt;40%),"&gt;40%",AND(M117&lt;40%,M117&gt;0%),"&gt;0%"),"")</f>
        <v>&gt;0%</v>
      </c>
      <c r="O117" t="str">
        <f t="shared" si="5"/>
        <v>GIANNINA AGUILAR</v>
      </c>
      <c r="P117" t="str">
        <f>IF(DATA_MAYO_2025[[#This Row],[ASER_]]="","",F111)</f>
        <v>LUIS</v>
      </c>
      <c r="Q117">
        <f>IF(DATA_MAYO_2025[[#This Row],[SUPERVISOR]]="","",D111)</f>
        <v>7788</v>
      </c>
      <c r="R117">
        <f>IF(DATA_MAYO_2025[[#This Row],[RECUPERO]]="","",VLOOKUP(DATA_MAYO_2025[[#This Row],[SUPERVISOR]],$H:$I,2,0))</f>
        <v>20000</v>
      </c>
    </row>
    <row r="118" spans="1:18" x14ac:dyDescent="0.25">
      <c r="A118" t="s">
        <v>9</v>
      </c>
      <c r="B118" t="str">
        <f t="shared" si="3"/>
        <v/>
      </c>
      <c r="E118">
        <f>D1_MAYO[[#This Row],[RECUPERO]]/VLOOKUP(F118,$H:$I,2,0)</f>
        <v>0</v>
      </c>
      <c r="F118" t="str">
        <f>D1_MAYO[[#This Row],[SUPER]]</f>
        <v>LUIS</v>
      </c>
      <c r="L118">
        <v>5</v>
      </c>
      <c r="M118" s="1">
        <f t="shared" si="4"/>
        <v>0.72409999999999997</v>
      </c>
      <c r="N118" t="str" cm="1">
        <f t="array" ref="N118">IFERROR(_xlfn.IFS(M118&gt;100%,"&gt;100%",AND(M118&lt;100%,M118&gt;70%),"&gt;70%",AND(M118&lt;70%,M118&gt;40%),"&gt;40%",AND(M118&lt;40%,M118&gt;0%),"&gt;0%"),"")</f>
        <v>&gt;70%</v>
      </c>
      <c r="O118" t="str">
        <f t="shared" si="5"/>
        <v>GIULIANA QUISPE</v>
      </c>
      <c r="P118" t="str">
        <f>IF(DATA_MAYO_2025[[#This Row],[ASER_]]="","",F112)</f>
        <v>LUIS</v>
      </c>
      <c r="Q118">
        <f>IF(DATA_MAYO_2025[[#This Row],[SUPERVISOR]]="","",D112)</f>
        <v>14482</v>
      </c>
      <c r="R118">
        <f>IF(DATA_MAYO_2025[[#This Row],[RECUPERO]]="","",VLOOKUP(DATA_MAYO_2025[[#This Row],[SUPERVISOR]],$H:$I,2,0))</f>
        <v>20000</v>
      </c>
    </row>
    <row r="119" spans="1:18" x14ac:dyDescent="0.25">
      <c r="A119" t="s">
        <v>9</v>
      </c>
      <c r="B119" t="str">
        <f t="shared" si="3"/>
        <v/>
      </c>
      <c r="E119">
        <f>D1_MAYO[[#This Row],[RECUPERO]]/VLOOKUP(F119,$H:$I,2,0)</f>
        <v>0</v>
      </c>
      <c r="F119" t="str">
        <f>D1_MAYO[[#This Row],[SUPER]]</f>
        <v>LUIS</v>
      </c>
      <c r="L119">
        <v>6</v>
      </c>
      <c r="M119" s="1">
        <f t="shared" si="4"/>
        <v>0.18375</v>
      </c>
      <c r="N119" t="str" cm="1">
        <f t="array" ref="N119">IFERROR(_xlfn.IFS(M119&gt;100%,"&gt;100%",AND(M119&lt;100%,M119&gt;70%),"&gt;70%",AND(M119&lt;70%,M119&gt;40%),"&gt;40%",AND(M119&lt;40%,M119&gt;0%),"&gt;0%"),"")</f>
        <v>&gt;0%</v>
      </c>
      <c r="O119" t="str">
        <f t="shared" si="5"/>
        <v>JANETH PORTOCARRERO</v>
      </c>
      <c r="P119" t="str">
        <f>IF(DATA_MAYO_2025[[#This Row],[ASER_]]="","",F113)</f>
        <v>LUIS</v>
      </c>
      <c r="Q119">
        <f>IF(DATA_MAYO_2025[[#This Row],[SUPERVISOR]]="","",D113)</f>
        <v>3675</v>
      </c>
      <c r="R119">
        <f>IF(DATA_MAYO_2025[[#This Row],[RECUPERO]]="","",VLOOKUP(DATA_MAYO_2025[[#This Row],[SUPERVISOR]],$H:$I,2,0))</f>
        <v>20000</v>
      </c>
    </row>
    <row r="120" spans="1:18" x14ac:dyDescent="0.25">
      <c r="A120" t="s">
        <v>9</v>
      </c>
      <c r="B120" t="str">
        <f t="shared" si="3"/>
        <v/>
      </c>
      <c r="E120">
        <f>D1_MAYO[[#This Row],[RECUPERO]]/VLOOKUP(F120,$H:$I,2,0)</f>
        <v>0</v>
      </c>
      <c r="F120" t="str">
        <f>D1_MAYO[[#This Row],[SUPER]]</f>
        <v>LUIS</v>
      </c>
      <c r="L120">
        <v>7</v>
      </c>
      <c r="M120" s="1">
        <f t="shared" si="4"/>
        <v>0.13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MIRYAM YAPU</v>
      </c>
      <c r="P120" t="str">
        <f>IF(DATA_MAYO_2025[[#This Row],[ASER_]]="","",F114)</f>
        <v>LUIS</v>
      </c>
      <c r="Q120">
        <f>IF(DATA_MAYO_2025[[#This Row],[SUPERVISOR]]="","",D114)</f>
        <v>2600</v>
      </c>
      <c r="R120">
        <f>IF(DATA_MAYO_2025[[#This Row],[RECUPERO]]="","",VLOOKUP(DATA_MAYO_2025[[#This Row],[SUPERVISOR]],$H:$I,2,0))</f>
        <v>20000</v>
      </c>
    </row>
    <row r="121" spans="1:18" x14ac:dyDescent="0.25">
      <c r="A121" t="s">
        <v>9</v>
      </c>
      <c r="B121" t="str">
        <f t="shared" si="3"/>
        <v/>
      </c>
      <c r="E121">
        <f>D1_MAYO[[#This Row],[RECUPERO]]/VLOOKUP(F121,$H:$I,2,0)</f>
        <v>0</v>
      </c>
      <c r="F121" t="str">
        <f>D1_MAYO[[#This Row],[SUPER]]</f>
        <v>LUIS</v>
      </c>
      <c r="L121">
        <v>8</v>
      </c>
      <c r="M121" s="1">
        <f t="shared" si="4"/>
        <v>0.01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RAQUEL RICO</v>
      </c>
      <c r="P121" t="str">
        <f>IF(DATA_MAYO_2025[[#This Row],[ASER_]]="","",F115)</f>
        <v>LUIS</v>
      </c>
      <c r="Q121">
        <f>IF(DATA_MAYO_2025[[#This Row],[SUPERVISOR]]="","",D115)</f>
        <v>200</v>
      </c>
      <c r="R121">
        <f>IF(DATA_MAYO_2025[[#This Row],[RECUPERO]]="","",VLOOKUP(DATA_MAYO_2025[[#This Row],[SUPERVISOR]],$H:$I,2,0))</f>
        <v>20000</v>
      </c>
    </row>
    <row r="122" spans="1:18" x14ac:dyDescent="0.25">
      <c r="A122" t="s">
        <v>9</v>
      </c>
      <c r="B122" t="str">
        <f t="shared" si="3"/>
        <v/>
      </c>
      <c r="E122">
        <f>D1_MAYO[[#This Row],[RECUPERO]]/VLOOKUP(F122,$H:$I,2,0)</f>
        <v>0</v>
      </c>
      <c r="F122" t="str">
        <f>D1_MAYO[[#This Row],[SUPER]]</f>
        <v>LUIS</v>
      </c>
      <c r="L122">
        <v>9</v>
      </c>
      <c r="M122" s="1">
        <f t="shared" si="4"/>
        <v>0.59524650000000001</v>
      </c>
      <c r="N122" t="str" cm="1">
        <f t="array" ref="N122">IFERROR(_xlfn.IFS(M122&gt;100%,"&gt;100%",AND(M122&lt;100%,M122&gt;70%),"&gt;70%",AND(M122&lt;70%,M122&gt;40%),"&gt;40%",AND(M122&lt;40%,M122&gt;0%),"&gt;0%"),"")</f>
        <v>&gt;40%</v>
      </c>
      <c r="O122" t="str">
        <f t="shared" si="5"/>
        <v>SARITA GARAY</v>
      </c>
      <c r="P122" t="str">
        <f>IF(DATA_MAYO_2025[[#This Row],[ASER_]]="","",F116)</f>
        <v>LUIS</v>
      </c>
      <c r="Q122">
        <f>IF(DATA_MAYO_2025[[#This Row],[SUPERVISOR]]="","",D116)</f>
        <v>11904.93</v>
      </c>
      <c r="R122">
        <f>IF(DATA_MAYO_2025[[#This Row],[RECUPERO]]="","",VLOOKUP(DATA_MAYO_2025[[#This Row],[SUPERVISOR]],$H:$I,2,0))</f>
        <v>20000</v>
      </c>
    </row>
    <row r="123" spans="1:18" x14ac:dyDescent="0.25">
      <c r="L123">
        <v>10</v>
      </c>
      <c r="M123" s="1">
        <f t="shared" si="4"/>
        <v>0.39750000000000002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5"/>
        <v>URSULA CENTENO</v>
      </c>
      <c r="P123" t="str">
        <f>IF(DATA_MAYO_2025[[#This Row],[ASER_]]="","",F117)</f>
        <v>LUIS</v>
      </c>
      <c r="Q123">
        <f>IF(DATA_MAYO_2025[[#This Row],[SUPERVISOR]]="","",D117)</f>
        <v>7950</v>
      </c>
      <c r="R123">
        <f>IF(DATA_MAYO_2025[[#This Row],[RECUPERO]]="","",VLOOKUP(DATA_MAYO_2025[[#This Row],[SUPERVISOR]],$H:$I,2,0))</f>
        <v>20000</v>
      </c>
    </row>
    <row r="124" spans="1:18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5"/>
        <v/>
      </c>
      <c r="P124" t="str">
        <f>IF(DATA_MAYO_2025[[#This Row],[ASER_]]="","",F118)</f>
        <v/>
      </c>
      <c r="Q124" t="str">
        <f>IF(DATA_MAYO_2025[[#This Row],[SUPERVISOR]]="","",D118)</f>
        <v/>
      </c>
      <c r="R124" t="str">
        <f>IF(DATA_MAYO_2025[[#This Row],[RECUPERO]]="","",VLOOKUP(DATA_MAYO_2025[[#This Row],[SUPERVISOR]],$H:$I,2,0))</f>
        <v/>
      </c>
    </row>
    <row r="125" spans="1:18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5"/>
        <v/>
      </c>
      <c r="P125" t="str">
        <f>IF(DATA_MAYO_2025[[#This Row],[ASER_]]="","",F119)</f>
        <v/>
      </c>
      <c r="Q125" t="str">
        <f>IF(DATA_MAYO_2025[[#This Row],[SUPERVISOR]]="","",D119)</f>
        <v/>
      </c>
      <c r="R125" t="str">
        <f>IF(DATA_MAYO_2025[[#This Row],[RECUPERO]]="","",VLOOKUP(DATA_MAYO_2025[[#This Row],[SUPERVISOR]],$H:$I,2,0))</f>
        <v/>
      </c>
    </row>
    <row r="126" spans="1:18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5"/>
        <v/>
      </c>
      <c r="P126" t="str">
        <f>IF(DATA_MAYO_2025[[#This Row],[ASER_]]="","",F120)</f>
        <v/>
      </c>
      <c r="Q126" t="str">
        <f>IF(DATA_MAYO_2025[[#This Row],[SUPERVISOR]]="","",D120)</f>
        <v/>
      </c>
      <c r="R126" t="str">
        <f>IF(DATA_MAYO_2025[[#This Row],[RECUPERO]]="","",VLOOKUP(DATA_MAYO_2025[[#This Row],[SUPERVISOR]],$H:$I,2,0))</f>
        <v/>
      </c>
    </row>
    <row r="127" spans="1:18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5"/>
        <v/>
      </c>
      <c r="P127" t="str">
        <f>IF(DATA_MAYO_2025[[#This Row],[ASER_]]="","",F121)</f>
        <v/>
      </c>
      <c r="Q127" t="str">
        <f>IF(DATA_MAYO_2025[[#This Row],[SUPERVISOR]]="","",D121)</f>
        <v/>
      </c>
      <c r="R127" t="str">
        <f>IF(DATA_MAYO_2025[[#This Row],[RECUPERO]]="","",VLOOKUP(DATA_MAYO_2025[[#This Row],[SUPERVISOR]],$H:$I,2,0))</f>
        <v/>
      </c>
    </row>
    <row r="128" spans="1:18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5"/>
        <v/>
      </c>
      <c r="P128" t="str">
        <f>IF(DATA_MAYO_2025[[#This Row],[ASER_]]="","",F122)</f>
        <v/>
      </c>
      <c r="Q128" t="str">
        <f>IF(DATA_MAYO_2025[[#This Row],[SUPERVISOR]]="","",D122)</f>
        <v/>
      </c>
      <c r="R128" t="str">
        <f>IF(DATA_MAYO_2025[[#This Row],[RECUPERO]]="","",VLOOKUP(DATA_MAYO_2025[[#This Row],[SUPERVISOR]],$H:$I,2,0))</f>
        <v/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R128"/>
  <sheetViews>
    <sheetView zoomScale="70" zoomScaleNormal="70" workbookViewId="0">
      <selection activeCell="E3" sqref="E3"/>
    </sheetView>
  </sheetViews>
  <sheetFormatPr baseColWidth="10" defaultRowHeight="15" x14ac:dyDescent="0.25"/>
  <cols>
    <col min="1" max="1" width="13" customWidth="1"/>
    <col min="2" max="3" width="27.28515625" customWidth="1"/>
    <col min="4" max="4" width="17.85546875" customWidth="1"/>
    <col min="5" max="5" width="16" customWidth="1"/>
    <col min="6" max="6" width="14.42578125" customWidth="1"/>
    <col min="7" max="7" width="11.42578125" customWidth="1"/>
    <col min="8" max="8" width="13" customWidth="1"/>
    <col min="9" max="9" width="11.42578125" customWidth="1"/>
    <col min="10" max="10" width="11.28515625" customWidth="1"/>
    <col min="11" max="11" width="11.42578125" customWidth="1"/>
    <col min="12" max="12" width="13.140625" customWidth="1"/>
    <col min="13" max="13" width="16" customWidth="1"/>
    <col min="14" max="14" width="26" customWidth="1"/>
    <col min="15" max="15" width="27.28515625" customWidth="1"/>
    <col min="16" max="16" width="20.28515625" bestFit="1" customWidth="1"/>
  </cols>
  <sheetData>
    <row r="2" spans="1:18" x14ac:dyDescent="0.25">
      <c r="A2" t="s">
        <v>97</v>
      </c>
      <c r="B2" t="s">
        <v>114</v>
      </c>
      <c r="C2" t="s">
        <v>0</v>
      </c>
      <c r="D2" t="s">
        <v>98</v>
      </c>
      <c r="E2" t="s">
        <v>1</v>
      </c>
      <c r="F2" t="s">
        <v>106</v>
      </c>
      <c r="H2" t="s">
        <v>97</v>
      </c>
      <c r="I2" t="s">
        <v>93</v>
      </c>
    </row>
    <row r="3" spans="1:18" x14ac:dyDescent="0.25">
      <c r="A3" t="s">
        <v>3</v>
      </c>
      <c r="B3" t="str">
        <f>TRIM(C3)</f>
        <v>LISELY MERA</v>
      </c>
      <c r="C3" t="s">
        <v>23</v>
      </c>
      <c r="D3">
        <v>82199</v>
      </c>
      <c r="E3">
        <f>D1_JUNIO[[#This Row],[RECUPERO]]/VLOOKUP(F3,$H:$I,2,0)</f>
        <v>1.2645999999999999</v>
      </c>
      <c r="F3" t="str">
        <f>D1_JUNIO[[#This Row],[SUPER]]</f>
        <v>SANDY</v>
      </c>
      <c r="H3" t="s">
        <v>3</v>
      </c>
      <c r="I3">
        <v>65000</v>
      </c>
    </row>
    <row r="4" spans="1:18" x14ac:dyDescent="0.25">
      <c r="A4" t="s">
        <v>3</v>
      </c>
      <c r="B4" t="str">
        <f t="shared" ref="B4:B67" si="0">TRIM(C4)</f>
        <v>EVELY TENORIO</v>
      </c>
      <c r="C4" t="s">
        <v>22</v>
      </c>
      <c r="D4">
        <v>43932.800000000003</v>
      </c>
      <c r="E4">
        <f>D1_JUNIO[[#This Row],[RECUPERO]]/VLOOKUP(F4,$H:$I,2,0)</f>
        <v>0.6758892307692308</v>
      </c>
      <c r="F4" t="str">
        <f>D1_JUNIO[[#This Row],[SUPER]]</f>
        <v>SANDY</v>
      </c>
      <c r="H4" t="s">
        <v>4</v>
      </c>
      <c r="I4">
        <v>65000</v>
      </c>
    </row>
    <row r="5" spans="1:18" x14ac:dyDescent="0.35">
      <c r="A5" t="s">
        <v>3</v>
      </c>
      <c r="B5" t="str">
        <f t="shared" si="0"/>
        <v>JENNY LAZARO</v>
      </c>
      <c r="C5" t="s">
        <v>115</v>
      </c>
      <c r="D5">
        <v>42604</v>
      </c>
      <c r="E5">
        <f>D1_JUNIO[[#This Row],[RECUPERO]]/VLOOKUP(F5,$H:$I,2,0)</f>
        <v>0.6554461538461539</v>
      </c>
      <c r="F5" t="str">
        <f>D1_JUNIO[[#This Row],[SUPER]]</f>
        <v>SANDY</v>
      </c>
      <c r="H5" t="s">
        <v>2</v>
      </c>
      <c r="I5">
        <v>65000</v>
      </c>
    </row>
    <row r="6" spans="1:18" x14ac:dyDescent="0.25">
      <c r="A6" t="s">
        <v>3</v>
      </c>
      <c r="B6" t="str">
        <f t="shared" si="0"/>
        <v>MALORY MONTEBLANCO</v>
      </c>
      <c r="C6" t="s">
        <v>25</v>
      </c>
      <c r="D6">
        <v>41621</v>
      </c>
      <c r="E6">
        <f>D1_JUNIO[[#This Row],[RECUPERO]]/VLOOKUP(F6,$H:$I,2,0)</f>
        <v>0.64032307692307688</v>
      </c>
      <c r="F6" t="str">
        <f>D1_JUNIO[[#This Row],[SUPER]]</f>
        <v>SANDY</v>
      </c>
      <c r="H6" t="s">
        <v>5</v>
      </c>
      <c r="I6">
        <v>65000</v>
      </c>
    </row>
    <row r="7" spans="1:18" x14ac:dyDescent="0.25">
      <c r="A7" t="s">
        <v>3</v>
      </c>
      <c r="B7" t="str">
        <f t="shared" si="0"/>
        <v>VICTOR RAMIREZ</v>
      </c>
      <c r="C7" t="s">
        <v>76</v>
      </c>
      <c r="D7">
        <v>40145</v>
      </c>
      <c r="E7">
        <f>D1_JUNIO[[#This Row],[RECUPERO]]/VLOOKUP(F7,$H:$I,2,0)</f>
        <v>0.61761538461538457</v>
      </c>
      <c r="F7" t="str">
        <f>D1_JUNIO[[#This Row],[SUPER]]</f>
        <v>SANDY</v>
      </c>
      <c r="H7" t="s">
        <v>6</v>
      </c>
      <c r="I7">
        <v>30500</v>
      </c>
    </row>
    <row r="8" spans="1:18" x14ac:dyDescent="0.25">
      <c r="A8" t="s">
        <v>3</v>
      </c>
      <c r="B8" t="str">
        <f t="shared" si="0"/>
        <v>ALEJANDRO GONZALES</v>
      </c>
      <c r="C8" t="s">
        <v>116</v>
      </c>
      <c r="D8">
        <v>35399</v>
      </c>
      <c r="E8">
        <f>D1_JUNIO[[#This Row],[RECUPERO]]/VLOOKUP(F8,$H:$I,2,0)</f>
        <v>0.54459999999999997</v>
      </c>
      <c r="F8" t="str">
        <f>D1_JUNIO[[#This Row],[SUPER]]</f>
        <v>SANDY</v>
      </c>
      <c r="H8" t="s">
        <v>7</v>
      </c>
      <c r="I8">
        <v>14999.999999999998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t="s">
        <v>3</v>
      </c>
      <c r="B9" t="str">
        <f t="shared" si="0"/>
        <v>MICHAEL TAFUR</v>
      </c>
      <c r="C9" t="s">
        <v>112</v>
      </c>
      <c r="D9">
        <v>21650</v>
      </c>
      <c r="E9">
        <f>D1_JUNIO[[#This Row],[RECUPERO]]/VLOOKUP(F9,$H:$I,2,0)</f>
        <v>0.3330769230769231</v>
      </c>
      <c r="F9" t="str">
        <f>D1_JUNIO[[#This Row],[SUPER]]</f>
        <v>SANDY</v>
      </c>
      <c r="H9" t="s">
        <v>8</v>
      </c>
      <c r="I9">
        <v>15000.000000000002</v>
      </c>
      <c r="L9">
        <v>1</v>
      </c>
      <c r="M9" s="1">
        <f>E3</f>
        <v>1.2645999999999999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LISELY MERA</v>
      </c>
      <c r="P9" t="str">
        <f>IF(DATA_JUNIO_2025[[#This Row],[ASER_]]="","",F3)</f>
        <v>SANDY</v>
      </c>
      <c r="Q9">
        <f>IF(DATA_JUNIO_2025[[#This Row],[SUPERVISOR]]="","",D3)</f>
        <v>82199</v>
      </c>
      <c r="R9">
        <f>IF(DATA_JUNIO_2025[[#This Row],[RECUPERO]]="","",VLOOKUP(DATA_JUNIO_2025[[#This Row],[SUPERVISOR]],$H:$I,2,0))</f>
        <v>65000</v>
      </c>
    </row>
    <row r="10" spans="1:18" x14ac:dyDescent="0.25">
      <c r="A10" t="s">
        <v>3</v>
      </c>
      <c r="B10" t="str">
        <f t="shared" si="0"/>
        <v>ANABEL SIHUE</v>
      </c>
      <c r="C10" t="s">
        <v>54</v>
      </c>
      <c r="D10">
        <v>14000</v>
      </c>
      <c r="E10">
        <f>D1_JUNIO[[#This Row],[RECUPERO]]/VLOOKUP(F10,$H:$I,2,0)</f>
        <v>0.2153846153846154</v>
      </c>
      <c r="F10" t="str">
        <f>D1_JUNIO[[#This Row],[SUPER]]</f>
        <v>SANDY</v>
      </c>
      <c r="H10" t="s">
        <v>9</v>
      </c>
      <c r="I10">
        <v>15000</v>
      </c>
      <c r="L10">
        <v>2</v>
      </c>
      <c r="M10" s="1">
        <f t="shared" ref="M10:M73" si="1">E4</f>
        <v>0.6758892307692308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ref="O10:O73" si="2">B4</f>
        <v>EVELY TENORIO</v>
      </c>
      <c r="P10" t="str">
        <f>IF(DATA_JUNIO_2025[[#This Row],[ASER_]]="","",F4)</f>
        <v>SANDY</v>
      </c>
      <c r="Q10">
        <f>IF(DATA_JUNIO_2025[[#This Row],[SUPERVISOR]]="","",D4)</f>
        <v>43932.800000000003</v>
      </c>
      <c r="R10">
        <f>IF(DATA_JUNIO_2025[[#This Row],[RECUPERO]]="","",VLOOKUP(DATA_JUNIO_2025[[#This Row],[SUPERVISOR]],$H:$I,2,0))</f>
        <v>65000</v>
      </c>
    </row>
    <row r="11" spans="1:18" x14ac:dyDescent="0.25">
      <c r="A11" t="s">
        <v>3</v>
      </c>
      <c r="B11" t="str">
        <f t="shared" si="0"/>
        <v>CHRISTIAN ALBUJAR</v>
      </c>
      <c r="C11" t="s">
        <v>53</v>
      </c>
      <c r="D11">
        <v>9848</v>
      </c>
      <c r="E11">
        <f>D1_JUNIO[[#This Row],[RECUPERO]]/VLOOKUP(F11,$H:$I,2,0)</f>
        <v>0.15150769230769232</v>
      </c>
      <c r="F11" t="str">
        <f>D1_JUNIO[[#This Row],[SUPER]]</f>
        <v>SANDY</v>
      </c>
      <c r="L11">
        <v>3</v>
      </c>
      <c r="M11" s="1">
        <f t="shared" si="1"/>
        <v>0.6554461538461539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2"/>
        <v>JENNY LAZARO</v>
      </c>
      <c r="P11" t="str">
        <f>IF(DATA_JUNIO_2025[[#This Row],[ASER_]]="","",F5)</f>
        <v>SANDY</v>
      </c>
      <c r="Q11">
        <f>IF(DATA_JUNIO_2025[[#This Row],[SUPERVISOR]]="","",D5)</f>
        <v>42604</v>
      </c>
      <c r="R11">
        <f>IF(DATA_JUNIO_2025[[#This Row],[RECUPERO]]="","",VLOOKUP(DATA_JUNIO_2025[[#This Row],[SUPERVISOR]],$H:$I,2,0))</f>
        <v>65000</v>
      </c>
    </row>
    <row r="12" spans="1:18" x14ac:dyDescent="0.25">
      <c r="A12" t="s">
        <v>3</v>
      </c>
      <c r="B12" t="str">
        <f t="shared" si="0"/>
        <v/>
      </c>
      <c r="E12">
        <f>D1_JUNIO[[#This Row],[RECUPERO]]/VLOOKUP(F12,$H:$I,2,0)</f>
        <v>0</v>
      </c>
      <c r="F12" t="str">
        <f>D1_JUNIO[[#This Row],[SUPER]]</f>
        <v>SANDY</v>
      </c>
      <c r="L12">
        <v>4</v>
      </c>
      <c r="M12" s="1">
        <f t="shared" si="1"/>
        <v>0.64032307692307688</v>
      </c>
      <c r="N12" t="str" cm="1">
        <f t="array" ref="N12">IFERROR(_xlfn.IFS(M12&gt;100%,"&gt;100%",AND(M12&lt;100%,M12&gt;70%),"&gt;70%",AND(M12&lt;70%,M12&gt;40%),"&gt;40%",AND(M12&lt;40%,M12&gt;0%),"&gt;0%"),"")</f>
        <v>&gt;40%</v>
      </c>
      <c r="O12" t="str">
        <f t="shared" si="2"/>
        <v>MALORY MONTEBLANCO</v>
      </c>
      <c r="P12" t="str">
        <f>IF(DATA_JUNIO_2025[[#This Row],[ASER_]]="","",F6)</f>
        <v>SANDY</v>
      </c>
      <c r="Q12">
        <f>IF(DATA_JUNIO_2025[[#This Row],[SUPERVISOR]]="","",D6)</f>
        <v>41621</v>
      </c>
      <c r="R12">
        <f>IF(DATA_JUNIO_2025[[#This Row],[RECUPERO]]="","",VLOOKUP(DATA_JUNIO_2025[[#This Row],[SUPERVISOR]],$H:$I,2,0))</f>
        <v>65000</v>
      </c>
    </row>
    <row r="13" spans="1:18" x14ac:dyDescent="0.25">
      <c r="A13" t="s">
        <v>3</v>
      </c>
      <c r="B13" t="str">
        <f t="shared" si="0"/>
        <v/>
      </c>
      <c r="E13">
        <f>D1_JUNIO[[#This Row],[RECUPERO]]/VLOOKUP(F13,$H:$I,2,0)</f>
        <v>0</v>
      </c>
      <c r="F13" t="str">
        <f>D1_JUNIO[[#This Row],[SUPER]]</f>
        <v>SANDY</v>
      </c>
      <c r="L13">
        <v>5</v>
      </c>
      <c r="M13" s="1">
        <f t="shared" si="1"/>
        <v>0.61761538461538457</v>
      </c>
      <c r="N13" t="str" cm="1">
        <f t="array" ref="N13">IFERROR(_xlfn.IFS(M13&gt;100%,"&gt;100%",AND(M13&lt;100%,M13&gt;70%),"&gt;70%",AND(M13&lt;70%,M13&gt;40%),"&gt;40%",AND(M13&lt;40%,M13&gt;0%),"&gt;0%"),"")</f>
        <v>&gt;40%</v>
      </c>
      <c r="O13" t="str">
        <f t="shared" si="2"/>
        <v>VICTOR RAMIREZ</v>
      </c>
      <c r="P13" t="str">
        <f>IF(DATA_JUNIO_2025[[#This Row],[ASER_]]="","",F7)</f>
        <v>SANDY</v>
      </c>
      <c r="Q13">
        <f>IF(DATA_JUNIO_2025[[#This Row],[SUPERVISOR]]="","",D7)</f>
        <v>40145</v>
      </c>
      <c r="R13">
        <f>IF(DATA_JUNIO_2025[[#This Row],[RECUPERO]]="","",VLOOKUP(DATA_JUNIO_2025[[#This Row],[SUPERVISOR]],$H:$I,2,0))</f>
        <v>65000</v>
      </c>
    </row>
    <row r="14" spans="1:18" x14ac:dyDescent="0.25">
      <c r="A14" t="s">
        <v>3</v>
      </c>
      <c r="B14" t="str">
        <f t="shared" si="0"/>
        <v/>
      </c>
      <c r="E14">
        <f>D1_JUNIO[[#This Row],[RECUPERO]]/VLOOKUP(F14,$H:$I,2,0)</f>
        <v>0</v>
      </c>
      <c r="F14" t="str">
        <f>D1_JUNIO[[#This Row],[SUPER]]</f>
        <v>SANDY</v>
      </c>
      <c r="H14" s="11"/>
      <c r="L14">
        <v>6</v>
      </c>
      <c r="M14" s="1">
        <f t="shared" si="1"/>
        <v>0.54459999999999997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2"/>
        <v>ALEJANDRO GONZALES</v>
      </c>
      <c r="P14" t="str">
        <f>IF(DATA_JUNIO_2025[[#This Row],[ASER_]]="","",F8)</f>
        <v>SANDY</v>
      </c>
      <c r="Q14">
        <f>IF(DATA_JUNIO_2025[[#This Row],[SUPERVISOR]]="","",D8)</f>
        <v>35399</v>
      </c>
      <c r="R14">
        <f>IF(DATA_JUNIO_2025[[#This Row],[RECUPERO]]="","",VLOOKUP(DATA_JUNIO_2025[[#This Row],[SUPERVISOR]],$H:$I,2,0))</f>
        <v>65000</v>
      </c>
    </row>
    <row r="15" spans="1:18" x14ac:dyDescent="0.25">
      <c r="A15" t="s">
        <v>3</v>
      </c>
      <c r="B15" t="str">
        <f t="shared" si="0"/>
        <v/>
      </c>
      <c r="E15">
        <f>D1_JUNIO[[#This Row],[RECUPERO]]/VLOOKUP(F15,$H:$I,2,0)</f>
        <v>0</v>
      </c>
      <c r="F15" t="str">
        <f>D1_JUNIO[[#This Row],[SUPER]]</f>
        <v>SANDY</v>
      </c>
      <c r="H15" s="11"/>
      <c r="L15">
        <v>7</v>
      </c>
      <c r="M15" s="1">
        <f t="shared" si="1"/>
        <v>0.3330769230769231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2"/>
        <v>MICHAEL TAFUR</v>
      </c>
      <c r="P15" t="str">
        <f>IF(DATA_JUNIO_2025[[#This Row],[ASER_]]="","",F9)</f>
        <v>SANDY</v>
      </c>
      <c r="Q15">
        <f>IF(DATA_JUNIO_2025[[#This Row],[SUPERVISOR]]="","",D9)</f>
        <v>21650</v>
      </c>
      <c r="R15">
        <f>IF(DATA_JUNIO_2025[[#This Row],[RECUPERO]]="","",VLOOKUP(DATA_JUNIO_2025[[#This Row],[SUPERVISOR]],$H:$I,2,0))</f>
        <v>65000</v>
      </c>
    </row>
    <row r="16" spans="1:18" x14ac:dyDescent="0.25">
      <c r="A16" t="s">
        <v>3</v>
      </c>
      <c r="B16" t="str">
        <f t="shared" si="0"/>
        <v/>
      </c>
      <c r="E16">
        <f>D1_JUNIO[[#This Row],[RECUPERO]]/VLOOKUP(F16,$H:$I,2,0)</f>
        <v>0</v>
      </c>
      <c r="F16" t="str">
        <f>D1_JUNIO[[#This Row],[SUPER]]</f>
        <v>SANDY</v>
      </c>
      <c r="L16">
        <v>8</v>
      </c>
      <c r="M16" s="1">
        <f t="shared" si="1"/>
        <v>0.2153846153846154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2"/>
        <v>ANABEL SIHUE</v>
      </c>
      <c r="P16" t="str">
        <f>IF(DATA_JUNIO_2025[[#This Row],[ASER_]]="","",F10)</f>
        <v>SANDY</v>
      </c>
      <c r="Q16">
        <f>IF(DATA_JUNIO_2025[[#This Row],[SUPERVISOR]]="","",D10)</f>
        <v>14000</v>
      </c>
      <c r="R16">
        <f>IF(DATA_JUNIO_2025[[#This Row],[RECUPERO]]="","",VLOOKUP(DATA_JUNIO_2025[[#This Row],[SUPERVISOR]],$H:$I,2,0))</f>
        <v>65000</v>
      </c>
    </row>
    <row r="17" spans="1:18" x14ac:dyDescent="0.25">
      <c r="A17" t="s">
        <v>3</v>
      </c>
      <c r="B17" t="str">
        <f t="shared" si="0"/>
        <v/>
      </c>
      <c r="E17">
        <f>D1_JUNIO[[#This Row],[RECUPERO]]/VLOOKUP(F17,$H:$I,2,0)</f>
        <v>0</v>
      </c>
      <c r="F17" t="str">
        <f>D1_JUNIO[[#This Row],[SUPER]]</f>
        <v>SANDY</v>
      </c>
      <c r="L17">
        <v>9</v>
      </c>
      <c r="M17" s="1">
        <f t="shared" si="1"/>
        <v>0.15150769230769232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2"/>
        <v>CHRISTIAN ALBUJAR</v>
      </c>
      <c r="P17" t="str">
        <f>IF(DATA_JUNIO_2025[[#This Row],[ASER_]]="","",F11)</f>
        <v>SANDY</v>
      </c>
      <c r="Q17">
        <f>IF(DATA_JUNIO_2025[[#This Row],[SUPERVISOR]]="","",D11)</f>
        <v>9848</v>
      </c>
      <c r="R17">
        <f>IF(DATA_JUNIO_2025[[#This Row],[RECUPERO]]="","",VLOOKUP(DATA_JUNIO_2025[[#This Row],[SUPERVISOR]],$H:$I,2,0))</f>
        <v>65000</v>
      </c>
    </row>
    <row r="18" spans="1:18" x14ac:dyDescent="0.25">
      <c r="A18" t="s">
        <v>4</v>
      </c>
      <c r="B18" t="str">
        <f t="shared" si="0"/>
        <v>PIERINA TESEN</v>
      </c>
      <c r="C18" t="s">
        <v>59</v>
      </c>
      <c r="D18">
        <v>99180.58</v>
      </c>
      <c r="E18">
        <f>D1_JUNIO[[#This Row],[RECUPERO]]/VLOOKUP(F18,$H:$I,2,0)</f>
        <v>1.525855076923077</v>
      </c>
      <c r="F18" t="str">
        <f>D1_JUNIO[[#This Row],[SUPER]]</f>
        <v>MELINA</v>
      </c>
      <c r="L18">
        <v>10</v>
      </c>
      <c r="M18" s="1">
        <f t="shared" si="1"/>
        <v>0</v>
      </c>
      <c r="N18" t="str" cm="1">
        <f t="array" ref="N18">IFERROR(_xlfn.IFS(M18&gt;100%,"&gt;100%",AND(M18&lt;100%,M18&gt;70%),"&gt;70%",AND(M18&lt;70%,M18&gt;40%),"&gt;40%",AND(M18&lt;40%,M18&gt;0%),"&gt;0%"),"")</f>
        <v/>
      </c>
      <c r="O18" t="str">
        <f t="shared" si="2"/>
        <v/>
      </c>
      <c r="P18" t="str">
        <f>IF(DATA_JUNIO_2025[[#This Row],[ASER_]]="","",F12)</f>
        <v/>
      </c>
      <c r="Q18" t="str">
        <f>IF(DATA_JUNIO_2025[[#This Row],[SUPERVISOR]]="","",D12)</f>
        <v/>
      </c>
      <c r="R18" t="str">
        <f>IF(DATA_JUNIO_2025[[#This Row],[RECUPERO]]="","",VLOOKUP(DATA_JUNIO_2025[[#This Row],[SUPERVISOR]],$H:$I,2,0))</f>
        <v/>
      </c>
    </row>
    <row r="19" spans="1:18" x14ac:dyDescent="0.25">
      <c r="A19" t="s">
        <v>4</v>
      </c>
      <c r="B19" t="str">
        <f t="shared" si="0"/>
        <v>CRISTINA TICONA</v>
      </c>
      <c r="C19" t="s">
        <v>61</v>
      </c>
      <c r="D19">
        <v>91563.63</v>
      </c>
      <c r="E19">
        <f>D1_JUNIO[[#This Row],[RECUPERO]]/VLOOKUP(F19,$H:$I,2,0)</f>
        <v>1.4086712307692308</v>
      </c>
      <c r="F19" t="str">
        <f>D1_JUNIO[[#This Row],[SUPER]]</f>
        <v>MELINA</v>
      </c>
      <c r="L19">
        <v>11</v>
      </c>
      <c r="M19" s="1">
        <f t="shared" si="1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2"/>
        <v/>
      </c>
      <c r="P19" t="str">
        <f>IF(DATA_JUNIO_2025[[#This Row],[ASER_]]="","",F13)</f>
        <v/>
      </c>
      <c r="Q19" t="str">
        <f>IF(DATA_JUNIO_2025[[#This Row],[SUPERVISOR]]="","",D13)</f>
        <v/>
      </c>
      <c r="R19" t="str">
        <f>IF(DATA_JUNIO_2025[[#This Row],[RECUPERO]]="","",VLOOKUP(DATA_JUNIO_2025[[#This Row],[SUPERVISOR]],$H:$I,2,0))</f>
        <v/>
      </c>
    </row>
    <row r="20" spans="1:18" x14ac:dyDescent="0.25">
      <c r="A20" t="s">
        <v>4</v>
      </c>
      <c r="B20" t="str">
        <f t="shared" si="0"/>
        <v>MARIA TINTAYA</v>
      </c>
      <c r="C20" t="s">
        <v>75</v>
      </c>
      <c r="D20">
        <v>85181</v>
      </c>
      <c r="E20">
        <f>D1_JUNIO[[#This Row],[RECUPERO]]/VLOOKUP(F20,$H:$I,2,0)</f>
        <v>1.3104769230769231</v>
      </c>
      <c r="F20" t="str">
        <f>D1_JUNIO[[#This Row],[SUPER]]</f>
        <v>MELINA</v>
      </c>
      <c r="L20">
        <v>12</v>
      </c>
      <c r="M20" s="1">
        <f t="shared" si="1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2"/>
        <v/>
      </c>
      <c r="P20" t="str">
        <f>IF(DATA_JUNIO_2025[[#This Row],[ASER_]]="","",F14)</f>
        <v/>
      </c>
      <c r="Q20" t="str">
        <f>IF(DATA_JUNIO_2025[[#This Row],[SUPERVISOR]]="","",D14)</f>
        <v/>
      </c>
      <c r="R20" t="str">
        <f>IF(DATA_JUNIO_2025[[#This Row],[RECUPERO]]="","",VLOOKUP(DATA_JUNIO_2025[[#This Row],[SUPERVISOR]],$H:$I,2,0))</f>
        <v/>
      </c>
    </row>
    <row r="21" spans="1:18" x14ac:dyDescent="0.25">
      <c r="A21" t="s">
        <v>4</v>
      </c>
      <c r="B21" t="str">
        <f t="shared" si="0"/>
        <v>JAIR MARTINEZ</v>
      </c>
      <c r="C21" t="s">
        <v>57</v>
      </c>
      <c r="D21">
        <v>76903</v>
      </c>
      <c r="E21">
        <f>D1_JUNIO[[#This Row],[RECUPERO]]/VLOOKUP(F21,$H:$I,2,0)</f>
        <v>1.1831230769230769</v>
      </c>
      <c r="F21" t="str">
        <f>D1_JUNIO[[#This Row],[SUPER]]</f>
        <v>MELINA</v>
      </c>
      <c r="L21">
        <v>13</v>
      </c>
      <c r="M21" s="1">
        <f t="shared" si="1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2"/>
        <v/>
      </c>
      <c r="P21" t="str">
        <f>IF(DATA_JUNIO_2025[[#This Row],[ASER_]]="","",F15)</f>
        <v/>
      </c>
      <c r="Q21" t="str">
        <f>IF(DATA_JUNIO_2025[[#This Row],[SUPERVISOR]]="","",D15)</f>
        <v/>
      </c>
      <c r="R21" t="str">
        <f>IF(DATA_JUNIO_2025[[#This Row],[RECUPERO]]="","",VLOOKUP(DATA_JUNIO_2025[[#This Row],[SUPERVISOR]],$H:$I,2,0))</f>
        <v/>
      </c>
    </row>
    <row r="22" spans="1:18" x14ac:dyDescent="0.25">
      <c r="A22" t="s">
        <v>4</v>
      </c>
      <c r="B22" t="str">
        <f t="shared" si="0"/>
        <v>JHONATAN CHAVEZ</v>
      </c>
      <c r="C22" t="s">
        <v>65</v>
      </c>
      <c r="D22">
        <v>60423</v>
      </c>
      <c r="E22">
        <f>D1_JUNIO[[#This Row],[RECUPERO]]/VLOOKUP(F22,$H:$I,2,0)</f>
        <v>0.92958461538461534</v>
      </c>
      <c r="F22" t="str">
        <f>D1_JUNIO[[#This Row],[SUPER]]</f>
        <v>MELINA</v>
      </c>
      <c r="L22">
        <v>14</v>
      </c>
      <c r="M22" s="1">
        <f t="shared" si="1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2"/>
        <v/>
      </c>
      <c r="P22" t="str">
        <f>IF(DATA_JUNIO_2025[[#This Row],[ASER_]]="","",F16)</f>
        <v/>
      </c>
      <c r="Q22" t="str">
        <f>IF(DATA_JUNIO_2025[[#This Row],[SUPERVISOR]]="","",D16)</f>
        <v/>
      </c>
      <c r="R22" t="str">
        <f>IF(DATA_JUNIO_2025[[#This Row],[RECUPERO]]="","",VLOOKUP(DATA_JUNIO_2025[[#This Row],[SUPERVISOR]],$H:$I,2,0))</f>
        <v/>
      </c>
    </row>
    <row r="23" spans="1:18" x14ac:dyDescent="0.25">
      <c r="A23" t="s">
        <v>4</v>
      </c>
      <c r="B23" t="str">
        <f t="shared" si="0"/>
        <v>MELISSA GUERRERO</v>
      </c>
      <c r="C23" t="s">
        <v>62</v>
      </c>
      <c r="D23">
        <v>25098</v>
      </c>
      <c r="E23">
        <f>D1_JUNIO[[#This Row],[RECUPERO]]/VLOOKUP(F23,$H:$I,2,0)</f>
        <v>0.3861230769230769</v>
      </c>
      <c r="F23" t="str">
        <f>D1_JUNIO[[#This Row],[SUPER]]</f>
        <v>MELINA</v>
      </c>
      <c r="L23">
        <v>15</v>
      </c>
      <c r="M23" s="1">
        <f t="shared" si="1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2"/>
        <v/>
      </c>
      <c r="P23" t="str">
        <f>IF(DATA_JUNIO_2025[[#This Row],[ASER_]]="","",F17)</f>
        <v/>
      </c>
      <c r="Q23" t="str">
        <f>IF(DATA_JUNIO_2025[[#This Row],[SUPERVISOR]]="","",D17)</f>
        <v/>
      </c>
      <c r="R23" t="str">
        <f>IF(DATA_JUNIO_2025[[#This Row],[RECUPERO]]="","",VLOOKUP(DATA_JUNIO_2025[[#This Row],[SUPERVISOR]],$H:$I,2,0))</f>
        <v/>
      </c>
    </row>
    <row r="24" spans="1:18" x14ac:dyDescent="0.25">
      <c r="A24" t="s">
        <v>4</v>
      </c>
      <c r="B24" t="str">
        <f t="shared" si="0"/>
        <v>RICHARD RODRIGUEZ</v>
      </c>
      <c r="C24" t="s">
        <v>63</v>
      </c>
      <c r="D24">
        <v>13635</v>
      </c>
      <c r="E24">
        <f>D1_JUNIO[[#This Row],[RECUPERO]]/VLOOKUP(F24,$H:$I,2,0)</f>
        <v>0.20976923076923076</v>
      </c>
      <c r="F24" t="str">
        <f>D1_JUNIO[[#This Row],[SUPER]]</f>
        <v>MELINA</v>
      </c>
      <c r="L24">
        <v>1</v>
      </c>
      <c r="M24" s="1">
        <f t="shared" si="1"/>
        <v>1.525855076923077</v>
      </c>
      <c r="N24" t="str" cm="1">
        <f t="array" ref="N24">IFERROR(_xlfn.IFS(M24&gt;100%,"&gt;100%",AND(M24&lt;100%,M24&gt;70%),"&gt;70%",AND(M24&lt;70%,M24&gt;40%),"&gt;40%",AND(M24&lt;40%,M24&gt;0%),"&gt;0%"),"")</f>
        <v>&gt;100%</v>
      </c>
      <c r="O24" t="str">
        <f t="shared" si="2"/>
        <v>PIERINA TESEN</v>
      </c>
      <c r="P24" t="str">
        <f>IF(DATA_JUNIO_2025[[#This Row],[ASER_]]="","",F18)</f>
        <v>MELINA</v>
      </c>
      <c r="Q24">
        <f>IF(DATA_JUNIO_2025[[#This Row],[SUPERVISOR]]="","",D18)</f>
        <v>99180.58</v>
      </c>
      <c r="R24">
        <f>IF(DATA_JUNIO_2025[[#This Row],[RECUPERO]]="","",VLOOKUP(DATA_JUNIO_2025[[#This Row],[SUPERVISOR]],$H:$I,2,0))</f>
        <v>65000</v>
      </c>
    </row>
    <row r="25" spans="1:18" x14ac:dyDescent="0.25">
      <c r="A25" t="s">
        <v>4</v>
      </c>
      <c r="B25" t="str">
        <f t="shared" si="0"/>
        <v>MICAELA PEREZ</v>
      </c>
      <c r="C25" t="s">
        <v>64</v>
      </c>
      <c r="D25">
        <v>7929</v>
      </c>
      <c r="E25">
        <f>D1_JUNIO[[#This Row],[RECUPERO]]/VLOOKUP(F25,$H:$I,2,0)</f>
        <v>0.12198461538461539</v>
      </c>
      <c r="F25" t="str">
        <f>D1_JUNIO[[#This Row],[SUPER]]</f>
        <v>MELINA</v>
      </c>
      <c r="L25">
        <v>2</v>
      </c>
      <c r="M25" s="1">
        <f t="shared" si="1"/>
        <v>1.4086712307692308</v>
      </c>
      <c r="N25" t="str" cm="1">
        <f t="array" ref="N25">IFERROR(_xlfn.IFS(M25&gt;100%,"&gt;100%",AND(M25&lt;100%,M25&gt;70%),"&gt;70%",AND(M25&lt;70%,M25&gt;40%),"&gt;40%",AND(M25&lt;40%,M25&gt;0%),"&gt;0%"),"")</f>
        <v>&gt;100%</v>
      </c>
      <c r="O25" t="str">
        <f t="shared" si="2"/>
        <v>CRISTINA TICONA</v>
      </c>
      <c r="P25" t="str">
        <f>IF(DATA_JUNIO_2025[[#This Row],[ASER_]]="","",F19)</f>
        <v>MELINA</v>
      </c>
      <c r="Q25">
        <f>IF(DATA_JUNIO_2025[[#This Row],[SUPERVISOR]]="","",D19)</f>
        <v>91563.63</v>
      </c>
      <c r="R25">
        <f>IF(DATA_JUNIO_2025[[#This Row],[RECUPERO]]="","",VLOOKUP(DATA_JUNIO_2025[[#This Row],[SUPERVISOR]],$H:$I,2,0))</f>
        <v>65000</v>
      </c>
    </row>
    <row r="26" spans="1:18" x14ac:dyDescent="0.25">
      <c r="A26" t="s">
        <v>4</v>
      </c>
      <c r="B26" t="str">
        <f t="shared" si="0"/>
        <v>CINTHYA PAUCAR</v>
      </c>
      <c r="C26" t="s">
        <v>82</v>
      </c>
      <c r="D26">
        <v>7790</v>
      </c>
      <c r="E26">
        <f>D1_JUNIO[[#This Row],[RECUPERO]]/VLOOKUP(F26,$H:$I,2,0)</f>
        <v>0.11984615384615385</v>
      </c>
      <c r="F26" t="str">
        <f>D1_JUNIO[[#This Row],[SUPER]]</f>
        <v>MELINA</v>
      </c>
      <c r="L26">
        <v>3</v>
      </c>
      <c r="M26" s="1">
        <f t="shared" si="1"/>
        <v>1.3104769230769231</v>
      </c>
      <c r="N26" t="str" cm="1">
        <f t="array" ref="N26">IFERROR(_xlfn.IFS(M26&gt;100%,"&gt;100%",AND(M26&lt;100%,M26&gt;70%),"&gt;70%",AND(M26&lt;70%,M26&gt;40%),"&gt;40%",AND(M26&lt;40%,M26&gt;0%),"&gt;0%"),"")</f>
        <v>&gt;100%</v>
      </c>
      <c r="O26" t="str">
        <f t="shared" si="2"/>
        <v>MARIA TINTAYA</v>
      </c>
      <c r="P26" t="str">
        <f>IF(DATA_JUNIO_2025[[#This Row],[ASER_]]="","",F20)</f>
        <v>MELINA</v>
      </c>
      <c r="Q26">
        <f>IF(DATA_JUNIO_2025[[#This Row],[SUPERVISOR]]="","",D20)</f>
        <v>85181</v>
      </c>
      <c r="R26">
        <f>IF(DATA_JUNIO_2025[[#This Row],[RECUPERO]]="","",VLOOKUP(DATA_JUNIO_2025[[#This Row],[SUPERVISOR]],$H:$I,2,0))</f>
        <v>65000</v>
      </c>
    </row>
    <row r="27" spans="1:18" x14ac:dyDescent="0.25">
      <c r="A27" t="s">
        <v>4</v>
      </c>
      <c r="B27" t="str">
        <f t="shared" si="0"/>
        <v/>
      </c>
      <c r="E27">
        <f>D1_JUNIO[[#This Row],[RECUPERO]]/VLOOKUP(F27,$H:$I,2,0)</f>
        <v>0</v>
      </c>
      <c r="F27" t="str">
        <f>D1_JUNIO[[#This Row],[SUPER]]</f>
        <v>MELINA</v>
      </c>
      <c r="L27">
        <v>4</v>
      </c>
      <c r="M27" s="1">
        <f t="shared" si="1"/>
        <v>1.1831230769230769</v>
      </c>
      <c r="N27" t="str" cm="1">
        <f t="array" ref="N27">IFERROR(_xlfn.IFS(M27&gt;100%,"&gt;100%",AND(M27&lt;100%,M27&gt;70%),"&gt;70%",AND(M27&lt;70%,M27&gt;40%),"&gt;40%",AND(M27&lt;40%,M27&gt;0%),"&gt;0%"),"")</f>
        <v>&gt;100%</v>
      </c>
      <c r="O27" t="str">
        <f t="shared" si="2"/>
        <v>JAIR MARTINEZ</v>
      </c>
      <c r="P27" t="str">
        <f>IF(DATA_JUNIO_2025[[#This Row],[ASER_]]="","",F21)</f>
        <v>MELINA</v>
      </c>
      <c r="Q27">
        <f>IF(DATA_JUNIO_2025[[#This Row],[SUPERVISOR]]="","",D21)</f>
        <v>76903</v>
      </c>
      <c r="R27">
        <f>IF(DATA_JUNIO_2025[[#This Row],[RECUPERO]]="","",VLOOKUP(DATA_JUNIO_2025[[#This Row],[SUPERVISOR]],$H:$I,2,0))</f>
        <v>65000</v>
      </c>
    </row>
    <row r="28" spans="1:18" x14ac:dyDescent="0.25">
      <c r="A28" t="s">
        <v>4</v>
      </c>
      <c r="B28" t="str">
        <f t="shared" si="0"/>
        <v/>
      </c>
      <c r="E28">
        <f>D1_JUNIO[[#This Row],[RECUPERO]]/VLOOKUP(F28,$H:$I,2,0)</f>
        <v>0</v>
      </c>
      <c r="F28" t="str">
        <f>D1_JUNIO[[#This Row],[SUPER]]</f>
        <v>MELINA</v>
      </c>
      <c r="L28">
        <v>5</v>
      </c>
      <c r="M28" s="1">
        <f t="shared" si="1"/>
        <v>0.92958461538461534</v>
      </c>
      <c r="N28" t="str" cm="1">
        <f t="array" ref="N28">IFERROR(_xlfn.IFS(M28&gt;100%,"&gt;100%",AND(M28&lt;100%,M28&gt;70%),"&gt;70%",AND(M28&lt;70%,M28&gt;40%),"&gt;40%",AND(M28&lt;40%,M28&gt;0%),"&gt;0%"),"")</f>
        <v>&gt;70%</v>
      </c>
      <c r="O28" t="str">
        <f t="shared" si="2"/>
        <v>JHONATAN CHAVEZ</v>
      </c>
      <c r="P28" t="str">
        <f>IF(DATA_JUNIO_2025[[#This Row],[ASER_]]="","",F22)</f>
        <v>MELINA</v>
      </c>
      <c r="Q28">
        <f>IF(DATA_JUNIO_2025[[#This Row],[SUPERVISOR]]="","",D22)</f>
        <v>60423</v>
      </c>
      <c r="R28">
        <f>IF(DATA_JUNIO_2025[[#This Row],[RECUPERO]]="","",VLOOKUP(DATA_JUNIO_2025[[#This Row],[SUPERVISOR]],$H:$I,2,0))</f>
        <v>65000</v>
      </c>
    </row>
    <row r="29" spans="1:18" x14ac:dyDescent="0.25">
      <c r="A29" t="s">
        <v>4</v>
      </c>
      <c r="B29" t="str">
        <f t="shared" si="0"/>
        <v/>
      </c>
      <c r="E29">
        <f>D1_JUNIO[[#This Row],[RECUPERO]]/VLOOKUP(F29,$H:$I,2,0)</f>
        <v>0</v>
      </c>
      <c r="F29" t="str">
        <f>D1_JUNIO[[#This Row],[SUPER]]</f>
        <v>MELINA</v>
      </c>
      <c r="L29">
        <v>6</v>
      </c>
      <c r="M29" s="1">
        <f t="shared" si="1"/>
        <v>0.3861230769230769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2"/>
        <v>MELISSA GUERRERO</v>
      </c>
      <c r="P29" t="str">
        <f>IF(DATA_JUNIO_2025[[#This Row],[ASER_]]="","",F23)</f>
        <v>MELINA</v>
      </c>
      <c r="Q29">
        <f>IF(DATA_JUNIO_2025[[#This Row],[SUPERVISOR]]="","",D23)</f>
        <v>25098</v>
      </c>
      <c r="R29">
        <f>IF(DATA_JUNIO_2025[[#This Row],[RECUPERO]]="","",VLOOKUP(DATA_JUNIO_2025[[#This Row],[SUPERVISOR]],$H:$I,2,0))</f>
        <v>65000</v>
      </c>
    </row>
    <row r="30" spans="1:18" x14ac:dyDescent="0.25">
      <c r="A30" t="s">
        <v>4</v>
      </c>
      <c r="B30" t="str">
        <f t="shared" si="0"/>
        <v/>
      </c>
      <c r="E30">
        <f>D1_JUNIO[[#This Row],[RECUPERO]]/VLOOKUP(F30,$H:$I,2,0)</f>
        <v>0</v>
      </c>
      <c r="F30" t="str">
        <f>D1_JUNIO[[#This Row],[SUPER]]</f>
        <v>MELINA</v>
      </c>
      <c r="L30">
        <v>7</v>
      </c>
      <c r="M30" s="1">
        <f t="shared" si="1"/>
        <v>0.20976923076923076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2"/>
        <v>RICHARD RODRIGUEZ</v>
      </c>
      <c r="P30" t="str">
        <f>IF(DATA_JUNIO_2025[[#This Row],[ASER_]]="","",F24)</f>
        <v>MELINA</v>
      </c>
      <c r="Q30">
        <f>IF(DATA_JUNIO_2025[[#This Row],[SUPERVISOR]]="","",D24)</f>
        <v>13635</v>
      </c>
      <c r="R30">
        <f>IF(DATA_JUNIO_2025[[#This Row],[RECUPERO]]="","",VLOOKUP(DATA_JUNIO_2025[[#This Row],[SUPERVISOR]],$H:$I,2,0))</f>
        <v>65000</v>
      </c>
    </row>
    <row r="31" spans="1:18" x14ac:dyDescent="0.25">
      <c r="A31" t="s">
        <v>4</v>
      </c>
      <c r="B31" t="str">
        <f t="shared" si="0"/>
        <v/>
      </c>
      <c r="E31">
        <f>D1_JUNIO[[#This Row],[RECUPERO]]/VLOOKUP(F31,$H:$I,2,0)</f>
        <v>0</v>
      </c>
      <c r="F31" t="str">
        <f>D1_JUNIO[[#This Row],[SUPER]]</f>
        <v>MELINA</v>
      </c>
      <c r="L31">
        <v>8</v>
      </c>
      <c r="M31" s="1">
        <f t="shared" si="1"/>
        <v>0.12198461538461539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2"/>
        <v>MICAELA PEREZ</v>
      </c>
      <c r="P31" t="str">
        <f>IF(DATA_JUNIO_2025[[#This Row],[ASER_]]="","",F25)</f>
        <v>MELINA</v>
      </c>
      <c r="Q31">
        <f>IF(DATA_JUNIO_2025[[#This Row],[SUPERVISOR]]="","",D25)</f>
        <v>7929</v>
      </c>
      <c r="R31">
        <f>IF(DATA_JUNIO_2025[[#This Row],[RECUPERO]]="","",VLOOKUP(DATA_JUNIO_2025[[#This Row],[SUPERVISOR]],$H:$I,2,0))</f>
        <v>65000</v>
      </c>
    </row>
    <row r="32" spans="1:18" x14ac:dyDescent="0.25">
      <c r="A32" t="s">
        <v>4</v>
      </c>
      <c r="B32" t="str">
        <f t="shared" si="0"/>
        <v/>
      </c>
      <c r="E32">
        <f>D1_JUNIO[[#This Row],[RECUPERO]]/VLOOKUP(F32,$H:$I,2,0)</f>
        <v>0</v>
      </c>
      <c r="F32" t="str">
        <f>D1_JUNIO[[#This Row],[SUPER]]</f>
        <v>MELINA</v>
      </c>
      <c r="L32">
        <v>9</v>
      </c>
      <c r="M32" s="1">
        <f t="shared" si="1"/>
        <v>0.11984615384615385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2"/>
        <v>CINTHYA PAUCAR</v>
      </c>
      <c r="P32" t="str">
        <f>IF(DATA_JUNIO_2025[[#This Row],[ASER_]]="","",F26)</f>
        <v>MELINA</v>
      </c>
      <c r="Q32">
        <f>IF(DATA_JUNIO_2025[[#This Row],[SUPERVISOR]]="","",D26)</f>
        <v>7790</v>
      </c>
      <c r="R32">
        <f>IF(DATA_JUNIO_2025[[#This Row],[RECUPERO]]="","",VLOOKUP(DATA_JUNIO_2025[[#This Row],[SUPERVISOR]],$H:$I,2,0))</f>
        <v>65000</v>
      </c>
    </row>
    <row r="33" spans="1:18" x14ac:dyDescent="0.25">
      <c r="A33" t="s">
        <v>2</v>
      </c>
      <c r="B33" t="str">
        <f t="shared" si="0"/>
        <v>GIANFRANCO PINEDO</v>
      </c>
      <c r="C33" t="s">
        <v>13</v>
      </c>
      <c r="D33">
        <v>70211.75</v>
      </c>
      <c r="E33">
        <f>D1_JUNIO[[#This Row],[RECUPERO]]/VLOOKUP(F33,$H:$I,2,0)</f>
        <v>1.0801807692307692</v>
      </c>
      <c r="F33" t="str">
        <f>D1_JUNIO[[#This Row],[SUPER]]</f>
        <v>JORGE</v>
      </c>
      <c r="L33">
        <v>10</v>
      </c>
      <c r="M33" s="1">
        <f t="shared" si="1"/>
        <v>0</v>
      </c>
      <c r="N33" t="str" cm="1">
        <f t="array" ref="N33">IFERROR(_xlfn.IFS(M33&gt;100%,"&gt;100%",AND(M33&lt;100%,M33&gt;70%),"&gt;70%",AND(M33&lt;70%,M33&gt;40%),"&gt;40%",AND(M33&lt;40%,M33&gt;0%),"&gt;0%"),"")</f>
        <v/>
      </c>
      <c r="O33" t="str">
        <f t="shared" si="2"/>
        <v/>
      </c>
      <c r="P33" t="str">
        <f>IF(DATA_JUNIO_2025[[#This Row],[ASER_]]="","",F27)</f>
        <v/>
      </c>
      <c r="Q33" t="str">
        <f>IF(DATA_JUNIO_2025[[#This Row],[SUPERVISOR]]="","",D27)</f>
        <v/>
      </c>
      <c r="R33" t="str">
        <f>IF(DATA_JUNIO_2025[[#This Row],[RECUPERO]]="","",VLOOKUP(DATA_JUNIO_2025[[#This Row],[SUPERVISOR]],$H:$I,2,0))</f>
        <v/>
      </c>
    </row>
    <row r="34" spans="1:18" x14ac:dyDescent="0.25">
      <c r="A34" t="s">
        <v>2</v>
      </c>
      <c r="B34" t="str">
        <f t="shared" si="0"/>
        <v>MILAGROS QUIO</v>
      </c>
      <c r="C34" t="s">
        <v>11</v>
      </c>
      <c r="D34">
        <v>58706</v>
      </c>
      <c r="E34">
        <f>D1_JUNIO[[#This Row],[RECUPERO]]/VLOOKUP(F34,$H:$I,2,0)</f>
        <v>0.90316923076923072</v>
      </c>
      <c r="F34" t="str">
        <f>D1_JUNIO[[#This Row],[SUPER]]</f>
        <v>JORGE</v>
      </c>
      <c r="L34">
        <v>11</v>
      </c>
      <c r="M34" s="1">
        <f t="shared" si="1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2"/>
        <v/>
      </c>
      <c r="P34" t="str">
        <f>IF(DATA_JUNIO_2025[[#This Row],[ASER_]]="","",F28)</f>
        <v/>
      </c>
      <c r="Q34" t="str">
        <f>IF(DATA_JUNIO_2025[[#This Row],[SUPERVISOR]]="","",D28)</f>
        <v/>
      </c>
      <c r="R34" t="str">
        <f>IF(DATA_JUNIO_2025[[#This Row],[RECUPERO]]="","",VLOOKUP(DATA_JUNIO_2025[[#This Row],[SUPERVISOR]],$H:$I,2,0))</f>
        <v/>
      </c>
    </row>
    <row r="35" spans="1:18" x14ac:dyDescent="0.25">
      <c r="A35" t="s">
        <v>2</v>
      </c>
      <c r="B35" t="str">
        <f t="shared" si="0"/>
        <v>VERONICA TASAYCO</v>
      </c>
      <c r="C35" t="s">
        <v>10</v>
      </c>
      <c r="D35">
        <v>55689</v>
      </c>
      <c r="E35">
        <f>D1_JUNIO[[#This Row],[RECUPERO]]/VLOOKUP(F35,$H:$I,2,0)</f>
        <v>0.8567538461538462</v>
      </c>
      <c r="F35" t="str">
        <f>D1_JUNIO[[#This Row],[SUPER]]</f>
        <v>JORGE</v>
      </c>
      <c r="L35">
        <v>12</v>
      </c>
      <c r="M35" s="1">
        <f t="shared" si="1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2"/>
        <v/>
      </c>
      <c r="P35" t="str">
        <f>IF(DATA_JUNIO_2025[[#This Row],[ASER_]]="","",F29)</f>
        <v/>
      </c>
      <c r="Q35" t="str">
        <f>IF(DATA_JUNIO_2025[[#This Row],[SUPERVISOR]]="","",D29)</f>
        <v/>
      </c>
      <c r="R35" t="str">
        <f>IF(DATA_JUNIO_2025[[#This Row],[RECUPERO]]="","",VLOOKUP(DATA_JUNIO_2025[[#This Row],[SUPERVISOR]],$H:$I,2,0))</f>
        <v/>
      </c>
    </row>
    <row r="36" spans="1:18" x14ac:dyDescent="0.25">
      <c r="A36" t="s">
        <v>2</v>
      </c>
      <c r="B36" t="str">
        <f t="shared" si="0"/>
        <v>MARGARITA PIANCHACHI</v>
      </c>
      <c r="C36" t="s">
        <v>17</v>
      </c>
      <c r="D36">
        <v>35231</v>
      </c>
      <c r="E36">
        <f>D1_JUNIO[[#This Row],[RECUPERO]]/VLOOKUP(F36,$H:$I,2,0)</f>
        <v>0.54201538461538457</v>
      </c>
      <c r="F36" t="str">
        <f>D1_JUNIO[[#This Row],[SUPER]]</f>
        <v>JORGE</v>
      </c>
      <c r="L36">
        <v>13</v>
      </c>
      <c r="M36" s="1">
        <f t="shared" si="1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2"/>
        <v/>
      </c>
      <c r="P36" t="str">
        <f>IF(DATA_JUNIO_2025[[#This Row],[ASER_]]="","",F30)</f>
        <v/>
      </c>
      <c r="Q36" t="str">
        <f>IF(DATA_JUNIO_2025[[#This Row],[SUPERVISOR]]="","",D30)</f>
        <v/>
      </c>
      <c r="R36" t="str">
        <f>IF(DATA_JUNIO_2025[[#This Row],[RECUPERO]]="","",VLOOKUP(DATA_JUNIO_2025[[#This Row],[SUPERVISOR]],$H:$I,2,0))</f>
        <v/>
      </c>
    </row>
    <row r="37" spans="1:18" x14ac:dyDescent="0.25">
      <c r="A37" t="s">
        <v>2</v>
      </c>
      <c r="B37" t="str">
        <f t="shared" si="0"/>
        <v>GENESIS VICUNA</v>
      </c>
      <c r="C37" t="s">
        <v>12</v>
      </c>
      <c r="D37">
        <v>32614</v>
      </c>
      <c r="E37">
        <f>D1_JUNIO[[#This Row],[RECUPERO]]/VLOOKUP(F37,$H:$I,2,0)</f>
        <v>0.50175384615384611</v>
      </c>
      <c r="F37" t="str">
        <f>D1_JUNIO[[#This Row],[SUPER]]</f>
        <v>JORGE</v>
      </c>
      <c r="L37">
        <v>14</v>
      </c>
      <c r="M37" s="1">
        <f t="shared" si="1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2"/>
        <v/>
      </c>
      <c r="P37" t="str">
        <f>IF(DATA_JUNIO_2025[[#This Row],[ASER_]]="","",F31)</f>
        <v/>
      </c>
      <c r="Q37" t="str">
        <f>IF(DATA_JUNIO_2025[[#This Row],[SUPERVISOR]]="","",D31)</f>
        <v/>
      </c>
      <c r="R37" t="str">
        <f>IF(DATA_JUNIO_2025[[#This Row],[RECUPERO]]="","",VLOOKUP(DATA_JUNIO_2025[[#This Row],[SUPERVISOR]],$H:$I,2,0))</f>
        <v/>
      </c>
    </row>
    <row r="38" spans="1:18" x14ac:dyDescent="0.25">
      <c r="A38" t="s">
        <v>2</v>
      </c>
      <c r="B38" t="str">
        <f t="shared" si="0"/>
        <v>JUAN ALANOCCA</v>
      </c>
      <c r="C38" t="s">
        <v>77</v>
      </c>
      <c r="D38">
        <v>20800</v>
      </c>
      <c r="E38">
        <f>D1_JUNIO[[#This Row],[RECUPERO]]/VLOOKUP(F38,$H:$I,2,0)</f>
        <v>0.32</v>
      </c>
      <c r="F38" t="str">
        <f>D1_JUNIO[[#This Row],[SUPER]]</f>
        <v>JORGE</v>
      </c>
      <c r="L38">
        <v>15</v>
      </c>
      <c r="M38" s="1">
        <f t="shared" si="1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2"/>
        <v/>
      </c>
      <c r="P38" t="str">
        <f>IF(DATA_JUNIO_2025[[#This Row],[ASER_]]="","",F32)</f>
        <v/>
      </c>
      <c r="Q38" t="str">
        <f>IF(DATA_JUNIO_2025[[#This Row],[SUPERVISOR]]="","",D32)</f>
        <v/>
      </c>
      <c r="R38" t="str">
        <f>IF(DATA_JUNIO_2025[[#This Row],[RECUPERO]]="","",VLOOKUP(DATA_JUNIO_2025[[#This Row],[SUPERVISOR]],$H:$I,2,0))</f>
        <v/>
      </c>
    </row>
    <row r="39" spans="1:18" x14ac:dyDescent="0.25">
      <c r="A39" t="s">
        <v>2</v>
      </c>
      <c r="B39" t="str">
        <f t="shared" si="0"/>
        <v>SOLMAIRA BRAVO</v>
      </c>
      <c r="C39" t="s">
        <v>86</v>
      </c>
      <c r="D39">
        <v>19579</v>
      </c>
      <c r="E39">
        <f>D1_JUNIO[[#This Row],[RECUPERO]]/VLOOKUP(F39,$H:$I,2,0)</f>
        <v>0.30121538461538461</v>
      </c>
      <c r="F39" t="str">
        <f>D1_JUNIO[[#This Row],[SUPER]]</f>
        <v>JORGE</v>
      </c>
      <c r="L39">
        <v>1</v>
      </c>
      <c r="M39" s="1">
        <f t="shared" si="1"/>
        <v>1.0801807692307692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2"/>
        <v>GIANFRANCO PINEDO</v>
      </c>
      <c r="P39" t="str">
        <f>IF(DATA_JUNIO_2025[[#This Row],[ASER_]]="","",F33)</f>
        <v>JORGE</v>
      </c>
      <c r="Q39">
        <f>IF(DATA_JUNIO_2025[[#This Row],[SUPERVISOR]]="","",D33)</f>
        <v>70211.75</v>
      </c>
      <c r="R39">
        <f>IF(DATA_JUNIO_2025[[#This Row],[RECUPERO]]="","",VLOOKUP(DATA_JUNIO_2025[[#This Row],[SUPERVISOR]],$H:$I,2,0))</f>
        <v>65000</v>
      </c>
    </row>
    <row r="40" spans="1:18" x14ac:dyDescent="0.25">
      <c r="A40" t="s">
        <v>2</v>
      </c>
      <c r="B40" t="str">
        <f t="shared" si="0"/>
        <v>FRANS TACSI</v>
      </c>
      <c r="C40" t="s">
        <v>16</v>
      </c>
      <c r="D40">
        <v>16375</v>
      </c>
      <c r="E40">
        <f>D1_JUNIO[[#This Row],[RECUPERO]]/VLOOKUP(F40,$H:$I,2,0)</f>
        <v>0.25192307692307692</v>
      </c>
      <c r="F40" t="str">
        <f>D1_JUNIO[[#This Row],[SUPER]]</f>
        <v>JORGE</v>
      </c>
      <c r="L40">
        <v>2</v>
      </c>
      <c r="M40" s="1">
        <f t="shared" si="1"/>
        <v>0.90316923076923072</v>
      </c>
      <c r="N40" t="str" cm="1">
        <f t="array" ref="N40">IFERROR(_xlfn.IFS(M40&gt;100%,"&gt;100%",AND(M40&lt;100%,M40&gt;70%),"&gt;70%",AND(M40&lt;70%,M40&gt;40%),"&gt;40%",AND(M40&lt;40%,M40&gt;0%),"&gt;0%"),"")</f>
        <v>&gt;70%</v>
      </c>
      <c r="O40" t="str">
        <f t="shared" si="2"/>
        <v>MILAGROS QUIO</v>
      </c>
      <c r="P40" t="str">
        <f>IF(DATA_JUNIO_2025[[#This Row],[ASER_]]="","",F34)</f>
        <v>JORGE</v>
      </c>
      <c r="Q40">
        <f>IF(DATA_JUNIO_2025[[#This Row],[SUPERVISOR]]="","",D34)</f>
        <v>58706</v>
      </c>
      <c r="R40">
        <f>IF(DATA_JUNIO_2025[[#This Row],[RECUPERO]]="","",VLOOKUP(DATA_JUNIO_2025[[#This Row],[SUPERVISOR]],$H:$I,2,0))</f>
        <v>65000</v>
      </c>
    </row>
    <row r="41" spans="1:18" x14ac:dyDescent="0.25">
      <c r="A41" t="s">
        <v>2</v>
      </c>
      <c r="B41" t="str">
        <f t="shared" si="0"/>
        <v/>
      </c>
      <c r="E41">
        <f>D1_JUNIO[[#This Row],[RECUPERO]]/VLOOKUP(F41,$H:$I,2,0)</f>
        <v>0</v>
      </c>
      <c r="F41" t="str">
        <f>D1_JUNIO[[#This Row],[SUPER]]</f>
        <v>JORGE</v>
      </c>
      <c r="L41">
        <v>3</v>
      </c>
      <c r="M41" s="1">
        <f t="shared" si="1"/>
        <v>0.8567538461538462</v>
      </c>
      <c r="N41" t="str" cm="1">
        <f t="array" ref="N41">IFERROR(_xlfn.IFS(M41&gt;100%,"&gt;100%",AND(M41&lt;100%,M41&gt;70%),"&gt;70%",AND(M41&lt;70%,M41&gt;40%),"&gt;40%",AND(M41&lt;40%,M41&gt;0%),"&gt;0%"),"")</f>
        <v>&gt;70%</v>
      </c>
      <c r="O41" t="str">
        <f t="shared" si="2"/>
        <v>VERONICA TASAYCO</v>
      </c>
      <c r="P41" t="str">
        <f>IF(DATA_JUNIO_2025[[#This Row],[ASER_]]="","",F35)</f>
        <v>JORGE</v>
      </c>
      <c r="Q41">
        <f>IF(DATA_JUNIO_2025[[#This Row],[SUPERVISOR]]="","",D35)</f>
        <v>55689</v>
      </c>
      <c r="R41">
        <f>IF(DATA_JUNIO_2025[[#This Row],[RECUPERO]]="","",VLOOKUP(DATA_JUNIO_2025[[#This Row],[SUPERVISOR]],$H:$I,2,0))</f>
        <v>65000</v>
      </c>
    </row>
    <row r="42" spans="1:18" x14ac:dyDescent="0.25">
      <c r="A42" t="s">
        <v>2</v>
      </c>
      <c r="B42" t="str">
        <f t="shared" si="0"/>
        <v/>
      </c>
      <c r="E42">
        <f>D1_JUNIO[[#This Row],[RECUPERO]]/VLOOKUP(F42,$H:$I,2,0)</f>
        <v>0</v>
      </c>
      <c r="F42" t="str">
        <f>D1_JUNIO[[#This Row],[SUPER]]</f>
        <v>JORGE</v>
      </c>
      <c r="L42">
        <v>4</v>
      </c>
      <c r="M42" s="1">
        <f t="shared" si="1"/>
        <v>0.54201538461538457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2"/>
        <v>MARGARITA PIANCHACHI</v>
      </c>
      <c r="P42" t="str">
        <f>IF(DATA_JUNIO_2025[[#This Row],[ASER_]]="","",F36)</f>
        <v>JORGE</v>
      </c>
      <c r="Q42">
        <f>IF(DATA_JUNIO_2025[[#This Row],[SUPERVISOR]]="","",D36)</f>
        <v>35231</v>
      </c>
      <c r="R42">
        <f>IF(DATA_JUNIO_2025[[#This Row],[RECUPERO]]="","",VLOOKUP(DATA_JUNIO_2025[[#This Row],[SUPERVISOR]],$H:$I,2,0))</f>
        <v>65000</v>
      </c>
    </row>
    <row r="43" spans="1:18" x14ac:dyDescent="0.25">
      <c r="A43" t="s">
        <v>2</v>
      </c>
      <c r="B43" t="str">
        <f t="shared" si="0"/>
        <v/>
      </c>
      <c r="E43">
        <f>D1_JUNIO[[#This Row],[RECUPERO]]/VLOOKUP(F43,$H:$I,2,0)</f>
        <v>0</v>
      </c>
      <c r="F43" t="str">
        <f>D1_JUNIO[[#This Row],[SUPER]]</f>
        <v>JORGE</v>
      </c>
      <c r="L43">
        <v>5</v>
      </c>
      <c r="M43" s="1">
        <f t="shared" si="1"/>
        <v>0.50175384615384611</v>
      </c>
      <c r="N43" t="str" cm="1">
        <f t="array" ref="N43">IFERROR(_xlfn.IFS(M43&gt;100%,"&gt;100%",AND(M43&lt;100%,M43&gt;70%),"&gt;70%",AND(M43&lt;70%,M43&gt;40%),"&gt;40%",AND(M43&lt;40%,M43&gt;0%),"&gt;0%"),"")</f>
        <v>&gt;40%</v>
      </c>
      <c r="O43" t="str">
        <f t="shared" si="2"/>
        <v>GENESIS VICUNA</v>
      </c>
      <c r="P43" t="str">
        <f>IF(DATA_JUNIO_2025[[#This Row],[ASER_]]="","",F37)</f>
        <v>JORGE</v>
      </c>
      <c r="Q43">
        <f>IF(DATA_JUNIO_2025[[#This Row],[SUPERVISOR]]="","",D37)</f>
        <v>32614</v>
      </c>
      <c r="R43">
        <f>IF(DATA_JUNIO_2025[[#This Row],[RECUPERO]]="","",VLOOKUP(DATA_JUNIO_2025[[#This Row],[SUPERVISOR]],$H:$I,2,0))</f>
        <v>65000</v>
      </c>
    </row>
    <row r="44" spans="1:18" x14ac:dyDescent="0.25">
      <c r="A44" t="s">
        <v>2</v>
      </c>
      <c r="B44" t="str">
        <f t="shared" si="0"/>
        <v/>
      </c>
      <c r="E44">
        <f>D1_JUNIO[[#This Row],[RECUPERO]]/VLOOKUP(F44,$H:$I,2,0)</f>
        <v>0</v>
      </c>
      <c r="F44" t="str">
        <f>D1_JUNIO[[#This Row],[SUPER]]</f>
        <v>JORGE</v>
      </c>
      <c r="L44">
        <v>6</v>
      </c>
      <c r="M44" s="1">
        <f t="shared" si="1"/>
        <v>0.32</v>
      </c>
      <c r="N44" t="str" cm="1">
        <f t="array" ref="N44">IFERROR(_xlfn.IFS(M44&gt;100%,"&gt;100%",AND(M44&lt;100%,M44&gt;70%),"&gt;70%",AND(M44&lt;70%,M44&gt;40%),"&gt;40%",AND(M44&lt;40%,M44&gt;0%),"&gt;0%"),"")</f>
        <v>&gt;0%</v>
      </c>
      <c r="O44" t="str">
        <f t="shared" si="2"/>
        <v>JUAN ALANOCCA</v>
      </c>
      <c r="P44" t="str">
        <f>IF(DATA_JUNIO_2025[[#This Row],[ASER_]]="","",F38)</f>
        <v>JORGE</v>
      </c>
      <c r="Q44">
        <f>IF(DATA_JUNIO_2025[[#This Row],[SUPERVISOR]]="","",D38)</f>
        <v>20800</v>
      </c>
      <c r="R44">
        <f>IF(DATA_JUNIO_2025[[#This Row],[RECUPERO]]="","",VLOOKUP(DATA_JUNIO_2025[[#This Row],[SUPERVISOR]],$H:$I,2,0))</f>
        <v>65000</v>
      </c>
    </row>
    <row r="45" spans="1:18" x14ac:dyDescent="0.25">
      <c r="A45" t="s">
        <v>2</v>
      </c>
      <c r="B45" t="str">
        <f t="shared" si="0"/>
        <v/>
      </c>
      <c r="E45">
        <f>D1_JUNIO[[#This Row],[RECUPERO]]/VLOOKUP(F45,$H:$I,2,0)</f>
        <v>0</v>
      </c>
      <c r="F45" t="str">
        <f>D1_JUNIO[[#This Row],[SUPER]]</f>
        <v>JORGE</v>
      </c>
      <c r="L45">
        <v>7</v>
      </c>
      <c r="M45" s="1">
        <f t="shared" si="1"/>
        <v>0.30121538461538461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2"/>
        <v>SOLMAIRA BRAVO</v>
      </c>
      <c r="P45" t="str">
        <f>IF(DATA_JUNIO_2025[[#This Row],[ASER_]]="","",F39)</f>
        <v>JORGE</v>
      </c>
      <c r="Q45">
        <f>IF(DATA_JUNIO_2025[[#This Row],[SUPERVISOR]]="","",D39)</f>
        <v>19579</v>
      </c>
      <c r="R45">
        <f>IF(DATA_JUNIO_2025[[#This Row],[RECUPERO]]="","",VLOOKUP(DATA_JUNIO_2025[[#This Row],[SUPERVISOR]],$H:$I,2,0))</f>
        <v>65000</v>
      </c>
    </row>
    <row r="46" spans="1:18" x14ac:dyDescent="0.25">
      <c r="A46" t="s">
        <v>2</v>
      </c>
      <c r="B46" t="str">
        <f t="shared" si="0"/>
        <v/>
      </c>
      <c r="E46">
        <f>D1_JUNIO[[#This Row],[RECUPERO]]/VLOOKUP(F46,$H:$I,2,0)</f>
        <v>0</v>
      </c>
      <c r="F46" t="str">
        <f>D1_JUNIO[[#This Row],[SUPER]]</f>
        <v>JORGE</v>
      </c>
      <c r="L46">
        <v>8</v>
      </c>
      <c r="M46" s="1">
        <f t="shared" si="1"/>
        <v>0.25192307692307692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2"/>
        <v>FRANS TACSI</v>
      </c>
      <c r="P46" t="str">
        <f>IF(DATA_JUNIO_2025[[#This Row],[ASER_]]="","",F40)</f>
        <v>JORGE</v>
      </c>
      <c r="Q46">
        <f>IF(DATA_JUNIO_2025[[#This Row],[SUPERVISOR]]="","",D40)</f>
        <v>16375</v>
      </c>
      <c r="R46">
        <f>IF(DATA_JUNIO_2025[[#This Row],[RECUPERO]]="","",VLOOKUP(DATA_JUNIO_2025[[#This Row],[SUPERVISOR]],$H:$I,2,0))</f>
        <v>65000</v>
      </c>
    </row>
    <row r="47" spans="1:18" x14ac:dyDescent="0.25">
      <c r="A47" t="s">
        <v>2</v>
      </c>
      <c r="B47" t="str">
        <f t="shared" si="0"/>
        <v/>
      </c>
      <c r="E47">
        <f>D1_JUNIO[[#This Row],[RECUPERO]]/VLOOKUP(F47,$H:$I,2,0)</f>
        <v>0</v>
      </c>
      <c r="F47" t="str">
        <f>D1_JUNIO[[#This Row],[SUPER]]</f>
        <v>JORGE</v>
      </c>
      <c r="L47">
        <v>9</v>
      </c>
      <c r="M47" s="1">
        <f t="shared" si="1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2"/>
        <v/>
      </c>
      <c r="P47" t="str">
        <f>IF(DATA_JUNIO_2025[[#This Row],[ASER_]]="","",F41)</f>
        <v/>
      </c>
      <c r="Q47" t="str">
        <f>IF(DATA_JUNIO_2025[[#This Row],[SUPERVISOR]]="","",D41)</f>
        <v/>
      </c>
      <c r="R47" t="str">
        <f>IF(DATA_JUNIO_2025[[#This Row],[RECUPERO]]="","",VLOOKUP(DATA_JUNIO_2025[[#This Row],[SUPERVISOR]],$H:$I,2,0))</f>
        <v/>
      </c>
    </row>
    <row r="48" spans="1:18" x14ac:dyDescent="0.25">
      <c r="A48" t="s">
        <v>5</v>
      </c>
      <c r="B48" t="str">
        <f t="shared" si="0"/>
        <v>ALEJANDRA QUISPE</v>
      </c>
      <c r="C48" t="s">
        <v>58</v>
      </c>
      <c r="D48">
        <v>56561</v>
      </c>
      <c r="E48">
        <f>D1_JUNIO[[#This Row],[RECUPERO]]/VLOOKUP(F48,$H:$I,2,0)</f>
        <v>0.87016923076923081</v>
      </c>
      <c r="F48" t="str">
        <f>D1_JUNIO[[#This Row],[SUPER]]</f>
        <v>JORDAN</v>
      </c>
      <c r="L48">
        <v>10</v>
      </c>
      <c r="M48" s="1">
        <f t="shared" si="1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2"/>
        <v/>
      </c>
      <c r="P48" t="str">
        <f>IF(DATA_JUNIO_2025[[#This Row],[ASER_]]="","",F42)</f>
        <v/>
      </c>
      <c r="Q48" t="str">
        <f>IF(DATA_JUNIO_2025[[#This Row],[SUPERVISOR]]="","",D42)</f>
        <v/>
      </c>
      <c r="R48" t="str">
        <f>IF(DATA_JUNIO_2025[[#This Row],[RECUPERO]]="","",VLOOKUP(DATA_JUNIO_2025[[#This Row],[SUPERVISOR]],$H:$I,2,0))</f>
        <v/>
      </c>
    </row>
    <row r="49" spans="1:18" x14ac:dyDescent="0.25">
      <c r="A49" t="s">
        <v>5</v>
      </c>
      <c r="B49" t="str">
        <f t="shared" si="0"/>
        <v>MERLY CORONEL</v>
      </c>
      <c r="C49" t="s">
        <v>70</v>
      </c>
      <c r="D49">
        <v>50348</v>
      </c>
      <c r="E49">
        <f>D1_JUNIO[[#This Row],[RECUPERO]]/VLOOKUP(F49,$H:$I,2,0)</f>
        <v>0.77458461538461543</v>
      </c>
      <c r="F49" t="str">
        <f>D1_JUNIO[[#This Row],[SUPER]]</f>
        <v>JORDAN</v>
      </c>
      <c r="L49">
        <v>11</v>
      </c>
      <c r="M49" s="1">
        <f t="shared" si="1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2"/>
        <v/>
      </c>
      <c r="P49" t="str">
        <f>IF(DATA_JUNIO_2025[[#This Row],[ASER_]]="","",F43)</f>
        <v/>
      </c>
      <c r="Q49" t="str">
        <f>IF(DATA_JUNIO_2025[[#This Row],[SUPERVISOR]]="","",D43)</f>
        <v/>
      </c>
      <c r="R49" t="str">
        <f>IF(DATA_JUNIO_2025[[#This Row],[RECUPERO]]="","",VLOOKUP(DATA_JUNIO_2025[[#This Row],[SUPERVISOR]],$H:$I,2,0))</f>
        <v/>
      </c>
    </row>
    <row r="50" spans="1:18" x14ac:dyDescent="0.25">
      <c r="A50" t="s">
        <v>5</v>
      </c>
      <c r="B50" t="str">
        <f t="shared" si="0"/>
        <v>ERIKA VILLAR</v>
      </c>
      <c r="C50" t="s">
        <v>72</v>
      </c>
      <c r="D50">
        <v>48906</v>
      </c>
      <c r="E50">
        <f>D1_JUNIO[[#This Row],[RECUPERO]]/VLOOKUP(F50,$H:$I,2,0)</f>
        <v>0.75239999999999996</v>
      </c>
      <c r="F50" t="str">
        <f>D1_JUNIO[[#This Row],[SUPER]]</f>
        <v>JORDAN</v>
      </c>
      <c r="L50">
        <v>12</v>
      </c>
      <c r="M50" s="1">
        <f t="shared" si="1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2"/>
        <v/>
      </c>
      <c r="P50" t="str">
        <f>IF(DATA_JUNIO_2025[[#This Row],[ASER_]]="","",F44)</f>
        <v/>
      </c>
      <c r="Q50" t="str">
        <f>IF(DATA_JUNIO_2025[[#This Row],[SUPERVISOR]]="","",D44)</f>
        <v/>
      </c>
      <c r="R50" t="str">
        <f>IF(DATA_JUNIO_2025[[#This Row],[RECUPERO]]="","",VLOOKUP(DATA_JUNIO_2025[[#This Row],[SUPERVISOR]],$H:$I,2,0))</f>
        <v/>
      </c>
    </row>
    <row r="51" spans="1:18" x14ac:dyDescent="0.25">
      <c r="A51" t="s">
        <v>5</v>
      </c>
      <c r="B51" t="str">
        <f t="shared" si="0"/>
        <v>NATALIA MARIN</v>
      </c>
      <c r="C51" t="s">
        <v>79</v>
      </c>
      <c r="D51">
        <v>38890</v>
      </c>
      <c r="E51">
        <f>D1_JUNIO[[#This Row],[RECUPERO]]/VLOOKUP(F51,$H:$I,2,0)</f>
        <v>0.59830769230769232</v>
      </c>
      <c r="F51" t="str">
        <f>D1_JUNIO[[#This Row],[SUPER]]</f>
        <v>JORDAN</v>
      </c>
      <c r="L51">
        <v>13</v>
      </c>
      <c r="M51" s="1">
        <f t="shared" si="1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2"/>
        <v/>
      </c>
      <c r="P51" t="str">
        <f>IF(DATA_JUNIO_2025[[#This Row],[ASER_]]="","",F45)</f>
        <v/>
      </c>
      <c r="Q51" t="str">
        <f>IF(DATA_JUNIO_2025[[#This Row],[SUPERVISOR]]="","",D45)</f>
        <v/>
      </c>
      <c r="R51" t="str">
        <f>IF(DATA_JUNIO_2025[[#This Row],[RECUPERO]]="","",VLOOKUP(DATA_JUNIO_2025[[#This Row],[SUPERVISOR]],$H:$I,2,0))</f>
        <v/>
      </c>
    </row>
    <row r="52" spans="1:18" x14ac:dyDescent="0.25">
      <c r="A52" t="s">
        <v>5</v>
      </c>
      <c r="B52" t="str">
        <f t="shared" si="0"/>
        <v>AURORA FAUSTOR</v>
      </c>
      <c r="C52" t="s">
        <v>67</v>
      </c>
      <c r="D52">
        <v>33288</v>
      </c>
      <c r="E52">
        <f>D1_JUNIO[[#This Row],[RECUPERO]]/VLOOKUP(F52,$H:$I,2,0)</f>
        <v>0.5121230769230769</v>
      </c>
      <c r="F52" t="str">
        <f>D1_JUNIO[[#This Row],[SUPER]]</f>
        <v>JORDAN</v>
      </c>
      <c r="L52">
        <v>14</v>
      </c>
      <c r="M52" s="1">
        <f t="shared" si="1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2"/>
        <v/>
      </c>
      <c r="P52" t="str">
        <f>IF(DATA_JUNIO_2025[[#This Row],[ASER_]]="","",F46)</f>
        <v/>
      </c>
      <c r="Q52" t="str">
        <f>IF(DATA_JUNIO_2025[[#This Row],[SUPERVISOR]]="","",D46)</f>
        <v/>
      </c>
      <c r="R52" t="str">
        <f>IF(DATA_JUNIO_2025[[#This Row],[RECUPERO]]="","",VLOOKUP(DATA_JUNIO_2025[[#This Row],[SUPERVISOR]],$H:$I,2,0))</f>
        <v/>
      </c>
    </row>
    <row r="53" spans="1:18" x14ac:dyDescent="0.25">
      <c r="A53" t="s">
        <v>5</v>
      </c>
      <c r="B53" t="str">
        <f t="shared" si="0"/>
        <v>GILBERTO PURIZACA</v>
      </c>
      <c r="C53" t="s">
        <v>66</v>
      </c>
      <c r="D53">
        <v>30985</v>
      </c>
      <c r="E53">
        <f>D1_JUNIO[[#This Row],[RECUPERO]]/VLOOKUP(F53,$H:$I,2,0)</f>
        <v>0.47669230769230769</v>
      </c>
      <c r="F53" t="str">
        <f>D1_JUNIO[[#This Row],[SUPER]]</f>
        <v>JORDAN</v>
      </c>
      <c r="L53">
        <v>15</v>
      </c>
      <c r="M53" s="1">
        <f t="shared" si="1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2"/>
        <v/>
      </c>
      <c r="P53" t="str">
        <f>IF(DATA_JUNIO_2025[[#This Row],[ASER_]]="","",F47)</f>
        <v/>
      </c>
      <c r="Q53" t="str">
        <f>IF(DATA_JUNIO_2025[[#This Row],[SUPERVISOR]]="","",D47)</f>
        <v/>
      </c>
      <c r="R53" t="str">
        <f>IF(DATA_JUNIO_2025[[#This Row],[RECUPERO]]="","",VLOOKUP(DATA_JUNIO_2025[[#This Row],[SUPERVISOR]],$H:$I,2,0))</f>
        <v/>
      </c>
    </row>
    <row r="54" spans="1:18" x14ac:dyDescent="0.25">
      <c r="A54" t="s">
        <v>5</v>
      </c>
      <c r="B54" t="str">
        <f t="shared" si="0"/>
        <v>LUCERO JORDAN</v>
      </c>
      <c r="C54" t="s">
        <v>68</v>
      </c>
      <c r="D54">
        <v>27847</v>
      </c>
      <c r="E54">
        <f>D1_JUNIO[[#This Row],[RECUPERO]]/VLOOKUP(F54,$H:$I,2,0)</f>
        <v>0.42841538461538464</v>
      </c>
      <c r="F54" t="str">
        <f>D1_JUNIO[[#This Row],[SUPER]]</f>
        <v>JORDAN</v>
      </c>
      <c r="L54">
        <v>1</v>
      </c>
      <c r="M54" s="1">
        <f t="shared" si="1"/>
        <v>0.87016923076923081</v>
      </c>
      <c r="N54" t="str" cm="1">
        <f t="array" ref="N54">IFERROR(_xlfn.IFS(M54&gt;100%,"&gt;100%",AND(M54&lt;100%,M54&gt;70%),"&gt;70%",AND(M54&lt;70%,M54&gt;40%),"&gt;40%",AND(M54&lt;40%,M54&gt;0%),"&gt;0%"),"")</f>
        <v>&gt;70%</v>
      </c>
      <c r="O54" t="str">
        <f t="shared" si="2"/>
        <v>ALEJANDRA QUISPE</v>
      </c>
      <c r="P54" t="str">
        <f>IF(DATA_JUNIO_2025[[#This Row],[ASER_]]="","",F48)</f>
        <v>JORDAN</v>
      </c>
      <c r="Q54">
        <f>IF(DATA_JUNIO_2025[[#This Row],[SUPERVISOR]]="","",D48)</f>
        <v>56561</v>
      </c>
      <c r="R54">
        <f>IF(DATA_JUNIO_2025[[#This Row],[RECUPERO]]="","",VLOOKUP(DATA_JUNIO_2025[[#This Row],[SUPERVISOR]],$H:$I,2,0))</f>
        <v>65000</v>
      </c>
    </row>
    <row r="55" spans="1:18" x14ac:dyDescent="0.25">
      <c r="A55" t="s">
        <v>5</v>
      </c>
      <c r="B55" t="str">
        <f t="shared" si="0"/>
        <v>ANTHONY VICENTE</v>
      </c>
      <c r="C55" t="s">
        <v>85</v>
      </c>
      <c r="D55">
        <v>18842</v>
      </c>
      <c r="E55">
        <f>D1_JUNIO[[#This Row],[RECUPERO]]/VLOOKUP(F55,$H:$I,2,0)</f>
        <v>0.28987692307692309</v>
      </c>
      <c r="F55" t="str">
        <f>D1_JUNIO[[#This Row],[SUPER]]</f>
        <v>JORDAN</v>
      </c>
      <c r="L55">
        <v>2</v>
      </c>
      <c r="M55" s="1">
        <f t="shared" si="1"/>
        <v>0.77458461538461543</v>
      </c>
      <c r="N55" t="str" cm="1">
        <f t="array" ref="N55">IFERROR(_xlfn.IFS(M55&gt;100%,"&gt;100%",AND(M55&lt;100%,M55&gt;70%),"&gt;70%",AND(M55&lt;70%,M55&gt;40%),"&gt;40%",AND(M55&lt;40%,M55&gt;0%),"&gt;0%"),"")</f>
        <v>&gt;70%</v>
      </c>
      <c r="O55" t="str">
        <f t="shared" si="2"/>
        <v>MERLY CORONEL</v>
      </c>
      <c r="P55" t="str">
        <f>IF(DATA_JUNIO_2025[[#This Row],[ASER_]]="","",F49)</f>
        <v>JORDAN</v>
      </c>
      <c r="Q55">
        <f>IF(DATA_JUNIO_2025[[#This Row],[SUPERVISOR]]="","",D49)</f>
        <v>50348</v>
      </c>
      <c r="R55">
        <f>IF(DATA_JUNIO_2025[[#This Row],[RECUPERO]]="","",VLOOKUP(DATA_JUNIO_2025[[#This Row],[SUPERVISOR]],$H:$I,2,0))</f>
        <v>65000</v>
      </c>
    </row>
    <row r="56" spans="1:18" x14ac:dyDescent="0.25">
      <c r="A56" t="s">
        <v>5</v>
      </c>
      <c r="B56" t="str">
        <f t="shared" si="0"/>
        <v/>
      </c>
      <c r="E56">
        <f>D1_JUNIO[[#This Row],[RECUPERO]]/VLOOKUP(F56,$H:$I,2,0)</f>
        <v>0</v>
      </c>
      <c r="F56" t="str">
        <f>D1_JUNIO[[#This Row],[SUPER]]</f>
        <v>JORDAN</v>
      </c>
      <c r="L56">
        <v>3</v>
      </c>
      <c r="M56" s="1">
        <f t="shared" si="1"/>
        <v>0.75239999999999996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2"/>
        <v>ERIKA VILLAR</v>
      </c>
      <c r="P56" t="str">
        <f>IF(DATA_JUNIO_2025[[#This Row],[ASER_]]="","",F50)</f>
        <v>JORDAN</v>
      </c>
      <c r="Q56">
        <f>IF(DATA_JUNIO_2025[[#This Row],[SUPERVISOR]]="","",D50)</f>
        <v>48906</v>
      </c>
      <c r="R56">
        <f>IF(DATA_JUNIO_2025[[#This Row],[RECUPERO]]="","",VLOOKUP(DATA_JUNIO_2025[[#This Row],[SUPERVISOR]],$H:$I,2,0))</f>
        <v>65000</v>
      </c>
    </row>
    <row r="57" spans="1:18" x14ac:dyDescent="0.25">
      <c r="A57" t="s">
        <v>5</v>
      </c>
      <c r="B57" t="str">
        <f t="shared" si="0"/>
        <v/>
      </c>
      <c r="E57">
        <f>D1_JUNIO[[#This Row],[RECUPERO]]/VLOOKUP(F57,$H:$I,2,0)</f>
        <v>0</v>
      </c>
      <c r="F57" t="str">
        <f>D1_JUNIO[[#This Row],[SUPER]]</f>
        <v>JORDAN</v>
      </c>
      <c r="L57">
        <v>4</v>
      </c>
      <c r="M57" s="1">
        <f t="shared" si="1"/>
        <v>0.59830769230769232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2"/>
        <v>NATALIA MARIN</v>
      </c>
      <c r="P57" t="str">
        <f>IF(DATA_JUNIO_2025[[#This Row],[ASER_]]="","",F51)</f>
        <v>JORDAN</v>
      </c>
      <c r="Q57">
        <f>IF(DATA_JUNIO_2025[[#This Row],[SUPERVISOR]]="","",D51)</f>
        <v>38890</v>
      </c>
      <c r="R57">
        <f>IF(DATA_JUNIO_2025[[#This Row],[RECUPERO]]="","",VLOOKUP(DATA_JUNIO_2025[[#This Row],[SUPERVISOR]],$H:$I,2,0))</f>
        <v>65000</v>
      </c>
    </row>
    <row r="58" spans="1:18" x14ac:dyDescent="0.25">
      <c r="A58" t="s">
        <v>5</v>
      </c>
      <c r="B58" t="str">
        <f t="shared" si="0"/>
        <v/>
      </c>
      <c r="E58">
        <f>D1_JUNIO[[#This Row],[RECUPERO]]/VLOOKUP(F58,$H:$I,2,0)</f>
        <v>0</v>
      </c>
      <c r="F58" t="str">
        <f>D1_JUNIO[[#This Row],[SUPER]]</f>
        <v>JORDAN</v>
      </c>
      <c r="L58">
        <v>5</v>
      </c>
      <c r="M58" s="1">
        <f t="shared" si="1"/>
        <v>0.5121230769230769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2"/>
        <v>AURORA FAUSTOR</v>
      </c>
      <c r="P58" t="str">
        <f>IF(DATA_JUNIO_2025[[#This Row],[ASER_]]="","",F52)</f>
        <v>JORDAN</v>
      </c>
      <c r="Q58">
        <f>IF(DATA_JUNIO_2025[[#This Row],[SUPERVISOR]]="","",D52)</f>
        <v>33288</v>
      </c>
      <c r="R58">
        <f>IF(DATA_JUNIO_2025[[#This Row],[RECUPERO]]="","",VLOOKUP(DATA_JUNIO_2025[[#This Row],[SUPERVISOR]],$H:$I,2,0))</f>
        <v>65000</v>
      </c>
    </row>
    <row r="59" spans="1:18" x14ac:dyDescent="0.25">
      <c r="A59" t="s">
        <v>5</v>
      </c>
      <c r="B59" t="str">
        <f t="shared" si="0"/>
        <v/>
      </c>
      <c r="E59">
        <f>D1_JUNIO[[#This Row],[RECUPERO]]/VLOOKUP(F59,$H:$I,2,0)</f>
        <v>0</v>
      </c>
      <c r="F59" t="str">
        <f>D1_JUNIO[[#This Row],[SUPER]]</f>
        <v>JORDAN</v>
      </c>
      <c r="L59">
        <v>6</v>
      </c>
      <c r="M59" s="1">
        <f t="shared" si="1"/>
        <v>0.47669230769230769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2"/>
        <v>GILBERTO PURIZACA</v>
      </c>
      <c r="P59" t="str">
        <f>IF(DATA_JUNIO_2025[[#This Row],[ASER_]]="","",F53)</f>
        <v>JORDAN</v>
      </c>
      <c r="Q59">
        <f>IF(DATA_JUNIO_2025[[#This Row],[SUPERVISOR]]="","",D53)</f>
        <v>30985</v>
      </c>
      <c r="R59">
        <f>IF(DATA_JUNIO_2025[[#This Row],[RECUPERO]]="","",VLOOKUP(DATA_JUNIO_2025[[#This Row],[SUPERVISOR]],$H:$I,2,0))</f>
        <v>65000</v>
      </c>
    </row>
    <row r="60" spans="1:18" x14ac:dyDescent="0.25">
      <c r="A60" t="s">
        <v>5</v>
      </c>
      <c r="B60" t="str">
        <f t="shared" si="0"/>
        <v/>
      </c>
      <c r="E60">
        <f>D1_JUNIO[[#This Row],[RECUPERO]]/VLOOKUP(F60,$H:$I,2,0)</f>
        <v>0</v>
      </c>
      <c r="F60" t="str">
        <f>D1_JUNIO[[#This Row],[SUPER]]</f>
        <v>JORDAN</v>
      </c>
      <c r="L60">
        <v>7</v>
      </c>
      <c r="M60" s="1">
        <f t="shared" si="1"/>
        <v>0.42841538461538464</v>
      </c>
      <c r="N60" t="str" cm="1">
        <f t="array" ref="N60">IFERROR(_xlfn.IFS(M60&gt;100%,"&gt;100%",AND(M60&lt;100%,M60&gt;70%),"&gt;70%",AND(M60&lt;70%,M60&gt;40%),"&gt;40%",AND(M60&lt;40%,M60&gt;0%),"&gt;0%"),"")</f>
        <v>&gt;40%</v>
      </c>
      <c r="O60" t="str">
        <f t="shared" si="2"/>
        <v>LUCERO JORDAN</v>
      </c>
      <c r="P60" t="str">
        <f>IF(DATA_JUNIO_2025[[#This Row],[ASER_]]="","",F54)</f>
        <v>JORDAN</v>
      </c>
      <c r="Q60">
        <f>IF(DATA_JUNIO_2025[[#This Row],[SUPERVISOR]]="","",D54)</f>
        <v>27847</v>
      </c>
      <c r="R60">
        <f>IF(DATA_JUNIO_2025[[#This Row],[RECUPERO]]="","",VLOOKUP(DATA_JUNIO_2025[[#This Row],[SUPERVISOR]],$H:$I,2,0))</f>
        <v>65000</v>
      </c>
    </row>
    <row r="61" spans="1:18" x14ac:dyDescent="0.25">
      <c r="A61" t="s">
        <v>5</v>
      </c>
      <c r="B61" t="str">
        <f t="shared" si="0"/>
        <v/>
      </c>
      <c r="E61">
        <f>D1_JUNIO[[#This Row],[RECUPERO]]/VLOOKUP(F61,$H:$I,2,0)</f>
        <v>0</v>
      </c>
      <c r="F61" t="str">
        <f>D1_JUNIO[[#This Row],[SUPER]]</f>
        <v>JORDAN</v>
      </c>
      <c r="L61">
        <v>8</v>
      </c>
      <c r="M61" s="1">
        <f t="shared" si="1"/>
        <v>0.28987692307692309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2"/>
        <v>ANTHONY VICENTE</v>
      </c>
      <c r="P61" t="str">
        <f>IF(DATA_JUNIO_2025[[#This Row],[ASER_]]="","",F55)</f>
        <v>JORDAN</v>
      </c>
      <c r="Q61">
        <f>IF(DATA_JUNIO_2025[[#This Row],[SUPERVISOR]]="","",D55)</f>
        <v>18842</v>
      </c>
      <c r="R61">
        <f>IF(DATA_JUNIO_2025[[#This Row],[RECUPERO]]="","",VLOOKUP(DATA_JUNIO_2025[[#This Row],[SUPERVISOR]],$H:$I,2,0))</f>
        <v>65000</v>
      </c>
    </row>
    <row r="62" spans="1:18" x14ac:dyDescent="0.25">
      <c r="A62" t="s">
        <v>5</v>
      </c>
      <c r="B62" t="str">
        <f t="shared" si="0"/>
        <v/>
      </c>
      <c r="E62">
        <f>D1_JUNIO[[#This Row],[RECUPERO]]/VLOOKUP(F62,$H:$I,2,0)</f>
        <v>0</v>
      </c>
      <c r="F62" t="str">
        <f>D1_JUNIO[[#This Row],[SUPER]]</f>
        <v>JORDAN</v>
      </c>
      <c r="L62">
        <v>9</v>
      </c>
      <c r="M62" s="1">
        <f t="shared" si="1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2"/>
        <v/>
      </c>
      <c r="P62" t="str">
        <f>IF(DATA_JUNIO_2025[[#This Row],[ASER_]]="","",F56)</f>
        <v/>
      </c>
      <c r="Q62" t="str">
        <f>IF(DATA_JUNIO_2025[[#This Row],[SUPERVISOR]]="","",D56)</f>
        <v/>
      </c>
      <c r="R62" t="str">
        <f>IF(DATA_JUNIO_2025[[#This Row],[RECUPERO]]="","",VLOOKUP(DATA_JUNIO_2025[[#This Row],[SUPERVISOR]],$H:$I,2,0))</f>
        <v/>
      </c>
    </row>
    <row r="63" spans="1:18" x14ac:dyDescent="0.25">
      <c r="A63" t="s">
        <v>6</v>
      </c>
      <c r="B63" t="str">
        <f t="shared" si="0"/>
        <v>KIARA CANEPA</v>
      </c>
      <c r="C63" t="s">
        <v>50</v>
      </c>
      <c r="D63">
        <v>24980</v>
      </c>
      <c r="E63">
        <f>D1_JUNIO[[#This Row],[RECUPERO]]/VLOOKUP(F63,$H:$I,2,0)</f>
        <v>0.819016393442623</v>
      </c>
      <c r="F63" t="str">
        <f>D1_JUNIO[[#This Row],[SUPER]]</f>
        <v>KENNETH</v>
      </c>
      <c r="L63">
        <v>10</v>
      </c>
      <c r="M63" s="1">
        <f t="shared" si="1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2"/>
        <v/>
      </c>
      <c r="P63" t="str">
        <f>IF(DATA_JUNIO_2025[[#This Row],[ASER_]]="","",F57)</f>
        <v/>
      </c>
      <c r="Q63" t="str">
        <f>IF(DATA_JUNIO_2025[[#This Row],[SUPERVISOR]]="","",D57)</f>
        <v/>
      </c>
      <c r="R63" t="str">
        <f>IF(DATA_JUNIO_2025[[#This Row],[RECUPERO]]="","",VLOOKUP(DATA_JUNIO_2025[[#This Row],[SUPERVISOR]],$H:$I,2,0))</f>
        <v/>
      </c>
    </row>
    <row r="64" spans="1:18" x14ac:dyDescent="0.25">
      <c r="A64" t="s">
        <v>6</v>
      </c>
      <c r="B64" t="str">
        <f t="shared" si="0"/>
        <v>FRANK PACORA</v>
      </c>
      <c r="C64" t="s">
        <v>110</v>
      </c>
      <c r="D64">
        <v>24632</v>
      </c>
      <c r="E64">
        <f>D1_JUNIO[[#This Row],[RECUPERO]]/VLOOKUP(F64,$H:$I,2,0)</f>
        <v>0.80760655737704923</v>
      </c>
      <c r="F64" t="str">
        <f>D1_JUNIO[[#This Row],[SUPER]]</f>
        <v>KENNETH</v>
      </c>
      <c r="L64">
        <v>11</v>
      </c>
      <c r="M64" s="1">
        <f t="shared" si="1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2"/>
        <v/>
      </c>
      <c r="P64" t="str">
        <f>IF(DATA_JUNIO_2025[[#This Row],[ASER_]]="","",F58)</f>
        <v/>
      </c>
      <c r="Q64" t="str">
        <f>IF(DATA_JUNIO_2025[[#This Row],[SUPERVISOR]]="","",D58)</f>
        <v/>
      </c>
      <c r="R64" t="str">
        <f>IF(DATA_JUNIO_2025[[#This Row],[RECUPERO]]="","",VLOOKUP(DATA_JUNIO_2025[[#This Row],[SUPERVISOR]],$H:$I,2,0))</f>
        <v/>
      </c>
    </row>
    <row r="65" spans="1:18" x14ac:dyDescent="0.25">
      <c r="A65" t="s">
        <v>6</v>
      </c>
      <c r="B65" t="str">
        <f t="shared" si="0"/>
        <v>JUAN LOZA</v>
      </c>
      <c r="C65" t="s">
        <v>35</v>
      </c>
      <c r="D65">
        <v>15725</v>
      </c>
      <c r="E65">
        <f>D1_JUNIO[[#This Row],[RECUPERO]]/VLOOKUP(F65,$H:$I,2,0)</f>
        <v>0.51557377049180331</v>
      </c>
      <c r="F65" t="str">
        <f>D1_JUNIO[[#This Row],[SUPER]]</f>
        <v>KENNETH</v>
      </c>
      <c r="L65">
        <v>12</v>
      </c>
      <c r="M65" s="1">
        <f t="shared" si="1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2"/>
        <v/>
      </c>
      <c r="P65" t="str">
        <f>IF(DATA_JUNIO_2025[[#This Row],[ASER_]]="","",F59)</f>
        <v/>
      </c>
      <c r="Q65" t="str">
        <f>IF(DATA_JUNIO_2025[[#This Row],[SUPERVISOR]]="","",D59)</f>
        <v/>
      </c>
      <c r="R65" t="str">
        <f>IF(DATA_JUNIO_2025[[#This Row],[RECUPERO]]="","",VLOOKUP(DATA_JUNIO_2025[[#This Row],[SUPERVISOR]],$H:$I,2,0))</f>
        <v/>
      </c>
    </row>
    <row r="66" spans="1:18" x14ac:dyDescent="0.25">
      <c r="A66" t="s">
        <v>6</v>
      </c>
      <c r="B66" t="str">
        <f t="shared" si="0"/>
        <v>CARMEN PUMA</v>
      </c>
      <c r="C66" t="s">
        <v>19</v>
      </c>
      <c r="D66">
        <v>13629</v>
      </c>
      <c r="E66">
        <f>D1_JUNIO[[#This Row],[RECUPERO]]/VLOOKUP(F66,$H:$I,2,0)</f>
        <v>0.44685245901639342</v>
      </c>
      <c r="F66" t="str">
        <f>D1_JUNIO[[#This Row],[SUPER]]</f>
        <v>KENNETH</v>
      </c>
      <c r="L66">
        <v>13</v>
      </c>
      <c r="M66" s="1">
        <f t="shared" si="1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2"/>
        <v/>
      </c>
      <c r="P66" t="str">
        <f>IF(DATA_JUNIO_2025[[#This Row],[ASER_]]="","",F60)</f>
        <v/>
      </c>
      <c r="Q66" t="str">
        <f>IF(DATA_JUNIO_2025[[#This Row],[SUPERVISOR]]="","",D60)</f>
        <v/>
      </c>
      <c r="R66" t="str">
        <f>IF(DATA_JUNIO_2025[[#This Row],[RECUPERO]]="","",VLOOKUP(DATA_JUNIO_2025[[#This Row],[SUPERVISOR]],$H:$I,2,0))</f>
        <v/>
      </c>
    </row>
    <row r="67" spans="1:18" x14ac:dyDescent="0.25">
      <c r="A67" t="s">
        <v>6</v>
      </c>
      <c r="B67" t="str">
        <f t="shared" si="0"/>
        <v>LUIS CENTENO</v>
      </c>
      <c r="C67" t="s">
        <v>31</v>
      </c>
      <c r="D67">
        <v>13360</v>
      </c>
      <c r="E67">
        <f>D1_JUNIO[[#This Row],[RECUPERO]]/VLOOKUP(F67,$H:$I,2,0)</f>
        <v>0.43803278688524588</v>
      </c>
      <c r="F67" t="str">
        <f>D1_JUNIO[[#This Row],[SUPER]]</f>
        <v>KENNETH</v>
      </c>
      <c r="L67">
        <v>14</v>
      </c>
      <c r="M67" s="1">
        <f t="shared" si="1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2"/>
        <v/>
      </c>
      <c r="P67" t="str">
        <f>IF(DATA_JUNIO_2025[[#This Row],[ASER_]]="","",F61)</f>
        <v/>
      </c>
      <c r="Q67" t="str">
        <f>IF(DATA_JUNIO_2025[[#This Row],[SUPERVISOR]]="","",D61)</f>
        <v/>
      </c>
      <c r="R67" t="str">
        <f>IF(DATA_JUNIO_2025[[#This Row],[RECUPERO]]="","",VLOOKUP(DATA_JUNIO_2025[[#This Row],[SUPERVISOR]],$H:$I,2,0))</f>
        <v/>
      </c>
    </row>
    <row r="68" spans="1:18" x14ac:dyDescent="0.25">
      <c r="A68" t="s">
        <v>6</v>
      </c>
      <c r="B68" t="str">
        <f t="shared" ref="B68:B98" si="3">TRIM(C68)</f>
        <v>STWUAR MACURI</v>
      </c>
      <c r="C68" t="s">
        <v>34</v>
      </c>
      <c r="D68">
        <v>11750</v>
      </c>
      <c r="E68">
        <f>D1_JUNIO[[#This Row],[RECUPERO]]/VLOOKUP(F68,$H:$I,2,0)</f>
        <v>0.38524590163934425</v>
      </c>
      <c r="F68" t="str">
        <f>D1_JUNIO[[#This Row],[SUPER]]</f>
        <v>KENNETH</v>
      </c>
      <c r="L68">
        <v>15</v>
      </c>
      <c r="M68" s="1">
        <f t="shared" si="1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2"/>
        <v/>
      </c>
      <c r="P68" t="str">
        <f>IF(DATA_JUNIO_2025[[#This Row],[ASER_]]="","",F62)</f>
        <v/>
      </c>
      <c r="Q68" t="str">
        <f>IF(DATA_JUNIO_2025[[#This Row],[SUPERVISOR]]="","",D62)</f>
        <v/>
      </c>
      <c r="R68" t="str">
        <f>IF(DATA_JUNIO_2025[[#This Row],[RECUPERO]]="","",VLOOKUP(DATA_JUNIO_2025[[#This Row],[SUPERVISOR]],$H:$I,2,0))</f>
        <v/>
      </c>
    </row>
    <row r="69" spans="1:18" x14ac:dyDescent="0.25">
      <c r="A69" t="s">
        <v>6</v>
      </c>
      <c r="B69" t="str">
        <f t="shared" si="3"/>
        <v>JIMENA MEDINA</v>
      </c>
      <c r="C69" t="s">
        <v>37</v>
      </c>
      <c r="D69">
        <v>11510</v>
      </c>
      <c r="E69">
        <f>D1_JUNIO[[#This Row],[RECUPERO]]/VLOOKUP(F69,$H:$I,2,0)</f>
        <v>0.37737704918032788</v>
      </c>
      <c r="F69" t="str">
        <f>D1_JUNIO[[#This Row],[SUPER]]</f>
        <v>KENNETH</v>
      </c>
      <c r="L69">
        <v>1</v>
      </c>
      <c r="M69" s="1">
        <f t="shared" si="1"/>
        <v>0.819016393442623</v>
      </c>
      <c r="N69" t="str" cm="1">
        <f t="array" ref="N69">IFERROR(_xlfn.IFS(M69&gt;100%,"&gt;100%",AND(M69&lt;100%,M69&gt;70%),"&gt;70%",AND(M69&lt;70%,M69&gt;40%),"&gt;40%",AND(M69&lt;40%,M69&gt;0%),"&gt;0%"),"")</f>
        <v>&gt;70%</v>
      </c>
      <c r="O69" t="str">
        <f t="shared" si="2"/>
        <v>KIARA CANEPA</v>
      </c>
      <c r="P69" t="str">
        <f>IF(DATA_JUNIO_2025[[#This Row],[ASER_]]="","",F63)</f>
        <v>KENNETH</v>
      </c>
      <c r="Q69">
        <f>IF(DATA_JUNIO_2025[[#This Row],[SUPERVISOR]]="","",D63)</f>
        <v>24980</v>
      </c>
      <c r="R69">
        <f>IF(DATA_JUNIO_2025[[#This Row],[RECUPERO]]="","",VLOOKUP(DATA_JUNIO_2025[[#This Row],[SUPERVISOR]],$H:$I,2,0))</f>
        <v>30500</v>
      </c>
    </row>
    <row r="70" spans="1:18" x14ac:dyDescent="0.25">
      <c r="A70" t="s">
        <v>6</v>
      </c>
      <c r="B70" t="str">
        <f t="shared" si="3"/>
        <v>DAVID SANCHEZ</v>
      </c>
      <c r="C70" t="s">
        <v>81</v>
      </c>
      <c r="D70">
        <v>10780</v>
      </c>
      <c r="E70">
        <f>D1_JUNIO[[#This Row],[RECUPERO]]/VLOOKUP(F70,$H:$I,2,0)</f>
        <v>0.35344262295081968</v>
      </c>
      <c r="F70" t="str">
        <f>D1_JUNIO[[#This Row],[SUPER]]</f>
        <v>KENNETH</v>
      </c>
      <c r="L70">
        <v>2</v>
      </c>
      <c r="M70" s="1">
        <f t="shared" si="1"/>
        <v>0.80760655737704923</v>
      </c>
      <c r="N70" t="str" cm="1">
        <f t="array" ref="N70">IFERROR(_xlfn.IFS(M70&gt;100%,"&gt;100%",AND(M70&lt;100%,M70&gt;70%),"&gt;70%",AND(M70&lt;70%,M70&gt;40%),"&gt;40%",AND(M70&lt;40%,M70&gt;0%),"&gt;0%"),"")</f>
        <v>&gt;70%</v>
      </c>
      <c r="O70" t="str">
        <f t="shared" si="2"/>
        <v>FRANK PACORA</v>
      </c>
      <c r="P70" t="str">
        <f>IF(DATA_JUNIO_2025[[#This Row],[ASER_]]="","",F64)</f>
        <v>KENNETH</v>
      </c>
      <c r="Q70">
        <f>IF(DATA_JUNIO_2025[[#This Row],[SUPERVISOR]]="","",D64)</f>
        <v>24632</v>
      </c>
      <c r="R70">
        <f>IF(DATA_JUNIO_2025[[#This Row],[RECUPERO]]="","",VLOOKUP(DATA_JUNIO_2025[[#This Row],[SUPERVISOR]],$H:$I,2,0))</f>
        <v>30500</v>
      </c>
    </row>
    <row r="71" spans="1:18" x14ac:dyDescent="0.25">
      <c r="A71" t="s">
        <v>6</v>
      </c>
      <c r="B71" t="str">
        <f t="shared" si="3"/>
        <v>GINA HUAMANI</v>
      </c>
      <c r="C71" t="s">
        <v>44</v>
      </c>
      <c r="D71">
        <v>9760</v>
      </c>
      <c r="E71">
        <f>D1_JUNIO[[#This Row],[RECUPERO]]/VLOOKUP(F71,$H:$I,2,0)</f>
        <v>0.32</v>
      </c>
      <c r="F71" t="str">
        <f>D1_JUNIO[[#This Row],[SUPER]]</f>
        <v>KENNETH</v>
      </c>
      <c r="L71">
        <v>3</v>
      </c>
      <c r="M71" s="1">
        <f t="shared" si="1"/>
        <v>0.51557377049180331</v>
      </c>
      <c r="N71" t="str" cm="1">
        <f t="array" ref="N71">IFERROR(_xlfn.IFS(M71&gt;100%,"&gt;100%",AND(M71&lt;100%,M71&gt;70%),"&gt;70%",AND(M71&lt;70%,M71&gt;40%),"&gt;40%",AND(M71&lt;40%,M71&gt;0%),"&gt;0%"),"")</f>
        <v>&gt;40%</v>
      </c>
      <c r="O71" t="str">
        <f t="shared" si="2"/>
        <v>JUAN LOZA</v>
      </c>
      <c r="P71" t="str">
        <f>IF(DATA_JUNIO_2025[[#This Row],[ASER_]]="","",F65)</f>
        <v>KENNETH</v>
      </c>
      <c r="Q71">
        <f>IF(DATA_JUNIO_2025[[#This Row],[SUPERVISOR]]="","",D65)</f>
        <v>15725</v>
      </c>
      <c r="R71">
        <f>IF(DATA_JUNIO_2025[[#This Row],[RECUPERO]]="","",VLOOKUP(DATA_JUNIO_2025[[#This Row],[SUPERVISOR]],$H:$I,2,0))</f>
        <v>30500</v>
      </c>
    </row>
    <row r="72" spans="1:18" x14ac:dyDescent="0.25">
      <c r="A72" t="s">
        <v>6</v>
      </c>
      <c r="B72" t="str">
        <f t="shared" si="3"/>
        <v>MEDALITH NESTARES</v>
      </c>
      <c r="C72" t="s">
        <v>36</v>
      </c>
      <c r="D72">
        <v>8150</v>
      </c>
      <c r="E72">
        <f>D1_JUNIO[[#This Row],[RECUPERO]]/VLOOKUP(F72,$H:$I,2,0)</f>
        <v>0.26721311475409837</v>
      </c>
      <c r="F72" t="str">
        <f>D1_JUNIO[[#This Row],[SUPER]]</f>
        <v>KENNETH</v>
      </c>
      <c r="L72">
        <v>4</v>
      </c>
      <c r="M72" s="1">
        <f t="shared" si="1"/>
        <v>0.44685245901639342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2"/>
        <v>CARMEN PUMA</v>
      </c>
      <c r="P72" t="str">
        <f>IF(DATA_JUNIO_2025[[#This Row],[ASER_]]="","",F66)</f>
        <v>KENNETH</v>
      </c>
      <c r="Q72">
        <f>IF(DATA_JUNIO_2025[[#This Row],[SUPERVISOR]]="","",D66)</f>
        <v>13629</v>
      </c>
      <c r="R72">
        <f>IF(DATA_JUNIO_2025[[#This Row],[RECUPERO]]="","",VLOOKUP(DATA_JUNIO_2025[[#This Row],[SUPERVISOR]],$H:$I,2,0))</f>
        <v>30500</v>
      </c>
    </row>
    <row r="73" spans="1:18" x14ac:dyDescent="0.25">
      <c r="A73" t="s">
        <v>6</v>
      </c>
      <c r="B73" t="str">
        <f t="shared" si="3"/>
        <v>MARCO SARMIENTO</v>
      </c>
      <c r="C73" t="s">
        <v>117</v>
      </c>
      <c r="D73">
        <v>2322</v>
      </c>
      <c r="E73">
        <f>D1_JUNIO[[#This Row],[RECUPERO]]/VLOOKUP(F73,$H:$I,2,0)</f>
        <v>7.6131147540983601E-2</v>
      </c>
      <c r="F73" t="str">
        <f>D1_JUNIO[[#This Row],[SUPER]]</f>
        <v>KENNETH</v>
      </c>
      <c r="L73">
        <v>5</v>
      </c>
      <c r="M73" s="1">
        <f t="shared" si="1"/>
        <v>0.43803278688524588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2"/>
        <v>LUIS CENTENO</v>
      </c>
      <c r="P73" t="str">
        <f>IF(DATA_JUNIO_2025[[#This Row],[ASER_]]="","",F67)</f>
        <v>KENNETH</v>
      </c>
      <c r="Q73">
        <f>IF(DATA_JUNIO_2025[[#This Row],[SUPERVISOR]]="","",D67)</f>
        <v>13360</v>
      </c>
      <c r="R73">
        <f>IF(DATA_JUNIO_2025[[#This Row],[RECUPERO]]="","",VLOOKUP(DATA_JUNIO_2025[[#This Row],[SUPERVISOR]],$H:$I,2,0))</f>
        <v>30500</v>
      </c>
    </row>
    <row r="74" spans="1:18" x14ac:dyDescent="0.25">
      <c r="A74" t="s">
        <v>6</v>
      </c>
      <c r="B74" t="str">
        <f t="shared" si="3"/>
        <v/>
      </c>
      <c r="E74">
        <f>D1_JUNIO[[#This Row],[RECUPERO]]/VLOOKUP(F74,$H:$I,2,0)</f>
        <v>0</v>
      </c>
      <c r="F74" t="str">
        <f>D1_JUNIO[[#This Row],[SUPER]]</f>
        <v>KENNETH</v>
      </c>
      <c r="L74">
        <v>6</v>
      </c>
      <c r="M74" s="1">
        <f t="shared" ref="M74:M128" si="4">E68</f>
        <v>0.38524590163934425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28" si="5">B68</f>
        <v>STWUAR MACURI</v>
      </c>
      <c r="P74" t="str">
        <f>IF(DATA_JUNIO_2025[[#This Row],[ASER_]]="","",F68)</f>
        <v>KENNETH</v>
      </c>
      <c r="Q74">
        <f>IF(DATA_JUNIO_2025[[#This Row],[SUPERVISOR]]="","",D68)</f>
        <v>11750</v>
      </c>
      <c r="R74">
        <f>IF(DATA_JUNIO_2025[[#This Row],[RECUPERO]]="","",VLOOKUP(DATA_JUNIO_2025[[#This Row],[SUPERVISOR]],$H:$I,2,0))</f>
        <v>30500</v>
      </c>
    </row>
    <row r="75" spans="1:18" x14ac:dyDescent="0.25">
      <c r="A75" t="s">
        <v>6</v>
      </c>
      <c r="B75" t="str">
        <f t="shared" si="3"/>
        <v/>
      </c>
      <c r="E75">
        <f>D1_JUNIO[[#This Row],[RECUPERO]]/VLOOKUP(F75,$H:$I,2,0)</f>
        <v>0</v>
      </c>
      <c r="F75" t="str">
        <f>D1_JUNIO[[#This Row],[SUPER]]</f>
        <v>KENNETH</v>
      </c>
      <c r="L75">
        <v>7</v>
      </c>
      <c r="M75" s="1">
        <f t="shared" si="4"/>
        <v>0.37737704918032788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5"/>
        <v>JIMENA MEDINA</v>
      </c>
      <c r="P75" t="str">
        <f>IF(DATA_JUNIO_2025[[#This Row],[ASER_]]="","",F69)</f>
        <v>KENNETH</v>
      </c>
      <c r="Q75">
        <f>IF(DATA_JUNIO_2025[[#This Row],[SUPERVISOR]]="","",D69)</f>
        <v>11510</v>
      </c>
      <c r="R75">
        <f>IF(DATA_JUNIO_2025[[#This Row],[RECUPERO]]="","",VLOOKUP(DATA_JUNIO_2025[[#This Row],[SUPERVISOR]],$H:$I,2,0))</f>
        <v>30500</v>
      </c>
    </row>
    <row r="76" spans="1:18" x14ac:dyDescent="0.25">
      <c r="A76" t="s">
        <v>6</v>
      </c>
      <c r="B76" t="str">
        <f t="shared" si="3"/>
        <v/>
      </c>
      <c r="E76">
        <f>D1_JUNIO[[#This Row],[RECUPERO]]/VLOOKUP(F76,$H:$I,2,0)</f>
        <v>0</v>
      </c>
      <c r="F76" t="str">
        <f>D1_JUNIO[[#This Row],[SUPER]]</f>
        <v>KENNETH</v>
      </c>
      <c r="L76">
        <v>8</v>
      </c>
      <c r="M76" s="1">
        <f t="shared" si="4"/>
        <v>0.35344262295081968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5"/>
        <v>DAVID SANCHEZ</v>
      </c>
      <c r="P76" t="str">
        <f>IF(DATA_JUNIO_2025[[#This Row],[ASER_]]="","",F70)</f>
        <v>KENNETH</v>
      </c>
      <c r="Q76">
        <f>IF(DATA_JUNIO_2025[[#This Row],[SUPERVISOR]]="","",D70)</f>
        <v>10780</v>
      </c>
      <c r="R76">
        <f>IF(DATA_JUNIO_2025[[#This Row],[RECUPERO]]="","",VLOOKUP(DATA_JUNIO_2025[[#This Row],[SUPERVISOR]],$H:$I,2,0))</f>
        <v>30500</v>
      </c>
    </row>
    <row r="77" spans="1:18" x14ac:dyDescent="0.25">
      <c r="A77" t="s">
        <v>6</v>
      </c>
      <c r="B77" t="str">
        <f t="shared" si="3"/>
        <v/>
      </c>
      <c r="E77">
        <f>D1_JUNIO[[#This Row],[RECUPERO]]/VLOOKUP(F77,$H:$I,2,0)</f>
        <v>0</v>
      </c>
      <c r="F77" t="str">
        <f>D1_JUNIO[[#This Row],[SUPER]]</f>
        <v>KENNETH</v>
      </c>
      <c r="L77">
        <v>9</v>
      </c>
      <c r="M77" s="1">
        <f t="shared" si="4"/>
        <v>0.32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GINA HUAMANI</v>
      </c>
      <c r="P77" t="str">
        <f>IF(DATA_JUNIO_2025[[#This Row],[ASER_]]="","",F71)</f>
        <v>KENNETH</v>
      </c>
      <c r="Q77">
        <f>IF(DATA_JUNIO_2025[[#This Row],[SUPERVISOR]]="","",D71)</f>
        <v>9760</v>
      </c>
      <c r="R77">
        <f>IF(DATA_JUNIO_2025[[#This Row],[RECUPERO]]="","",VLOOKUP(DATA_JUNIO_2025[[#This Row],[SUPERVISOR]],$H:$I,2,0))</f>
        <v>30500</v>
      </c>
    </row>
    <row r="78" spans="1:18" x14ac:dyDescent="0.25">
      <c r="A78" t="s">
        <v>7</v>
      </c>
      <c r="B78" t="str">
        <f t="shared" si="3"/>
        <v>DANIEL ZAPATA</v>
      </c>
      <c r="C78" t="s">
        <v>80</v>
      </c>
      <c r="D78">
        <v>21379</v>
      </c>
      <c r="E78">
        <f>D1_JUNIO[[#This Row],[RECUPERO]]/VLOOKUP(F78,$H:$I,2,0)</f>
        <v>1.4252666666666669</v>
      </c>
      <c r="F78" t="str">
        <f>D1_JUNIO[[#This Row],[SUPER]]</f>
        <v>LEONOR</v>
      </c>
      <c r="L78">
        <v>10</v>
      </c>
      <c r="M78" s="1">
        <f t="shared" si="4"/>
        <v>0.26721311475409837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5"/>
        <v>MEDALITH NESTARES</v>
      </c>
      <c r="P78" t="str">
        <f>IF(DATA_JUNIO_2025[[#This Row],[ASER_]]="","",F72)</f>
        <v>KENNETH</v>
      </c>
      <c r="Q78">
        <f>IF(DATA_JUNIO_2025[[#This Row],[SUPERVISOR]]="","",D72)</f>
        <v>8150</v>
      </c>
      <c r="R78">
        <f>IF(DATA_JUNIO_2025[[#This Row],[RECUPERO]]="","",VLOOKUP(DATA_JUNIO_2025[[#This Row],[SUPERVISOR]],$H:$I,2,0))</f>
        <v>30500</v>
      </c>
    </row>
    <row r="79" spans="1:18" x14ac:dyDescent="0.25">
      <c r="A79" t="s">
        <v>7</v>
      </c>
      <c r="B79" t="str">
        <f t="shared" si="3"/>
        <v>GABRIELA APONTE</v>
      </c>
      <c r="C79" t="s">
        <v>27</v>
      </c>
      <c r="D79">
        <v>12549</v>
      </c>
      <c r="E79">
        <f>D1_JUNIO[[#This Row],[RECUPERO]]/VLOOKUP(F79,$H:$I,2,0)</f>
        <v>0.83660000000000012</v>
      </c>
      <c r="F79" t="str">
        <f>D1_JUNIO[[#This Row],[SUPER]]</f>
        <v>LEONOR</v>
      </c>
      <c r="L79">
        <v>11</v>
      </c>
      <c r="M79" s="1">
        <f t="shared" si="4"/>
        <v>7.6131147540983601E-2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MARCO SARMIENTO</v>
      </c>
      <c r="P79" t="str">
        <f>IF(DATA_JUNIO_2025[[#This Row],[ASER_]]="","",F73)</f>
        <v>KENNETH</v>
      </c>
      <c r="Q79">
        <f>IF(DATA_JUNIO_2025[[#This Row],[SUPERVISOR]]="","",D73)</f>
        <v>2322</v>
      </c>
      <c r="R79">
        <f>IF(DATA_JUNIO_2025[[#This Row],[RECUPERO]]="","",VLOOKUP(DATA_JUNIO_2025[[#This Row],[SUPERVISOR]],$H:$I,2,0))</f>
        <v>30500</v>
      </c>
    </row>
    <row r="80" spans="1:18" x14ac:dyDescent="0.25">
      <c r="A80" t="s">
        <v>7</v>
      </c>
      <c r="B80" t="str">
        <f t="shared" si="3"/>
        <v>YENNY INGA</v>
      </c>
      <c r="C80" t="s">
        <v>39</v>
      </c>
      <c r="D80">
        <v>8658</v>
      </c>
      <c r="E80">
        <f>D1_JUNIO[[#This Row],[RECUPERO]]/VLOOKUP(F80,$H:$I,2,0)</f>
        <v>0.57720000000000005</v>
      </c>
      <c r="F80" t="str">
        <f>D1_JUNIO[[#This Row],[SUPER]]</f>
        <v>LEONOR</v>
      </c>
      <c r="L80">
        <v>12</v>
      </c>
      <c r="M80" s="1">
        <f t="shared" si="4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5"/>
        <v/>
      </c>
      <c r="P80" t="str">
        <f>IF(DATA_JUNIO_2025[[#This Row],[ASER_]]="","",F74)</f>
        <v/>
      </c>
      <c r="Q80" t="str">
        <f>IF(DATA_JUNIO_2025[[#This Row],[SUPERVISOR]]="","",D74)</f>
        <v/>
      </c>
      <c r="R80" t="str">
        <f>IF(DATA_JUNIO_2025[[#This Row],[RECUPERO]]="","",VLOOKUP(DATA_JUNIO_2025[[#This Row],[SUPERVISOR]],$H:$I,2,0))</f>
        <v/>
      </c>
    </row>
    <row r="81" spans="1:18" x14ac:dyDescent="0.25">
      <c r="A81" t="s">
        <v>7</v>
      </c>
      <c r="B81" t="str">
        <f t="shared" si="3"/>
        <v>NARDIA URPIS</v>
      </c>
      <c r="C81" t="s">
        <v>74</v>
      </c>
      <c r="D81">
        <v>7156</v>
      </c>
      <c r="E81">
        <f>D1_JUNIO[[#This Row],[RECUPERO]]/VLOOKUP(F81,$H:$I,2,0)</f>
        <v>0.47706666666666675</v>
      </c>
      <c r="F81" t="str">
        <f>D1_JUNIO[[#This Row],[SUPER]]</f>
        <v>LEONOR</v>
      </c>
      <c r="L81">
        <v>13</v>
      </c>
      <c r="M81" s="1">
        <f t="shared" si="4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5"/>
        <v/>
      </c>
      <c r="P81" t="str">
        <f>IF(DATA_JUNIO_2025[[#This Row],[ASER_]]="","",F75)</f>
        <v/>
      </c>
      <c r="Q81" t="str">
        <f>IF(DATA_JUNIO_2025[[#This Row],[SUPERVISOR]]="","",D75)</f>
        <v/>
      </c>
      <c r="R81" t="str">
        <f>IF(DATA_JUNIO_2025[[#This Row],[RECUPERO]]="","",VLOOKUP(DATA_JUNIO_2025[[#This Row],[SUPERVISOR]],$H:$I,2,0))</f>
        <v/>
      </c>
    </row>
    <row r="82" spans="1:18" x14ac:dyDescent="0.25">
      <c r="A82" t="s">
        <v>7</v>
      </c>
      <c r="B82" t="str">
        <f t="shared" si="3"/>
        <v>MARIA HUARCAYA</v>
      </c>
      <c r="C82" t="s">
        <v>38</v>
      </c>
      <c r="D82">
        <v>7073</v>
      </c>
      <c r="E82">
        <f>D1_JUNIO[[#This Row],[RECUPERO]]/VLOOKUP(F82,$H:$I,2,0)</f>
        <v>0.47153333333333342</v>
      </c>
      <c r="F82" t="str">
        <f>D1_JUNIO[[#This Row],[SUPER]]</f>
        <v>LEONOR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IF(DATA_JUNIO_2025[[#This Row],[ASER_]]="","",F76)</f>
        <v/>
      </c>
      <c r="Q82" t="str">
        <f>IF(DATA_JUNIO_2025[[#This Row],[SUPERVISOR]]="","",D76)</f>
        <v/>
      </c>
      <c r="R82" t="str">
        <f>IF(DATA_JUNIO_2025[[#This Row],[RECUPERO]]="","",VLOOKUP(DATA_JUNIO_2025[[#This Row],[SUPERVISOR]],$H:$I,2,0))</f>
        <v/>
      </c>
    </row>
    <row r="83" spans="1:18" x14ac:dyDescent="0.25">
      <c r="A83" t="s">
        <v>7</v>
      </c>
      <c r="B83" t="str">
        <f t="shared" si="3"/>
        <v>YEYMY HUERTA</v>
      </c>
      <c r="C83" t="s">
        <v>56</v>
      </c>
      <c r="D83">
        <v>7243</v>
      </c>
      <c r="E83">
        <f>D1_JUNIO[[#This Row],[RECUPERO]]/VLOOKUP(F83,$H:$I,2,0)</f>
        <v>0.48286666666666672</v>
      </c>
      <c r="F83" t="str">
        <f>D1_JUNIO[[#This Row],[SUPER]]</f>
        <v>LEONOR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IF(DATA_JUNIO_2025[[#This Row],[ASER_]]="","",F77)</f>
        <v/>
      </c>
      <c r="Q83" t="str">
        <f>IF(DATA_JUNIO_2025[[#This Row],[SUPERVISOR]]="","",D77)</f>
        <v/>
      </c>
      <c r="R83" t="str">
        <f>IF(DATA_JUNIO_2025[[#This Row],[RECUPERO]]="","",VLOOKUP(DATA_JUNIO_2025[[#This Row],[SUPERVISOR]],$H:$I,2,0))</f>
        <v/>
      </c>
    </row>
    <row r="84" spans="1:18" x14ac:dyDescent="0.25">
      <c r="A84" t="s">
        <v>7</v>
      </c>
      <c r="B84" t="str">
        <f t="shared" si="3"/>
        <v>MAYRA AVALOS</v>
      </c>
      <c r="C84" t="s">
        <v>55</v>
      </c>
      <c r="D84">
        <v>5718</v>
      </c>
      <c r="E84">
        <f>D1_JUNIO[[#This Row],[RECUPERO]]/VLOOKUP(F84,$H:$I,2,0)</f>
        <v>0.38120000000000004</v>
      </c>
      <c r="F84" t="str">
        <f>D1_JUNIO[[#This Row],[SUPER]]</f>
        <v>LEONOR</v>
      </c>
      <c r="L84">
        <v>1</v>
      </c>
      <c r="M84" s="1">
        <f t="shared" si="4"/>
        <v>1.4252666666666669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DANIEL ZAPATA</v>
      </c>
      <c r="P84" t="str">
        <f>IF(DATA_JUNIO_2025[[#This Row],[ASER_]]="","",F78)</f>
        <v>LEONOR</v>
      </c>
      <c r="Q84">
        <f>IF(DATA_JUNIO_2025[[#This Row],[SUPERVISOR]]="","",D78)</f>
        <v>21379</v>
      </c>
      <c r="R84">
        <f>IF(DATA_JUNIO_2025[[#This Row],[RECUPERO]]="","",VLOOKUP(DATA_JUNIO_2025[[#This Row],[SUPERVISOR]],$H:$I,2,0))</f>
        <v>14999.999999999998</v>
      </c>
    </row>
    <row r="85" spans="1:18" x14ac:dyDescent="0.25">
      <c r="A85" t="s">
        <v>7</v>
      </c>
      <c r="B85" t="str">
        <f t="shared" si="3"/>
        <v>JOANA GIL</v>
      </c>
      <c r="C85" t="s">
        <v>111</v>
      </c>
      <c r="D85">
        <v>5126</v>
      </c>
      <c r="E85">
        <f>D1_JUNIO[[#This Row],[RECUPERO]]/VLOOKUP(F85,$H:$I,2,0)</f>
        <v>0.34173333333333339</v>
      </c>
      <c r="F85" t="str">
        <f>D1_JUNIO[[#This Row],[SUPER]]</f>
        <v>LEONOR</v>
      </c>
      <c r="L85">
        <v>2</v>
      </c>
      <c r="M85" s="1">
        <f t="shared" si="4"/>
        <v>0.83660000000000012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5"/>
        <v>GABRIELA APONTE</v>
      </c>
      <c r="P85" t="str">
        <f>IF(DATA_JUNIO_2025[[#This Row],[ASER_]]="","",F79)</f>
        <v>LEONOR</v>
      </c>
      <c r="Q85">
        <f>IF(DATA_JUNIO_2025[[#This Row],[SUPERVISOR]]="","",D79)</f>
        <v>12549</v>
      </c>
      <c r="R85">
        <f>IF(DATA_JUNIO_2025[[#This Row],[RECUPERO]]="","",VLOOKUP(DATA_JUNIO_2025[[#This Row],[SUPERVISOR]],$H:$I,2,0))</f>
        <v>14999.999999999998</v>
      </c>
    </row>
    <row r="86" spans="1:18" x14ac:dyDescent="0.25">
      <c r="A86" t="s">
        <v>7</v>
      </c>
      <c r="B86" t="str">
        <f t="shared" si="3"/>
        <v>LINDA TUESTA</v>
      </c>
      <c r="C86" t="s">
        <v>33</v>
      </c>
      <c r="D86">
        <v>2010.1</v>
      </c>
      <c r="E86">
        <f>D1_JUNIO[[#This Row],[RECUPERO]]/VLOOKUP(F86,$H:$I,2,0)</f>
        <v>0.13400666666666669</v>
      </c>
      <c r="F86" t="str">
        <f>D1_JUNIO[[#This Row],[SUPER]]</f>
        <v>LEONOR</v>
      </c>
      <c r="L86">
        <v>3</v>
      </c>
      <c r="M86" s="1">
        <f t="shared" si="4"/>
        <v>0.57720000000000005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5"/>
        <v>YENNY INGA</v>
      </c>
      <c r="P86" t="str">
        <f>IF(DATA_JUNIO_2025[[#This Row],[ASER_]]="","",F80)</f>
        <v>LEONOR</v>
      </c>
      <c r="Q86">
        <f>IF(DATA_JUNIO_2025[[#This Row],[SUPERVISOR]]="","",D80)</f>
        <v>8658</v>
      </c>
      <c r="R86">
        <f>IF(DATA_JUNIO_2025[[#This Row],[RECUPERO]]="","",VLOOKUP(DATA_JUNIO_2025[[#This Row],[SUPERVISOR]],$H:$I,2,0))</f>
        <v>14999.999999999998</v>
      </c>
    </row>
    <row r="87" spans="1:18" x14ac:dyDescent="0.25">
      <c r="A87" t="s">
        <v>7</v>
      </c>
      <c r="B87" t="str">
        <f t="shared" si="3"/>
        <v>ANDREA ALEJOS</v>
      </c>
      <c r="C87" t="s">
        <v>118</v>
      </c>
      <c r="D87">
        <v>763</v>
      </c>
      <c r="E87">
        <f>D1_JUNIO[[#This Row],[RECUPERO]]/VLOOKUP(F87,$H:$I,2,0)</f>
        <v>5.0866666666666671E-2</v>
      </c>
      <c r="F87" t="str">
        <f>D1_JUNIO[[#This Row],[SUPER]]</f>
        <v>LEONOR</v>
      </c>
      <c r="L87">
        <v>4</v>
      </c>
      <c r="M87" s="1">
        <f t="shared" si="4"/>
        <v>0.47706666666666675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5"/>
        <v>NARDIA URPIS</v>
      </c>
      <c r="P87" t="str">
        <f>IF(DATA_JUNIO_2025[[#This Row],[ASER_]]="","",F81)</f>
        <v>LEONOR</v>
      </c>
      <c r="Q87">
        <f>IF(DATA_JUNIO_2025[[#This Row],[SUPERVISOR]]="","",D81)</f>
        <v>7156</v>
      </c>
      <c r="R87">
        <f>IF(DATA_JUNIO_2025[[#This Row],[RECUPERO]]="","",VLOOKUP(DATA_JUNIO_2025[[#This Row],[SUPERVISOR]],$H:$I,2,0))</f>
        <v>14999.999999999998</v>
      </c>
    </row>
    <row r="88" spans="1:18" x14ac:dyDescent="0.25">
      <c r="A88" t="s">
        <v>7</v>
      </c>
      <c r="B88" t="str">
        <f t="shared" si="3"/>
        <v/>
      </c>
      <c r="E88">
        <f>D1_JUNIO[[#This Row],[RECUPERO]]/VLOOKUP(F88,$H:$I,2,0)</f>
        <v>0</v>
      </c>
      <c r="F88" t="str">
        <f>D1_JUNIO[[#This Row],[SUPER]]</f>
        <v>LEONOR</v>
      </c>
      <c r="L88">
        <v>5</v>
      </c>
      <c r="M88" s="1">
        <f t="shared" si="4"/>
        <v>0.47153333333333342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5"/>
        <v>MARIA HUARCAYA</v>
      </c>
      <c r="P88" t="str">
        <f>IF(DATA_JUNIO_2025[[#This Row],[ASER_]]="","",F82)</f>
        <v>LEONOR</v>
      </c>
      <c r="Q88">
        <f>IF(DATA_JUNIO_2025[[#This Row],[SUPERVISOR]]="","",D82)</f>
        <v>7073</v>
      </c>
      <c r="R88">
        <f>IF(DATA_JUNIO_2025[[#This Row],[RECUPERO]]="","",VLOOKUP(DATA_JUNIO_2025[[#This Row],[SUPERVISOR]],$H:$I,2,0))</f>
        <v>14999.999999999998</v>
      </c>
    </row>
    <row r="89" spans="1:18" x14ac:dyDescent="0.25">
      <c r="A89" t="s">
        <v>7</v>
      </c>
      <c r="B89" t="str">
        <f t="shared" si="3"/>
        <v/>
      </c>
      <c r="E89">
        <f>D1_JUNIO[[#This Row],[RECUPERO]]/VLOOKUP(F89,$H:$I,2,0)</f>
        <v>0</v>
      </c>
      <c r="F89" t="str">
        <f>D1_JUNIO[[#This Row],[SUPER]]</f>
        <v>LEONOR</v>
      </c>
      <c r="L89">
        <v>6</v>
      </c>
      <c r="M89" s="1">
        <f t="shared" si="4"/>
        <v>0.48286666666666672</v>
      </c>
      <c r="N89" t="str" cm="1">
        <f t="array" ref="N89">IFERROR(_xlfn.IFS(M89&gt;100%,"&gt;100%",AND(M89&lt;100%,M89&gt;70%),"&gt;70%",AND(M89&lt;70%,M89&gt;40%),"&gt;40%",AND(M89&lt;40%,M89&gt;0%),"&gt;0%"),"")</f>
        <v>&gt;40%</v>
      </c>
      <c r="O89" t="str">
        <f t="shared" si="5"/>
        <v>YEYMY HUERTA</v>
      </c>
      <c r="P89" t="str">
        <f>IF(DATA_JUNIO_2025[[#This Row],[ASER_]]="","",F83)</f>
        <v>LEONOR</v>
      </c>
      <c r="Q89">
        <f>IF(DATA_JUNIO_2025[[#This Row],[SUPERVISOR]]="","",D83)</f>
        <v>7243</v>
      </c>
      <c r="R89">
        <f>IF(DATA_JUNIO_2025[[#This Row],[RECUPERO]]="","",VLOOKUP(DATA_JUNIO_2025[[#This Row],[SUPERVISOR]],$H:$I,2,0))</f>
        <v>14999.999999999998</v>
      </c>
    </row>
    <row r="90" spans="1:18" x14ac:dyDescent="0.25">
      <c r="A90" t="s">
        <v>7</v>
      </c>
      <c r="B90" t="str">
        <f t="shared" si="3"/>
        <v/>
      </c>
      <c r="E90">
        <f>D1_JUNIO[[#This Row],[RECUPERO]]/VLOOKUP(F90,$H:$I,2,0)</f>
        <v>0</v>
      </c>
      <c r="F90" t="str">
        <f>D1_JUNIO[[#This Row],[SUPER]]</f>
        <v>LEONOR</v>
      </c>
      <c r="L90">
        <v>7</v>
      </c>
      <c r="M90" s="1">
        <f t="shared" si="4"/>
        <v>0.38120000000000004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MAYRA AVALOS</v>
      </c>
      <c r="P90" t="str">
        <f>IF(DATA_JUNIO_2025[[#This Row],[ASER_]]="","",F84)</f>
        <v>LEONOR</v>
      </c>
      <c r="Q90">
        <f>IF(DATA_JUNIO_2025[[#This Row],[SUPERVISOR]]="","",D84)</f>
        <v>5718</v>
      </c>
      <c r="R90">
        <f>IF(DATA_JUNIO_2025[[#This Row],[RECUPERO]]="","",VLOOKUP(DATA_JUNIO_2025[[#This Row],[SUPERVISOR]],$H:$I,2,0))</f>
        <v>14999.999999999998</v>
      </c>
    </row>
    <row r="91" spans="1:18" x14ac:dyDescent="0.25">
      <c r="A91" t="s">
        <v>7</v>
      </c>
      <c r="B91" t="str">
        <f t="shared" si="3"/>
        <v/>
      </c>
      <c r="E91">
        <f>D1_JUNIO[[#This Row],[RECUPERO]]/VLOOKUP(F91,$H:$I,2,0)</f>
        <v>0</v>
      </c>
      <c r="F91" t="str">
        <f>D1_JUNIO[[#This Row],[SUPER]]</f>
        <v>LEONOR</v>
      </c>
      <c r="L91">
        <v>8</v>
      </c>
      <c r="M91" s="1">
        <f t="shared" si="4"/>
        <v>0.34173333333333339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JOANA GIL</v>
      </c>
      <c r="P91" t="str">
        <f>IF(DATA_JUNIO_2025[[#This Row],[ASER_]]="","",F85)</f>
        <v>LEONOR</v>
      </c>
      <c r="Q91">
        <f>IF(DATA_JUNIO_2025[[#This Row],[SUPERVISOR]]="","",D85)</f>
        <v>5126</v>
      </c>
      <c r="R91">
        <f>IF(DATA_JUNIO_2025[[#This Row],[RECUPERO]]="","",VLOOKUP(DATA_JUNIO_2025[[#This Row],[SUPERVISOR]],$H:$I,2,0))</f>
        <v>14999.999999999998</v>
      </c>
    </row>
    <row r="92" spans="1:18" x14ac:dyDescent="0.25">
      <c r="A92" t="s">
        <v>7</v>
      </c>
      <c r="B92" t="str">
        <f t="shared" si="3"/>
        <v/>
      </c>
      <c r="E92">
        <f>D1_JUNIO[[#This Row],[RECUPERO]]/VLOOKUP(F92,$H:$I,2,0)</f>
        <v>0</v>
      </c>
      <c r="F92" t="str">
        <f>D1_JUNIO[[#This Row],[SUPER]]</f>
        <v>LEONOR</v>
      </c>
      <c r="L92">
        <v>9</v>
      </c>
      <c r="M92" s="1">
        <f t="shared" si="4"/>
        <v>0.13400666666666669</v>
      </c>
      <c r="N92" t="str" cm="1">
        <f t="array" ref="N92">IFERROR(_xlfn.IFS(M92&gt;100%,"&gt;100%",AND(M92&lt;100%,M92&gt;70%),"&gt;70%",AND(M92&lt;70%,M92&gt;40%),"&gt;40%",AND(M92&lt;40%,M92&gt;0%),"&gt;0%"),"")</f>
        <v>&gt;0%</v>
      </c>
      <c r="O92" t="str">
        <f t="shared" si="5"/>
        <v>LINDA TUESTA</v>
      </c>
      <c r="P92" t="str">
        <f>IF(DATA_JUNIO_2025[[#This Row],[ASER_]]="","",F86)</f>
        <v>LEONOR</v>
      </c>
      <c r="Q92">
        <f>IF(DATA_JUNIO_2025[[#This Row],[SUPERVISOR]]="","",D86)</f>
        <v>2010.1</v>
      </c>
      <c r="R92">
        <f>IF(DATA_JUNIO_2025[[#This Row],[RECUPERO]]="","",VLOOKUP(DATA_JUNIO_2025[[#This Row],[SUPERVISOR]],$H:$I,2,0))</f>
        <v>14999.999999999998</v>
      </c>
    </row>
    <row r="93" spans="1:18" x14ac:dyDescent="0.25">
      <c r="A93" t="s">
        <v>8</v>
      </c>
      <c r="B93" t="str">
        <f t="shared" si="3"/>
        <v>FRANCO HUAMANI</v>
      </c>
      <c r="C93" t="s">
        <v>24</v>
      </c>
      <c r="D93">
        <v>24480</v>
      </c>
      <c r="E93">
        <f>D1_JUNIO[[#This Row],[RECUPERO]]/VLOOKUP(F93,$H:$I,2,0)</f>
        <v>1.6319999999999999</v>
      </c>
      <c r="F93" t="str">
        <f>D1_JUNIO[[#This Row],[SUPER]]</f>
        <v>BRYAN</v>
      </c>
      <c r="L93">
        <v>10</v>
      </c>
      <c r="M93" s="1">
        <f t="shared" si="4"/>
        <v>5.0866666666666671E-2</v>
      </c>
      <c r="N93" t="str" cm="1">
        <f t="array" ref="N93">IFERROR(_xlfn.IFS(M93&gt;100%,"&gt;100%",AND(M93&lt;100%,M93&gt;70%),"&gt;70%",AND(M93&lt;70%,M93&gt;40%),"&gt;40%",AND(M93&lt;40%,M93&gt;0%),"&gt;0%"),"")</f>
        <v>&gt;0%</v>
      </c>
      <c r="O93" t="str">
        <f t="shared" si="5"/>
        <v>ANDREA ALEJOS</v>
      </c>
      <c r="P93" t="str">
        <f>IF(DATA_JUNIO_2025[[#This Row],[ASER_]]="","",F87)</f>
        <v>LEONOR</v>
      </c>
      <c r="Q93">
        <f>IF(DATA_JUNIO_2025[[#This Row],[SUPERVISOR]]="","",D87)</f>
        <v>763</v>
      </c>
      <c r="R93">
        <f>IF(DATA_JUNIO_2025[[#This Row],[RECUPERO]]="","",VLOOKUP(DATA_JUNIO_2025[[#This Row],[SUPERVISOR]],$H:$I,2,0))</f>
        <v>14999.999999999998</v>
      </c>
    </row>
    <row r="94" spans="1:18" x14ac:dyDescent="0.25">
      <c r="A94" t="s">
        <v>8</v>
      </c>
      <c r="B94" t="str">
        <f t="shared" si="3"/>
        <v>BRINA SOTO</v>
      </c>
      <c r="C94" t="s">
        <v>14</v>
      </c>
      <c r="D94">
        <v>12964.5</v>
      </c>
      <c r="E94">
        <f>D1_JUNIO[[#This Row],[RECUPERO]]/VLOOKUP(F94,$H:$I,2,0)</f>
        <v>0.86429999999999985</v>
      </c>
      <c r="F94" t="str">
        <f>D1_JUNIO[[#This Row],[SUPER]]</f>
        <v>BRYAN</v>
      </c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IF(DATA_JUNIO_2025[[#This Row],[ASER_]]="","",F88)</f>
        <v/>
      </c>
      <c r="Q94" t="str">
        <f>IF(DATA_JUNIO_2025[[#This Row],[SUPERVISOR]]="","",D88)</f>
        <v/>
      </c>
      <c r="R94" t="str">
        <f>IF(DATA_JUNIO_2025[[#This Row],[RECUPERO]]="","",VLOOKUP(DATA_JUNIO_2025[[#This Row],[SUPERVISOR]],$H:$I,2,0))</f>
        <v/>
      </c>
    </row>
    <row r="95" spans="1:18" x14ac:dyDescent="0.25">
      <c r="A95" t="s">
        <v>8</v>
      </c>
      <c r="B95" t="str">
        <f t="shared" si="3"/>
        <v>CHRISTIAN ALVARADO</v>
      </c>
      <c r="C95" t="s">
        <v>41</v>
      </c>
      <c r="D95">
        <v>11793</v>
      </c>
      <c r="E95">
        <f>D1_JUNIO[[#This Row],[RECUPERO]]/VLOOKUP(F95,$H:$I,2,0)</f>
        <v>0.7861999999999999</v>
      </c>
      <c r="F95" t="str">
        <f>D1_JUNIO[[#This Row],[SUPER]]</f>
        <v>BRYAN</v>
      </c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IF(DATA_JUNIO_2025[[#This Row],[ASER_]]="","",F89)</f>
        <v/>
      </c>
      <c r="Q95" t="str">
        <f>IF(DATA_JUNIO_2025[[#This Row],[SUPERVISOR]]="","",D89)</f>
        <v/>
      </c>
      <c r="R95" t="str">
        <f>IF(DATA_JUNIO_2025[[#This Row],[RECUPERO]]="","",VLOOKUP(DATA_JUNIO_2025[[#This Row],[SUPERVISOR]],$H:$I,2,0))</f>
        <v/>
      </c>
    </row>
    <row r="96" spans="1:18" x14ac:dyDescent="0.25">
      <c r="A96" t="s">
        <v>8</v>
      </c>
      <c r="B96" t="str">
        <f t="shared" si="3"/>
        <v>ROCIO TERRONES</v>
      </c>
      <c r="C96" t="s">
        <v>107</v>
      </c>
      <c r="D96">
        <v>11310</v>
      </c>
      <c r="E96">
        <f>D1_JUNIO[[#This Row],[RECUPERO]]/VLOOKUP(F96,$H:$I,2,0)</f>
        <v>0.75399999999999989</v>
      </c>
      <c r="F96" t="str">
        <f>D1_JUNIO[[#This Row],[SUPER]]</f>
        <v>BRYAN</v>
      </c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IF(DATA_JUNIO_2025[[#This Row],[ASER_]]="","",F90)</f>
        <v/>
      </c>
      <c r="Q96" t="str">
        <f>IF(DATA_JUNIO_2025[[#This Row],[SUPERVISOR]]="","",D90)</f>
        <v/>
      </c>
      <c r="R96" t="str">
        <f>IF(DATA_JUNIO_2025[[#This Row],[RECUPERO]]="","",VLOOKUP(DATA_JUNIO_2025[[#This Row],[SUPERVISOR]],$H:$I,2,0))</f>
        <v/>
      </c>
    </row>
    <row r="97" spans="1:18" x14ac:dyDescent="0.25">
      <c r="A97" t="s">
        <v>8</v>
      </c>
      <c r="B97" t="str">
        <f t="shared" si="3"/>
        <v>ISABEL BEJARANO</v>
      </c>
      <c r="C97" t="s">
        <v>83</v>
      </c>
      <c r="D97">
        <v>11599</v>
      </c>
      <c r="E97">
        <f>D1_JUNIO[[#This Row],[RECUPERO]]/VLOOKUP(F97,$H:$I,2,0)</f>
        <v>0.77326666666666655</v>
      </c>
      <c r="F97" t="str">
        <f>D1_JUNIO[[#This Row],[SUPER]]</f>
        <v>BRYAN</v>
      </c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IF(DATA_JUNIO_2025[[#This Row],[ASER_]]="","",F91)</f>
        <v/>
      </c>
      <c r="Q97" t="str">
        <f>IF(DATA_JUNIO_2025[[#This Row],[SUPERVISOR]]="","",D91)</f>
        <v/>
      </c>
      <c r="R97" t="str">
        <f>IF(DATA_JUNIO_2025[[#This Row],[RECUPERO]]="","",VLOOKUP(DATA_JUNIO_2025[[#This Row],[SUPERVISOR]],$H:$I,2,0))</f>
        <v/>
      </c>
    </row>
    <row r="98" spans="1:18" x14ac:dyDescent="0.25">
      <c r="A98" t="s">
        <v>8</v>
      </c>
      <c r="B98" t="str">
        <f t="shared" si="3"/>
        <v>DARYL FERREL</v>
      </c>
      <c r="C98" t="s">
        <v>40</v>
      </c>
      <c r="D98">
        <v>7411</v>
      </c>
      <c r="E98">
        <f>D1_JUNIO[[#This Row],[RECUPERO]]/VLOOKUP(F98,$H:$I,2,0)</f>
        <v>0.4940666666666666</v>
      </c>
      <c r="F98" t="str">
        <f>D1_JUNIO[[#This Row],[SUPER]]</f>
        <v>BRYAN</v>
      </c>
      <c r="L98">
        <v>15</v>
      </c>
      <c r="M98" s="1">
        <f t="shared" si="4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5"/>
        <v/>
      </c>
      <c r="P98" t="str">
        <f>IF(DATA_JUNIO_2025[[#This Row],[ASER_]]="","",F92)</f>
        <v/>
      </c>
      <c r="Q98" t="str">
        <f>IF(DATA_JUNIO_2025[[#This Row],[SUPERVISOR]]="","",D92)</f>
        <v/>
      </c>
      <c r="R98" t="str">
        <f>IF(DATA_JUNIO_2025[[#This Row],[RECUPERO]]="","",VLOOKUP(DATA_JUNIO_2025[[#This Row],[SUPERVISOR]],$H:$I,2,0))</f>
        <v/>
      </c>
    </row>
    <row r="99" spans="1:18" x14ac:dyDescent="0.25">
      <c r="A99" t="s">
        <v>8</v>
      </c>
      <c r="B99" t="str">
        <f t="shared" ref="B99:B117" si="6">TRIM(C99)</f>
        <v>HAROLD FLORES</v>
      </c>
      <c r="C99" t="s">
        <v>42</v>
      </c>
      <c r="D99">
        <v>7022</v>
      </c>
      <c r="E99">
        <f>D1_JUNIO[[#This Row],[RECUPERO]]/VLOOKUP(F99,$H:$I,2,0)</f>
        <v>0.46813333333333329</v>
      </c>
      <c r="F99" t="str">
        <f>D1_JUNIO[[#This Row],[SUPER]]</f>
        <v>BRYAN</v>
      </c>
      <c r="L99">
        <v>1</v>
      </c>
      <c r="M99" s="1">
        <f t="shared" si="4"/>
        <v>1.6319999999999999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5"/>
        <v>FRANCO HUAMANI</v>
      </c>
      <c r="P99" t="str">
        <f>IF(DATA_JUNIO_2025[[#This Row],[ASER_]]="","",F93)</f>
        <v>BRYAN</v>
      </c>
      <c r="Q99">
        <f>IF(DATA_JUNIO_2025[[#This Row],[SUPERVISOR]]="","",D93)</f>
        <v>24480</v>
      </c>
      <c r="R99">
        <f>IF(DATA_JUNIO_2025[[#This Row],[RECUPERO]]="","",VLOOKUP(DATA_JUNIO_2025[[#This Row],[SUPERVISOR]],$H:$I,2,0))</f>
        <v>15000.000000000002</v>
      </c>
    </row>
    <row r="100" spans="1:18" x14ac:dyDescent="0.25">
      <c r="A100" t="s">
        <v>8</v>
      </c>
      <c r="B100" t="str">
        <f t="shared" si="6"/>
        <v>LYNDA PEREZ</v>
      </c>
      <c r="C100" t="s">
        <v>43</v>
      </c>
      <c r="D100">
        <v>4836</v>
      </c>
      <c r="E100">
        <f>D1_JUNIO[[#This Row],[RECUPERO]]/VLOOKUP(F100,$H:$I,2,0)</f>
        <v>0.32239999999999996</v>
      </c>
      <c r="F100" t="str">
        <f>D1_JUNIO[[#This Row],[SUPER]]</f>
        <v>BRYAN</v>
      </c>
      <c r="L100">
        <v>2</v>
      </c>
      <c r="M100" s="1">
        <f t="shared" si="4"/>
        <v>0.86429999999999985</v>
      </c>
      <c r="N100" t="str" cm="1">
        <f t="array" ref="N100">IFERROR(_xlfn.IFS(M100&gt;100%,"&gt;100%",AND(M100&lt;100%,M100&gt;70%),"&gt;70%",AND(M100&lt;70%,M100&gt;40%),"&gt;40%",AND(M100&lt;40%,M100&gt;0%),"&gt;0%"),"")</f>
        <v>&gt;70%</v>
      </c>
      <c r="O100" t="str">
        <f t="shared" si="5"/>
        <v>BRINA SOTO</v>
      </c>
      <c r="P100" t="str">
        <f>IF(DATA_JUNIO_2025[[#This Row],[ASER_]]="","",F94)</f>
        <v>BRYAN</v>
      </c>
      <c r="Q100">
        <f>IF(DATA_JUNIO_2025[[#This Row],[SUPERVISOR]]="","",D94)</f>
        <v>12964.5</v>
      </c>
      <c r="R100">
        <f>IF(DATA_JUNIO_2025[[#This Row],[RECUPERO]]="","",VLOOKUP(DATA_JUNIO_2025[[#This Row],[SUPERVISOR]],$H:$I,2,0))</f>
        <v>15000.000000000002</v>
      </c>
    </row>
    <row r="101" spans="1:18" x14ac:dyDescent="0.25">
      <c r="A101" t="s">
        <v>8</v>
      </c>
      <c r="B101" t="str">
        <f t="shared" si="6"/>
        <v>VERONICA HUARCA</v>
      </c>
      <c r="C101" t="s">
        <v>48</v>
      </c>
      <c r="D101">
        <v>3665</v>
      </c>
      <c r="E101">
        <f>D1_JUNIO[[#This Row],[RECUPERO]]/VLOOKUP(F101,$H:$I,2,0)</f>
        <v>0.24433333333333329</v>
      </c>
      <c r="F101" t="str">
        <f>D1_JUNIO[[#This Row],[SUPER]]</f>
        <v>BRYAN</v>
      </c>
      <c r="L101">
        <v>3</v>
      </c>
      <c r="M101" s="1">
        <f t="shared" si="4"/>
        <v>0.7861999999999999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5"/>
        <v>CHRISTIAN ALVARADO</v>
      </c>
      <c r="P101" t="str">
        <f>IF(DATA_JUNIO_2025[[#This Row],[ASER_]]="","",F95)</f>
        <v>BRYAN</v>
      </c>
      <c r="Q101">
        <f>IF(DATA_JUNIO_2025[[#This Row],[SUPERVISOR]]="","",D95)</f>
        <v>11793</v>
      </c>
      <c r="R101">
        <f>IF(DATA_JUNIO_2025[[#This Row],[RECUPERO]]="","",VLOOKUP(DATA_JUNIO_2025[[#This Row],[SUPERVISOR]],$H:$I,2,0))</f>
        <v>15000.000000000002</v>
      </c>
    </row>
    <row r="102" spans="1:18" x14ac:dyDescent="0.25">
      <c r="A102" t="s">
        <v>8</v>
      </c>
      <c r="B102" t="str">
        <f t="shared" si="6"/>
        <v>KATHLEEN FLORES</v>
      </c>
      <c r="C102" t="s">
        <v>45</v>
      </c>
      <c r="D102">
        <v>2182</v>
      </c>
      <c r="E102">
        <f>D1_JUNIO[[#This Row],[RECUPERO]]/VLOOKUP(F102,$H:$I,2,0)</f>
        <v>0.14546666666666666</v>
      </c>
      <c r="F102" t="str">
        <f>D1_JUNIO[[#This Row],[SUPER]]</f>
        <v>BRYAN</v>
      </c>
      <c r="L102">
        <v>4</v>
      </c>
      <c r="M102" s="1">
        <f t="shared" si="4"/>
        <v>0.75399999999999989</v>
      </c>
      <c r="N102" t="str" cm="1">
        <f t="array" ref="N102">IFERROR(_xlfn.IFS(M102&gt;100%,"&gt;100%",AND(M102&lt;100%,M102&gt;70%),"&gt;70%",AND(M102&lt;70%,M102&gt;40%),"&gt;40%",AND(M102&lt;40%,M102&gt;0%),"&gt;0%"),"")</f>
        <v>&gt;70%</v>
      </c>
      <c r="O102" t="str">
        <f t="shared" si="5"/>
        <v>ROCIO TERRONES</v>
      </c>
      <c r="P102" t="str">
        <f>IF(DATA_JUNIO_2025[[#This Row],[ASER_]]="","",F96)</f>
        <v>BRYAN</v>
      </c>
      <c r="Q102">
        <f>IF(DATA_JUNIO_2025[[#This Row],[SUPERVISOR]]="","",D96)</f>
        <v>11310</v>
      </c>
      <c r="R102">
        <f>IF(DATA_JUNIO_2025[[#This Row],[RECUPERO]]="","",VLOOKUP(DATA_JUNIO_2025[[#This Row],[SUPERVISOR]],$H:$I,2,0))</f>
        <v>15000.000000000002</v>
      </c>
    </row>
    <row r="103" spans="1:18" x14ac:dyDescent="0.25">
      <c r="A103" t="s">
        <v>8</v>
      </c>
      <c r="E103">
        <f>D1_JUNIO[[#This Row],[RECUPERO]]/VLOOKUP(F103,$H:$I,2,0)</f>
        <v>0</v>
      </c>
      <c r="F103" t="str">
        <f>D1_JUNIO[[#This Row],[SUPER]]</f>
        <v>BRYAN</v>
      </c>
      <c r="L103">
        <v>5</v>
      </c>
      <c r="M103" s="1">
        <f t="shared" si="4"/>
        <v>0.77326666666666655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5"/>
        <v>ISABEL BEJARANO</v>
      </c>
      <c r="P103" t="str">
        <f>IF(DATA_JUNIO_2025[[#This Row],[ASER_]]="","",F97)</f>
        <v>BRYAN</v>
      </c>
      <c r="Q103">
        <f>IF(DATA_JUNIO_2025[[#This Row],[SUPERVISOR]]="","",D97)</f>
        <v>11599</v>
      </c>
      <c r="R103">
        <f>IF(DATA_JUNIO_2025[[#This Row],[RECUPERO]]="","",VLOOKUP(DATA_JUNIO_2025[[#This Row],[SUPERVISOR]],$H:$I,2,0))</f>
        <v>15000.000000000002</v>
      </c>
    </row>
    <row r="104" spans="1:18" x14ac:dyDescent="0.25">
      <c r="A104" t="s">
        <v>8</v>
      </c>
      <c r="E104">
        <f>D1_JUNIO[[#This Row],[RECUPERO]]/VLOOKUP(F104,$H:$I,2,0)</f>
        <v>0</v>
      </c>
      <c r="F104" t="str">
        <f>D1_JUNIO[[#This Row],[SUPER]]</f>
        <v>BRYAN</v>
      </c>
      <c r="L104">
        <v>6</v>
      </c>
      <c r="M104" s="1">
        <f t="shared" si="4"/>
        <v>0.4940666666666666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5"/>
        <v>DARYL FERREL</v>
      </c>
      <c r="P104" t="str">
        <f>IF(DATA_JUNIO_2025[[#This Row],[ASER_]]="","",F98)</f>
        <v>BRYAN</v>
      </c>
      <c r="Q104">
        <f>IF(DATA_JUNIO_2025[[#This Row],[SUPERVISOR]]="","",D98)</f>
        <v>7411</v>
      </c>
      <c r="R104">
        <f>IF(DATA_JUNIO_2025[[#This Row],[RECUPERO]]="","",VLOOKUP(DATA_JUNIO_2025[[#This Row],[SUPERVISOR]],$H:$I,2,0))</f>
        <v>15000.000000000002</v>
      </c>
    </row>
    <row r="105" spans="1:18" x14ac:dyDescent="0.25">
      <c r="A105" t="s">
        <v>8</v>
      </c>
      <c r="E105">
        <f>D1_JUNIO[[#This Row],[RECUPERO]]/VLOOKUP(F105,$H:$I,2,0)</f>
        <v>0</v>
      </c>
      <c r="F105" t="str">
        <f>D1_JUNIO[[#This Row],[SUPER]]</f>
        <v>BRYAN</v>
      </c>
      <c r="L105">
        <v>7</v>
      </c>
      <c r="M105" s="1">
        <f t="shared" si="4"/>
        <v>0.46813333333333329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5"/>
        <v>HAROLD FLORES</v>
      </c>
      <c r="P105" t="str">
        <f>IF(DATA_JUNIO_2025[[#This Row],[ASER_]]="","",F99)</f>
        <v>BRYAN</v>
      </c>
      <c r="Q105">
        <f>IF(DATA_JUNIO_2025[[#This Row],[SUPERVISOR]]="","",D99)</f>
        <v>7022</v>
      </c>
      <c r="R105">
        <f>IF(DATA_JUNIO_2025[[#This Row],[RECUPERO]]="","",VLOOKUP(DATA_JUNIO_2025[[#This Row],[SUPERVISOR]],$H:$I,2,0))</f>
        <v>15000.000000000002</v>
      </c>
    </row>
    <row r="106" spans="1:18" x14ac:dyDescent="0.25">
      <c r="A106" t="s">
        <v>8</v>
      </c>
      <c r="E106">
        <f>D1_JUNIO[[#This Row],[RECUPERO]]/VLOOKUP(F106,$H:$I,2,0)</f>
        <v>0</v>
      </c>
      <c r="F106" t="str">
        <f>D1_JUNIO[[#This Row],[SUPER]]</f>
        <v>BRYAN</v>
      </c>
      <c r="L106">
        <v>8</v>
      </c>
      <c r="M106" s="1">
        <f t="shared" si="4"/>
        <v>0.32239999999999996</v>
      </c>
      <c r="N106" t="str" cm="1">
        <f t="array" ref="N106">IFERROR(_xlfn.IFS(M106&gt;100%,"&gt;100%",AND(M106&lt;100%,M106&gt;70%),"&gt;70%",AND(M106&lt;70%,M106&gt;40%),"&gt;40%",AND(M106&lt;40%,M106&gt;0%),"&gt;0%"),"")</f>
        <v>&gt;0%</v>
      </c>
      <c r="O106" t="str">
        <f t="shared" si="5"/>
        <v>LYNDA PEREZ</v>
      </c>
      <c r="P106" t="str">
        <f>IF(DATA_JUNIO_2025[[#This Row],[ASER_]]="","",F100)</f>
        <v>BRYAN</v>
      </c>
      <c r="Q106">
        <f>IF(DATA_JUNIO_2025[[#This Row],[SUPERVISOR]]="","",D100)</f>
        <v>4836</v>
      </c>
      <c r="R106">
        <f>IF(DATA_JUNIO_2025[[#This Row],[RECUPERO]]="","",VLOOKUP(DATA_JUNIO_2025[[#This Row],[SUPERVISOR]],$H:$I,2,0))</f>
        <v>15000.000000000002</v>
      </c>
    </row>
    <row r="107" spans="1:18" x14ac:dyDescent="0.25">
      <c r="A107" t="s">
        <v>8</v>
      </c>
      <c r="E107">
        <f>D1_JUNIO[[#This Row],[RECUPERO]]/VLOOKUP(F107,$H:$I,2,0)</f>
        <v>0</v>
      </c>
      <c r="F107" t="str">
        <f>D1_JUNIO[[#This Row],[SUPER]]</f>
        <v>BRYAN</v>
      </c>
      <c r="L107">
        <v>9</v>
      </c>
      <c r="M107" s="1">
        <f t="shared" si="4"/>
        <v>0.24433333333333329</v>
      </c>
      <c r="N107" t="str" cm="1">
        <f t="array" ref="N107">IFERROR(_xlfn.IFS(M107&gt;100%,"&gt;100%",AND(M107&lt;100%,M107&gt;70%),"&gt;70%",AND(M107&lt;70%,M107&gt;40%),"&gt;40%",AND(M107&lt;40%,M107&gt;0%),"&gt;0%"),"")</f>
        <v>&gt;0%</v>
      </c>
      <c r="O107" t="str">
        <f t="shared" si="5"/>
        <v>VERONICA HUARCA</v>
      </c>
      <c r="P107" t="str">
        <f>IF(DATA_JUNIO_2025[[#This Row],[ASER_]]="","",F101)</f>
        <v>BRYAN</v>
      </c>
      <c r="Q107">
        <f>IF(DATA_JUNIO_2025[[#This Row],[SUPERVISOR]]="","",D101)</f>
        <v>3665</v>
      </c>
      <c r="R107">
        <f>IF(DATA_JUNIO_2025[[#This Row],[RECUPERO]]="","",VLOOKUP(DATA_JUNIO_2025[[#This Row],[SUPERVISOR]],$H:$I,2,0))</f>
        <v>15000.000000000002</v>
      </c>
    </row>
    <row r="108" spans="1:18" x14ac:dyDescent="0.25">
      <c r="A108" t="s">
        <v>9</v>
      </c>
      <c r="B108" t="str">
        <f t="shared" si="6"/>
        <v>ANDERSON RODRIGUEZ</v>
      </c>
      <c r="C108" t="s">
        <v>15</v>
      </c>
      <c r="D108">
        <v>14773.1</v>
      </c>
      <c r="E108">
        <f>D1_JUNIO[[#This Row],[RECUPERO]]/VLOOKUP(F108,$H:$I,2,0)</f>
        <v>0.98487333333333338</v>
      </c>
      <c r="F108" t="str">
        <f>D1_JUNIO[[#This Row],[SUPER]]</f>
        <v>LUIS</v>
      </c>
      <c r="L108">
        <v>10</v>
      </c>
      <c r="M108" s="1">
        <f t="shared" si="4"/>
        <v>0.14546666666666666</v>
      </c>
      <c r="N108" t="str" cm="1">
        <f t="array" ref="N108">IFERROR(_xlfn.IFS(M108&gt;100%,"&gt;100%",AND(M108&lt;100%,M108&gt;70%),"&gt;70%",AND(M108&lt;70%,M108&gt;40%),"&gt;40%",AND(M108&lt;40%,M108&gt;0%),"&gt;0%"),"")</f>
        <v>&gt;0%</v>
      </c>
      <c r="O108" t="str">
        <f t="shared" si="5"/>
        <v>KATHLEEN FLORES</v>
      </c>
      <c r="P108" t="str">
        <f>IF(DATA_JUNIO_2025[[#This Row],[ASER_]]="","",F102)</f>
        <v>BRYAN</v>
      </c>
      <c r="Q108">
        <f>IF(DATA_JUNIO_2025[[#This Row],[SUPERVISOR]]="","",D102)</f>
        <v>2182</v>
      </c>
      <c r="R108">
        <f>IF(DATA_JUNIO_2025[[#This Row],[RECUPERO]]="","",VLOOKUP(DATA_JUNIO_2025[[#This Row],[SUPERVISOR]],$H:$I,2,0))</f>
        <v>15000.000000000002</v>
      </c>
    </row>
    <row r="109" spans="1:18" x14ac:dyDescent="0.25">
      <c r="A109" t="s">
        <v>9</v>
      </c>
      <c r="B109" t="str">
        <f t="shared" si="6"/>
        <v>URSULA CENTENO</v>
      </c>
      <c r="C109" t="s">
        <v>78</v>
      </c>
      <c r="D109">
        <v>14391.5</v>
      </c>
      <c r="E109">
        <f>D1_JUNIO[[#This Row],[RECUPERO]]/VLOOKUP(F109,$H:$I,2,0)</f>
        <v>0.95943333333333336</v>
      </c>
      <c r="F109" t="str">
        <f>D1_JUNIO[[#This Row],[SUPER]]</f>
        <v>LUIS</v>
      </c>
      <c r="L109">
        <v>11</v>
      </c>
      <c r="M109" s="1">
        <f t="shared" si="4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>
        <f t="shared" si="5"/>
        <v>0</v>
      </c>
      <c r="P109" t="str">
        <f>IF(DATA_JUNIO_2025[[#This Row],[ASER_]]="","",F103)</f>
        <v>BRYAN</v>
      </c>
      <c r="Q109">
        <f>IF(DATA_JUNIO_2025[[#This Row],[SUPERVISOR]]="","",D103)</f>
        <v>0</v>
      </c>
      <c r="R109">
        <f>IF(DATA_JUNIO_2025[[#This Row],[RECUPERO]]="","",VLOOKUP(DATA_JUNIO_2025[[#This Row],[SUPERVISOR]],$H:$I,2,0))</f>
        <v>15000.000000000002</v>
      </c>
    </row>
    <row r="110" spans="1:18" x14ac:dyDescent="0.25">
      <c r="A110" t="s">
        <v>9</v>
      </c>
      <c r="B110" t="str">
        <f t="shared" si="6"/>
        <v>GIANNINA AGUILAR</v>
      </c>
      <c r="C110" t="s">
        <v>32</v>
      </c>
      <c r="D110">
        <v>7990.7</v>
      </c>
      <c r="E110">
        <f>D1_JUNIO[[#This Row],[RECUPERO]]/VLOOKUP(F110,$H:$I,2,0)</f>
        <v>0.53271333333333337</v>
      </c>
      <c r="F110" t="str">
        <f>D1_JUNIO[[#This Row],[SUPER]]</f>
        <v>LUIS</v>
      </c>
      <c r="L110">
        <v>12</v>
      </c>
      <c r="M110" s="1">
        <f t="shared" si="4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>
        <f t="shared" si="5"/>
        <v>0</v>
      </c>
      <c r="P110" t="str">
        <f>IF(DATA_JUNIO_2025[[#This Row],[ASER_]]="","",F104)</f>
        <v>BRYAN</v>
      </c>
      <c r="Q110">
        <f>IF(DATA_JUNIO_2025[[#This Row],[SUPERVISOR]]="","",D104)</f>
        <v>0</v>
      </c>
      <c r="R110">
        <f>IF(DATA_JUNIO_2025[[#This Row],[RECUPERO]]="","",VLOOKUP(DATA_JUNIO_2025[[#This Row],[SUPERVISOR]],$H:$I,2,0))</f>
        <v>15000.000000000002</v>
      </c>
    </row>
    <row r="111" spans="1:18" x14ac:dyDescent="0.25">
      <c r="A111" t="s">
        <v>9</v>
      </c>
      <c r="B111" t="str">
        <f t="shared" si="6"/>
        <v>SARITA GARAY</v>
      </c>
      <c r="C111" t="s">
        <v>73</v>
      </c>
      <c r="D111">
        <v>7098</v>
      </c>
      <c r="E111">
        <f>D1_JUNIO[[#This Row],[RECUPERO]]/VLOOKUP(F111,$H:$I,2,0)</f>
        <v>0.47320000000000001</v>
      </c>
      <c r="F111" t="str">
        <f>D1_JUNIO[[#This Row],[SUPER]]</f>
        <v>LUIS</v>
      </c>
      <c r="L111">
        <v>13</v>
      </c>
      <c r="M111" s="1">
        <f t="shared" si="4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>
        <f t="shared" si="5"/>
        <v>0</v>
      </c>
      <c r="P111" t="str">
        <f>IF(DATA_JUNIO_2025[[#This Row],[ASER_]]="","",F105)</f>
        <v>BRYAN</v>
      </c>
      <c r="Q111">
        <f>IF(DATA_JUNIO_2025[[#This Row],[SUPERVISOR]]="","",D105)</f>
        <v>0</v>
      </c>
      <c r="R111">
        <f>IF(DATA_JUNIO_2025[[#This Row],[RECUPERO]]="","",VLOOKUP(DATA_JUNIO_2025[[#This Row],[SUPERVISOR]],$H:$I,2,0))</f>
        <v>15000.000000000002</v>
      </c>
    </row>
    <row r="112" spans="1:18" x14ac:dyDescent="0.25">
      <c r="A112" t="s">
        <v>9</v>
      </c>
      <c r="B112" t="str">
        <f t="shared" si="6"/>
        <v>JANETH PORTOCARRERO</v>
      </c>
      <c r="C112" t="s">
        <v>49</v>
      </c>
      <c r="D112">
        <v>5489</v>
      </c>
      <c r="E112">
        <f>D1_JUNIO[[#This Row],[RECUPERO]]/VLOOKUP(F112,$H:$I,2,0)</f>
        <v>0.36593333333333333</v>
      </c>
      <c r="F112" t="str">
        <f>D1_JUNIO[[#This Row],[SUPER]]</f>
        <v>LUIS</v>
      </c>
      <c r="L112">
        <v>14</v>
      </c>
      <c r="M112" s="1">
        <f t="shared" si="4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>
        <f t="shared" si="5"/>
        <v>0</v>
      </c>
      <c r="P112" t="str">
        <f>IF(DATA_JUNIO_2025[[#This Row],[ASER_]]="","",F106)</f>
        <v>BRYAN</v>
      </c>
      <c r="Q112">
        <f>IF(DATA_JUNIO_2025[[#This Row],[SUPERVISOR]]="","",D106)</f>
        <v>0</v>
      </c>
      <c r="R112">
        <f>IF(DATA_JUNIO_2025[[#This Row],[RECUPERO]]="","",VLOOKUP(DATA_JUNIO_2025[[#This Row],[SUPERVISOR]],$H:$I,2,0))</f>
        <v>15000.000000000002</v>
      </c>
    </row>
    <row r="113" spans="1:18" x14ac:dyDescent="0.25">
      <c r="A113" t="s">
        <v>9</v>
      </c>
      <c r="B113" t="str">
        <f t="shared" si="6"/>
        <v>CARLOS CALAGUA</v>
      </c>
      <c r="C113" t="s">
        <v>108</v>
      </c>
      <c r="D113">
        <v>5380</v>
      </c>
      <c r="E113">
        <f>D1_JUNIO[[#This Row],[RECUPERO]]/VLOOKUP(F113,$H:$I,2,0)</f>
        <v>0.35866666666666669</v>
      </c>
      <c r="F113" t="str">
        <f>D1_JUNIO[[#This Row],[SUPER]]</f>
        <v>LUIS</v>
      </c>
      <c r="L113">
        <v>15</v>
      </c>
      <c r="M113" s="1">
        <f t="shared" si="4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>
        <f t="shared" si="5"/>
        <v>0</v>
      </c>
      <c r="P113" t="str">
        <f>IF(DATA_JUNIO_2025[[#This Row],[ASER_]]="","",F107)</f>
        <v>BRYAN</v>
      </c>
      <c r="Q113">
        <f>IF(DATA_JUNIO_2025[[#This Row],[SUPERVISOR]]="","",D107)</f>
        <v>0</v>
      </c>
      <c r="R113">
        <f>IF(DATA_JUNIO_2025[[#This Row],[RECUPERO]]="","",VLOOKUP(DATA_JUNIO_2025[[#This Row],[SUPERVISOR]],$H:$I,2,0))</f>
        <v>15000.000000000002</v>
      </c>
    </row>
    <row r="114" spans="1:18" x14ac:dyDescent="0.25">
      <c r="A114" t="s">
        <v>9</v>
      </c>
      <c r="B114" t="str">
        <f t="shared" si="6"/>
        <v>GERALDINE ARROYO</v>
      </c>
      <c r="C114" t="s">
        <v>51</v>
      </c>
      <c r="D114">
        <v>4625</v>
      </c>
      <c r="E114">
        <f>D1_JUNIO[[#This Row],[RECUPERO]]/VLOOKUP(F114,$H:$I,2,0)</f>
        <v>0.30833333333333335</v>
      </c>
      <c r="F114" t="str">
        <f>D1_JUNIO[[#This Row],[SUPER]]</f>
        <v>LUIS</v>
      </c>
      <c r="L114">
        <v>1</v>
      </c>
      <c r="M114" s="1">
        <f t="shared" si="4"/>
        <v>0.98487333333333338</v>
      </c>
      <c r="N114" t="str" cm="1">
        <f t="array" ref="N114">IFERROR(_xlfn.IFS(M114&gt;100%,"&gt;100%",AND(M114&lt;100%,M114&gt;70%),"&gt;70%",AND(M114&lt;70%,M114&gt;40%),"&gt;40%",AND(M114&lt;40%,M114&gt;0%),"&gt;0%"),"")</f>
        <v>&gt;70%</v>
      </c>
      <c r="O114" t="str">
        <f t="shared" si="5"/>
        <v>ANDERSON RODRIGUEZ</v>
      </c>
      <c r="P114" t="str">
        <f>IF(DATA_JUNIO_2025[[#This Row],[ASER_]]="","",F108)</f>
        <v>LUIS</v>
      </c>
      <c r="Q114">
        <f>IF(DATA_JUNIO_2025[[#This Row],[SUPERVISOR]]="","",D108)</f>
        <v>14773.1</v>
      </c>
      <c r="R114">
        <f>IF(DATA_JUNIO_2025[[#This Row],[RECUPERO]]="","",VLOOKUP(DATA_JUNIO_2025[[#This Row],[SUPERVISOR]],$H:$I,2,0))</f>
        <v>15000</v>
      </c>
    </row>
    <row r="115" spans="1:18" x14ac:dyDescent="0.25">
      <c r="A115" t="s">
        <v>9</v>
      </c>
      <c r="B115" t="str">
        <f t="shared" si="6"/>
        <v>RAQUEL RICO</v>
      </c>
      <c r="C115" t="s">
        <v>84</v>
      </c>
      <c r="D115">
        <v>3072</v>
      </c>
      <c r="E115">
        <f>D1_JUNIO[[#This Row],[RECUPERO]]/VLOOKUP(F115,$H:$I,2,0)</f>
        <v>0.20480000000000001</v>
      </c>
      <c r="F115" t="str">
        <f>D1_JUNIO[[#This Row],[SUPER]]</f>
        <v>LUIS</v>
      </c>
      <c r="L115">
        <v>2</v>
      </c>
      <c r="M115" s="1">
        <f t="shared" si="4"/>
        <v>0.95943333333333336</v>
      </c>
      <c r="N115" t="str" cm="1">
        <f t="array" ref="N115">IFERROR(_xlfn.IFS(M115&gt;100%,"&gt;100%",AND(M115&lt;100%,M115&gt;70%),"&gt;70%",AND(M115&lt;70%,M115&gt;40%),"&gt;40%",AND(M115&lt;40%,M115&gt;0%),"&gt;0%"),"")</f>
        <v>&gt;70%</v>
      </c>
      <c r="O115" t="str">
        <f t="shared" si="5"/>
        <v>URSULA CENTENO</v>
      </c>
      <c r="P115" t="str">
        <f>IF(DATA_JUNIO_2025[[#This Row],[ASER_]]="","",F109)</f>
        <v>LUIS</v>
      </c>
      <c r="Q115">
        <f>IF(DATA_JUNIO_2025[[#This Row],[SUPERVISOR]]="","",D109)</f>
        <v>14391.5</v>
      </c>
      <c r="R115">
        <f>IF(DATA_JUNIO_2025[[#This Row],[RECUPERO]]="","",VLOOKUP(DATA_JUNIO_2025[[#This Row],[SUPERVISOR]],$H:$I,2,0))</f>
        <v>15000</v>
      </c>
    </row>
    <row r="116" spans="1:18" x14ac:dyDescent="0.25">
      <c r="A116" t="s">
        <v>9</v>
      </c>
      <c r="B116" t="str">
        <f t="shared" si="6"/>
        <v>JOSUE VILCHEZ</v>
      </c>
      <c r="C116" t="s">
        <v>119</v>
      </c>
      <c r="D116">
        <v>700</v>
      </c>
      <c r="E116">
        <f>D1_JUNIO[[#This Row],[RECUPERO]]/VLOOKUP(F116,$H:$I,2,0)</f>
        <v>4.6666666666666669E-2</v>
      </c>
      <c r="F116" t="str">
        <f>D1_JUNIO[[#This Row],[SUPER]]</f>
        <v>LUIS</v>
      </c>
      <c r="L116">
        <v>3</v>
      </c>
      <c r="M116" s="1">
        <f t="shared" si="4"/>
        <v>0.53271333333333337</v>
      </c>
      <c r="N116" t="str" cm="1">
        <f t="array" ref="N116">IFERROR(_xlfn.IFS(M116&gt;100%,"&gt;100%",AND(M116&lt;100%,M116&gt;70%),"&gt;70%",AND(M116&lt;70%,M116&gt;40%),"&gt;40%",AND(M116&lt;40%,M116&gt;0%),"&gt;0%"),"")</f>
        <v>&gt;40%</v>
      </c>
      <c r="O116" t="str">
        <f t="shared" si="5"/>
        <v>GIANNINA AGUILAR</v>
      </c>
      <c r="P116" t="str">
        <f>IF(DATA_JUNIO_2025[[#This Row],[ASER_]]="","",F110)</f>
        <v>LUIS</v>
      </c>
      <c r="Q116">
        <f>IF(DATA_JUNIO_2025[[#This Row],[SUPERVISOR]]="","",D110)</f>
        <v>7990.7</v>
      </c>
      <c r="R116">
        <f>IF(DATA_JUNIO_2025[[#This Row],[RECUPERO]]="","",VLOOKUP(DATA_JUNIO_2025[[#This Row],[SUPERVISOR]],$H:$I,2,0))</f>
        <v>15000</v>
      </c>
    </row>
    <row r="117" spans="1:18" x14ac:dyDescent="0.25">
      <c r="A117" t="s">
        <v>9</v>
      </c>
      <c r="B117" t="str">
        <f t="shared" si="6"/>
        <v>TERRY ECHEVARRIA</v>
      </c>
      <c r="C117" t="s">
        <v>30</v>
      </c>
      <c r="D117">
        <v>350</v>
      </c>
      <c r="E117">
        <f>D1_JUNIO[[#This Row],[RECUPERO]]/VLOOKUP(F117,$H:$I,2,0)</f>
        <v>2.3333333333333334E-2</v>
      </c>
      <c r="F117" t="str">
        <f>D1_JUNIO[[#This Row],[SUPER]]</f>
        <v>LUIS</v>
      </c>
      <c r="L117">
        <v>4</v>
      </c>
      <c r="M117" s="1">
        <f t="shared" si="4"/>
        <v>0.47320000000000001</v>
      </c>
      <c r="N117" t="str" cm="1">
        <f t="array" ref="N117">IFERROR(_xlfn.IFS(M117&gt;100%,"&gt;100%",AND(M117&lt;100%,M117&gt;70%),"&gt;70%",AND(M117&lt;70%,M117&gt;40%),"&gt;40%",AND(M117&lt;40%,M117&gt;0%),"&gt;0%"),"")</f>
        <v>&gt;40%</v>
      </c>
      <c r="O117" t="str">
        <f t="shared" si="5"/>
        <v>SARITA GARAY</v>
      </c>
      <c r="P117" t="str">
        <f>IF(DATA_JUNIO_2025[[#This Row],[ASER_]]="","",F111)</f>
        <v>LUIS</v>
      </c>
      <c r="Q117">
        <f>IF(DATA_JUNIO_2025[[#This Row],[SUPERVISOR]]="","",D111)</f>
        <v>7098</v>
      </c>
      <c r="R117">
        <f>IF(DATA_JUNIO_2025[[#This Row],[RECUPERO]]="","",VLOOKUP(DATA_JUNIO_2025[[#This Row],[SUPERVISOR]],$H:$I,2,0))</f>
        <v>15000</v>
      </c>
    </row>
    <row r="118" spans="1:18" x14ac:dyDescent="0.25">
      <c r="A118" t="s">
        <v>9</v>
      </c>
      <c r="E118">
        <f>D1_JUNIO[[#This Row],[RECUPERO]]/VLOOKUP(F118,$H:$I,2,0)</f>
        <v>0</v>
      </c>
      <c r="F118" t="str">
        <f>D1_JUNIO[[#This Row],[SUPER]]</f>
        <v>LUIS</v>
      </c>
      <c r="L118">
        <v>5</v>
      </c>
      <c r="M118" s="1">
        <f t="shared" si="4"/>
        <v>0.36593333333333333</v>
      </c>
      <c r="N118" t="str" cm="1">
        <f t="array" ref="N118">IFERROR(_xlfn.IFS(M118&gt;100%,"&gt;100%",AND(M118&lt;100%,M118&gt;70%),"&gt;70%",AND(M118&lt;70%,M118&gt;40%),"&gt;40%",AND(M118&lt;40%,M118&gt;0%),"&gt;0%"),"")</f>
        <v>&gt;0%</v>
      </c>
      <c r="O118" t="str">
        <f t="shared" si="5"/>
        <v>JANETH PORTOCARRERO</v>
      </c>
      <c r="P118" t="str">
        <f>IF(DATA_JUNIO_2025[[#This Row],[ASER_]]="","",F112)</f>
        <v>LUIS</v>
      </c>
      <c r="Q118">
        <f>IF(DATA_JUNIO_2025[[#This Row],[SUPERVISOR]]="","",D112)</f>
        <v>5489</v>
      </c>
      <c r="R118">
        <f>IF(DATA_JUNIO_2025[[#This Row],[RECUPERO]]="","",VLOOKUP(DATA_JUNIO_2025[[#This Row],[SUPERVISOR]],$H:$I,2,0))</f>
        <v>15000</v>
      </c>
    </row>
    <row r="119" spans="1:18" x14ac:dyDescent="0.25">
      <c r="A119" t="s">
        <v>9</v>
      </c>
      <c r="E119">
        <f>D1_JUNIO[[#This Row],[RECUPERO]]/VLOOKUP(F119,$H:$I,2,0)</f>
        <v>0</v>
      </c>
      <c r="F119" t="str">
        <f>D1_JUNIO[[#This Row],[SUPER]]</f>
        <v>LUIS</v>
      </c>
      <c r="L119">
        <v>6</v>
      </c>
      <c r="M119" s="1">
        <f t="shared" si="4"/>
        <v>0.35866666666666669</v>
      </c>
      <c r="N119" t="str" cm="1">
        <f t="array" ref="N119">IFERROR(_xlfn.IFS(M119&gt;100%,"&gt;100%",AND(M119&lt;100%,M119&gt;70%),"&gt;70%",AND(M119&lt;70%,M119&gt;40%),"&gt;40%",AND(M119&lt;40%,M119&gt;0%),"&gt;0%"),"")</f>
        <v>&gt;0%</v>
      </c>
      <c r="O119" t="str">
        <f t="shared" si="5"/>
        <v>CARLOS CALAGUA</v>
      </c>
      <c r="P119" t="str">
        <f>IF(DATA_JUNIO_2025[[#This Row],[ASER_]]="","",F113)</f>
        <v>LUIS</v>
      </c>
      <c r="Q119">
        <f>IF(DATA_JUNIO_2025[[#This Row],[SUPERVISOR]]="","",D113)</f>
        <v>5380</v>
      </c>
      <c r="R119">
        <f>IF(DATA_JUNIO_2025[[#This Row],[RECUPERO]]="","",VLOOKUP(DATA_JUNIO_2025[[#This Row],[SUPERVISOR]],$H:$I,2,0))</f>
        <v>15000</v>
      </c>
    </row>
    <row r="120" spans="1:18" x14ac:dyDescent="0.25">
      <c r="A120" t="s">
        <v>9</v>
      </c>
      <c r="E120">
        <f>D1_JUNIO[[#This Row],[RECUPERO]]/VLOOKUP(F120,$H:$I,2,0)</f>
        <v>0</v>
      </c>
      <c r="F120" t="str">
        <f>D1_JUNIO[[#This Row],[SUPER]]</f>
        <v>LUIS</v>
      </c>
      <c r="L120">
        <v>7</v>
      </c>
      <c r="M120" s="1">
        <f t="shared" si="4"/>
        <v>0.30833333333333335</v>
      </c>
      <c r="N120" t="str" cm="1">
        <f t="array" ref="N120">IFERROR(_xlfn.IFS(M120&gt;100%,"&gt;100%",AND(M120&lt;100%,M120&gt;70%),"&gt;70%",AND(M120&lt;70%,M120&gt;40%),"&gt;40%",AND(M120&lt;40%,M120&gt;0%),"&gt;0%"),"")</f>
        <v>&gt;0%</v>
      </c>
      <c r="O120" t="str">
        <f t="shared" si="5"/>
        <v>GERALDINE ARROYO</v>
      </c>
      <c r="P120" t="str">
        <f>IF(DATA_JUNIO_2025[[#This Row],[ASER_]]="","",F114)</f>
        <v>LUIS</v>
      </c>
      <c r="Q120">
        <f>IF(DATA_JUNIO_2025[[#This Row],[SUPERVISOR]]="","",D114)</f>
        <v>4625</v>
      </c>
      <c r="R120">
        <f>IF(DATA_JUNIO_2025[[#This Row],[RECUPERO]]="","",VLOOKUP(DATA_JUNIO_2025[[#This Row],[SUPERVISOR]],$H:$I,2,0))</f>
        <v>15000</v>
      </c>
    </row>
    <row r="121" spans="1:18" x14ac:dyDescent="0.25">
      <c r="A121" t="s">
        <v>9</v>
      </c>
      <c r="E121">
        <f>D1_JUNIO[[#This Row],[RECUPERO]]/VLOOKUP(F121,$H:$I,2,0)</f>
        <v>0</v>
      </c>
      <c r="F121" t="str">
        <f>D1_JUNIO[[#This Row],[SUPER]]</f>
        <v>LUIS</v>
      </c>
      <c r="L121">
        <v>8</v>
      </c>
      <c r="M121" s="1">
        <f t="shared" si="4"/>
        <v>0.20480000000000001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5"/>
        <v>RAQUEL RICO</v>
      </c>
      <c r="P121" t="str">
        <f>IF(DATA_JUNIO_2025[[#This Row],[ASER_]]="","",F115)</f>
        <v>LUIS</v>
      </c>
      <c r="Q121">
        <f>IF(DATA_JUNIO_2025[[#This Row],[SUPERVISOR]]="","",D115)</f>
        <v>3072</v>
      </c>
      <c r="R121">
        <f>IF(DATA_JUNIO_2025[[#This Row],[RECUPERO]]="","",VLOOKUP(DATA_JUNIO_2025[[#This Row],[SUPERVISOR]],$H:$I,2,0))</f>
        <v>15000</v>
      </c>
    </row>
    <row r="122" spans="1:18" x14ac:dyDescent="0.25">
      <c r="A122" t="s">
        <v>9</v>
      </c>
      <c r="E122">
        <f>D1_JUNIO[[#This Row],[RECUPERO]]/VLOOKUP(F122,$H:$I,2,0)</f>
        <v>0</v>
      </c>
      <c r="F122" t="str">
        <f>D1_JUNIO[[#This Row],[SUPER]]</f>
        <v>LUIS</v>
      </c>
      <c r="L122">
        <v>9</v>
      </c>
      <c r="M122" s="1">
        <f t="shared" si="4"/>
        <v>4.6666666666666669E-2</v>
      </c>
      <c r="N122" t="str" cm="1">
        <f t="array" ref="N122">IFERROR(_xlfn.IFS(M122&gt;100%,"&gt;100%",AND(M122&lt;100%,M122&gt;70%),"&gt;70%",AND(M122&lt;70%,M122&gt;40%),"&gt;40%",AND(M122&lt;40%,M122&gt;0%),"&gt;0%"),"")</f>
        <v>&gt;0%</v>
      </c>
      <c r="O122" t="str">
        <f t="shared" si="5"/>
        <v>JOSUE VILCHEZ</v>
      </c>
      <c r="P122" t="str">
        <f>IF(DATA_JUNIO_2025[[#This Row],[ASER_]]="","",F116)</f>
        <v>LUIS</v>
      </c>
      <c r="Q122">
        <f>IF(DATA_JUNIO_2025[[#This Row],[SUPERVISOR]]="","",D116)</f>
        <v>700</v>
      </c>
      <c r="R122">
        <f>IF(DATA_JUNIO_2025[[#This Row],[RECUPERO]]="","",VLOOKUP(DATA_JUNIO_2025[[#This Row],[SUPERVISOR]],$H:$I,2,0))</f>
        <v>15000</v>
      </c>
    </row>
    <row r="123" spans="1:18" x14ac:dyDescent="0.25">
      <c r="L123">
        <v>10</v>
      </c>
      <c r="M123" s="1">
        <f t="shared" si="4"/>
        <v>2.3333333333333334E-2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5"/>
        <v>TERRY ECHEVARRIA</v>
      </c>
      <c r="P123" t="str">
        <f>IF(DATA_JUNIO_2025[[#This Row],[ASER_]]="","",F117)</f>
        <v>LUIS</v>
      </c>
      <c r="Q123">
        <f>IF(DATA_JUNIO_2025[[#This Row],[SUPERVISOR]]="","",D117)</f>
        <v>350</v>
      </c>
      <c r="R123">
        <f>IF(DATA_JUNIO_2025[[#This Row],[RECUPERO]]="","",VLOOKUP(DATA_JUNIO_2025[[#This Row],[SUPERVISOR]],$H:$I,2,0))</f>
        <v>15000</v>
      </c>
    </row>
    <row r="124" spans="1:18" x14ac:dyDescent="0.25">
      <c r="L124">
        <v>11</v>
      </c>
      <c r="M124" s="1">
        <f t="shared" si="4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>
        <f t="shared" si="5"/>
        <v>0</v>
      </c>
      <c r="P124" t="str">
        <f>IF(DATA_JUNIO_2025[[#This Row],[ASER_]]="","",F118)</f>
        <v>LUIS</v>
      </c>
      <c r="Q124">
        <f>IF(DATA_JUNIO_2025[[#This Row],[SUPERVISOR]]="","",D118)</f>
        <v>0</v>
      </c>
      <c r="R124">
        <f>IF(DATA_JUNIO_2025[[#This Row],[RECUPERO]]="","",VLOOKUP(DATA_JUNIO_2025[[#This Row],[SUPERVISOR]],$H:$I,2,0))</f>
        <v>15000</v>
      </c>
    </row>
    <row r="125" spans="1:18" x14ac:dyDescent="0.25">
      <c r="L125">
        <v>12</v>
      </c>
      <c r="M125" s="1">
        <f t="shared" si="4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>
        <f t="shared" si="5"/>
        <v>0</v>
      </c>
      <c r="P125" t="str">
        <f>IF(DATA_JUNIO_2025[[#This Row],[ASER_]]="","",F119)</f>
        <v>LUIS</v>
      </c>
      <c r="Q125">
        <f>IF(DATA_JUNIO_2025[[#This Row],[SUPERVISOR]]="","",D119)</f>
        <v>0</v>
      </c>
      <c r="R125">
        <f>IF(DATA_JUNIO_2025[[#This Row],[RECUPERO]]="","",VLOOKUP(DATA_JUNIO_2025[[#This Row],[SUPERVISOR]],$H:$I,2,0))</f>
        <v>15000</v>
      </c>
    </row>
    <row r="126" spans="1:18" x14ac:dyDescent="0.25">
      <c r="L126">
        <v>13</v>
      </c>
      <c r="M126" s="1">
        <f t="shared" si="4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>
        <f t="shared" si="5"/>
        <v>0</v>
      </c>
      <c r="P126" t="str">
        <f>IF(DATA_JUNIO_2025[[#This Row],[ASER_]]="","",F120)</f>
        <v>LUIS</v>
      </c>
      <c r="Q126">
        <f>IF(DATA_JUNIO_2025[[#This Row],[SUPERVISOR]]="","",D120)</f>
        <v>0</v>
      </c>
      <c r="R126">
        <f>IF(DATA_JUNIO_2025[[#This Row],[RECUPERO]]="","",VLOOKUP(DATA_JUNIO_2025[[#This Row],[SUPERVISOR]],$H:$I,2,0))</f>
        <v>15000</v>
      </c>
    </row>
    <row r="127" spans="1:18" x14ac:dyDescent="0.25">
      <c r="L127">
        <v>14</v>
      </c>
      <c r="M127" s="1">
        <f t="shared" si="4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>
        <f t="shared" si="5"/>
        <v>0</v>
      </c>
      <c r="P127" t="str">
        <f>IF(DATA_JUNIO_2025[[#This Row],[ASER_]]="","",F121)</f>
        <v>LUIS</v>
      </c>
      <c r="Q127">
        <f>IF(DATA_JUNIO_2025[[#This Row],[SUPERVISOR]]="","",D121)</f>
        <v>0</v>
      </c>
      <c r="R127">
        <f>IF(DATA_JUNIO_2025[[#This Row],[RECUPERO]]="","",VLOOKUP(DATA_JUNIO_2025[[#This Row],[SUPERVISOR]],$H:$I,2,0))</f>
        <v>15000</v>
      </c>
    </row>
    <row r="128" spans="1:18" x14ac:dyDescent="0.25">
      <c r="L128">
        <v>15</v>
      </c>
      <c r="M128" s="1">
        <f t="shared" si="4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>
        <f t="shared" si="5"/>
        <v>0</v>
      </c>
      <c r="P128" t="str">
        <f>IF(DATA_JUNIO_2025[[#This Row],[ASER_]]="","",F122)</f>
        <v>LUIS</v>
      </c>
      <c r="Q128">
        <f>IF(DATA_JUNIO_2025[[#This Row],[SUPERVISOR]]="","",D122)</f>
        <v>0</v>
      </c>
      <c r="R128">
        <f>IF(DATA_JUNIO_2025[[#This Row],[RECUPERO]]="","",VLOOKUP(DATA_JUNIO_2025[[#This Row],[SUPERVISOR]],$H:$I,2,0))</f>
        <v>15000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R104"/>
  <sheetViews>
    <sheetView zoomScale="85" zoomScaleNormal="85" workbookViewId="0">
      <selection activeCell="E3" sqref="E3"/>
    </sheetView>
  </sheetViews>
  <sheetFormatPr baseColWidth="10" defaultRowHeight="15" x14ac:dyDescent="0.25"/>
  <cols>
    <col min="1" max="1" width="9.42578125" customWidth="1"/>
    <col min="2" max="3" width="22.7109375" customWidth="1"/>
    <col min="4" max="4" width="13.42578125" customWidth="1"/>
    <col min="5" max="5" width="12.28515625" customWidth="1"/>
    <col min="6" max="6" width="10.42578125" customWidth="1"/>
    <col min="7" max="7" width="11.42578125" customWidth="1"/>
    <col min="8" max="8" width="9.7109375" customWidth="1"/>
    <col min="9" max="9" width="8.42578125" customWidth="1"/>
    <col min="10" max="10" width="14.42578125" customWidth="1"/>
    <col min="11" max="11" width="11.42578125" customWidth="1"/>
    <col min="12" max="12" width="10.85546875" customWidth="1"/>
    <col min="13" max="13" width="12.140625" style="1" customWidth="1"/>
    <col min="14" max="14" width="20.140625" style="1" customWidth="1"/>
    <col min="15" max="15" width="22.7109375" customWidth="1"/>
    <col min="16" max="16" width="14.85546875" bestFit="1" customWidth="1"/>
  </cols>
  <sheetData>
    <row r="1" spans="1:18" ht="15" customHeight="1" x14ac:dyDescent="0.25"/>
    <row r="2" spans="1:18" ht="15" customHeight="1" x14ac:dyDescent="0.25">
      <c r="A2" s="8" t="s">
        <v>97</v>
      </c>
      <c r="B2" s="8" t="s">
        <v>114</v>
      </c>
      <c r="C2" s="8" t="s">
        <v>0</v>
      </c>
      <c r="D2" s="8" t="s">
        <v>98</v>
      </c>
      <c r="E2" s="9" t="s">
        <v>1</v>
      </c>
      <c r="F2" s="8" t="s">
        <v>106</v>
      </c>
      <c r="H2" t="s">
        <v>97</v>
      </c>
      <c r="I2" t="s">
        <v>93</v>
      </c>
    </row>
    <row r="3" spans="1:18" ht="15" customHeight="1" x14ac:dyDescent="0.25">
      <c r="A3" s="10" t="s">
        <v>3</v>
      </c>
      <c r="B3" s="10" t="str">
        <f>TRIM(D1_JULIO[[#This Row],[ASESOR]])</f>
        <v>VICTOR RAMIREZ</v>
      </c>
      <c r="C3" s="10" t="s">
        <v>76</v>
      </c>
      <c r="D3" s="10">
        <v>136649.21</v>
      </c>
      <c r="E3">
        <f>D1_JULIO[[#This Row],[RECUPERO]]/VLOOKUP(F3,$H:$I,2,0)</f>
        <v>2.1022955384615383</v>
      </c>
      <c r="F3" t="str">
        <f>D1_JULIO[[#This Row],[SUPER]]</f>
        <v>SANDY</v>
      </c>
      <c r="H3" t="s">
        <v>3</v>
      </c>
      <c r="I3">
        <v>65000</v>
      </c>
    </row>
    <row r="4" spans="1:18" x14ac:dyDescent="0.25">
      <c r="A4" s="10" t="s">
        <v>3</v>
      </c>
      <c r="B4" s="10" t="str">
        <f>TRIM(D1_JULIO[[#This Row],[ASESOR]])</f>
        <v>LISELY MERA</v>
      </c>
      <c r="C4" s="10" t="s">
        <v>23</v>
      </c>
      <c r="D4" s="10">
        <v>95585</v>
      </c>
      <c r="E4">
        <f>D1_JULIO[[#This Row],[RECUPERO]]/VLOOKUP(F4,$H:$I,2,0)</f>
        <v>1.4705384615384616</v>
      </c>
      <c r="F4" t="str">
        <f>D1_JULIO[[#This Row],[SUPER]]</f>
        <v>SANDY</v>
      </c>
      <c r="H4" t="s">
        <v>4</v>
      </c>
      <c r="I4">
        <v>65000</v>
      </c>
    </row>
    <row r="5" spans="1:18" x14ac:dyDescent="0.35">
      <c r="A5" s="10" t="s">
        <v>3</v>
      </c>
      <c r="B5" s="10" t="str">
        <f>TRIM(D1_JULIO[[#This Row],[ASESOR]])</f>
        <v>EVELY TENORIO</v>
      </c>
      <c r="C5" s="10" t="s">
        <v>22</v>
      </c>
      <c r="D5" s="10">
        <v>81190.7</v>
      </c>
      <c r="E5">
        <f>D1_JULIO[[#This Row],[RECUPERO]]/VLOOKUP(F5,$H:$I,2,0)</f>
        <v>1.2490876923076923</v>
      </c>
      <c r="F5" t="str">
        <f>D1_JULIO[[#This Row],[SUPER]]</f>
        <v>SANDY</v>
      </c>
      <c r="H5" t="s">
        <v>2</v>
      </c>
      <c r="I5">
        <v>54000</v>
      </c>
    </row>
    <row r="6" spans="1:18" x14ac:dyDescent="0.25">
      <c r="A6" s="10" t="s">
        <v>3</v>
      </c>
      <c r="B6" s="10" t="str">
        <f>TRIM(D1_JULIO[[#This Row],[ASESOR]])</f>
        <v>MALORY MONTEBLANCO</v>
      </c>
      <c r="C6" s="10" t="s">
        <v>25</v>
      </c>
      <c r="D6" s="10">
        <v>46255</v>
      </c>
      <c r="E6">
        <f>D1_JULIO[[#This Row],[RECUPERO]]/VLOOKUP(F6,$H:$I,2,0)</f>
        <v>0.71161538461538465</v>
      </c>
      <c r="F6" t="str">
        <f>D1_JULIO[[#This Row],[SUPER]]</f>
        <v>SANDY</v>
      </c>
      <c r="H6" t="s">
        <v>5</v>
      </c>
      <c r="I6">
        <v>54000</v>
      </c>
    </row>
    <row r="7" spans="1:18" x14ac:dyDescent="0.25">
      <c r="A7" s="10" t="s">
        <v>3</v>
      </c>
      <c r="B7" s="10" t="str">
        <f>TRIM(D1_JULIO[[#This Row],[ASESOR]])</f>
        <v>FRANCO HUAMANI</v>
      </c>
      <c r="C7" s="10" t="s">
        <v>24</v>
      </c>
      <c r="D7" s="10">
        <v>45513</v>
      </c>
      <c r="E7">
        <f>D1_JULIO[[#This Row],[RECUPERO]]/VLOOKUP(F7,$H:$I,2,0)</f>
        <v>0.70020000000000004</v>
      </c>
      <c r="F7" t="str">
        <f>D1_JULIO[[#This Row],[SUPER]]</f>
        <v>SANDY</v>
      </c>
      <c r="H7" t="s">
        <v>6</v>
      </c>
      <c r="I7">
        <v>26000</v>
      </c>
      <c r="N7"/>
    </row>
    <row r="8" spans="1:18" x14ac:dyDescent="0.25">
      <c r="A8" s="10" t="s">
        <v>3</v>
      </c>
      <c r="B8" s="10" t="str">
        <f>TRIM(D1_JULIO[[#This Row],[ASESOR]])</f>
        <v>JENY LAZARO</v>
      </c>
      <c r="C8" s="10" t="s">
        <v>26</v>
      </c>
      <c r="D8" s="10">
        <v>35355</v>
      </c>
      <c r="E8">
        <f>D1_JULIO[[#This Row],[RECUPERO]]/VLOOKUP(F8,$H:$I,2,0)</f>
        <v>0.54392307692307695</v>
      </c>
      <c r="F8" t="str">
        <f>D1_JULIO[[#This Row],[SUPER]]</f>
        <v>SANDY</v>
      </c>
      <c r="H8" t="s">
        <v>7</v>
      </c>
      <c r="I8">
        <v>15500</v>
      </c>
      <c r="L8" s="2" t="s">
        <v>89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s="10" t="s">
        <v>3</v>
      </c>
      <c r="B9" s="10" t="str">
        <f>TRIM(D1_JULIO[[#This Row],[ASESOR]])</f>
        <v>LUIS VALLADARES</v>
      </c>
      <c r="C9" s="10" t="s">
        <v>29</v>
      </c>
      <c r="D9" s="10">
        <v>28475</v>
      </c>
      <c r="E9">
        <f>D1_JULIO[[#This Row],[RECUPERO]]/VLOOKUP(F9,$H:$I,2,0)</f>
        <v>0.43807692307692309</v>
      </c>
      <c r="F9" t="str">
        <f>D1_JULIO[[#This Row],[SUPER]]</f>
        <v>SANDY</v>
      </c>
      <c r="H9" t="s">
        <v>8</v>
      </c>
      <c r="I9">
        <v>15500</v>
      </c>
      <c r="L9">
        <v>1</v>
      </c>
      <c r="M9" s="1">
        <f>E3</f>
        <v>2.1022955384615383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VICTOR RAMIREZ</v>
      </c>
      <c r="P9" t="str">
        <f>IF(DATA_JULIO_2025[[#This Row],[ASER_]]="","",F3)</f>
        <v>SANDY</v>
      </c>
      <c r="Q9">
        <f>IF(DATA_JULIO_2025[[#This Row],[SUPERVISOR]]="","",D3)</f>
        <v>136649.21</v>
      </c>
      <c r="R9">
        <f>IF(DATA_JULIO_2025[[#This Row],[RECUPERO]]="","",VLOOKUP(DATA_JULIO_2025[[#This Row],[SUPERVISOR]],$H:$I,2,0))</f>
        <v>65000</v>
      </c>
    </row>
    <row r="10" spans="1:18" x14ac:dyDescent="0.25">
      <c r="A10" s="10" t="s">
        <v>3</v>
      </c>
      <c r="B10" s="10" t="str">
        <f>TRIM(D1_JULIO[[#This Row],[ASESOR]])</f>
        <v>ERICK PORTILLA</v>
      </c>
      <c r="C10" s="10" t="s">
        <v>28</v>
      </c>
      <c r="D10" s="10">
        <v>25562.98</v>
      </c>
      <c r="E10">
        <f>D1_JULIO[[#This Row],[RECUPERO]]/VLOOKUP(F10,$H:$I,2,0)</f>
        <v>0.39327661538461539</v>
      </c>
      <c r="F10" t="str">
        <f>D1_JULIO[[#This Row],[SUPER]]</f>
        <v>SANDY</v>
      </c>
      <c r="H10" t="s">
        <v>9</v>
      </c>
      <c r="I10">
        <v>15500</v>
      </c>
      <c r="L10">
        <v>2</v>
      </c>
      <c r="M10" s="1">
        <f t="shared" ref="M10:M73" si="0">E4</f>
        <v>1.4705384615384616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1">B4</f>
        <v>LISELY MERA</v>
      </c>
      <c r="P10" t="str">
        <f>IF(DATA_JULIO_2025[[#This Row],[ASER_]]="","",F4)</f>
        <v>SANDY</v>
      </c>
      <c r="Q10">
        <f>IF(DATA_JULIO_2025[[#This Row],[SUPERVISOR]]="","",D4)</f>
        <v>95585</v>
      </c>
      <c r="R10">
        <f>IF(DATA_JULIO_2025[[#This Row],[RECUPERO]]="","",VLOOKUP(DATA_JULIO_2025[[#This Row],[SUPERVISOR]],$H:$I,2,0))</f>
        <v>65000</v>
      </c>
    </row>
    <row r="11" spans="1:18" x14ac:dyDescent="0.25">
      <c r="A11" s="10" t="s">
        <v>3</v>
      </c>
      <c r="B11" s="10" t="str">
        <f>TRIM(D1_JULIO[[#This Row],[ASESOR]])</f>
        <v>GABRIELA APONTE</v>
      </c>
      <c r="C11" s="10" t="s">
        <v>27</v>
      </c>
      <c r="D11" s="10">
        <v>16200</v>
      </c>
      <c r="E11">
        <f>D1_JULIO[[#This Row],[RECUPERO]]/VLOOKUP(F11,$H:$I,2,0)</f>
        <v>0.24923076923076923</v>
      </c>
      <c r="F11" t="str">
        <f>D1_JULIO[[#This Row],[SUPER]]</f>
        <v>SANDY</v>
      </c>
      <c r="L11">
        <v>3</v>
      </c>
      <c r="M11" s="1">
        <f t="shared" si="0"/>
        <v>1.2490876923076923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1"/>
        <v>EVELY TENORIO</v>
      </c>
      <c r="P11" t="str">
        <f>IF(DATA_JULIO_2025[[#This Row],[ASER_]]="","",F5)</f>
        <v>SANDY</v>
      </c>
      <c r="Q11">
        <f>IF(DATA_JULIO_2025[[#This Row],[SUPERVISOR]]="","",D5)</f>
        <v>81190.7</v>
      </c>
      <c r="R11">
        <f>IF(DATA_JULIO_2025[[#This Row],[RECUPERO]]="","",VLOOKUP(DATA_JULIO_2025[[#This Row],[SUPERVISOR]],$H:$I,2,0))</f>
        <v>65000</v>
      </c>
    </row>
    <row r="12" spans="1:18" x14ac:dyDescent="0.25">
      <c r="A12" s="10" t="s">
        <v>3</v>
      </c>
      <c r="B12" s="10" t="str">
        <f>TRIM(D1_JULIO[[#This Row],[ASESOR]])</f>
        <v>TERRY ECHEVARRIA</v>
      </c>
      <c r="C12" s="10" t="s">
        <v>30</v>
      </c>
      <c r="D12" s="10">
        <v>8835</v>
      </c>
      <c r="E12">
        <f>D1_JULIO[[#This Row],[RECUPERO]]/VLOOKUP(F12,$H:$I,2,0)</f>
        <v>0.13592307692307692</v>
      </c>
      <c r="F12" t="str">
        <f>D1_JULIO[[#This Row],[SUPER]]</f>
        <v>SANDY</v>
      </c>
      <c r="L12">
        <v>4</v>
      </c>
      <c r="M12" s="1">
        <f t="shared" si="0"/>
        <v>0.71161538461538465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1"/>
        <v>MALORY MONTEBLANCO</v>
      </c>
      <c r="P12" t="str">
        <f>IF(DATA_JULIO_2025[[#This Row],[ASER_]]="","",F6)</f>
        <v>SANDY</v>
      </c>
      <c r="Q12">
        <f>IF(DATA_JULIO_2025[[#This Row],[SUPERVISOR]]="","",D6)</f>
        <v>46255</v>
      </c>
      <c r="R12">
        <f>IF(DATA_JULIO_2025[[#This Row],[RECUPERO]]="","",VLOOKUP(DATA_JULIO_2025[[#This Row],[SUPERVISOR]],$H:$I,2,0))</f>
        <v>65000</v>
      </c>
    </row>
    <row r="13" spans="1:18" x14ac:dyDescent="0.25">
      <c r="A13" s="10" t="s">
        <v>3</v>
      </c>
      <c r="B13" s="10" t="str">
        <f>TRIM(D1_JULIO[[#This Row],[ASESOR]])</f>
        <v/>
      </c>
      <c r="C13" s="10"/>
      <c r="D13" s="10"/>
      <c r="E13">
        <f>D1_JULIO[[#This Row],[RECUPERO]]/VLOOKUP(F13,$H:$I,2,0)</f>
        <v>0</v>
      </c>
      <c r="F13" t="str">
        <f>D1_JULIO[[#This Row],[SUPER]]</f>
        <v>SANDY</v>
      </c>
      <c r="J13" s="7"/>
      <c r="L13">
        <v>5</v>
      </c>
      <c r="M13" s="1">
        <f t="shared" si="0"/>
        <v>0.70020000000000004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1"/>
        <v>FRANCO HUAMANI</v>
      </c>
      <c r="P13" t="str">
        <f>IF(DATA_JULIO_2025[[#This Row],[ASER_]]="","",F7)</f>
        <v>SANDY</v>
      </c>
      <c r="Q13">
        <f>IF(DATA_JULIO_2025[[#This Row],[SUPERVISOR]]="","",D7)</f>
        <v>45513</v>
      </c>
      <c r="R13">
        <f>IF(DATA_JULIO_2025[[#This Row],[RECUPERO]]="","",VLOOKUP(DATA_JULIO_2025[[#This Row],[SUPERVISOR]],$H:$I,2,0))</f>
        <v>65000</v>
      </c>
    </row>
    <row r="14" spans="1:18" x14ac:dyDescent="0.25">
      <c r="A14" s="10" t="s">
        <v>3</v>
      </c>
      <c r="B14" s="10" t="str">
        <f>TRIM(D1_JULIO[[#This Row],[ASESOR]])</f>
        <v/>
      </c>
      <c r="C14" s="10"/>
      <c r="D14" s="10"/>
      <c r="E14">
        <f>D1_JULIO[[#This Row],[RECUPERO]]/VLOOKUP(F14,$H:$I,2,0)</f>
        <v>0</v>
      </c>
      <c r="F14" t="str">
        <f>D1_JULIO[[#This Row],[SUPER]]</f>
        <v>SANDY</v>
      </c>
      <c r="L14">
        <v>6</v>
      </c>
      <c r="M14" s="1">
        <f t="shared" si="0"/>
        <v>0.54392307692307695</v>
      </c>
      <c r="N14" t="str" cm="1">
        <f t="array" ref="N14">IFERROR(_xlfn.IFS(M14&gt;100%,"&gt;100%",AND(M14&lt;100%,M14&gt;70%),"&gt;70%",AND(M14&lt;70%,M14&gt;40%),"&gt;40%",AND(M14&lt;40%,M14&gt;0%),"&gt;0%"),"")</f>
        <v>&gt;40%</v>
      </c>
      <c r="O14" t="str">
        <f t="shared" si="1"/>
        <v>JENY LAZARO</v>
      </c>
      <c r="P14" t="str">
        <f>IF(DATA_JULIO_2025[[#This Row],[ASER_]]="","",F8)</f>
        <v>SANDY</v>
      </c>
      <c r="Q14">
        <f>IF(DATA_JULIO_2025[[#This Row],[SUPERVISOR]]="","",D8)</f>
        <v>35355</v>
      </c>
      <c r="R14">
        <f>IF(DATA_JULIO_2025[[#This Row],[RECUPERO]]="","",VLOOKUP(DATA_JULIO_2025[[#This Row],[SUPERVISOR]],$H:$I,2,0))</f>
        <v>65000</v>
      </c>
    </row>
    <row r="15" spans="1:18" x14ac:dyDescent="0.25">
      <c r="A15" s="10" t="s">
        <v>4</v>
      </c>
      <c r="B15" s="10" t="str">
        <f>TRIM(D1_JULIO[[#This Row],[ASESOR]])</f>
        <v>PIERINA TESEN</v>
      </c>
      <c r="C15" s="10" t="s">
        <v>59</v>
      </c>
      <c r="D15" s="10">
        <v>136565.57999999999</v>
      </c>
      <c r="E15">
        <f>D1_JULIO[[#This Row],[RECUPERO]]/VLOOKUP(F15,$H:$I,2,0)</f>
        <v>2.1010089230769227</v>
      </c>
      <c r="F15" t="str">
        <f>D1_JULIO[[#This Row],[SUPER]]</f>
        <v>MELINA</v>
      </c>
      <c r="L15">
        <v>7</v>
      </c>
      <c r="M15" s="1">
        <f t="shared" si="0"/>
        <v>0.43807692307692309</v>
      </c>
      <c r="N15" t="str" cm="1">
        <f t="array" ref="N15">IFERROR(_xlfn.IFS(M15&gt;100%,"&gt;100%",AND(M15&lt;100%,M15&gt;70%),"&gt;70%",AND(M15&lt;70%,M15&gt;40%),"&gt;40%",AND(M15&lt;40%,M15&gt;0%),"&gt;0%"),"")</f>
        <v>&gt;40%</v>
      </c>
      <c r="O15" t="str">
        <f t="shared" si="1"/>
        <v>LUIS VALLADARES</v>
      </c>
      <c r="P15" t="str">
        <f>IF(DATA_JULIO_2025[[#This Row],[ASER_]]="","",F9)</f>
        <v>SANDY</v>
      </c>
      <c r="Q15">
        <f>IF(DATA_JULIO_2025[[#This Row],[SUPERVISOR]]="","",D9)</f>
        <v>28475</v>
      </c>
      <c r="R15">
        <f>IF(DATA_JULIO_2025[[#This Row],[RECUPERO]]="","",VLOOKUP(DATA_JULIO_2025[[#This Row],[SUPERVISOR]],$H:$I,2,0))</f>
        <v>65000</v>
      </c>
    </row>
    <row r="16" spans="1:18" x14ac:dyDescent="0.25">
      <c r="A16" s="10" t="s">
        <v>4</v>
      </c>
      <c r="B16" s="10" t="str">
        <f>TRIM(D1_JULIO[[#This Row],[ASESOR]])</f>
        <v>MARIA TINTAYA</v>
      </c>
      <c r="C16" s="10" t="s">
        <v>75</v>
      </c>
      <c r="D16" s="10">
        <v>95418.1</v>
      </c>
      <c r="E16">
        <f>D1_JULIO[[#This Row],[RECUPERO]]/VLOOKUP(F16,$H:$I,2,0)</f>
        <v>1.4679707692307693</v>
      </c>
      <c r="F16" t="str">
        <f>D1_JULIO[[#This Row],[SUPER]]</f>
        <v>MELINA</v>
      </c>
      <c r="L16">
        <v>8</v>
      </c>
      <c r="M16" s="1">
        <f t="shared" si="0"/>
        <v>0.39327661538461539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1"/>
        <v>ERICK PORTILLA</v>
      </c>
      <c r="P16" t="str">
        <f>IF(DATA_JULIO_2025[[#This Row],[ASER_]]="","",F10)</f>
        <v>SANDY</v>
      </c>
      <c r="Q16">
        <f>IF(DATA_JULIO_2025[[#This Row],[SUPERVISOR]]="","",D10)</f>
        <v>25562.98</v>
      </c>
      <c r="R16">
        <f>IF(DATA_JULIO_2025[[#This Row],[RECUPERO]]="","",VLOOKUP(DATA_JULIO_2025[[#This Row],[SUPERVISOR]],$H:$I,2,0))</f>
        <v>65000</v>
      </c>
    </row>
    <row r="17" spans="1:18" x14ac:dyDescent="0.25">
      <c r="A17" s="10" t="s">
        <v>4</v>
      </c>
      <c r="B17" s="10" t="str">
        <f>TRIM(D1_JULIO[[#This Row],[ASESOR]])</f>
        <v>ALEJANDRA QUISPE</v>
      </c>
      <c r="C17" s="10" t="s">
        <v>58</v>
      </c>
      <c r="D17" s="10">
        <v>73549</v>
      </c>
      <c r="E17">
        <f>D1_JULIO[[#This Row],[RECUPERO]]/VLOOKUP(F17,$H:$I,2,0)</f>
        <v>1.1315230769230769</v>
      </c>
      <c r="F17" t="str">
        <f>D1_JULIO[[#This Row],[SUPER]]</f>
        <v>MELINA</v>
      </c>
      <c r="L17">
        <v>9</v>
      </c>
      <c r="M17" s="1">
        <f t="shared" si="0"/>
        <v>0.24923076923076923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GABRIELA APONTE</v>
      </c>
      <c r="P17" t="str">
        <f>IF(DATA_JULIO_2025[[#This Row],[ASER_]]="","",F11)</f>
        <v>SANDY</v>
      </c>
      <c r="Q17">
        <f>IF(DATA_JULIO_2025[[#This Row],[SUPERVISOR]]="","",D11)</f>
        <v>16200</v>
      </c>
      <c r="R17">
        <f>IF(DATA_JULIO_2025[[#This Row],[RECUPERO]]="","",VLOOKUP(DATA_JULIO_2025[[#This Row],[SUPERVISOR]],$H:$I,2,0))</f>
        <v>65000</v>
      </c>
    </row>
    <row r="18" spans="1:18" x14ac:dyDescent="0.25">
      <c r="A18" s="10" t="s">
        <v>4</v>
      </c>
      <c r="B18" s="10" t="str">
        <f>TRIM(D1_JULIO[[#This Row],[ASESOR]])</f>
        <v>MELISSA GUERRERO</v>
      </c>
      <c r="C18" s="10" t="s">
        <v>62</v>
      </c>
      <c r="D18" s="10">
        <v>61129</v>
      </c>
      <c r="E18">
        <f>D1_JULIO[[#This Row],[RECUPERO]]/VLOOKUP(F18,$H:$I,2,0)</f>
        <v>0.94044615384615382</v>
      </c>
      <c r="F18" t="str">
        <f>D1_JULIO[[#This Row],[SUPER]]</f>
        <v>MELINA</v>
      </c>
      <c r="L18">
        <v>10</v>
      </c>
      <c r="M18" s="1">
        <f t="shared" si="0"/>
        <v>0.13592307692307692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TERRY ECHEVARRIA</v>
      </c>
      <c r="P18" t="str">
        <f>IF(DATA_JULIO_2025[[#This Row],[ASER_]]="","",F12)</f>
        <v>SANDY</v>
      </c>
      <c r="Q18">
        <f>IF(DATA_JULIO_2025[[#This Row],[SUPERVISOR]]="","",D12)</f>
        <v>8835</v>
      </c>
      <c r="R18">
        <f>IF(DATA_JULIO_2025[[#This Row],[RECUPERO]]="","",VLOOKUP(DATA_JULIO_2025[[#This Row],[SUPERVISOR]],$H:$I,2,0))</f>
        <v>65000</v>
      </c>
    </row>
    <row r="19" spans="1:18" x14ac:dyDescent="0.25">
      <c r="A19" s="10" t="s">
        <v>4</v>
      </c>
      <c r="B19" s="10" t="str">
        <f>TRIM(D1_JULIO[[#This Row],[ASESOR]])</f>
        <v>MICAELA PEREZ</v>
      </c>
      <c r="C19" s="10" t="s">
        <v>64</v>
      </c>
      <c r="D19" s="10">
        <v>44760</v>
      </c>
      <c r="E19">
        <f>D1_JULIO[[#This Row],[RECUPERO]]/VLOOKUP(F19,$H:$I,2,0)</f>
        <v>0.68861538461538463</v>
      </c>
      <c r="F19" t="str">
        <f>D1_JULIO[[#This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P19" t="str">
        <f>IF(DATA_JULIO_2025[[#This Row],[ASER_]]="","",F13)</f>
        <v/>
      </c>
      <c r="Q19" t="str">
        <f>IF(DATA_JULIO_2025[[#This Row],[SUPERVISOR]]="","",D13)</f>
        <v/>
      </c>
      <c r="R19" t="str">
        <f>IF(DATA_JULIO_2025[[#This Row],[RECUPERO]]="","",VLOOKUP(DATA_JULIO_2025[[#This Row],[SUPERVISOR]],$H:$I,2,0))</f>
        <v/>
      </c>
    </row>
    <row r="20" spans="1:18" x14ac:dyDescent="0.25">
      <c r="A20" s="10" t="s">
        <v>4</v>
      </c>
      <c r="B20" s="10" t="str">
        <f>TRIM(D1_JULIO[[#This Row],[ASESOR]])</f>
        <v>CRISTINA TICONA</v>
      </c>
      <c r="C20" s="10" t="s">
        <v>61</v>
      </c>
      <c r="D20" s="10">
        <v>37452.699999999997</v>
      </c>
      <c r="E20">
        <f>D1_JULIO[[#This Row],[RECUPERO]]/VLOOKUP(F20,$H:$I,2,0)</f>
        <v>0.57619538461538455</v>
      </c>
      <c r="F20" t="str">
        <f>D1_JULIO[[#This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P20" t="str">
        <f>IF(DATA_JULIO_2025[[#This Row],[ASER_]]="","",F14)</f>
        <v/>
      </c>
      <c r="Q20" t="str">
        <f>IF(DATA_JULIO_2025[[#This Row],[SUPERVISOR]]="","",D14)</f>
        <v/>
      </c>
      <c r="R20" t="str">
        <f>IF(DATA_JULIO_2025[[#This Row],[RECUPERO]]="","",VLOOKUP(DATA_JULIO_2025[[#This Row],[SUPERVISOR]],$H:$I,2,0))</f>
        <v/>
      </c>
    </row>
    <row r="21" spans="1:18" x14ac:dyDescent="0.25">
      <c r="A21" s="10" t="s">
        <v>4</v>
      </c>
      <c r="B21" s="10" t="str">
        <f>TRIM(D1_JULIO[[#This Row],[ASESOR]])</f>
        <v>JAIR MARTINEZ</v>
      </c>
      <c r="C21" s="10" t="s">
        <v>57</v>
      </c>
      <c r="D21" s="10">
        <v>32536</v>
      </c>
      <c r="E21">
        <f>D1_JULIO[[#This Row],[RECUPERO]]/VLOOKUP(F21,$H:$I,2,0)</f>
        <v>0.50055384615384613</v>
      </c>
      <c r="F21" t="str">
        <f>D1_JULIO[[#This Row],[SUPER]]</f>
        <v>MELINA</v>
      </c>
      <c r="L21">
        <v>1</v>
      </c>
      <c r="M21" s="1">
        <f t="shared" si="0"/>
        <v>2.1010089230769227</v>
      </c>
      <c r="N21" t="str" cm="1">
        <f t="array" ref="N21">IFERROR(_xlfn.IFS(M21&gt;100%,"&gt;100%",AND(M21&lt;100%,M21&gt;70%),"&gt;70%",AND(M21&lt;70%,M21&gt;40%),"&gt;40%",AND(M21&lt;40%,M21&gt;0%),"&gt;0%"),"")</f>
        <v>&gt;100%</v>
      </c>
      <c r="O21" t="str">
        <f t="shared" si="1"/>
        <v>PIERINA TESEN</v>
      </c>
      <c r="P21" t="str">
        <f>IF(DATA_JULIO_2025[[#This Row],[ASER_]]="","",F15)</f>
        <v>MELINA</v>
      </c>
      <c r="Q21">
        <f>IF(DATA_JULIO_2025[[#This Row],[SUPERVISOR]]="","",D15)</f>
        <v>136565.57999999999</v>
      </c>
      <c r="R21">
        <f>IF(DATA_JULIO_2025[[#This Row],[RECUPERO]]="","",VLOOKUP(DATA_JULIO_2025[[#This Row],[SUPERVISOR]],$H:$I,2,0))</f>
        <v>65000</v>
      </c>
    </row>
    <row r="22" spans="1:18" x14ac:dyDescent="0.25">
      <c r="A22" s="10" t="s">
        <v>4</v>
      </c>
      <c r="B22" s="10" t="str">
        <f>TRIM(D1_JULIO[[#This Row],[ASESOR]])</f>
        <v>JHONATAN CHAVEZ</v>
      </c>
      <c r="C22" s="10" t="s">
        <v>65</v>
      </c>
      <c r="D22" s="10">
        <v>31613</v>
      </c>
      <c r="E22">
        <f>D1_JULIO[[#This Row],[RECUPERO]]/VLOOKUP(F22,$H:$I,2,0)</f>
        <v>0.48635384615384614</v>
      </c>
      <c r="F22" t="str">
        <f>D1_JULIO[[#This Row],[SUPER]]</f>
        <v>MELINA</v>
      </c>
      <c r="L22">
        <v>2</v>
      </c>
      <c r="M22" s="1">
        <f t="shared" si="0"/>
        <v>1.4679707692307693</v>
      </c>
      <c r="N22" t="str" cm="1">
        <f t="array" ref="N22">IFERROR(_xlfn.IFS(M22&gt;100%,"&gt;100%",AND(M22&lt;100%,M22&gt;70%),"&gt;70%",AND(M22&lt;70%,M22&gt;40%),"&gt;40%",AND(M22&lt;40%,M22&gt;0%),"&gt;0%"),"")</f>
        <v>&gt;100%</v>
      </c>
      <c r="O22" t="str">
        <f t="shared" si="1"/>
        <v>MARIA TINTAYA</v>
      </c>
      <c r="P22" t="str">
        <f>IF(DATA_JULIO_2025[[#This Row],[ASER_]]="","",F16)</f>
        <v>MELINA</v>
      </c>
      <c r="Q22">
        <f>IF(DATA_JULIO_2025[[#This Row],[SUPERVISOR]]="","",D16)</f>
        <v>95418.1</v>
      </c>
      <c r="R22">
        <f>IF(DATA_JULIO_2025[[#This Row],[RECUPERO]]="","",VLOOKUP(DATA_JULIO_2025[[#This Row],[SUPERVISOR]],$H:$I,2,0))</f>
        <v>65000</v>
      </c>
    </row>
    <row r="23" spans="1:18" x14ac:dyDescent="0.25">
      <c r="A23" s="10" t="s">
        <v>4</v>
      </c>
      <c r="B23" s="10" t="str">
        <f>TRIM(D1_JULIO[[#This Row],[ASESOR]])</f>
        <v>ANALUCIA PONCE</v>
      </c>
      <c r="C23" s="10" t="s">
        <v>60</v>
      </c>
      <c r="D23" s="10">
        <v>20988</v>
      </c>
      <c r="E23">
        <f>D1_JULIO[[#This Row],[RECUPERO]]/VLOOKUP(F23,$H:$I,2,0)</f>
        <v>0.3228923076923077</v>
      </c>
      <c r="F23" t="str">
        <f>D1_JULIO[[#This Row],[SUPER]]</f>
        <v>MELINA</v>
      </c>
      <c r="L23">
        <v>3</v>
      </c>
      <c r="M23" s="1">
        <f t="shared" si="0"/>
        <v>1.1315230769230769</v>
      </c>
      <c r="N23" t="str" cm="1">
        <f t="array" ref="N23">IFERROR(_xlfn.IFS(M23&gt;100%,"&gt;100%",AND(M23&lt;100%,M23&gt;70%),"&gt;70%",AND(M23&lt;70%,M23&gt;40%),"&gt;40%",AND(M23&lt;40%,M23&gt;0%),"&gt;0%"),"")</f>
        <v>&gt;100%</v>
      </c>
      <c r="O23" t="str">
        <f t="shared" si="1"/>
        <v>ALEJANDRA QUISPE</v>
      </c>
      <c r="P23" t="str">
        <f>IF(DATA_JULIO_2025[[#This Row],[ASER_]]="","",F17)</f>
        <v>MELINA</v>
      </c>
      <c r="Q23">
        <f>IF(DATA_JULIO_2025[[#This Row],[SUPERVISOR]]="","",D17)</f>
        <v>73549</v>
      </c>
      <c r="R23">
        <f>IF(DATA_JULIO_2025[[#This Row],[RECUPERO]]="","",VLOOKUP(DATA_JULIO_2025[[#This Row],[SUPERVISOR]],$H:$I,2,0))</f>
        <v>65000</v>
      </c>
    </row>
    <row r="24" spans="1:18" x14ac:dyDescent="0.25">
      <c r="A24" s="10" t="s">
        <v>4</v>
      </c>
      <c r="B24" s="10" t="str">
        <f>TRIM(D1_JULIO[[#This Row],[ASESOR]])</f>
        <v>RICHARD RODRIGUEZ</v>
      </c>
      <c r="C24" s="10" t="s">
        <v>63</v>
      </c>
      <c r="D24" s="10">
        <v>16292</v>
      </c>
      <c r="E24">
        <f>D1_JULIO[[#This Row],[RECUPERO]]/VLOOKUP(F24,$H:$I,2,0)</f>
        <v>0.25064615384615385</v>
      </c>
      <c r="F24" t="str">
        <f>D1_JULIO[[#This Row],[SUPER]]</f>
        <v>MELINA</v>
      </c>
      <c r="L24">
        <v>4</v>
      </c>
      <c r="M24" s="1">
        <f t="shared" si="0"/>
        <v>0.94044615384615382</v>
      </c>
      <c r="N24" t="str" cm="1">
        <f t="array" ref="N24">IFERROR(_xlfn.IFS(M24&gt;100%,"&gt;100%",AND(M24&lt;100%,M24&gt;70%),"&gt;70%",AND(M24&lt;70%,M24&gt;40%),"&gt;40%",AND(M24&lt;40%,M24&gt;0%),"&gt;0%"),"")</f>
        <v>&gt;70%</v>
      </c>
      <c r="O24" t="str">
        <f t="shared" si="1"/>
        <v>MELISSA GUERRERO</v>
      </c>
      <c r="P24" t="str">
        <f>IF(DATA_JULIO_2025[[#This Row],[ASER_]]="","",F18)</f>
        <v>MELINA</v>
      </c>
      <c r="Q24">
        <f>IF(DATA_JULIO_2025[[#This Row],[SUPERVISOR]]="","",D18)</f>
        <v>61129</v>
      </c>
      <c r="R24">
        <f>IF(DATA_JULIO_2025[[#This Row],[RECUPERO]]="","",VLOOKUP(DATA_JULIO_2025[[#This Row],[SUPERVISOR]],$H:$I,2,0))</f>
        <v>65000</v>
      </c>
    </row>
    <row r="25" spans="1:18" x14ac:dyDescent="0.25">
      <c r="A25" s="10" t="s">
        <v>4</v>
      </c>
      <c r="B25" s="10" t="str">
        <f>TRIM(D1_JULIO[[#This Row],[ASESOR]])</f>
        <v>DANIEL ZAPATA</v>
      </c>
      <c r="C25" s="10" t="s">
        <v>80</v>
      </c>
      <c r="D25" s="10">
        <v>11497</v>
      </c>
      <c r="E25">
        <f>D1_JULIO[[#This Row],[RECUPERO]]/VLOOKUP(F25,$H:$I,2,0)</f>
        <v>0.17687692307692307</v>
      </c>
      <c r="F25" t="str">
        <f>D1_JULIO[[#This Row],[SUPER]]</f>
        <v>MELINA</v>
      </c>
      <c r="L25">
        <v>5</v>
      </c>
      <c r="M25" s="1">
        <f t="shared" si="0"/>
        <v>0.68861538461538463</v>
      </c>
      <c r="N25" t="str" cm="1">
        <f t="array" ref="N25">IFERROR(_xlfn.IFS(M25&gt;100%,"&gt;100%",AND(M25&lt;100%,M25&gt;70%),"&gt;70%",AND(M25&lt;70%,M25&gt;40%),"&gt;40%",AND(M25&lt;40%,M25&gt;0%),"&gt;0%"),"")</f>
        <v>&gt;40%</v>
      </c>
      <c r="O25" t="str">
        <f t="shared" si="1"/>
        <v>MICAELA PEREZ</v>
      </c>
      <c r="P25" t="str">
        <f>IF(DATA_JULIO_2025[[#This Row],[ASER_]]="","",F19)</f>
        <v>MELINA</v>
      </c>
      <c r="Q25">
        <f>IF(DATA_JULIO_2025[[#This Row],[SUPERVISOR]]="","",D19)</f>
        <v>44760</v>
      </c>
      <c r="R25">
        <f>IF(DATA_JULIO_2025[[#This Row],[RECUPERO]]="","",VLOOKUP(DATA_JULIO_2025[[#This Row],[SUPERVISOR]],$H:$I,2,0))</f>
        <v>65000</v>
      </c>
    </row>
    <row r="26" spans="1:18" x14ac:dyDescent="0.25">
      <c r="A26" s="10" t="s">
        <v>4</v>
      </c>
      <c r="B26" s="10" t="str">
        <f>TRIM(D1_JULIO[[#This Row],[ASESOR]])</f>
        <v/>
      </c>
      <c r="C26" s="10"/>
      <c r="D26" s="10"/>
      <c r="E26">
        <f>D1_JULIO[[#This Row],[RECUPERO]]/VLOOKUP(F26,$H:$I,2,0)</f>
        <v>0</v>
      </c>
      <c r="F26" t="str">
        <f>D1_JULIO[[#This Row],[SUPER]]</f>
        <v>MELINA</v>
      </c>
      <c r="L26">
        <v>6</v>
      </c>
      <c r="M26" s="1">
        <f t="shared" si="0"/>
        <v>0.57619538461538455</v>
      </c>
      <c r="N26" t="str" cm="1">
        <f t="array" ref="N26">IFERROR(_xlfn.IFS(M26&gt;100%,"&gt;100%",AND(M26&lt;100%,M26&gt;70%),"&gt;70%",AND(M26&lt;70%,M26&gt;40%),"&gt;40%",AND(M26&lt;40%,M26&gt;0%),"&gt;0%"),"")</f>
        <v>&gt;40%</v>
      </c>
      <c r="O26" t="str">
        <f t="shared" si="1"/>
        <v>CRISTINA TICONA</v>
      </c>
      <c r="P26" t="str">
        <f>IF(DATA_JULIO_2025[[#This Row],[ASER_]]="","",F20)</f>
        <v>MELINA</v>
      </c>
      <c r="Q26">
        <f>IF(DATA_JULIO_2025[[#This Row],[SUPERVISOR]]="","",D20)</f>
        <v>37452.699999999997</v>
      </c>
      <c r="R26">
        <f>IF(DATA_JULIO_2025[[#This Row],[RECUPERO]]="","",VLOOKUP(DATA_JULIO_2025[[#This Row],[SUPERVISOR]],$H:$I,2,0))</f>
        <v>65000</v>
      </c>
    </row>
    <row r="27" spans="1:18" x14ac:dyDescent="0.25">
      <c r="A27" s="10" t="s">
        <v>2</v>
      </c>
      <c r="B27" s="10" t="str">
        <f>TRIM(D1_JULIO[[#This Row],[ASESOR]])</f>
        <v>FRANS TACSI</v>
      </c>
      <c r="C27" s="10" t="s">
        <v>16</v>
      </c>
      <c r="D27" s="10">
        <v>72530</v>
      </c>
      <c r="E27">
        <f>D1_JULIO[[#This Row],[RECUPERO]]/VLOOKUP(F27,$H:$I,2,0)</f>
        <v>1.3431481481481482</v>
      </c>
      <c r="F27" t="str">
        <f>D1_JULIO[[#This Row],[SUPER]]</f>
        <v>JORGE</v>
      </c>
      <c r="L27">
        <v>7</v>
      </c>
      <c r="M27" s="1">
        <f t="shared" si="0"/>
        <v>0.50055384615384613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JAIR MARTINEZ</v>
      </c>
      <c r="P27" t="str">
        <f>IF(DATA_JULIO_2025[[#This Row],[ASER_]]="","",F21)</f>
        <v>MELINA</v>
      </c>
      <c r="Q27">
        <f>IF(DATA_JULIO_2025[[#This Row],[SUPERVISOR]]="","",D21)</f>
        <v>32536</v>
      </c>
      <c r="R27">
        <f>IF(DATA_JULIO_2025[[#This Row],[RECUPERO]]="","",VLOOKUP(DATA_JULIO_2025[[#This Row],[SUPERVISOR]],$H:$I,2,0))</f>
        <v>65000</v>
      </c>
    </row>
    <row r="28" spans="1:18" x14ac:dyDescent="0.25">
      <c r="A28" s="10" t="s">
        <v>2</v>
      </c>
      <c r="B28" s="10" t="str">
        <f>TRIM(D1_JULIO[[#This Row],[ASESOR]])</f>
        <v>VERONICA TASAYCO</v>
      </c>
      <c r="C28" s="10" t="s">
        <v>10</v>
      </c>
      <c r="D28" s="10">
        <v>50969</v>
      </c>
      <c r="E28">
        <f>D1_JULIO[[#This Row],[RECUPERO]]/VLOOKUP(F28,$H:$I,2,0)</f>
        <v>0.94387037037037036</v>
      </c>
      <c r="F28" t="str">
        <f>D1_JULIO[[#This Row],[SUPER]]</f>
        <v>JORGE</v>
      </c>
      <c r="L28">
        <v>8</v>
      </c>
      <c r="M28" s="1">
        <f t="shared" si="0"/>
        <v>0.48635384615384614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1"/>
        <v>JHONATAN CHAVEZ</v>
      </c>
      <c r="P28" t="str">
        <f>IF(DATA_JULIO_2025[[#This Row],[ASER_]]="","",F22)</f>
        <v>MELINA</v>
      </c>
      <c r="Q28">
        <f>IF(DATA_JULIO_2025[[#This Row],[SUPERVISOR]]="","",D22)</f>
        <v>31613</v>
      </c>
      <c r="R28">
        <f>IF(DATA_JULIO_2025[[#This Row],[RECUPERO]]="","",VLOOKUP(DATA_JULIO_2025[[#This Row],[SUPERVISOR]],$H:$I,2,0))</f>
        <v>65000</v>
      </c>
    </row>
    <row r="29" spans="1:18" x14ac:dyDescent="0.25">
      <c r="A29" s="10" t="s">
        <v>2</v>
      </c>
      <c r="B29" s="10" t="str">
        <f>TRIM(D1_JULIO[[#This Row],[ASESOR]])</f>
        <v>MARGARITA PIANCHACHI</v>
      </c>
      <c r="C29" s="10" t="s">
        <v>17</v>
      </c>
      <c r="D29" s="10">
        <v>45384</v>
      </c>
      <c r="E29">
        <f>D1_JULIO[[#This Row],[RECUPERO]]/VLOOKUP(F29,$H:$I,2,0)</f>
        <v>0.84044444444444444</v>
      </c>
      <c r="F29" t="str">
        <f>D1_JULIO[[#This Row],[SUPER]]</f>
        <v>JORGE</v>
      </c>
      <c r="L29">
        <v>9</v>
      </c>
      <c r="M29" s="1">
        <f t="shared" si="0"/>
        <v>0.3228923076923077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1"/>
        <v>ANALUCIA PONCE</v>
      </c>
      <c r="P29" t="str">
        <f>IF(DATA_JULIO_2025[[#This Row],[ASER_]]="","",F23)</f>
        <v>MELINA</v>
      </c>
      <c r="Q29">
        <f>IF(DATA_JULIO_2025[[#This Row],[SUPERVISOR]]="","",D23)</f>
        <v>20988</v>
      </c>
      <c r="R29">
        <f>IF(DATA_JULIO_2025[[#This Row],[RECUPERO]]="","",VLOOKUP(DATA_JULIO_2025[[#This Row],[SUPERVISOR]],$H:$I,2,0))</f>
        <v>65000</v>
      </c>
    </row>
    <row r="30" spans="1:18" x14ac:dyDescent="0.25">
      <c r="A30" s="10" t="s">
        <v>2</v>
      </c>
      <c r="B30" s="10" t="str">
        <f>TRIM(D1_JULIO[[#This Row],[ASESOR]])</f>
        <v>GENESIS VICUNA</v>
      </c>
      <c r="C30" s="10" t="s">
        <v>12</v>
      </c>
      <c r="D30" s="10">
        <v>30593</v>
      </c>
      <c r="E30">
        <f>D1_JULIO[[#This Row],[RECUPERO]]/VLOOKUP(F30,$H:$I,2,0)</f>
        <v>0.56653703703703706</v>
      </c>
      <c r="F30" t="str">
        <f>D1_JULIO[[#This Row],[SUPER]]</f>
        <v>JORGE</v>
      </c>
      <c r="L30">
        <v>10</v>
      </c>
      <c r="M30" s="1">
        <f t="shared" si="0"/>
        <v>0.25064615384615385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1"/>
        <v>RICHARD RODRIGUEZ</v>
      </c>
      <c r="P30" t="str">
        <f>IF(DATA_JULIO_2025[[#This Row],[ASER_]]="","",F24)</f>
        <v>MELINA</v>
      </c>
      <c r="Q30">
        <f>IF(DATA_JULIO_2025[[#This Row],[SUPERVISOR]]="","",D24)</f>
        <v>16292</v>
      </c>
      <c r="R30">
        <f>IF(DATA_JULIO_2025[[#This Row],[RECUPERO]]="","",VLOOKUP(DATA_JULIO_2025[[#This Row],[SUPERVISOR]],$H:$I,2,0))</f>
        <v>65000</v>
      </c>
    </row>
    <row r="31" spans="1:18" x14ac:dyDescent="0.25">
      <c r="A31" s="10" t="s">
        <v>2</v>
      </c>
      <c r="B31" s="10" t="str">
        <f>TRIM(D1_JULIO[[#This Row],[ASESOR]])</f>
        <v>MILAGROS QUIO</v>
      </c>
      <c r="C31" s="10" t="s">
        <v>11</v>
      </c>
      <c r="D31" s="10">
        <v>27130</v>
      </c>
      <c r="E31">
        <f>D1_JULIO[[#This Row],[RECUPERO]]/VLOOKUP(F31,$H:$I,2,0)</f>
        <v>0.50240740740740741</v>
      </c>
      <c r="F31" t="str">
        <f>D1_JULIO[[#This Row],[SUPER]]</f>
        <v>JORGE</v>
      </c>
      <c r="L31">
        <v>11</v>
      </c>
      <c r="M31" s="1">
        <f t="shared" si="0"/>
        <v>0.17687692307692307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1"/>
        <v>DANIEL ZAPATA</v>
      </c>
      <c r="P31" t="str">
        <f>IF(DATA_JULIO_2025[[#This Row],[ASER_]]="","",F25)</f>
        <v>MELINA</v>
      </c>
      <c r="Q31">
        <f>IF(DATA_JULIO_2025[[#This Row],[SUPERVISOR]]="","",D25)</f>
        <v>11497</v>
      </c>
      <c r="R31">
        <f>IF(DATA_JULIO_2025[[#This Row],[RECUPERO]]="","",VLOOKUP(DATA_JULIO_2025[[#This Row],[SUPERVISOR]],$H:$I,2,0))</f>
        <v>65000</v>
      </c>
    </row>
    <row r="32" spans="1:18" x14ac:dyDescent="0.25">
      <c r="A32" s="10" t="s">
        <v>2</v>
      </c>
      <c r="B32" s="10" t="str">
        <f>TRIM(D1_JULIO[[#This Row],[ASESOR]])</f>
        <v>ANDERSON RODRIGUEZ</v>
      </c>
      <c r="C32" s="10" t="s">
        <v>15</v>
      </c>
      <c r="D32" s="10">
        <v>22638</v>
      </c>
      <c r="E32">
        <f>D1_JULIO[[#This Row],[RECUPERO]]/VLOOKUP(F32,$H:$I,2,0)</f>
        <v>0.41922222222222222</v>
      </c>
      <c r="F32" t="str">
        <f>D1_JULIO[[#This Row],[SUPER]]</f>
        <v>JORGE</v>
      </c>
      <c r="L32">
        <v>12</v>
      </c>
      <c r="M32" s="1">
        <f t="shared" si="0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1"/>
        <v/>
      </c>
      <c r="P32" t="str">
        <f>IF(DATA_JULIO_2025[[#This Row],[ASER_]]="","",F26)</f>
        <v/>
      </c>
      <c r="Q32" t="str">
        <f>IF(DATA_JULIO_2025[[#This Row],[SUPERVISOR]]="","",D26)</f>
        <v/>
      </c>
      <c r="R32" t="str">
        <f>IF(DATA_JULIO_2025[[#This Row],[RECUPERO]]="","",VLOOKUP(DATA_JULIO_2025[[#This Row],[SUPERVISOR]],$H:$I,2,0))</f>
        <v/>
      </c>
    </row>
    <row r="33" spans="1:18" x14ac:dyDescent="0.25">
      <c r="A33" s="10" t="s">
        <v>2</v>
      </c>
      <c r="B33" s="10" t="str">
        <f>TRIM(D1_JULIO[[#This Row],[ASESOR]])</f>
        <v>BRINA SOTO</v>
      </c>
      <c r="C33" s="10" t="s">
        <v>14</v>
      </c>
      <c r="D33" s="10">
        <v>20399</v>
      </c>
      <c r="E33">
        <f>D1_JULIO[[#This Row],[RECUPERO]]/VLOOKUP(F33,$H:$I,2,0)</f>
        <v>0.37775925925925924</v>
      </c>
      <c r="F33" t="str">
        <f>D1_JULIO[[#This Row],[SUPER]]</f>
        <v>JORGE</v>
      </c>
      <c r="L33">
        <v>1</v>
      </c>
      <c r="M33" s="1">
        <f t="shared" si="0"/>
        <v>1.3431481481481482</v>
      </c>
      <c r="N33" t="str" cm="1">
        <f t="array" ref="N33">IFERROR(_xlfn.IFS(M33&gt;100%,"&gt;100%",AND(M33&lt;100%,M33&gt;70%),"&gt;70%",AND(M33&lt;70%,M33&gt;40%),"&gt;40%",AND(M33&lt;40%,M33&gt;0%),"&gt;0%"),"")</f>
        <v>&gt;100%</v>
      </c>
      <c r="O33" t="str">
        <f t="shared" si="1"/>
        <v>FRANS TACSI</v>
      </c>
      <c r="P33" t="str">
        <f>IF(DATA_JULIO_2025[[#This Row],[ASER_]]="","",F27)</f>
        <v>JORGE</v>
      </c>
      <c r="Q33">
        <f>IF(DATA_JULIO_2025[[#This Row],[SUPERVISOR]]="","",D27)</f>
        <v>72530</v>
      </c>
      <c r="R33">
        <f>IF(DATA_JULIO_2025[[#This Row],[RECUPERO]]="","",VLOOKUP(DATA_JULIO_2025[[#This Row],[SUPERVISOR]],$H:$I,2,0))</f>
        <v>54000</v>
      </c>
    </row>
    <row r="34" spans="1:18" x14ac:dyDescent="0.25">
      <c r="A34" s="10" t="s">
        <v>2</v>
      </c>
      <c r="B34" s="10" t="str">
        <f>TRIM(D1_JULIO[[#This Row],[ASESOR]])</f>
        <v>GIANFRANCO PINEDO</v>
      </c>
      <c r="C34" s="10" t="s">
        <v>13</v>
      </c>
      <c r="D34" s="10">
        <v>17717</v>
      </c>
      <c r="E34">
        <f>D1_JULIO[[#This Row],[RECUPERO]]/VLOOKUP(F34,$H:$I,2,0)</f>
        <v>0.3280925925925926</v>
      </c>
      <c r="F34" t="str">
        <f>D1_JULIO[[#This Row],[SUPER]]</f>
        <v>JORGE</v>
      </c>
      <c r="L34">
        <v>2</v>
      </c>
      <c r="M34" s="1">
        <f t="shared" si="0"/>
        <v>0.94387037037037036</v>
      </c>
      <c r="N34" t="str" cm="1">
        <f t="array" ref="N34">IFERROR(_xlfn.IFS(M34&gt;100%,"&gt;100%",AND(M34&lt;100%,M34&gt;70%),"&gt;70%",AND(M34&lt;70%,M34&gt;40%),"&gt;40%",AND(M34&lt;40%,M34&gt;0%),"&gt;0%"),"")</f>
        <v>&gt;70%</v>
      </c>
      <c r="O34" t="str">
        <f t="shared" si="1"/>
        <v>VERONICA TASAYCO</v>
      </c>
      <c r="P34" t="str">
        <f>IF(DATA_JULIO_2025[[#This Row],[ASER_]]="","",F28)</f>
        <v>JORGE</v>
      </c>
      <c r="Q34">
        <f>IF(DATA_JULIO_2025[[#This Row],[SUPERVISOR]]="","",D28)</f>
        <v>50969</v>
      </c>
      <c r="R34">
        <f>IF(DATA_JULIO_2025[[#This Row],[RECUPERO]]="","",VLOOKUP(DATA_JULIO_2025[[#This Row],[SUPERVISOR]],$H:$I,2,0))</f>
        <v>54000</v>
      </c>
    </row>
    <row r="35" spans="1:18" x14ac:dyDescent="0.25">
      <c r="A35" s="10" t="s">
        <v>2</v>
      </c>
      <c r="B35" s="10" t="str">
        <f>TRIM(D1_JULIO[[#This Row],[ASESOR]])</f>
        <v>SOLMAIRA BRAVO</v>
      </c>
      <c r="C35" s="10" t="s">
        <v>86</v>
      </c>
      <c r="D35" s="10">
        <v>8587</v>
      </c>
      <c r="E35">
        <f>D1_JULIO[[#This Row],[RECUPERO]]/VLOOKUP(F35,$H:$I,2,0)</f>
        <v>0.15901851851851853</v>
      </c>
      <c r="F35" t="str">
        <f>D1_JULIO[[#This Row],[SUPER]]</f>
        <v>JORGE</v>
      </c>
      <c r="L35">
        <v>3</v>
      </c>
      <c r="M35" s="1">
        <f t="shared" si="0"/>
        <v>0.84044444444444444</v>
      </c>
      <c r="N35" t="str" cm="1">
        <f t="array" ref="N35">IFERROR(_xlfn.IFS(M35&gt;100%,"&gt;100%",AND(M35&lt;100%,M35&gt;70%),"&gt;70%",AND(M35&lt;70%,M35&gt;40%),"&gt;40%",AND(M35&lt;40%,M35&gt;0%),"&gt;0%"),"")</f>
        <v>&gt;70%</v>
      </c>
      <c r="O35" t="str">
        <f t="shared" si="1"/>
        <v>MARGARITA PIANCHACHI</v>
      </c>
      <c r="P35" t="str">
        <f>IF(DATA_JULIO_2025[[#This Row],[ASER_]]="","",F29)</f>
        <v>JORGE</v>
      </c>
      <c r="Q35">
        <f>IF(DATA_JULIO_2025[[#This Row],[SUPERVISOR]]="","",D29)</f>
        <v>45384</v>
      </c>
      <c r="R35">
        <f>IF(DATA_JULIO_2025[[#This Row],[RECUPERO]]="","",VLOOKUP(DATA_JULIO_2025[[#This Row],[SUPERVISOR]],$H:$I,2,0))</f>
        <v>54000</v>
      </c>
    </row>
    <row r="36" spans="1:18" x14ac:dyDescent="0.25">
      <c r="A36" s="10" t="s">
        <v>2</v>
      </c>
      <c r="B36" s="10" t="str">
        <f>TRIM(D1_JULIO[[#This Row],[ASESOR]])</f>
        <v/>
      </c>
      <c r="C36" s="10"/>
      <c r="D36" s="10"/>
      <c r="E36">
        <f>D1_JULIO[[#This Row],[RECUPERO]]/VLOOKUP(F36,$H:$I,2,0)</f>
        <v>0</v>
      </c>
      <c r="F36" t="str">
        <f>D1_JULIO[[#This Row],[SUPER]]</f>
        <v>JORGE</v>
      </c>
      <c r="L36">
        <v>4</v>
      </c>
      <c r="M36" s="1">
        <f t="shared" si="0"/>
        <v>0.56653703703703706</v>
      </c>
      <c r="N36" t="str" cm="1">
        <f t="array" ref="N36">IFERROR(_xlfn.IFS(M36&gt;100%,"&gt;100%",AND(M36&lt;100%,M36&gt;70%),"&gt;70%",AND(M36&lt;70%,M36&gt;40%),"&gt;40%",AND(M36&lt;40%,M36&gt;0%),"&gt;0%"),"")</f>
        <v>&gt;40%</v>
      </c>
      <c r="O36" t="str">
        <f t="shared" si="1"/>
        <v>GENESIS VICUNA</v>
      </c>
      <c r="P36" t="str">
        <f>IF(DATA_JULIO_2025[[#This Row],[ASER_]]="","",F30)</f>
        <v>JORGE</v>
      </c>
      <c r="Q36">
        <f>IF(DATA_JULIO_2025[[#This Row],[SUPERVISOR]]="","",D30)</f>
        <v>30593</v>
      </c>
      <c r="R36">
        <f>IF(DATA_JULIO_2025[[#This Row],[RECUPERO]]="","",VLOOKUP(DATA_JULIO_2025[[#This Row],[SUPERVISOR]],$H:$I,2,0))</f>
        <v>54000</v>
      </c>
    </row>
    <row r="37" spans="1:18" x14ac:dyDescent="0.25">
      <c r="A37" s="10" t="s">
        <v>2</v>
      </c>
      <c r="B37" s="10" t="str">
        <f>TRIM(D1_JULIO[[#This Row],[ASESOR]])</f>
        <v/>
      </c>
      <c r="C37" s="10"/>
      <c r="D37" s="10"/>
      <c r="E37">
        <f>D1_JULIO[[#This Row],[RECUPERO]]/VLOOKUP(F37,$H:$I,2,0)</f>
        <v>0</v>
      </c>
      <c r="F37" t="str">
        <f>D1_JULIO[[#This Row],[SUPER]]</f>
        <v>JORGE</v>
      </c>
      <c r="L37">
        <v>5</v>
      </c>
      <c r="M37" s="1">
        <f t="shared" si="0"/>
        <v>0.50240740740740741</v>
      </c>
      <c r="N37" t="str" cm="1">
        <f t="array" ref="N37">IFERROR(_xlfn.IFS(M37&gt;100%,"&gt;100%",AND(M37&lt;100%,M37&gt;70%),"&gt;70%",AND(M37&lt;70%,M37&gt;40%),"&gt;40%",AND(M37&lt;40%,M37&gt;0%),"&gt;0%"),"")</f>
        <v>&gt;40%</v>
      </c>
      <c r="O37" t="str">
        <f t="shared" si="1"/>
        <v>MILAGROS QUIO</v>
      </c>
      <c r="P37" t="str">
        <f>IF(DATA_JULIO_2025[[#This Row],[ASER_]]="","",F31)</f>
        <v>JORGE</v>
      </c>
      <c r="Q37">
        <f>IF(DATA_JULIO_2025[[#This Row],[SUPERVISOR]]="","",D31)</f>
        <v>27130</v>
      </c>
      <c r="R37">
        <f>IF(DATA_JULIO_2025[[#This Row],[RECUPERO]]="","",VLOOKUP(DATA_JULIO_2025[[#This Row],[SUPERVISOR]],$H:$I,2,0))</f>
        <v>54000</v>
      </c>
    </row>
    <row r="38" spans="1:18" x14ac:dyDescent="0.25">
      <c r="A38" s="10" t="s">
        <v>2</v>
      </c>
      <c r="B38" s="10" t="str">
        <f>TRIM(D1_JULIO[[#This Row],[ASESOR]])</f>
        <v/>
      </c>
      <c r="C38" s="10"/>
      <c r="D38" s="10"/>
      <c r="E38">
        <f>D1_JULIO[[#This Row],[RECUPERO]]/VLOOKUP(F38,$H:$I,2,0)</f>
        <v>0</v>
      </c>
      <c r="F38" t="str">
        <f>D1_JULIO[[#This Row],[SUPER]]</f>
        <v>JORGE</v>
      </c>
      <c r="L38">
        <v>6</v>
      </c>
      <c r="M38" s="1">
        <f t="shared" si="0"/>
        <v>0.41922222222222222</v>
      </c>
      <c r="N38" t="str" cm="1">
        <f t="array" ref="N38">IFERROR(_xlfn.IFS(M38&gt;100%,"&gt;100%",AND(M38&lt;100%,M38&gt;70%),"&gt;70%",AND(M38&lt;70%,M38&gt;40%),"&gt;40%",AND(M38&lt;40%,M38&gt;0%),"&gt;0%"),"")</f>
        <v>&gt;40%</v>
      </c>
      <c r="O38" t="str">
        <f t="shared" si="1"/>
        <v>ANDERSON RODRIGUEZ</v>
      </c>
      <c r="P38" t="str">
        <f>IF(DATA_JULIO_2025[[#This Row],[ASER_]]="","",F32)</f>
        <v>JORGE</v>
      </c>
      <c r="Q38">
        <f>IF(DATA_JULIO_2025[[#This Row],[SUPERVISOR]]="","",D32)</f>
        <v>22638</v>
      </c>
      <c r="R38">
        <f>IF(DATA_JULIO_2025[[#This Row],[RECUPERO]]="","",VLOOKUP(DATA_JULIO_2025[[#This Row],[SUPERVISOR]],$H:$I,2,0))</f>
        <v>54000</v>
      </c>
    </row>
    <row r="39" spans="1:18" x14ac:dyDescent="0.25">
      <c r="A39" s="10" t="s">
        <v>5</v>
      </c>
      <c r="B39" s="10" t="str">
        <f>TRIM(D1_JULIO[[#This Row],[ASESOR]])</f>
        <v>AURORA FAUSTOR</v>
      </c>
      <c r="C39" s="10" t="s">
        <v>67</v>
      </c>
      <c r="D39" s="10">
        <v>39211</v>
      </c>
      <c r="E39">
        <f>D1_JULIO[[#This Row],[RECUPERO]]/VLOOKUP(F39,$H:$I,2,0)</f>
        <v>0.72612962962962968</v>
      </c>
      <c r="F39" t="str">
        <f>D1_JULIO[[#This Row],[SUPER]]</f>
        <v>JORDAN</v>
      </c>
      <c r="L39">
        <v>7</v>
      </c>
      <c r="M39" s="1">
        <f t="shared" si="0"/>
        <v>0.37775925925925924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1"/>
        <v>BRINA SOTO</v>
      </c>
      <c r="P39" t="str">
        <f>IF(DATA_JULIO_2025[[#This Row],[ASER_]]="","",F33)</f>
        <v>JORGE</v>
      </c>
      <c r="Q39">
        <f>IF(DATA_JULIO_2025[[#This Row],[SUPERVISOR]]="","",D33)</f>
        <v>20399</v>
      </c>
      <c r="R39">
        <f>IF(DATA_JULIO_2025[[#This Row],[RECUPERO]]="","",VLOOKUP(DATA_JULIO_2025[[#This Row],[SUPERVISOR]],$H:$I,2,0))</f>
        <v>54000</v>
      </c>
    </row>
    <row r="40" spans="1:18" x14ac:dyDescent="0.25">
      <c r="A40" s="10" t="s">
        <v>5</v>
      </c>
      <c r="B40" s="10" t="str">
        <f>TRIM(D1_JULIO[[#This Row],[ASESOR]])</f>
        <v>MERLY CORONEL</v>
      </c>
      <c r="C40" s="10" t="s">
        <v>70</v>
      </c>
      <c r="D40" s="10">
        <v>29481</v>
      </c>
      <c r="E40">
        <f>D1_JULIO[[#This Row],[RECUPERO]]/VLOOKUP(F40,$H:$I,2,0)</f>
        <v>0.54594444444444445</v>
      </c>
      <c r="F40" t="str">
        <f>D1_JULIO[[#This Row],[SUPER]]</f>
        <v>JORDAN</v>
      </c>
      <c r="L40">
        <v>8</v>
      </c>
      <c r="M40" s="1">
        <f t="shared" si="0"/>
        <v>0.3280925925925926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1"/>
        <v>GIANFRANCO PINEDO</v>
      </c>
      <c r="P40" t="str">
        <f>IF(DATA_JULIO_2025[[#This Row],[ASER_]]="","",F34)</f>
        <v>JORGE</v>
      </c>
      <c r="Q40">
        <f>IF(DATA_JULIO_2025[[#This Row],[SUPERVISOR]]="","",D34)</f>
        <v>17717</v>
      </c>
      <c r="R40">
        <f>IF(DATA_JULIO_2025[[#This Row],[RECUPERO]]="","",VLOOKUP(DATA_JULIO_2025[[#This Row],[SUPERVISOR]],$H:$I,2,0))</f>
        <v>54000</v>
      </c>
    </row>
    <row r="41" spans="1:18" x14ac:dyDescent="0.25">
      <c r="A41" s="10" t="s">
        <v>5</v>
      </c>
      <c r="B41" s="10" t="str">
        <f>TRIM(D1_JULIO[[#This Row],[ASESOR]])</f>
        <v>GILBERTO PURIZACA</v>
      </c>
      <c r="C41" s="10" t="s">
        <v>66</v>
      </c>
      <c r="D41" s="10">
        <v>27307</v>
      </c>
      <c r="E41">
        <f>D1_JULIO[[#This Row],[RECUPERO]]/VLOOKUP(F41,$H:$I,2,0)</f>
        <v>0.50568518518518524</v>
      </c>
      <c r="F41" t="str">
        <f>D1_JULIO[[#This Row],[SUPER]]</f>
        <v>JORDAN</v>
      </c>
      <c r="L41">
        <v>9</v>
      </c>
      <c r="M41" s="1">
        <f t="shared" si="0"/>
        <v>0.15901851851851853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1"/>
        <v>SOLMAIRA BRAVO</v>
      </c>
      <c r="P41" t="str">
        <f>IF(DATA_JULIO_2025[[#This Row],[ASER_]]="","",F35)</f>
        <v>JORGE</v>
      </c>
      <c r="Q41">
        <f>IF(DATA_JULIO_2025[[#This Row],[SUPERVISOR]]="","",D35)</f>
        <v>8587</v>
      </c>
      <c r="R41">
        <f>IF(DATA_JULIO_2025[[#This Row],[RECUPERO]]="","",VLOOKUP(DATA_JULIO_2025[[#This Row],[SUPERVISOR]],$H:$I,2,0))</f>
        <v>54000</v>
      </c>
    </row>
    <row r="42" spans="1:18" x14ac:dyDescent="0.25">
      <c r="A42" s="10" t="s">
        <v>5</v>
      </c>
      <c r="B42" s="10" t="str">
        <f>TRIM(D1_JULIO[[#This Row],[ASESOR]])</f>
        <v>ERIKA VILLAR</v>
      </c>
      <c r="C42" s="10" t="s">
        <v>72</v>
      </c>
      <c r="D42" s="10">
        <v>25167</v>
      </c>
      <c r="E42">
        <f>D1_JULIO[[#This Row],[RECUPERO]]/VLOOKUP(F42,$H:$I,2,0)</f>
        <v>0.46605555555555556</v>
      </c>
      <c r="F42" t="str">
        <f>D1_JULIO[[#This Row],[SUPER]]</f>
        <v>JORDAN</v>
      </c>
      <c r="L42">
        <v>10</v>
      </c>
      <c r="M42" s="1">
        <f t="shared" si="0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1"/>
        <v/>
      </c>
      <c r="P42" t="str">
        <f>IF(DATA_JULIO_2025[[#This Row],[ASER_]]="","",F36)</f>
        <v/>
      </c>
      <c r="Q42" t="str">
        <f>IF(DATA_JULIO_2025[[#This Row],[SUPERVISOR]]="","",D36)</f>
        <v/>
      </c>
      <c r="R42" t="str">
        <f>IF(DATA_JULIO_2025[[#This Row],[RECUPERO]]="","",VLOOKUP(DATA_JULIO_2025[[#This Row],[SUPERVISOR]],$H:$I,2,0))</f>
        <v/>
      </c>
    </row>
    <row r="43" spans="1:18" x14ac:dyDescent="0.25">
      <c r="A43" s="10" t="s">
        <v>5</v>
      </c>
      <c r="B43" s="10" t="str">
        <f>TRIM(D1_JULIO[[#This Row],[ASESOR]])</f>
        <v>ANTHONY VICENTE</v>
      </c>
      <c r="C43" s="10" t="s">
        <v>85</v>
      </c>
      <c r="D43" s="10">
        <v>24073</v>
      </c>
      <c r="E43">
        <f>D1_JULIO[[#This Row],[RECUPERO]]/VLOOKUP(F43,$H:$I,2,0)</f>
        <v>0.4457962962962963</v>
      </c>
      <c r="F43" t="str">
        <f>D1_JULIO[[#This Row],[SUPER]]</f>
        <v>JORDAN</v>
      </c>
      <c r="L43">
        <v>11</v>
      </c>
      <c r="M43" s="1">
        <f t="shared" si="0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1"/>
        <v/>
      </c>
      <c r="P43" t="str">
        <f>IF(DATA_JULIO_2025[[#This Row],[ASER_]]="","",F37)</f>
        <v/>
      </c>
      <c r="Q43" t="str">
        <f>IF(DATA_JULIO_2025[[#This Row],[SUPERVISOR]]="","",D37)</f>
        <v/>
      </c>
      <c r="R43" t="str">
        <f>IF(DATA_JULIO_2025[[#This Row],[RECUPERO]]="","",VLOOKUP(DATA_JULIO_2025[[#This Row],[SUPERVISOR]],$H:$I,2,0))</f>
        <v/>
      </c>
    </row>
    <row r="44" spans="1:18" x14ac:dyDescent="0.25">
      <c r="A44" s="10" t="s">
        <v>5</v>
      </c>
      <c r="B44" s="10" t="str">
        <f>TRIM(D1_JULIO[[#This Row],[ASESOR]])</f>
        <v>GIULIANA QUISPE</v>
      </c>
      <c r="C44" s="10" t="s">
        <v>71</v>
      </c>
      <c r="D44" s="10">
        <v>22377</v>
      </c>
      <c r="E44">
        <f>D1_JULIO[[#This Row],[RECUPERO]]/VLOOKUP(F44,$H:$I,2,0)</f>
        <v>0.41438888888888886</v>
      </c>
      <c r="F44" t="str">
        <f>D1_JULIO[[#This Row],[SUPER]]</f>
        <v>JORDAN</v>
      </c>
      <c r="L44">
        <v>12</v>
      </c>
      <c r="M44" s="1">
        <f t="shared" si="0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1"/>
        <v/>
      </c>
      <c r="P44" t="str">
        <f>IF(DATA_JULIO_2025[[#This Row],[ASER_]]="","",F38)</f>
        <v/>
      </c>
      <c r="Q44" t="str">
        <f>IF(DATA_JULIO_2025[[#This Row],[SUPERVISOR]]="","",D38)</f>
        <v/>
      </c>
      <c r="R44" t="str">
        <f>IF(DATA_JULIO_2025[[#This Row],[RECUPERO]]="","",VLOOKUP(DATA_JULIO_2025[[#This Row],[SUPERVISOR]],$H:$I,2,0))</f>
        <v/>
      </c>
    </row>
    <row r="45" spans="1:18" x14ac:dyDescent="0.25">
      <c r="A45" s="10" t="s">
        <v>5</v>
      </c>
      <c r="B45" s="10" t="str">
        <f>TRIM(D1_JULIO[[#This Row],[ASESOR]])</f>
        <v>LUCERO JORDAN</v>
      </c>
      <c r="C45" s="10" t="s">
        <v>68</v>
      </c>
      <c r="D45" s="10">
        <v>20517</v>
      </c>
      <c r="E45">
        <f>D1_JULIO[[#This Row],[RECUPERO]]/VLOOKUP(F45,$H:$I,2,0)</f>
        <v>0.37994444444444442</v>
      </c>
      <c r="F45" t="str">
        <f>D1_JULIO[[#This Row],[SUPER]]</f>
        <v>JORDAN</v>
      </c>
      <c r="L45">
        <v>1</v>
      </c>
      <c r="M45" s="1">
        <f t="shared" si="0"/>
        <v>0.72612962962962968</v>
      </c>
      <c r="N45" t="str" cm="1">
        <f t="array" ref="N45">IFERROR(_xlfn.IFS(M45&gt;100%,"&gt;100%",AND(M45&lt;100%,M45&gt;70%),"&gt;70%",AND(M45&lt;70%,M45&gt;40%),"&gt;40%",AND(M45&lt;40%,M45&gt;0%),"&gt;0%"),"")</f>
        <v>&gt;70%</v>
      </c>
      <c r="O45" t="str">
        <f t="shared" si="1"/>
        <v>AURORA FAUSTOR</v>
      </c>
      <c r="P45" t="str">
        <f>IF(DATA_JULIO_2025[[#This Row],[ASER_]]="","",F39)</f>
        <v>JORDAN</v>
      </c>
      <c r="Q45">
        <f>IF(DATA_JULIO_2025[[#This Row],[SUPERVISOR]]="","",D39)</f>
        <v>39211</v>
      </c>
      <c r="R45">
        <f>IF(DATA_JULIO_2025[[#This Row],[RECUPERO]]="","",VLOOKUP(DATA_JULIO_2025[[#This Row],[SUPERVISOR]],$H:$I,2,0))</f>
        <v>54000</v>
      </c>
    </row>
    <row r="46" spans="1:18" x14ac:dyDescent="0.25">
      <c r="A46" s="10" t="s">
        <v>5</v>
      </c>
      <c r="B46" s="10" t="str">
        <f>TRIM(D1_JULIO[[#This Row],[ASESOR]])</f>
        <v>ANTHONY TORRES</v>
      </c>
      <c r="C46" s="10" t="s">
        <v>69</v>
      </c>
      <c r="D46" s="10">
        <v>14136.5</v>
      </c>
      <c r="E46">
        <f>D1_JULIO[[#This Row],[RECUPERO]]/VLOOKUP(F46,$H:$I,2,0)</f>
        <v>0.26178703703703704</v>
      </c>
      <c r="F46" t="str">
        <f>D1_JULIO[[#This Row],[SUPER]]</f>
        <v>JORDAN</v>
      </c>
      <c r="L46">
        <v>2</v>
      </c>
      <c r="M46" s="1">
        <f t="shared" si="0"/>
        <v>0.54594444444444445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1"/>
        <v>MERLY CORONEL</v>
      </c>
      <c r="P46" t="str">
        <f>IF(DATA_JULIO_2025[[#This Row],[ASER_]]="","",F40)</f>
        <v>JORDAN</v>
      </c>
      <c r="Q46">
        <f>IF(DATA_JULIO_2025[[#This Row],[SUPERVISOR]]="","",D40)</f>
        <v>29481</v>
      </c>
      <c r="R46">
        <f>IF(DATA_JULIO_2025[[#This Row],[RECUPERO]]="","",VLOOKUP(DATA_JULIO_2025[[#This Row],[SUPERVISOR]],$H:$I,2,0))</f>
        <v>54000</v>
      </c>
    </row>
    <row r="47" spans="1:18" x14ac:dyDescent="0.25">
      <c r="A47" s="10" t="s">
        <v>5</v>
      </c>
      <c r="B47" s="10" t="str">
        <f>TRIM(D1_JULIO[[#This Row],[ASESOR]])</f>
        <v>NATALIA MARIN</v>
      </c>
      <c r="C47" s="10" t="s">
        <v>79</v>
      </c>
      <c r="D47" s="10">
        <v>12321</v>
      </c>
      <c r="E47">
        <f>D1_JULIO[[#This Row],[RECUPERO]]/VLOOKUP(F47,$H:$I,2,0)</f>
        <v>0.22816666666666666</v>
      </c>
      <c r="F47" t="str">
        <f>D1_JULIO[[#This Row],[SUPER]]</f>
        <v>JORDAN</v>
      </c>
      <c r="L47">
        <v>3</v>
      </c>
      <c r="M47" s="1">
        <f t="shared" si="0"/>
        <v>0.50568518518518524</v>
      </c>
      <c r="N47" t="str" cm="1">
        <f t="array" ref="N47">IFERROR(_xlfn.IFS(M47&gt;100%,"&gt;100%",AND(M47&lt;100%,M47&gt;70%),"&gt;70%",AND(M47&lt;70%,M47&gt;40%),"&gt;40%",AND(M47&lt;40%,M47&gt;0%),"&gt;0%"),"")</f>
        <v>&gt;40%</v>
      </c>
      <c r="O47" t="str">
        <f t="shared" si="1"/>
        <v>GILBERTO PURIZACA</v>
      </c>
      <c r="P47" t="str">
        <f>IF(DATA_JULIO_2025[[#This Row],[ASER_]]="","",F41)</f>
        <v>JORDAN</v>
      </c>
      <c r="Q47">
        <f>IF(DATA_JULIO_2025[[#This Row],[SUPERVISOR]]="","",D41)</f>
        <v>27307</v>
      </c>
      <c r="R47">
        <f>IF(DATA_JULIO_2025[[#This Row],[RECUPERO]]="","",VLOOKUP(DATA_JULIO_2025[[#This Row],[SUPERVISOR]],$H:$I,2,0))</f>
        <v>54000</v>
      </c>
    </row>
    <row r="48" spans="1:18" x14ac:dyDescent="0.25">
      <c r="A48" s="10" t="s">
        <v>5</v>
      </c>
      <c r="B48" s="10" t="str">
        <f>TRIM(D1_JULIO[[#This Row],[ASESOR]])</f>
        <v/>
      </c>
      <c r="C48" s="10"/>
      <c r="D48" s="10"/>
      <c r="E48">
        <f>D1_JULIO[[#This Row],[RECUPERO]]/VLOOKUP(F48,$H:$I,2,0)</f>
        <v>0</v>
      </c>
      <c r="F48" t="str">
        <f>D1_JULIO[[#This Row],[SUPER]]</f>
        <v>JORDAN</v>
      </c>
      <c r="L48">
        <v>4</v>
      </c>
      <c r="M48" s="1">
        <f t="shared" si="0"/>
        <v>0.46605555555555556</v>
      </c>
      <c r="N48" t="str" cm="1">
        <f t="array" ref="N48">IFERROR(_xlfn.IFS(M48&gt;100%,"&gt;100%",AND(M48&lt;100%,M48&gt;70%),"&gt;70%",AND(M48&lt;70%,M48&gt;40%),"&gt;40%",AND(M48&lt;40%,M48&gt;0%),"&gt;0%"),"")</f>
        <v>&gt;40%</v>
      </c>
      <c r="O48" t="str">
        <f t="shared" si="1"/>
        <v>ERIKA VILLAR</v>
      </c>
      <c r="P48" t="str">
        <f>IF(DATA_JULIO_2025[[#This Row],[ASER_]]="","",F42)</f>
        <v>JORDAN</v>
      </c>
      <c r="Q48">
        <f>IF(DATA_JULIO_2025[[#This Row],[SUPERVISOR]]="","",D42)</f>
        <v>25167</v>
      </c>
      <c r="R48">
        <f>IF(DATA_JULIO_2025[[#This Row],[RECUPERO]]="","",VLOOKUP(DATA_JULIO_2025[[#This Row],[SUPERVISOR]],$H:$I,2,0))</f>
        <v>54000</v>
      </c>
    </row>
    <row r="49" spans="1:18" x14ac:dyDescent="0.25">
      <c r="A49" s="10" t="s">
        <v>5</v>
      </c>
      <c r="B49" s="10" t="str">
        <f>TRIM(D1_JULIO[[#This Row],[ASESOR]])</f>
        <v/>
      </c>
      <c r="C49" s="10"/>
      <c r="D49" s="10"/>
      <c r="E49">
        <f>D1_JULIO[[#This Row],[RECUPERO]]/VLOOKUP(F49,$H:$I,2,0)</f>
        <v>0</v>
      </c>
      <c r="F49" t="str">
        <f>D1_JULIO[[#This Row],[SUPER]]</f>
        <v>JORDAN</v>
      </c>
      <c r="L49">
        <v>5</v>
      </c>
      <c r="M49" s="1">
        <f t="shared" si="0"/>
        <v>0.4457962962962963</v>
      </c>
      <c r="N49" t="str" cm="1">
        <f t="array" ref="N49">IFERROR(_xlfn.IFS(M49&gt;100%,"&gt;100%",AND(M49&lt;100%,M49&gt;70%),"&gt;70%",AND(M49&lt;70%,M49&gt;40%),"&gt;40%",AND(M49&lt;40%,M49&gt;0%),"&gt;0%"),"")</f>
        <v>&gt;40%</v>
      </c>
      <c r="O49" t="str">
        <f t="shared" si="1"/>
        <v>ANTHONY VICENTE</v>
      </c>
      <c r="P49" t="str">
        <f>IF(DATA_JULIO_2025[[#This Row],[ASER_]]="","",F43)</f>
        <v>JORDAN</v>
      </c>
      <c r="Q49">
        <f>IF(DATA_JULIO_2025[[#This Row],[SUPERVISOR]]="","",D43)</f>
        <v>24073</v>
      </c>
      <c r="R49">
        <f>IF(DATA_JULIO_2025[[#This Row],[RECUPERO]]="","",VLOOKUP(DATA_JULIO_2025[[#This Row],[SUPERVISOR]],$H:$I,2,0))</f>
        <v>54000</v>
      </c>
    </row>
    <row r="50" spans="1:18" x14ac:dyDescent="0.25">
      <c r="A50" s="10" t="s">
        <v>5</v>
      </c>
      <c r="B50" s="10" t="str">
        <f>TRIM(D1_JULIO[[#This Row],[ASESOR]])</f>
        <v/>
      </c>
      <c r="C50" s="10"/>
      <c r="D50" s="10"/>
      <c r="E50">
        <f>D1_JULIO[[#This Row],[RECUPERO]]/VLOOKUP(F50,$H:$I,2,0)</f>
        <v>0</v>
      </c>
      <c r="F50" t="str">
        <f>D1_JULIO[[#This Row],[SUPER]]</f>
        <v>JORDAN</v>
      </c>
      <c r="L50">
        <v>6</v>
      </c>
      <c r="M50" s="1">
        <f t="shared" si="0"/>
        <v>0.41438888888888886</v>
      </c>
      <c r="N50" t="str" cm="1">
        <f t="array" ref="N50">IFERROR(_xlfn.IFS(M50&gt;100%,"&gt;100%",AND(M50&lt;100%,M50&gt;70%),"&gt;70%",AND(M50&lt;70%,M50&gt;40%),"&gt;40%",AND(M50&lt;40%,M50&gt;0%),"&gt;0%"),"")</f>
        <v>&gt;40%</v>
      </c>
      <c r="O50" t="str">
        <f t="shared" si="1"/>
        <v>GIULIANA QUISPE</v>
      </c>
      <c r="P50" t="str">
        <f>IF(DATA_JULIO_2025[[#This Row],[ASER_]]="","",F44)</f>
        <v>JORDAN</v>
      </c>
      <c r="Q50">
        <f>IF(DATA_JULIO_2025[[#This Row],[SUPERVISOR]]="","",D44)</f>
        <v>22377</v>
      </c>
      <c r="R50">
        <f>IF(DATA_JULIO_2025[[#This Row],[RECUPERO]]="","",VLOOKUP(DATA_JULIO_2025[[#This Row],[SUPERVISOR]],$H:$I,2,0))</f>
        <v>54000</v>
      </c>
    </row>
    <row r="51" spans="1:18" x14ac:dyDescent="0.25">
      <c r="A51" s="10" t="s">
        <v>6</v>
      </c>
      <c r="B51" s="10" t="str">
        <f>TRIM(D1_JULIO[[#This Row],[ASESOR]])</f>
        <v>LUIS CENTENO</v>
      </c>
      <c r="C51" s="10" t="s">
        <v>31</v>
      </c>
      <c r="D51" s="10">
        <v>65692</v>
      </c>
      <c r="E51">
        <f>D1_JULIO[[#This Row],[RECUPERO]]/VLOOKUP(F51,$H:$I,2,0)</f>
        <v>2.5266153846153845</v>
      </c>
      <c r="F51" t="str">
        <f>D1_JULIO[[#This Row],[SUPER]]</f>
        <v>KENNETH</v>
      </c>
      <c r="L51">
        <v>7</v>
      </c>
      <c r="M51" s="1">
        <f t="shared" si="0"/>
        <v>0.37994444444444442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1"/>
        <v>LUCERO JORDAN</v>
      </c>
      <c r="P51" t="str">
        <f>IF(DATA_JULIO_2025[[#This Row],[ASER_]]="","",F45)</f>
        <v>JORDAN</v>
      </c>
      <c r="Q51">
        <f>IF(DATA_JULIO_2025[[#This Row],[SUPERVISOR]]="","",D45)</f>
        <v>20517</v>
      </c>
      <c r="R51">
        <f>IF(DATA_JULIO_2025[[#This Row],[RECUPERO]]="","",VLOOKUP(DATA_JULIO_2025[[#This Row],[SUPERVISOR]],$H:$I,2,0))</f>
        <v>54000</v>
      </c>
    </row>
    <row r="52" spans="1:18" x14ac:dyDescent="0.25">
      <c r="A52" s="10" t="s">
        <v>6</v>
      </c>
      <c r="B52" s="10" t="str">
        <f>TRIM(D1_JULIO[[#This Row],[ASESOR]])</f>
        <v>URSULA CENTENO</v>
      </c>
      <c r="C52" s="10" t="s">
        <v>78</v>
      </c>
      <c r="D52" s="10">
        <v>56063</v>
      </c>
      <c r="E52">
        <f>D1_JULIO[[#This Row],[RECUPERO]]/VLOOKUP(F52,$H:$I,2,0)</f>
        <v>2.1562692307692308</v>
      </c>
      <c r="F52" t="str">
        <f>D1_JULIO[[#This Row],[SUPER]]</f>
        <v>KENNETH</v>
      </c>
      <c r="L52">
        <v>8</v>
      </c>
      <c r="M52" s="1">
        <f t="shared" si="0"/>
        <v>0.26178703703703704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1"/>
        <v>ANTHONY TORRES</v>
      </c>
      <c r="P52" t="str">
        <f>IF(DATA_JULIO_2025[[#This Row],[ASER_]]="","",F46)</f>
        <v>JORDAN</v>
      </c>
      <c r="Q52">
        <f>IF(DATA_JULIO_2025[[#This Row],[SUPERVISOR]]="","",D46)</f>
        <v>14136.5</v>
      </c>
      <c r="R52">
        <f>IF(DATA_JULIO_2025[[#This Row],[RECUPERO]]="","",VLOOKUP(DATA_JULIO_2025[[#This Row],[SUPERVISOR]],$H:$I,2,0))</f>
        <v>54000</v>
      </c>
    </row>
    <row r="53" spans="1:18" x14ac:dyDescent="0.25">
      <c r="A53" s="10" t="s">
        <v>6</v>
      </c>
      <c r="B53" s="10" t="str">
        <f>TRIM(D1_JULIO[[#This Row],[ASESOR]])</f>
        <v>JUAN LOZA</v>
      </c>
      <c r="C53" s="10" t="s">
        <v>35</v>
      </c>
      <c r="D53" s="10">
        <v>35556</v>
      </c>
      <c r="E53">
        <f>D1_JULIO[[#This Row],[RECUPERO]]/VLOOKUP(F53,$H:$I,2,0)</f>
        <v>1.3675384615384616</v>
      </c>
      <c r="F53" t="str">
        <f>D1_JULIO[[#This Row],[SUPER]]</f>
        <v>KENNETH</v>
      </c>
      <c r="L53">
        <v>9</v>
      </c>
      <c r="M53" s="1">
        <f t="shared" si="0"/>
        <v>0.22816666666666666</v>
      </c>
      <c r="N53" t="str" cm="1">
        <f t="array" ref="N53">IFERROR(_xlfn.IFS(M53&gt;100%,"&gt;100%",AND(M53&lt;100%,M53&gt;70%),"&gt;70%",AND(M53&lt;70%,M53&gt;40%),"&gt;40%",AND(M53&lt;40%,M53&gt;0%),"&gt;0%"),"")</f>
        <v>&gt;0%</v>
      </c>
      <c r="O53" t="str">
        <f t="shared" si="1"/>
        <v>NATALIA MARIN</v>
      </c>
      <c r="P53" t="str">
        <f>IF(DATA_JULIO_2025[[#This Row],[ASER_]]="","",F47)</f>
        <v>JORDAN</v>
      </c>
      <c r="Q53">
        <f>IF(DATA_JULIO_2025[[#This Row],[SUPERVISOR]]="","",D47)</f>
        <v>12321</v>
      </c>
      <c r="R53">
        <f>IF(DATA_JULIO_2025[[#This Row],[RECUPERO]]="","",VLOOKUP(DATA_JULIO_2025[[#This Row],[SUPERVISOR]],$H:$I,2,0))</f>
        <v>54000</v>
      </c>
    </row>
    <row r="54" spans="1:18" x14ac:dyDescent="0.25">
      <c r="A54" s="10" t="s">
        <v>6</v>
      </c>
      <c r="B54" s="10" t="str">
        <f>TRIM(D1_JULIO[[#This Row],[ASESOR]])</f>
        <v>LINDA TUESTA</v>
      </c>
      <c r="C54" s="10" t="s">
        <v>33</v>
      </c>
      <c r="D54" s="10">
        <v>33007</v>
      </c>
      <c r="E54">
        <f>D1_JULIO[[#This Row],[RECUPERO]]/VLOOKUP(F54,$H:$I,2,0)</f>
        <v>1.2695000000000001</v>
      </c>
      <c r="F54" t="str">
        <f>D1_JULIO[[#This Row],[SUPER]]</f>
        <v>KENNETH</v>
      </c>
      <c r="L54">
        <v>10</v>
      </c>
      <c r="M54" s="1">
        <f t="shared" si="0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1"/>
        <v/>
      </c>
      <c r="P54" t="str">
        <f>IF(DATA_JULIO_2025[[#This Row],[ASER_]]="","",F48)</f>
        <v/>
      </c>
      <c r="Q54" t="str">
        <f>IF(DATA_JULIO_2025[[#This Row],[SUPERVISOR]]="","",D48)</f>
        <v/>
      </c>
      <c r="R54" t="str">
        <f>IF(DATA_JULIO_2025[[#This Row],[RECUPERO]]="","",VLOOKUP(DATA_JULIO_2025[[#This Row],[SUPERVISOR]],$H:$I,2,0))</f>
        <v/>
      </c>
    </row>
    <row r="55" spans="1:18" x14ac:dyDescent="0.25">
      <c r="A55" s="10" t="s">
        <v>6</v>
      </c>
      <c r="B55" s="10" t="str">
        <f>TRIM(D1_JULIO[[#This Row],[ASESOR]])</f>
        <v>MEDALITH NESTARES</v>
      </c>
      <c r="C55" s="10" t="s">
        <v>36</v>
      </c>
      <c r="D55" s="10">
        <v>26075</v>
      </c>
      <c r="E55">
        <f>D1_JULIO[[#This Row],[RECUPERO]]/VLOOKUP(F55,$H:$I,2,0)</f>
        <v>1.0028846153846154</v>
      </c>
      <c r="F55" t="str">
        <f>D1_JULIO[[#This Row],[SUPER]]</f>
        <v>KENNETH</v>
      </c>
      <c r="L55">
        <v>11</v>
      </c>
      <c r="M55" s="1">
        <f t="shared" si="0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1"/>
        <v/>
      </c>
      <c r="P55" t="str">
        <f>IF(DATA_JULIO_2025[[#This Row],[ASER_]]="","",F49)</f>
        <v/>
      </c>
      <c r="Q55" t="str">
        <f>IF(DATA_JULIO_2025[[#This Row],[SUPERVISOR]]="","",D49)</f>
        <v/>
      </c>
      <c r="R55" t="str">
        <f>IF(DATA_JULIO_2025[[#This Row],[RECUPERO]]="","",VLOOKUP(DATA_JULIO_2025[[#This Row],[SUPERVISOR]],$H:$I,2,0))</f>
        <v/>
      </c>
    </row>
    <row r="56" spans="1:18" x14ac:dyDescent="0.25">
      <c r="A56" s="10" t="s">
        <v>6</v>
      </c>
      <c r="B56" s="10" t="str">
        <f>TRIM(D1_JULIO[[#This Row],[ASESOR]])</f>
        <v>STWUAR MACURI</v>
      </c>
      <c r="C56" s="10" t="s">
        <v>34</v>
      </c>
      <c r="D56" s="10">
        <v>22100</v>
      </c>
      <c r="E56">
        <f>D1_JULIO[[#This Row],[RECUPERO]]/VLOOKUP(F56,$H:$I,2,0)</f>
        <v>0.85</v>
      </c>
      <c r="F56" t="str">
        <f>D1_JULIO[[#This Row],[SUPER]]</f>
        <v>KENNETH</v>
      </c>
      <c r="L56">
        <v>12</v>
      </c>
      <c r="M56" s="1">
        <f t="shared" si="0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1"/>
        <v/>
      </c>
      <c r="P56" t="str">
        <f>IF(DATA_JULIO_2025[[#This Row],[ASER_]]="","",F50)</f>
        <v/>
      </c>
      <c r="Q56" t="str">
        <f>IF(DATA_JULIO_2025[[#This Row],[SUPERVISOR]]="","",D50)</f>
        <v/>
      </c>
      <c r="R56" t="str">
        <f>IF(DATA_JULIO_2025[[#This Row],[RECUPERO]]="","",VLOOKUP(DATA_JULIO_2025[[#This Row],[SUPERVISOR]],$H:$I,2,0))</f>
        <v/>
      </c>
    </row>
    <row r="57" spans="1:18" x14ac:dyDescent="0.25">
      <c r="A57" s="10" t="s">
        <v>6</v>
      </c>
      <c r="B57" s="10" t="str">
        <f>TRIM(D1_JULIO[[#This Row],[ASESOR]])</f>
        <v>JIMENA MEDINA</v>
      </c>
      <c r="C57" s="10" t="s">
        <v>37</v>
      </c>
      <c r="D57" s="10">
        <v>18048</v>
      </c>
      <c r="E57">
        <f>D1_JULIO[[#This Row],[RECUPERO]]/VLOOKUP(F57,$H:$I,2,0)</f>
        <v>0.69415384615384612</v>
      </c>
      <c r="F57" t="str">
        <f>D1_JULIO[[#This Row],[SUPER]]</f>
        <v>KENNETH</v>
      </c>
      <c r="L57">
        <v>1</v>
      </c>
      <c r="M57" s="1">
        <f t="shared" si="0"/>
        <v>2.5266153846153845</v>
      </c>
      <c r="N57" t="str" cm="1">
        <f t="array" ref="N57">IFERROR(_xlfn.IFS(M57&gt;100%,"&gt;100%",AND(M57&lt;100%,M57&gt;70%),"&gt;70%",AND(M57&lt;70%,M57&gt;40%),"&gt;40%",AND(M57&lt;40%,M57&gt;0%),"&gt;0%"),"")</f>
        <v>&gt;100%</v>
      </c>
      <c r="O57" t="str">
        <f t="shared" si="1"/>
        <v>LUIS CENTENO</v>
      </c>
      <c r="P57" t="str">
        <f>IF(DATA_JULIO_2025[[#This Row],[ASER_]]="","",F51)</f>
        <v>KENNETH</v>
      </c>
      <c r="Q57">
        <f>IF(DATA_JULIO_2025[[#This Row],[SUPERVISOR]]="","",D51)</f>
        <v>65692</v>
      </c>
      <c r="R57">
        <f>IF(DATA_JULIO_2025[[#This Row],[RECUPERO]]="","",VLOOKUP(DATA_JULIO_2025[[#This Row],[SUPERVISOR]],$H:$I,2,0))</f>
        <v>26000</v>
      </c>
    </row>
    <row r="58" spans="1:18" x14ac:dyDescent="0.25">
      <c r="A58" s="10" t="s">
        <v>6</v>
      </c>
      <c r="B58" s="10" t="str">
        <f>TRIM(D1_JULIO[[#This Row],[ASESOR]])</f>
        <v>MARIA HUARCAYA</v>
      </c>
      <c r="C58" s="10" t="s">
        <v>38</v>
      </c>
      <c r="D58" s="10">
        <v>18003</v>
      </c>
      <c r="E58">
        <f>D1_JULIO[[#This Row],[RECUPERO]]/VLOOKUP(F58,$H:$I,2,0)</f>
        <v>0.69242307692307692</v>
      </c>
      <c r="F58" t="str">
        <f>D1_JULIO[[#This Row],[SUPER]]</f>
        <v>KENNETH</v>
      </c>
      <c r="L58">
        <v>2</v>
      </c>
      <c r="M58" s="1">
        <f t="shared" si="0"/>
        <v>2.1562692307692308</v>
      </c>
      <c r="N58" t="str" cm="1">
        <f t="array" ref="N58">IFERROR(_xlfn.IFS(M58&gt;100%,"&gt;100%",AND(M58&lt;100%,M58&gt;70%),"&gt;70%",AND(M58&lt;70%,M58&gt;40%),"&gt;40%",AND(M58&lt;40%,M58&gt;0%),"&gt;0%"),"")</f>
        <v>&gt;100%</v>
      </c>
      <c r="O58" t="str">
        <f t="shared" si="1"/>
        <v>URSULA CENTENO</v>
      </c>
      <c r="P58" t="str">
        <f>IF(DATA_JULIO_2025[[#This Row],[ASER_]]="","",F52)</f>
        <v>KENNETH</v>
      </c>
      <c r="Q58">
        <f>IF(DATA_JULIO_2025[[#This Row],[SUPERVISOR]]="","",D52)</f>
        <v>56063</v>
      </c>
      <c r="R58">
        <f>IF(DATA_JULIO_2025[[#This Row],[RECUPERO]]="","",VLOOKUP(DATA_JULIO_2025[[#This Row],[SUPERVISOR]],$H:$I,2,0))</f>
        <v>26000</v>
      </c>
    </row>
    <row r="59" spans="1:18" x14ac:dyDescent="0.25">
      <c r="A59" s="10" t="s">
        <v>6</v>
      </c>
      <c r="B59" s="10" t="str">
        <f>TRIM(D1_JULIO[[#This Row],[ASESOR]])</f>
        <v>DARYL FERREL</v>
      </c>
      <c r="C59" s="10" t="s">
        <v>40</v>
      </c>
      <c r="D59" s="10">
        <v>15348</v>
      </c>
      <c r="E59">
        <f>D1_JULIO[[#This Row],[RECUPERO]]/VLOOKUP(F59,$H:$I,2,0)</f>
        <v>0.59030769230769231</v>
      </c>
      <c r="F59" t="str">
        <f>D1_JULIO[[#This Row],[SUPER]]</f>
        <v>KENNETH</v>
      </c>
      <c r="L59">
        <v>3</v>
      </c>
      <c r="M59" s="1">
        <f t="shared" si="0"/>
        <v>1.3675384615384616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1"/>
        <v>JUAN LOZA</v>
      </c>
      <c r="P59" t="str">
        <f>IF(DATA_JULIO_2025[[#This Row],[ASER_]]="","",F53)</f>
        <v>KENNETH</v>
      </c>
      <c r="Q59">
        <f>IF(DATA_JULIO_2025[[#This Row],[SUPERVISOR]]="","",D53)</f>
        <v>35556</v>
      </c>
      <c r="R59">
        <f>IF(DATA_JULIO_2025[[#This Row],[RECUPERO]]="","",VLOOKUP(DATA_JULIO_2025[[#This Row],[SUPERVISOR]],$H:$I,2,0))</f>
        <v>26000</v>
      </c>
    </row>
    <row r="60" spans="1:18" x14ac:dyDescent="0.25">
      <c r="A60" s="10" t="s">
        <v>6</v>
      </c>
      <c r="B60" s="10" t="str">
        <f>TRIM(D1_JULIO[[#This Row],[ASESOR]])</f>
        <v>GIANNINA AGUILAR</v>
      </c>
      <c r="C60" s="10" t="s">
        <v>32</v>
      </c>
      <c r="D60" s="10">
        <v>12713</v>
      </c>
      <c r="E60">
        <f>D1_JULIO[[#This Row],[RECUPERO]]/VLOOKUP(F60,$H:$I,2,0)</f>
        <v>0.48896153846153845</v>
      </c>
      <c r="F60" t="str">
        <f>D1_JULIO[[#This Row],[SUPER]]</f>
        <v>KENNETH</v>
      </c>
      <c r="L60">
        <v>4</v>
      </c>
      <c r="M60" s="1">
        <f t="shared" si="0"/>
        <v>1.2695000000000001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1"/>
        <v>LINDA TUESTA</v>
      </c>
      <c r="P60" t="str">
        <f>IF(DATA_JULIO_2025[[#This Row],[ASER_]]="","",F54)</f>
        <v>KENNETH</v>
      </c>
      <c r="Q60">
        <f>IF(DATA_JULIO_2025[[#This Row],[SUPERVISOR]]="","",D54)</f>
        <v>33007</v>
      </c>
      <c r="R60">
        <f>IF(DATA_JULIO_2025[[#This Row],[RECUPERO]]="","",VLOOKUP(DATA_JULIO_2025[[#This Row],[SUPERVISOR]],$H:$I,2,0))</f>
        <v>26000</v>
      </c>
    </row>
    <row r="61" spans="1:18" x14ac:dyDescent="0.25">
      <c r="A61" s="10" t="s">
        <v>6</v>
      </c>
      <c r="B61" s="10" t="str">
        <f>TRIM(D1_JULIO[[#This Row],[ASESOR]])</f>
        <v>YENNY INGA</v>
      </c>
      <c r="C61" s="10" t="s">
        <v>39</v>
      </c>
      <c r="D61" s="10">
        <v>11331</v>
      </c>
      <c r="E61">
        <f>D1_JULIO[[#This Row],[RECUPERO]]/VLOOKUP(F61,$H:$I,2,0)</f>
        <v>0.43580769230769228</v>
      </c>
      <c r="F61" t="str">
        <f>D1_JULIO[[#This Row],[SUPER]]</f>
        <v>KENNETH</v>
      </c>
      <c r="L61">
        <v>5</v>
      </c>
      <c r="M61" s="1">
        <f t="shared" si="0"/>
        <v>1.0028846153846154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1"/>
        <v>MEDALITH NESTARES</v>
      </c>
      <c r="P61" t="str">
        <f>IF(DATA_JULIO_2025[[#This Row],[ASER_]]="","",F55)</f>
        <v>KENNETH</v>
      </c>
      <c r="Q61">
        <f>IF(DATA_JULIO_2025[[#This Row],[SUPERVISOR]]="","",D55)</f>
        <v>26075</v>
      </c>
      <c r="R61">
        <f>IF(DATA_JULIO_2025[[#This Row],[RECUPERO]]="","",VLOOKUP(DATA_JULIO_2025[[#This Row],[SUPERVISOR]],$H:$I,2,0))</f>
        <v>26000</v>
      </c>
    </row>
    <row r="62" spans="1:18" x14ac:dyDescent="0.25">
      <c r="A62" s="10" t="s">
        <v>6</v>
      </c>
      <c r="B62" s="10" t="str">
        <f>TRIM(D1_JULIO[[#This Row],[ASESOR]])</f>
        <v/>
      </c>
      <c r="C62" s="10"/>
      <c r="D62" s="10"/>
      <c r="E62">
        <f>D1_JULIO[[#This Row],[RECUPERO]]/VLOOKUP(F62,$H:$I,2,0)</f>
        <v>0</v>
      </c>
      <c r="F62" t="str">
        <f>D1_JULIO[[#This Row],[SUPER]]</f>
        <v>KENNETH</v>
      </c>
      <c r="L62">
        <v>6</v>
      </c>
      <c r="M62" s="1">
        <f t="shared" si="0"/>
        <v>0.85</v>
      </c>
      <c r="N62" t="str" cm="1">
        <f t="array" ref="N62">IFERROR(_xlfn.IFS(M62&gt;100%,"&gt;100%",AND(M62&lt;100%,M62&gt;70%),"&gt;70%",AND(M62&lt;70%,M62&gt;40%),"&gt;40%",AND(M62&lt;40%,M62&gt;0%),"&gt;0%"),"")</f>
        <v>&gt;70%</v>
      </c>
      <c r="O62" t="str">
        <f t="shared" si="1"/>
        <v>STWUAR MACURI</v>
      </c>
      <c r="P62" t="str">
        <f>IF(DATA_JULIO_2025[[#This Row],[ASER_]]="","",F56)</f>
        <v>KENNETH</v>
      </c>
      <c r="Q62">
        <f>IF(DATA_JULIO_2025[[#This Row],[SUPERVISOR]]="","",D56)</f>
        <v>22100</v>
      </c>
      <c r="R62">
        <f>IF(DATA_JULIO_2025[[#This Row],[RECUPERO]]="","",VLOOKUP(DATA_JULIO_2025[[#This Row],[SUPERVISOR]],$H:$I,2,0))</f>
        <v>26000</v>
      </c>
    </row>
    <row r="63" spans="1:18" x14ac:dyDescent="0.25">
      <c r="A63" s="10" t="s">
        <v>7</v>
      </c>
      <c r="B63" s="10" t="str">
        <f>TRIM(D1_JULIO[[#This Row],[ASESOR]])</f>
        <v>ALEIDITH GUEVARA</v>
      </c>
      <c r="C63" s="10" t="s">
        <v>18</v>
      </c>
      <c r="D63" s="10">
        <v>32813</v>
      </c>
      <c r="E63">
        <f>D1_JULIO[[#This Row],[RECUPERO]]/VLOOKUP(F63,$H:$I,2,0)</f>
        <v>2.116967741935484</v>
      </c>
      <c r="F63" t="str">
        <f>D1_JULIO[[#This Row],[SUPER]]</f>
        <v>LEONOR</v>
      </c>
      <c r="L63">
        <v>7</v>
      </c>
      <c r="M63" s="1">
        <f t="shared" si="0"/>
        <v>0.69415384615384612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1"/>
        <v>JIMENA MEDINA</v>
      </c>
      <c r="P63" t="str">
        <f>IF(DATA_JULIO_2025[[#This Row],[ASER_]]="","",F57)</f>
        <v>KENNETH</v>
      </c>
      <c r="Q63">
        <f>IF(DATA_JULIO_2025[[#This Row],[SUPERVISOR]]="","",D57)</f>
        <v>18048</v>
      </c>
      <c r="R63">
        <f>IF(DATA_JULIO_2025[[#This Row],[RECUPERO]]="","",VLOOKUP(DATA_JULIO_2025[[#This Row],[SUPERVISOR]],$H:$I,2,0))</f>
        <v>26000</v>
      </c>
    </row>
    <row r="64" spans="1:18" x14ac:dyDescent="0.25">
      <c r="A64" s="10" t="s">
        <v>7</v>
      </c>
      <c r="B64" s="10" t="str">
        <f>TRIM(D1_JULIO[[#This Row],[ASESOR]])</f>
        <v>FRANK PACORA</v>
      </c>
      <c r="C64" s="10" t="s">
        <v>110</v>
      </c>
      <c r="D64" s="10">
        <v>26581</v>
      </c>
      <c r="E64">
        <f>D1_JULIO[[#This Row],[RECUPERO]]/VLOOKUP(F64,$H:$I,2,0)</f>
        <v>1.7149032258064516</v>
      </c>
      <c r="F64" t="str">
        <f>D1_JULIO[[#This Row],[SUPER]]</f>
        <v>LEONOR</v>
      </c>
      <c r="L64">
        <v>8</v>
      </c>
      <c r="M64" s="1">
        <f t="shared" si="0"/>
        <v>0.69242307692307692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1"/>
        <v>MARIA HUARCAYA</v>
      </c>
      <c r="P64" t="str">
        <f>IF(DATA_JULIO_2025[[#This Row],[ASER_]]="","",F58)</f>
        <v>KENNETH</v>
      </c>
      <c r="Q64">
        <f>IF(DATA_JULIO_2025[[#This Row],[SUPERVISOR]]="","",D58)</f>
        <v>18003</v>
      </c>
      <c r="R64">
        <f>IF(DATA_JULIO_2025[[#This Row],[RECUPERO]]="","",VLOOKUP(DATA_JULIO_2025[[#This Row],[SUPERVISOR]],$H:$I,2,0))</f>
        <v>26000</v>
      </c>
    </row>
    <row r="65" spans="1:18" x14ac:dyDescent="0.25">
      <c r="A65" s="10" t="s">
        <v>7</v>
      </c>
      <c r="B65" s="10" t="str">
        <f>TRIM(D1_JULIO[[#This Row],[ASESOR]])</f>
        <v>ALEJANDRA AVILA</v>
      </c>
      <c r="C65" s="10" t="s">
        <v>21</v>
      </c>
      <c r="D65" s="10">
        <v>16560</v>
      </c>
      <c r="E65">
        <f>D1_JULIO[[#This Row],[RECUPERO]]/VLOOKUP(F65,$H:$I,2,0)</f>
        <v>1.0683870967741935</v>
      </c>
      <c r="F65" t="str">
        <f>D1_JULIO[[#This Row],[SUPER]]</f>
        <v>LEONOR</v>
      </c>
      <c r="L65">
        <v>9</v>
      </c>
      <c r="M65" s="1">
        <f t="shared" si="0"/>
        <v>0.59030769230769231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1"/>
        <v>DARYL FERREL</v>
      </c>
      <c r="P65" t="str">
        <f>IF(DATA_JULIO_2025[[#This Row],[ASER_]]="","",F59)</f>
        <v>KENNETH</v>
      </c>
      <c r="Q65">
        <f>IF(DATA_JULIO_2025[[#This Row],[SUPERVISOR]]="","",D59)</f>
        <v>15348</v>
      </c>
      <c r="R65">
        <f>IF(DATA_JULIO_2025[[#This Row],[RECUPERO]]="","",VLOOKUP(DATA_JULIO_2025[[#This Row],[SUPERVISOR]],$H:$I,2,0))</f>
        <v>26000</v>
      </c>
    </row>
    <row r="66" spans="1:18" x14ac:dyDescent="0.25">
      <c r="A66" s="10" t="s">
        <v>7</v>
      </c>
      <c r="B66" s="10" t="str">
        <f>TRIM(D1_JULIO[[#This Row],[ASESOR]])</f>
        <v>ROCIO TERRONES</v>
      </c>
      <c r="C66" s="10" t="s">
        <v>107</v>
      </c>
      <c r="D66" s="10">
        <v>12541</v>
      </c>
      <c r="E66">
        <f>D1_JULIO[[#This Row],[RECUPERO]]/VLOOKUP(F66,$H:$I,2,0)</f>
        <v>0.80909677419354842</v>
      </c>
      <c r="F66" t="str">
        <f>D1_JULIO[[#This Row],[SUPER]]</f>
        <v>LEONOR</v>
      </c>
      <c r="L66">
        <v>10</v>
      </c>
      <c r="M66" s="1">
        <f t="shared" si="0"/>
        <v>0.48896153846153845</v>
      </c>
      <c r="N66" t="str" cm="1">
        <f t="array" ref="N66">IFERROR(_xlfn.IFS(M66&gt;100%,"&gt;100%",AND(M66&lt;100%,M66&gt;70%),"&gt;70%",AND(M66&lt;70%,M66&gt;40%),"&gt;40%",AND(M66&lt;40%,M66&gt;0%),"&gt;0%"),"")</f>
        <v>&gt;40%</v>
      </c>
      <c r="O66" t="str">
        <f t="shared" si="1"/>
        <v>GIANNINA AGUILAR</v>
      </c>
      <c r="P66" t="str">
        <f>IF(DATA_JULIO_2025[[#This Row],[ASER_]]="","",F60)</f>
        <v>KENNETH</v>
      </c>
      <c r="Q66">
        <f>IF(DATA_JULIO_2025[[#This Row],[SUPERVISOR]]="","",D60)</f>
        <v>12713</v>
      </c>
      <c r="R66">
        <f>IF(DATA_JULIO_2025[[#This Row],[RECUPERO]]="","",VLOOKUP(DATA_JULIO_2025[[#This Row],[SUPERVISOR]],$H:$I,2,0))</f>
        <v>26000</v>
      </c>
    </row>
    <row r="67" spans="1:18" x14ac:dyDescent="0.25">
      <c r="A67" s="10" t="s">
        <v>7</v>
      </c>
      <c r="B67" s="10" t="str">
        <f>TRIM(D1_JULIO[[#This Row],[ASESOR]])</f>
        <v>CARLOS CALAGUA</v>
      </c>
      <c r="C67" s="10" t="s">
        <v>108</v>
      </c>
      <c r="D67" s="10">
        <v>10600</v>
      </c>
      <c r="E67">
        <f>D1_JULIO[[#This Row],[RECUPERO]]/VLOOKUP(F67,$H:$I,2,0)</f>
        <v>0.68387096774193545</v>
      </c>
      <c r="F67" t="str">
        <f>D1_JULIO[[#This Row],[SUPER]]</f>
        <v>LEONOR</v>
      </c>
      <c r="L67">
        <v>11</v>
      </c>
      <c r="M67" s="1">
        <f t="shared" si="0"/>
        <v>0.43580769230769228</v>
      </c>
      <c r="N67" t="str" cm="1">
        <f t="array" ref="N67">IFERROR(_xlfn.IFS(M67&gt;100%,"&gt;100%",AND(M67&lt;100%,M67&gt;70%),"&gt;70%",AND(M67&lt;70%,M67&gt;40%),"&gt;40%",AND(M67&lt;40%,M67&gt;0%),"&gt;0%"),"")</f>
        <v>&gt;40%</v>
      </c>
      <c r="O67" t="str">
        <f t="shared" si="1"/>
        <v>YENNY INGA</v>
      </c>
      <c r="P67" t="str">
        <f>IF(DATA_JULIO_2025[[#This Row],[ASER_]]="","",F61)</f>
        <v>KENNETH</v>
      </c>
      <c r="Q67">
        <f>IF(DATA_JULIO_2025[[#This Row],[SUPERVISOR]]="","",D61)</f>
        <v>11331</v>
      </c>
      <c r="R67">
        <f>IF(DATA_JULIO_2025[[#This Row],[RECUPERO]]="","",VLOOKUP(DATA_JULIO_2025[[#This Row],[SUPERVISOR]],$H:$I,2,0))</f>
        <v>26000</v>
      </c>
    </row>
    <row r="68" spans="1:18" x14ac:dyDescent="0.25">
      <c r="A68" s="10" t="s">
        <v>7</v>
      </c>
      <c r="B68" s="10" t="str">
        <f>TRIM(D1_JULIO[[#This Row],[ASESOR]])</f>
        <v>CARMEN PUMA</v>
      </c>
      <c r="C68" s="10" t="s">
        <v>19</v>
      </c>
      <c r="D68" s="10">
        <v>9990</v>
      </c>
      <c r="E68">
        <f>D1_JULIO[[#This Row],[RECUPERO]]/VLOOKUP(F68,$H:$I,2,0)</f>
        <v>0.64451612903225808</v>
      </c>
      <c r="F68" t="str">
        <f>D1_JULIO[[#This Row],[SUPER]]</f>
        <v>LEONOR</v>
      </c>
      <c r="L68">
        <v>12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  <c r="P68" t="str">
        <f>IF(DATA_JULIO_2025[[#This Row],[ASER_]]="","",F62)</f>
        <v/>
      </c>
      <c r="Q68" t="str">
        <f>IF(DATA_JULIO_2025[[#This Row],[SUPERVISOR]]="","",D62)</f>
        <v/>
      </c>
      <c r="R68" t="str">
        <f>IF(DATA_JULIO_2025[[#This Row],[RECUPERO]]="","",VLOOKUP(DATA_JULIO_2025[[#This Row],[SUPERVISOR]],$H:$I,2,0))</f>
        <v/>
      </c>
    </row>
    <row r="69" spans="1:18" x14ac:dyDescent="0.25">
      <c r="A69" s="10" t="s">
        <v>7</v>
      </c>
      <c r="B69" s="10" t="str">
        <f>TRIM(D1_JULIO[[#This Row],[ASESOR]])</f>
        <v>MARCOS SARMIENTO</v>
      </c>
      <c r="C69" s="10" t="s">
        <v>109</v>
      </c>
      <c r="D69" s="10">
        <v>8850</v>
      </c>
      <c r="E69">
        <f>D1_JULIO[[#This Row],[RECUPERO]]/VLOOKUP(F69,$H:$I,2,0)</f>
        <v>0.57096774193548383</v>
      </c>
      <c r="F69" t="str">
        <f>D1_JULIO[[#This Row],[SUPER]]</f>
        <v>LEONOR</v>
      </c>
      <c r="L69">
        <v>1</v>
      </c>
      <c r="M69" s="1">
        <f t="shared" si="0"/>
        <v>2.116967741935484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ALEIDITH GUEVARA</v>
      </c>
      <c r="P69" t="str">
        <f>IF(DATA_JULIO_2025[[#This Row],[ASER_]]="","",F63)</f>
        <v>LEONOR</v>
      </c>
      <c r="Q69">
        <f>IF(DATA_JULIO_2025[[#This Row],[SUPERVISOR]]="","",D63)</f>
        <v>32813</v>
      </c>
      <c r="R69">
        <f>IF(DATA_JULIO_2025[[#This Row],[RECUPERO]]="","",VLOOKUP(DATA_JULIO_2025[[#This Row],[SUPERVISOR]],$H:$I,2,0))</f>
        <v>15500</v>
      </c>
    </row>
    <row r="70" spans="1:18" x14ac:dyDescent="0.25">
      <c r="A70" s="10" t="s">
        <v>7</v>
      </c>
      <c r="B70" s="10" t="str">
        <f>TRIM(D1_JULIO[[#This Row],[ASESOR]])</f>
        <v>JOANA GIL</v>
      </c>
      <c r="C70" s="10" t="s">
        <v>111</v>
      </c>
      <c r="D70" s="10">
        <v>4680</v>
      </c>
      <c r="E70">
        <f>D1_JULIO[[#This Row],[RECUPERO]]/VLOOKUP(F70,$H:$I,2,0)</f>
        <v>0.30193548387096775</v>
      </c>
      <c r="F70" t="str">
        <f>D1_JULIO[[#This Row],[SUPER]]</f>
        <v>LEONOR</v>
      </c>
      <c r="L70">
        <v>2</v>
      </c>
      <c r="M70" s="1">
        <f t="shared" si="0"/>
        <v>1.7149032258064516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FRANK PACORA</v>
      </c>
      <c r="P70" t="str">
        <f>IF(DATA_JULIO_2025[[#This Row],[ASER_]]="","",F64)</f>
        <v>LEONOR</v>
      </c>
      <c r="Q70">
        <f>IF(DATA_JULIO_2025[[#This Row],[SUPERVISOR]]="","",D64)</f>
        <v>26581</v>
      </c>
      <c r="R70">
        <f>IF(DATA_JULIO_2025[[#This Row],[RECUPERO]]="","",VLOOKUP(DATA_JULIO_2025[[#This Row],[SUPERVISOR]],$H:$I,2,0))</f>
        <v>15500</v>
      </c>
    </row>
    <row r="71" spans="1:18" x14ac:dyDescent="0.25">
      <c r="A71" s="10" t="s">
        <v>7</v>
      </c>
      <c r="B71" s="10" t="str">
        <f>TRIM(D1_JULIO[[#This Row],[ASESOR]])</f>
        <v>MICHAEL TAFUR</v>
      </c>
      <c r="C71" s="10" t="s">
        <v>112</v>
      </c>
      <c r="D71" s="10">
        <v>4350</v>
      </c>
      <c r="E71">
        <f>D1_JULIO[[#This Row],[RECUPERO]]/VLOOKUP(F71,$H:$I,2,0)</f>
        <v>0.28064516129032258</v>
      </c>
      <c r="F71" t="str">
        <f>D1_JULIO[[#This Row],[SUPER]]</f>
        <v>LEONOR</v>
      </c>
      <c r="L71">
        <v>3</v>
      </c>
      <c r="M71" s="1">
        <f t="shared" si="0"/>
        <v>1.0683870967741935</v>
      </c>
      <c r="N71" t="str" cm="1">
        <f t="array" ref="N71">IFERROR(_xlfn.IFS(M71&gt;100%,"&gt;100%",AND(M71&lt;100%,M71&gt;70%),"&gt;70%",AND(M71&lt;70%,M71&gt;40%),"&gt;40%",AND(M71&lt;40%,M71&gt;0%),"&gt;0%"),"")</f>
        <v>&gt;100%</v>
      </c>
      <c r="O71" t="str">
        <f t="shared" si="1"/>
        <v>ALEJANDRA AVILA</v>
      </c>
      <c r="P71" t="str">
        <f>IF(DATA_JULIO_2025[[#This Row],[ASER_]]="","",F65)</f>
        <v>LEONOR</v>
      </c>
      <c r="Q71">
        <f>IF(DATA_JULIO_2025[[#This Row],[SUPERVISOR]]="","",D65)</f>
        <v>16560</v>
      </c>
      <c r="R71">
        <f>IF(DATA_JULIO_2025[[#This Row],[RECUPERO]]="","",VLOOKUP(DATA_JULIO_2025[[#This Row],[SUPERVISOR]],$H:$I,2,0))</f>
        <v>15500</v>
      </c>
    </row>
    <row r="72" spans="1:18" x14ac:dyDescent="0.25">
      <c r="A72" s="10" t="s">
        <v>7</v>
      </c>
      <c r="B72" s="10" t="str">
        <f>TRIM(D1_JULIO[[#This Row],[ASESOR]])</f>
        <v>NARDIA URPIS</v>
      </c>
      <c r="C72" s="10" t="s">
        <v>74</v>
      </c>
      <c r="D72" s="10">
        <v>3588</v>
      </c>
      <c r="E72">
        <f>D1_JULIO[[#This Row],[RECUPERO]]/VLOOKUP(F72,$H:$I,2,0)</f>
        <v>0.23148387096774192</v>
      </c>
      <c r="F72" t="str">
        <f>D1_JULIO[[#This Row],[SUPER]]</f>
        <v>LEONOR</v>
      </c>
      <c r="L72">
        <v>4</v>
      </c>
      <c r="M72" s="1">
        <f t="shared" si="0"/>
        <v>0.80909677419354842</v>
      </c>
      <c r="N72" t="str" cm="1">
        <f t="array" ref="N72">IFERROR(_xlfn.IFS(M72&gt;100%,"&gt;100%",AND(M72&lt;100%,M72&gt;70%),"&gt;70%",AND(M72&lt;70%,M72&gt;40%),"&gt;40%",AND(M72&lt;40%,M72&gt;0%),"&gt;0%"),"")</f>
        <v>&gt;70%</v>
      </c>
      <c r="O72" t="str">
        <f t="shared" si="1"/>
        <v>ROCIO TERRONES</v>
      </c>
      <c r="P72" t="str">
        <f>IF(DATA_JULIO_2025[[#This Row],[ASER_]]="","",F66)</f>
        <v>LEONOR</v>
      </c>
      <c r="Q72">
        <f>IF(DATA_JULIO_2025[[#This Row],[SUPERVISOR]]="","",D66)</f>
        <v>12541</v>
      </c>
      <c r="R72">
        <f>IF(DATA_JULIO_2025[[#This Row],[RECUPERO]]="","",VLOOKUP(DATA_JULIO_2025[[#This Row],[SUPERVISOR]],$H:$I,2,0))</f>
        <v>15500</v>
      </c>
    </row>
    <row r="73" spans="1:18" x14ac:dyDescent="0.25">
      <c r="A73" s="10" t="s">
        <v>7</v>
      </c>
      <c r="B73" s="10" t="str">
        <f>TRIM(D1_JULIO[[#This Row],[ASESOR]])</f>
        <v>JHOVANA TORRES</v>
      </c>
      <c r="C73" s="10" t="s">
        <v>20</v>
      </c>
      <c r="D73" s="10">
        <v>3565</v>
      </c>
      <c r="E73">
        <f>D1_JULIO[[#This Row],[RECUPERO]]/VLOOKUP(F73,$H:$I,2,0)</f>
        <v>0.23</v>
      </c>
      <c r="F73" t="str">
        <f>D1_JULIO[[#This Row],[SUPER]]</f>
        <v>LEONOR</v>
      </c>
      <c r="L73">
        <v>5</v>
      </c>
      <c r="M73" s="1">
        <f t="shared" si="0"/>
        <v>0.68387096774193545</v>
      </c>
      <c r="N73" t="str" cm="1">
        <f t="array" ref="N73">IFERROR(_xlfn.IFS(M73&gt;100%,"&gt;100%",AND(M73&lt;100%,M73&gt;70%),"&gt;70%",AND(M73&lt;70%,M73&gt;40%),"&gt;40%",AND(M73&lt;40%,M73&gt;0%),"&gt;0%"),"")</f>
        <v>&gt;40%</v>
      </c>
      <c r="O73" t="str">
        <f t="shared" si="1"/>
        <v>CARLOS CALAGUA</v>
      </c>
      <c r="P73" t="str">
        <f>IF(DATA_JULIO_2025[[#This Row],[ASER_]]="","",F67)</f>
        <v>LEONOR</v>
      </c>
      <c r="Q73">
        <f>IF(DATA_JULIO_2025[[#This Row],[SUPERVISOR]]="","",D67)</f>
        <v>10600</v>
      </c>
      <c r="R73">
        <f>IF(DATA_JULIO_2025[[#This Row],[RECUPERO]]="","",VLOOKUP(DATA_JULIO_2025[[#This Row],[SUPERVISOR]],$H:$I,2,0))</f>
        <v>15500</v>
      </c>
    </row>
    <row r="74" spans="1:18" x14ac:dyDescent="0.25">
      <c r="A74" s="10" t="s">
        <v>7</v>
      </c>
      <c r="B74" s="10" t="str">
        <f>TRIM(D1_JULIO[[#This Row],[ASESOR]])</f>
        <v/>
      </c>
      <c r="C74" s="10"/>
      <c r="D74" s="10"/>
      <c r="E74">
        <f>D1_JULIO[[#This Row],[RECUPERO]]/VLOOKUP(F74,$H:$I,2,0)</f>
        <v>0</v>
      </c>
      <c r="F74" t="str">
        <f>D1_JULIO[[#This Row],[SUPER]]</f>
        <v>LEONOR</v>
      </c>
      <c r="L74">
        <v>6</v>
      </c>
      <c r="M74" s="1">
        <f t="shared" ref="M74:M104" si="2">E68</f>
        <v>0.64451612903225808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04" si="3">B68</f>
        <v>CARMEN PUMA</v>
      </c>
      <c r="P74" t="str">
        <f>IF(DATA_JULIO_2025[[#This Row],[ASER_]]="","",F68)</f>
        <v>LEONOR</v>
      </c>
      <c r="Q74">
        <f>IF(DATA_JULIO_2025[[#This Row],[SUPERVISOR]]="","",D68)</f>
        <v>9990</v>
      </c>
      <c r="R74">
        <f>IF(DATA_JULIO_2025[[#This Row],[RECUPERO]]="","",VLOOKUP(DATA_JULIO_2025[[#This Row],[SUPERVISOR]],$H:$I,2,0))</f>
        <v>15500</v>
      </c>
    </row>
    <row r="75" spans="1:18" x14ac:dyDescent="0.25">
      <c r="A75" s="10" t="s">
        <v>8</v>
      </c>
      <c r="B75" s="10" t="str">
        <f>TRIM(D1_JULIO[[#This Row],[ASESOR]])</f>
        <v>DAVID SANCHEZ</v>
      </c>
      <c r="C75" s="10" t="s">
        <v>81</v>
      </c>
      <c r="D75" s="10">
        <v>12563</v>
      </c>
      <c r="E75">
        <f>D1_JULIO[[#This Row],[RECUPERO]]/VLOOKUP(F75,$H:$I,2,0)</f>
        <v>0.81051612903225811</v>
      </c>
      <c r="F75" t="str">
        <f>D1_JULIO[[#This Row],[SUPER]]</f>
        <v>BRYAN</v>
      </c>
      <c r="L75">
        <v>7</v>
      </c>
      <c r="M75" s="1">
        <f t="shared" si="2"/>
        <v>0.57096774193548383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3"/>
        <v>MARCOS SARMIENTO</v>
      </c>
      <c r="P75" t="str">
        <f>IF(DATA_JULIO_2025[[#This Row],[ASER_]]="","",F69)</f>
        <v>LEONOR</v>
      </c>
      <c r="Q75">
        <f>IF(DATA_JULIO_2025[[#This Row],[SUPERVISOR]]="","",D69)</f>
        <v>8850</v>
      </c>
      <c r="R75">
        <f>IF(DATA_JULIO_2025[[#This Row],[RECUPERO]]="","",VLOOKUP(DATA_JULIO_2025[[#This Row],[SUPERVISOR]],$H:$I,2,0))</f>
        <v>15500</v>
      </c>
    </row>
    <row r="76" spans="1:18" x14ac:dyDescent="0.25">
      <c r="A76" s="10" t="s">
        <v>8</v>
      </c>
      <c r="B76" s="10" t="str">
        <f>TRIM(D1_JULIO[[#This Row],[ASESOR]])</f>
        <v>GINA HUAMANI</v>
      </c>
      <c r="C76" s="10" t="s">
        <v>44</v>
      </c>
      <c r="D76" s="10">
        <v>12351.5</v>
      </c>
      <c r="E76">
        <f>D1_JULIO[[#This Row],[RECUPERO]]/VLOOKUP(F76,$H:$I,2,0)</f>
        <v>0.79687096774193544</v>
      </c>
      <c r="F76" t="str">
        <f>D1_JULIO[[#This Row],[SUPER]]</f>
        <v>BRYAN</v>
      </c>
      <c r="L76">
        <v>8</v>
      </c>
      <c r="M76" s="1">
        <f t="shared" si="2"/>
        <v>0.30193548387096775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JOANA GIL</v>
      </c>
      <c r="P76" t="str">
        <f>IF(DATA_JULIO_2025[[#This Row],[ASER_]]="","",F70)</f>
        <v>LEONOR</v>
      </c>
      <c r="Q76">
        <f>IF(DATA_JULIO_2025[[#This Row],[SUPERVISOR]]="","",D70)</f>
        <v>4680</v>
      </c>
      <c r="R76">
        <f>IF(DATA_JULIO_2025[[#This Row],[RECUPERO]]="","",VLOOKUP(DATA_JULIO_2025[[#This Row],[SUPERVISOR]],$H:$I,2,0))</f>
        <v>15500</v>
      </c>
    </row>
    <row r="77" spans="1:18" x14ac:dyDescent="0.25">
      <c r="A77" s="10" t="s">
        <v>8</v>
      </c>
      <c r="B77" s="10" t="str">
        <f>TRIM(D1_JULIO[[#This Row],[ASESOR]])</f>
        <v>CHRISTIAN ALVARADO</v>
      </c>
      <c r="C77" s="10" t="s">
        <v>41</v>
      </c>
      <c r="D77" s="10">
        <v>12349</v>
      </c>
      <c r="E77">
        <f>D1_JULIO[[#This Row],[RECUPERO]]/VLOOKUP(F77,$H:$I,2,0)</f>
        <v>0.79670967741935483</v>
      </c>
      <c r="F77" t="str">
        <f>D1_JULIO[[#This Row],[SUPER]]</f>
        <v>BRYAN</v>
      </c>
      <c r="L77">
        <v>9</v>
      </c>
      <c r="M77" s="1">
        <f t="shared" si="2"/>
        <v>0.28064516129032258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3"/>
        <v>MICHAEL TAFUR</v>
      </c>
      <c r="P77" t="str">
        <f>IF(DATA_JULIO_2025[[#This Row],[ASER_]]="","",F71)</f>
        <v>LEONOR</v>
      </c>
      <c r="Q77">
        <f>IF(DATA_JULIO_2025[[#This Row],[SUPERVISOR]]="","",D71)</f>
        <v>4350</v>
      </c>
      <c r="R77">
        <f>IF(DATA_JULIO_2025[[#This Row],[RECUPERO]]="","",VLOOKUP(DATA_JULIO_2025[[#This Row],[SUPERVISOR]],$H:$I,2,0))</f>
        <v>15500</v>
      </c>
    </row>
    <row r="78" spans="1:18" x14ac:dyDescent="0.25">
      <c r="A78" s="10" t="s">
        <v>8</v>
      </c>
      <c r="B78" s="10" t="str">
        <f>TRIM(D1_JULIO[[#This Row],[ASESOR]])</f>
        <v>VERONICA HUARCA</v>
      </c>
      <c r="C78" s="10" t="s">
        <v>48</v>
      </c>
      <c r="D78" s="10">
        <v>11934.5</v>
      </c>
      <c r="E78">
        <f>D1_JULIO[[#This Row],[RECUPERO]]/VLOOKUP(F78,$H:$I,2,0)</f>
        <v>0.7699677419354839</v>
      </c>
      <c r="F78" t="str">
        <f>D1_JULIO[[#This Row],[SUPER]]</f>
        <v>BRYAN</v>
      </c>
      <c r="L78">
        <v>10</v>
      </c>
      <c r="M78" s="1">
        <f t="shared" si="2"/>
        <v>0.23148387096774192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3"/>
        <v>NARDIA URPIS</v>
      </c>
      <c r="P78" t="str">
        <f>IF(DATA_JULIO_2025[[#This Row],[ASER_]]="","",F72)</f>
        <v>LEONOR</v>
      </c>
      <c r="Q78">
        <f>IF(DATA_JULIO_2025[[#This Row],[SUPERVISOR]]="","",D72)</f>
        <v>3588</v>
      </c>
      <c r="R78">
        <f>IF(DATA_JULIO_2025[[#This Row],[RECUPERO]]="","",VLOOKUP(DATA_JULIO_2025[[#This Row],[SUPERVISOR]],$H:$I,2,0))</f>
        <v>15500</v>
      </c>
    </row>
    <row r="79" spans="1:18" x14ac:dyDescent="0.25">
      <c r="A79" s="10" t="s">
        <v>8</v>
      </c>
      <c r="B79" s="10" t="str">
        <f>TRIM(D1_JULIO[[#This Row],[ASESOR]])</f>
        <v>ISABEL BEJARANO</v>
      </c>
      <c r="C79" s="10" t="s">
        <v>83</v>
      </c>
      <c r="D79" s="10">
        <v>8953</v>
      </c>
      <c r="E79">
        <f>D1_JULIO[[#This Row],[RECUPERO]]/VLOOKUP(F79,$H:$I,2,0)</f>
        <v>0.5776129032258065</v>
      </c>
      <c r="F79" t="str">
        <f>D1_JULIO[[#This Row],[SUPER]]</f>
        <v>BRYAN</v>
      </c>
      <c r="L79">
        <v>11</v>
      </c>
      <c r="M79" s="1">
        <f t="shared" si="2"/>
        <v>0.23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3"/>
        <v>JHOVANA TORRES</v>
      </c>
      <c r="P79" t="str">
        <f>IF(DATA_JULIO_2025[[#This Row],[ASER_]]="","",F73)</f>
        <v>LEONOR</v>
      </c>
      <c r="Q79">
        <f>IF(DATA_JULIO_2025[[#This Row],[SUPERVISOR]]="","",D73)</f>
        <v>3565</v>
      </c>
      <c r="R79">
        <f>IF(DATA_JULIO_2025[[#This Row],[RECUPERO]]="","",VLOOKUP(DATA_JULIO_2025[[#This Row],[SUPERVISOR]],$H:$I,2,0))</f>
        <v>15500</v>
      </c>
    </row>
    <row r="80" spans="1:18" x14ac:dyDescent="0.25">
      <c r="A80" s="10" t="s">
        <v>8</v>
      </c>
      <c r="B80" s="10" t="str">
        <f>TRIM(D1_JULIO[[#This Row],[ASESOR]])</f>
        <v>HAROLD FLORES</v>
      </c>
      <c r="C80" s="10" t="s">
        <v>42</v>
      </c>
      <c r="D80" s="10">
        <v>8877</v>
      </c>
      <c r="E80">
        <f>D1_JULIO[[#This Row],[RECUPERO]]/VLOOKUP(F80,$H:$I,2,0)</f>
        <v>0.57270967741935486</v>
      </c>
      <c r="F80" t="str">
        <f>D1_JULIO[[#This Row],[SUPER]]</f>
        <v>BRYAN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  <c r="P80" t="str">
        <f>IF(DATA_JULIO_2025[[#This Row],[ASER_]]="","",F74)</f>
        <v/>
      </c>
      <c r="Q80" t="str">
        <f>IF(DATA_JULIO_2025[[#This Row],[SUPERVISOR]]="","",D74)</f>
        <v/>
      </c>
      <c r="R80" t="str">
        <f>IF(DATA_JULIO_2025[[#This Row],[RECUPERO]]="","",VLOOKUP(DATA_JULIO_2025[[#This Row],[SUPERVISOR]],$H:$I,2,0))</f>
        <v/>
      </c>
    </row>
    <row r="81" spans="1:18" x14ac:dyDescent="0.25">
      <c r="A81" s="10" t="s">
        <v>8</v>
      </c>
      <c r="B81" s="10" t="str">
        <f>TRIM(D1_JULIO[[#This Row],[ASESOR]])</f>
        <v>RAQUEL RICO</v>
      </c>
      <c r="C81" s="10" t="s">
        <v>84</v>
      </c>
      <c r="D81" s="10">
        <v>8392</v>
      </c>
      <c r="E81">
        <f>D1_JULIO[[#This Row],[RECUPERO]]/VLOOKUP(F81,$H:$I,2,0)</f>
        <v>0.54141935483870973</v>
      </c>
      <c r="F81" t="str">
        <f>D1_JULIO[[#This Row],[SUPER]]</f>
        <v>BRYAN</v>
      </c>
      <c r="L81">
        <v>1</v>
      </c>
      <c r="M81" s="1">
        <f t="shared" si="2"/>
        <v>0.81051612903225811</v>
      </c>
      <c r="N81" t="str" cm="1">
        <f t="array" ref="N81">IFERROR(_xlfn.IFS(M81&gt;100%,"&gt;100%",AND(M81&lt;100%,M81&gt;70%),"&gt;70%",AND(M81&lt;70%,M81&gt;40%),"&gt;40%",AND(M81&lt;40%,M81&gt;0%),"&gt;0%"),"")</f>
        <v>&gt;70%</v>
      </c>
      <c r="O81" t="str">
        <f t="shared" si="3"/>
        <v>DAVID SANCHEZ</v>
      </c>
      <c r="P81" t="str">
        <f>IF(DATA_JULIO_2025[[#This Row],[ASER_]]="","",F75)</f>
        <v>BRYAN</v>
      </c>
      <c r="Q81">
        <f>IF(DATA_JULIO_2025[[#This Row],[SUPERVISOR]]="","",D75)</f>
        <v>12563</v>
      </c>
      <c r="R81">
        <f>IF(DATA_JULIO_2025[[#This Row],[RECUPERO]]="","",VLOOKUP(DATA_JULIO_2025[[#This Row],[SUPERVISOR]],$H:$I,2,0))</f>
        <v>15500</v>
      </c>
    </row>
    <row r="82" spans="1:18" x14ac:dyDescent="0.25">
      <c r="A82" s="10" t="s">
        <v>8</v>
      </c>
      <c r="B82" s="10" t="str">
        <f>TRIM(D1_JULIO[[#This Row],[ASESOR]])</f>
        <v>LYNDA PEREZ</v>
      </c>
      <c r="C82" s="10" t="s">
        <v>43</v>
      </c>
      <c r="D82" s="10">
        <v>5566</v>
      </c>
      <c r="E82">
        <f>D1_JULIO[[#This Row],[RECUPERO]]/VLOOKUP(F82,$H:$I,2,0)</f>
        <v>0.35909677419354841</v>
      </c>
      <c r="F82" t="str">
        <f>D1_JULIO[[#This Row],[SUPER]]</f>
        <v>BRYAN</v>
      </c>
      <c r="L82">
        <v>2</v>
      </c>
      <c r="M82" s="1">
        <f t="shared" si="2"/>
        <v>0.79687096774193544</v>
      </c>
      <c r="N82" t="str" cm="1">
        <f t="array" ref="N82">IFERROR(_xlfn.IFS(M82&gt;100%,"&gt;100%",AND(M82&lt;100%,M82&gt;70%),"&gt;70%",AND(M82&lt;70%,M82&gt;40%),"&gt;40%",AND(M82&lt;40%,M82&gt;0%),"&gt;0%"),"")</f>
        <v>&gt;70%</v>
      </c>
      <c r="O82" t="str">
        <f t="shared" si="3"/>
        <v>GINA HUAMANI</v>
      </c>
      <c r="P82" t="str">
        <f>IF(DATA_JULIO_2025[[#This Row],[ASER_]]="","",F76)</f>
        <v>BRYAN</v>
      </c>
      <c r="Q82">
        <f>IF(DATA_JULIO_2025[[#This Row],[SUPERVISOR]]="","",D76)</f>
        <v>12351.5</v>
      </c>
      <c r="R82">
        <f>IF(DATA_JULIO_2025[[#This Row],[RECUPERO]]="","",VLOOKUP(DATA_JULIO_2025[[#This Row],[SUPERVISOR]],$H:$I,2,0))</f>
        <v>15500</v>
      </c>
    </row>
    <row r="83" spans="1:18" x14ac:dyDescent="0.25">
      <c r="A83" s="10" t="s">
        <v>8</v>
      </c>
      <c r="B83" s="10" t="str">
        <f>TRIM(D1_JULIO[[#This Row],[ASESOR]])</f>
        <v>KATYUSCA LEVANO</v>
      </c>
      <c r="C83" s="10" t="s">
        <v>46</v>
      </c>
      <c r="D83" s="10">
        <v>3935</v>
      </c>
      <c r="E83">
        <f>D1_JULIO[[#This Row],[RECUPERO]]/VLOOKUP(F83,$H:$I,2,0)</f>
        <v>0.25387096774193546</v>
      </c>
      <c r="F83" t="str">
        <f>D1_JULIO[[#This Row],[SUPER]]</f>
        <v>BRYAN</v>
      </c>
      <c r="L83">
        <v>3</v>
      </c>
      <c r="M83" s="1">
        <f t="shared" si="2"/>
        <v>0.79670967741935483</v>
      </c>
      <c r="N83" t="str" cm="1">
        <f t="array" ref="N83">IFERROR(_xlfn.IFS(M83&gt;100%,"&gt;100%",AND(M83&lt;100%,M83&gt;70%),"&gt;70%",AND(M83&lt;70%,M83&gt;40%),"&gt;40%",AND(M83&lt;40%,M83&gt;0%),"&gt;0%"),"")</f>
        <v>&gt;70%</v>
      </c>
      <c r="O83" t="str">
        <f t="shared" si="3"/>
        <v>CHRISTIAN ALVARADO</v>
      </c>
      <c r="P83" t="str">
        <f>IF(DATA_JULIO_2025[[#This Row],[ASER_]]="","",F77)</f>
        <v>BRYAN</v>
      </c>
      <c r="Q83">
        <f>IF(DATA_JULIO_2025[[#This Row],[SUPERVISOR]]="","",D77)</f>
        <v>12349</v>
      </c>
      <c r="R83">
        <f>IF(DATA_JULIO_2025[[#This Row],[RECUPERO]]="","",VLOOKUP(DATA_JULIO_2025[[#This Row],[SUPERVISOR]],$H:$I,2,0))</f>
        <v>15500</v>
      </c>
    </row>
    <row r="84" spans="1:18" x14ac:dyDescent="0.25">
      <c r="A84" s="10" t="s">
        <v>8</v>
      </c>
      <c r="B84" s="10" t="str">
        <f>TRIM(D1_JULIO[[#This Row],[ASESOR]])</f>
        <v>KATHLEEN FLORES</v>
      </c>
      <c r="C84" s="10" t="s">
        <v>45</v>
      </c>
      <c r="D84" s="10">
        <v>2385</v>
      </c>
      <c r="E84">
        <f>D1_JULIO[[#This Row],[RECUPERO]]/VLOOKUP(F84,$H:$I,2,0)</f>
        <v>0.15387096774193548</v>
      </c>
      <c r="F84" t="str">
        <f>D1_JULIO[[#This Row],[SUPER]]</f>
        <v>BRYAN</v>
      </c>
      <c r="L84">
        <v>4</v>
      </c>
      <c r="M84" s="1">
        <f t="shared" si="2"/>
        <v>0.7699677419354839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3"/>
        <v>VERONICA HUARCA</v>
      </c>
      <c r="P84" t="str">
        <f>IF(DATA_JULIO_2025[[#This Row],[ASER_]]="","",F78)</f>
        <v>BRYAN</v>
      </c>
      <c r="Q84">
        <f>IF(DATA_JULIO_2025[[#This Row],[SUPERVISOR]]="","",D78)</f>
        <v>11934.5</v>
      </c>
      <c r="R84">
        <f>IF(DATA_JULIO_2025[[#This Row],[RECUPERO]]="","",VLOOKUP(DATA_JULIO_2025[[#This Row],[SUPERVISOR]],$H:$I,2,0))</f>
        <v>15500</v>
      </c>
    </row>
    <row r="85" spans="1:18" x14ac:dyDescent="0.25">
      <c r="A85" s="10" t="s">
        <v>8</v>
      </c>
      <c r="B85" s="10" t="str">
        <f>TRIM(D1_JULIO[[#This Row],[ASESOR]])</f>
        <v>DARY VICHARRA</v>
      </c>
      <c r="C85" s="10" t="s">
        <v>47</v>
      </c>
      <c r="D85" s="10">
        <v>0</v>
      </c>
      <c r="E85">
        <f>D1_JULIO[[#This Row],[RECUPERO]]/VLOOKUP(F85,$H:$I,2,0)</f>
        <v>0</v>
      </c>
      <c r="F85" t="str">
        <f>D1_JULIO[[#This Row],[SUPER]]</f>
        <v>BRYAN</v>
      </c>
      <c r="L85">
        <v>5</v>
      </c>
      <c r="M85" s="1">
        <f t="shared" si="2"/>
        <v>0.5776129032258065</v>
      </c>
      <c r="N85" t="str" cm="1">
        <f t="array" ref="N85">IFERROR(_xlfn.IFS(M85&gt;100%,"&gt;100%",AND(M85&lt;100%,M85&gt;70%),"&gt;70%",AND(M85&lt;70%,M85&gt;40%),"&gt;40%",AND(M85&lt;40%,M85&gt;0%),"&gt;0%"),"")</f>
        <v>&gt;40%</v>
      </c>
      <c r="O85" t="str">
        <f t="shared" si="3"/>
        <v>ISABEL BEJARANO</v>
      </c>
      <c r="P85" t="str">
        <f>IF(DATA_JULIO_2025[[#This Row],[ASER_]]="","",F79)</f>
        <v>BRYAN</v>
      </c>
      <c r="Q85">
        <f>IF(DATA_JULIO_2025[[#This Row],[SUPERVISOR]]="","",D79)</f>
        <v>8953</v>
      </c>
      <c r="R85">
        <f>IF(DATA_JULIO_2025[[#This Row],[RECUPERO]]="","",VLOOKUP(DATA_JULIO_2025[[#This Row],[SUPERVISOR]],$H:$I,2,0))</f>
        <v>15500</v>
      </c>
    </row>
    <row r="86" spans="1:18" x14ac:dyDescent="0.25">
      <c r="A86" s="10" t="s">
        <v>8</v>
      </c>
      <c r="B86" s="10" t="str">
        <f>TRIM(D1_JULIO[[#This Row],[ASESOR]])</f>
        <v/>
      </c>
      <c r="C86" s="10"/>
      <c r="D86" s="10"/>
      <c r="E86">
        <f>D1_JULIO[[#This Row],[RECUPERO]]/VLOOKUP(F86,$H:$I,2,0)</f>
        <v>0</v>
      </c>
      <c r="F86" t="str">
        <f>D1_JULIO[[#This Row],[SUPER]]</f>
        <v>BRYAN</v>
      </c>
      <c r="L86">
        <v>6</v>
      </c>
      <c r="M86" s="1">
        <f t="shared" si="2"/>
        <v>0.57270967741935486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HAROLD FLORES</v>
      </c>
      <c r="P86" t="str">
        <f>IF(DATA_JULIO_2025[[#This Row],[ASER_]]="","",F80)</f>
        <v>BRYAN</v>
      </c>
      <c r="Q86">
        <f>IF(DATA_JULIO_2025[[#This Row],[SUPERVISOR]]="","",D80)</f>
        <v>8877</v>
      </c>
      <c r="R86">
        <f>IF(DATA_JULIO_2025[[#This Row],[RECUPERO]]="","",VLOOKUP(DATA_JULIO_2025[[#This Row],[SUPERVISOR]],$H:$I,2,0))</f>
        <v>15500</v>
      </c>
    </row>
    <row r="87" spans="1:18" x14ac:dyDescent="0.25">
      <c r="A87" s="10" t="s">
        <v>9</v>
      </c>
      <c r="B87" s="10" t="str">
        <f>TRIM(D1_JULIO[[#This Row],[ASESOR]])</f>
        <v>SARITA GARAY</v>
      </c>
      <c r="C87" s="10" t="s">
        <v>73</v>
      </c>
      <c r="D87" s="10">
        <v>20487</v>
      </c>
      <c r="E87">
        <f>D1_JULIO[[#This Row],[RECUPERO]]/VLOOKUP(F87,$H:$I,2,0)</f>
        <v>1.3217419354838709</v>
      </c>
      <c r="F87" t="str">
        <f>D1_JULIO[[#This Row],[SUPER]]</f>
        <v>LUIS</v>
      </c>
      <c r="L87">
        <v>7</v>
      </c>
      <c r="M87" s="1">
        <f t="shared" si="2"/>
        <v>0.54141935483870973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RAQUEL RICO</v>
      </c>
      <c r="P87" t="str">
        <f>IF(DATA_JULIO_2025[[#This Row],[ASER_]]="","",F81)</f>
        <v>BRYAN</v>
      </c>
      <c r="Q87">
        <f>IF(DATA_JULIO_2025[[#This Row],[SUPERVISOR]]="","",D81)</f>
        <v>8392</v>
      </c>
      <c r="R87">
        <f>IF(DATA_JULIO_2025[[#This Row],[RECUPERO]]="","",VLOOKUP(DATA_JULIO_2025[[#This Row],[SUPERVISOR]],$H:$I,2,0))</f>
        <v>15500</v>
      </c>
    </row>
    <row r="88" spans="1:18" x14ac:dyDescent="0.25">
      <c r="A88" s="10" t="s">
        <v>9</v>
      </c>
      <c r="B88" s="10" t="str">
        <f>TRIM(D1_JULIO[[#This Row],[ASESOR]])</f>
        <v>JUAN ALANOCCA</v>
      </c>
      <c r="C88" s="10" t="s">
        <v>77</v>
      </c>
      <c r="D88" s="10">
        <v>15606</v>
      </c>
      <c r="E88">
        <f>D1_JULIO[[#This Row],[RECUPERO]]/VLOOKUP(F88,$H:$I,2,0)</f>
        <v>1.0068387096774194</v>
      </c>
      <c r="F88" t="str">
        <f>D1_JULIO[[#This Row],[SUPER]]</f>
        <v>LUIS</v>
      </c>
      <c r="L88">
        <v>8</v>
      </c>
      <c r="M88" s="1">
        <f t="shared" si="2"/>
        <v>0.35909677419354841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3"/>
        <v>LYNDA PEREZ</v>
      </c>
      <c r="P88" t="str">
        <f>IF(DATA_JULIO_2025[[#This Row],[ASER_]]="","",F82)</f>
        <v>BRYAN</v>
      </c>
      <c r="Q88">
        <f>IF(DATA_JULIO_2025[[#This Row],[SUPERVISOR]]="","",D82)</f>
        <v>5566</v>
      </c>
      <c r="R88">
        <f>IF(DATA_JULIO_2025[[#This Row],[RECUPERO]]="","",VLOOKUP(DATA_JULIO_2025[[#This Row],[SUPERVISOR]],$H:$I,2,0))</f>
        <v>15500</v>
      </c>
    </row>
    <row r="89" spans="1:18" x14ac:dyDescent="0.25">
      <c r="A89" s="10" t="s">
        <v>9</v>
      </c>
      <c r="B89" s="10" t="str">
        <f>TRIM(D1_JULIO[[#This Row],[ASESOR]])</f>
        <v>JANETH PORTOCARRERO</v>
      </c>
      <c r="C89" s="10" t="s">
        <v>49</v>
      </c>
      <c r="D89" s="10">
        <v>11980</v>
      </c>
      <c r="E89">
        <f>D1_JULIO[[#This Row],[RECUPERO]]/VLOOKUP(F89,$H:$I,2,0)</f>
        <v>0.77290322580645165</v>
      </c>
      <c r="F89" t="str">
        <f>D1_JULIO[[#This Row],[SUPER]]</f>
        <v>LUIS</v>
      </c>
      <c r="L89">
        <v>9</v>
      </c>
      <c r="M89" s="1">
        <f t="shared" si="2"/>
        <v>0.25387096774193546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KATYUSCA LEVANO</v>
      </c>
      <c r="P89" t="str">
        <f>IF(DATA_JULIO_2025[[#This Row],[ASER_]]="","",F83)</f>
        <v>BRYAN</v>
      </c>
      <c r="Q89">
        <f>IF(DATA_JULIO_2025[[#This Row],[SUPERVISOR]]="","",D83)</f>
        <v>3935</v>
      </c>
      <c r="R89">
        <f>IF(DATA_JULIO_2025[[#This Row],[RECUPERO]]="","",VLOOKUP(DATA_JULIO_2025[[#This Row],[SUPERVISOR]],$H:$I,2,0))</f>
        <v>15500</v>
      </c>
    </row>
    <row r="90" spans="1:18" x14ac:dyDescent="0.25">
      <c r="A90" s="10" t="s">
        <v>9</v>
      </c>
      <c r="B90" s="10" t="str">
        <f>TRIM(D1_JULIO[[#This Row],[ASESOR]])</f>
        <v>KIARA CANEPA</v>
      </c>
      <c r="C90" s="10" t="s">
        <v>50</v>
      </c>
      <c r="D90" s="10">
        <v>11845</v>
      </c>
      <c r="E90">
        <f>D1_JULIO[[#This Row],[RECUPERO]]/VLOOKUP(F90,$H:$I,2,0)</f>
        <v>0.76419354838709674</v>
      </c>
      <c r="F90" t="str">
        <f>D1_JULIO[[#This Row],[SUPER]]</f>
        <v>LUIS</v>
      </c>
      <c r="L90">
        <v>10</v>
      </c>
      <c r="M90" s="1">
        <f t="shared" si="2"/>
        <v>0.15387096774193548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KATHLEEN FLORES</v>
      </c>
      <c r="P90" t="str">
        <f>IF(DATA_JULIO_2025[[#This Row],[ASER_]]="","",F84)</f>
        <v>BRYAN</v>
      </c>
      <c r="Q90">
        <f>IF(DATA_JULIO_2025[[#This Row],[SUPERVISOR]]="","",D84)</f>
        <v>2385</v>
      </c>
      <c r="R90">
        <f>IF(DATA_JULIO_2025[[#This Row],[RECUPERO]]="","",VLOOKUP(DATA_JULIO_2025[[#This Row],[SUPERVISOR]],$H:$I,2,0))</f>
        <v>15500</v>
      </c>
    </row>
    <row r="91" spans="1:18" x14ac:dyDescent="0.25">
      <c r="A91" s="10" t="s">
        <v>9</v>
      </c>
      <c r="B91" s="10" t="str">
        <f>TRIM(D1_JULIO[[#This Row],[ASESOR]])</f>
        <v>CHRISTIAN ALBUJAR</v>
      </c>
      <c r="C91" s="10" t="s">
        <v>53</v>
      </c>
      <c r="D91" s="10">
        <v>11345</v>
      </c>
      <c r="E91">
        <f>D1_JULIO[[#This Row],[RECUPERO]]/VLOOKUP(F91,$H:$I,2,0)</f>
        <v>0.73193548387096774</v>
      </c>
      <c r="F91" t="str">
        <f>D1_JULIO[[#This Row],[SUPER]]</f>
        <v>LUIS</v>
      </c>
      <c r="L91">
        <v>11</v>
      </c>
      <c r="M91" s="1">
        <f t="shared" si="2"/>
        <v>0</v>
      </c>
      <c r="N91" t="str" cm="1">
        <f t="array" ref="N91">IFERROR(_xlfn.IFS(M91&gt;100%,"&gt;100%",AND(M91&lt;100%,M91&gt;70%),"&gt;70%",AND(M91&lt;70%,M91&gt;40%),"&gt;40%",AND(M91&lt;40%,M91&gt;0%),"&gt;0%"),"")</f>
        <v/>
      </c>
      <c r="O91" t="str">
        <f t="shared" si="3"/>
        <v>DARY VICHARRA</v>
      </c>
      <c r="P91" t="str">
        <f>IF(DATA_JULIO_2025[[#This Row],[ASER_]]="","",F85)</f>
        <v>BRYAN</v>
      </c>
      <c r="Q91">
        <f>IF(DATA_JULIO_2025[[#This Row],[SUPERVISOR]]="","",D85)</f>
        <v>0</v>
      </c>
      <c r="R91">
        <f>IF(DATA_JULIO_2025[[#This Row],[RECUPERO]]="","",VLOOKUP(DATA_JULIO_2025[[#This Row],[SUPERVISOR]],$H:$I,2,0))</f>
        <v>15500</v>
      </c>
    </row>
    <row r="92" spans="1:18" x14ac:dyDescent="0.25">
      <c r="A92" s="10" t="s">
        <v>9</v>
      </c>
      <c r="B92" s="10" t="str">
        <f>TRIM(D1_JULIO[[#This Row],[ASESOR]])</f>
        <v>YEYMY HUERTA</v>
      </c>
      <c r="C92" s="10" t="s">
        <v>56</v>
      </c>
      <c r="D92" s="10">
        <v>8159</v>
      </c>
      <c r="E92">
        <f>D1_JULIO[[#This Row],[RECUPERO]]/VLOOKUP(F92,$H:$I,2,0)</f>
        <v>0.5263870967741936</v>
      </c>
      <c r="F92" t="str">
        <f>D1_JULIO[[#This Row],[SUPER]]</f>
        <v>LUIS</v>
      </c>
      <c r="L92">
        <v>12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  <c r="P92" t="str">
        <f>IF(DATA_JULIO_2025[[#This Row],[ASER_]]="","",F86)</f>
        <v/>
      </c>
      <c r="Q92" t="str">
        <f>IF(DATA_JULIO_2025[[#This Row],[SUPERVISOR]]="","",D86)</f>
        <v/>
      </c>
      <c r="R92" t="str">
        <f>IF(DATA_JULIO_2025[[#This Row],[RECUPERO]]="","",VLOOKUP(DATA_JULIO_2025[[#This Row],[SUPERVISOR]],$H:$I,2,0))</f>
        <v/>
      </c>
    </row>
    <row r="93" spans="1:18" x14ac:dyDescent="0.25">
      <c r="A93" s="10" t="s">
        <v>9</v>
      </c>
      <c r="B93" s="10" t="str">
        <f>TRIM(D1_JULIO[[#This Row],[ASESOR]])</f>
        <v>GERALDINE ARROYO</v>
      </c>
      <c r="C93" s="10" t="s">
        <v>51</v>
      </c>
      <c r="D93" s="10">
        <v>7816</v>
      </c>
      <c r="E93">
        <f>D1_JULIO[[#This Row],[RECUPERO]]/VLOOKUP(F93,$H:$I,2,0)</f>
        <v>0.50425806451612898</v>
      </c>
      <c r="F93" t="str">
        <f>D1_JULIO[[#This Row],[SUPER]]</f>
        <v>LUIS</v>
      </c>
      <c r="L93">
        <v>1</v>
      </c>
      <c r="M93" s="1">
        <f t="shared" si="2"/>
        <v>1.3217419354838709</v>
      </c>
      <c r="N93" t="str" cm="1">
        <f t="array" ref="N93">IFERROR(_xlfn.IFS(M93&gt;100%,"&gt;100%",AND(M93&lt;100%,M93&gt;70%),"&gt;70%",AND(M93&lt;70%,M93&gt;40%),"&gt;40%",AND(M93&lt;40%,M93&gt;0%),"&gt;0%"),"")</f>
        <v>&gt;100%</v>
      </c>
      <c r="O93" t="str">
        <f t="shared" si="3"/>
        <v>SARITA GARAY</v>
      </c>
      <c r="P93" t="str">
        <f>IF(DATA_JULIO_2025[[#This Row],[ASER_]]="","",F87)</f>
        <v>LUIS</v>
      </c>
      <c r="Q93">
        <f>IF(DATA_JULIO_2025[[#This Row],[SUPERVISOR]]="","",D87)</f>
        <v>20487</v>
      </c>
      <c r="R93">
        <f>IF(DATA_JULIO_2025[[#This Row],[RECUPERO]]="","",VLOOKUP(DATA_JULIO_2025[[#This Row],[SUPERVISOR]],$H:$I,2,0))</f>
        <v>15500</v>
      </c>
    </row>
    <row r="94" spans="1:18" x14ac:dyDescent="0.25">
      <c r="A94" s="10" t="s">
        <v>9</v>
      </c>
      <c r="B94" s="10" t="str">
        <f>TRIM(D1_JULIO[[#This Row],[ASESOR]])</f>
        <v>ANABEL SIHUE</v>
      </c>
      <c r="C94" s="10" t="s">
        <v>54</v>
      </c>
      <c r="D94" s="10">
        <v>7499</v>
      </c>
      <c r="E94">
        <f>D1_JULIO[[#This Row],[RECUPERO]]/VLOOKUP(F94,$H:$I,2,0)</f>
        <v>0.4838064516129032</v>
      </c>
      <c r="F94" t="str">
        <f>D1_JULIO[[#This Row],[SUPER]]</f>
        <v>LUIS</v>
      </c>
      <c r="L94">
        <v>2</v>
      </c>
      <c r="M94" s="1">
        <f t="shared" si="2"/>
        <v>1.0068387096774194</v>
      </c>
      <c r="N94" t="str" cm="1">
        <f t="array" ref="N94">IFERROR(_xlfn.IFS(M94&gt;100%,"&gt;100%",AND(M94&lt;100%,M94&gt;70%),"&gt;70%",AND(M94&lt;70%,M94&gt;40%),"&gt;40%",AND(M94&lt;40%,M94&gt;0%),"&gt;0%"),"")</f>
        <v>&gt;100%</v>
      </c>
      <c r="O94" t="str">
        <f t="shared" si="3"/>
        <v>JUAN ALANOCCA</v>
      </c>
      <c r="P94" t="str">
        <f>IF(DATA_JULIO_2025[[#This Row],[ASER_]]="","",F88)</f>
        <v>LUIS</v>
      </c>
      <c r="Q94">
        <f>IF(DATA_JULIO_2025[[#This Row],[SUPERVISOR]]="","",D88)</f>
        <v>15606</v>
      </c>
      <c r="R94">
        <f>IF(DATA_JULIO_2025[[#This Row],[RECUPERO]]="","",VLOOKUP(DATA_JULIO_2025[[#This Row],[SUPERVISOR]],$H:$I,2,0))</f>
        <v>15500</v>
      </c>
    </row>
    <row r="95" spans="1:18" x14ac:dyDescent="0.25">
      <c r="A95" s="10" t="s">
        <v>9</v>
      </c>
      <c r="B95" s="10" t="str">
        <f>TRIM(D1_JULIO[[#This Row],[ASESOR]])</f>
        <v>MAYRA AVALOS</v>
      </c>
      <c r="C95" s="10" t="s">
        <v>55</v>
      </c>
      <c r="D95" s="10">
        <v>5316</v>
      </c>
      <c r="E95">
        <f>D1_JULIO[[#This Row],[RECUPERO]]/VLOOKUP(F95,$H:$I,2,0)</f>
        <v>0.34296774193548385</v>
      </c>
      <c r="F95" t="str">
        <f>D1_JULIO[[#This Row],[SUPER]]</f>
        <v>LUIS</v>
      </c>
      <c r="L95">
        <v>3</v>
      </c>
      <c r="M95" s="1">
        <f t="shared" si="2"/>
        <v>0.77290322580645165</v>
      </c>
      <c r="N95" t="str" cm="1">
        <f t="array" ref="N95">IFERROR(_xlfn.IFS(M95&gt;100%,"&gt;100%",AND(M95&lt;100%,M95&gt;70%),"&gt;70%",AND(M95&lt;70%,M95&gt;40%),"&gt;40%",AND(M95&lt;40%,M95&gt;0%),"&gt;0%"),"")</f>
        <v>&gt;70%</v>
      </c>
      <c r="O95" t="str">
        <f t="shared" si="3"/>
        <v>JANETH PORTOCARRERO</v>
      </c>
      <c r="P95" t="str">
        <f>IF(DATA_JULIO_2025[[#This Row],[ASER_]]="","",F89)</f>
        <v>LUIS</v>
      </c>
      <c r="Q95">
        <f>IF(DATA_JULIO_2025[[#This Row],[SUPERVISOR]]="","",D89)</f>
        <v>11980</v>
      </c>
      <c r="R95">
        <f>IF(DATA_JULIO_2025[[#This Row],[RECUPERO]]="","",VLOOKUP(DATA_JULIO_2025[[#This Row],[SUPERVISOR]],$H:$I,2,0))</f>
        <v>15500</v>
      </c>
    </row>
    <row r="96" spans="1:18" x14ac:dyDescent="0.25">
      <c r="A96" s="10" t="s">
        <v>9</v>
      </c>
      <c r="B96" s="10" t="str">
        <f>TRIM(D1_JULIO[[#This Row],[ASESOR]])</f>
        <v>CINTHYA PAUCAR</v>
      </c>
      <c r="C96" s="10" t="s">
        <v>82</v>
      </c>
      <c r="D96" s="10">
        <v>3350</v>
      </c>
      <c r="E96">
        <f>D1_JULIO[[#This Row],[RECUPERO]]/VLOOKUP(F96,$H:$I,2,0)</f>
        <v>0.21612903225806451</v>
      </c>
      <c r="F96" t="str">
        <f>D1_JULIO[[#This Row],[SUPER]]</f>
        <v>LUIS</v>
      </c>
      <c r="L96">
        <v>4</v>
      </c>
      <c r="M96" s="1">
        <f t="shared" si="2"/>
        <v>0.76419354838709674</v>
      </c>
      <c r="N96" t="str" cm="1">
        <f t="array" ref="N96">IFERROR(_xlfn.IFS(M96&gt;100%,"&gt;100%",AND(M96&lt;100%,M96&gt;70%),"&gt;70%",AND(M96&lt;70%,M96&gt;40%),"&gt;40%",AND(M96&lt;40%,M96&gt;0%),"&gt;0%"),"")</f>
        <v>&gt;70%</v>
      </c>
      <c r="O96" t="str">
        <f t="shared" si="3"/>
        <v>KIARA CANEPA</v>
      </c>
      <c r="P96" t="str">
        <f>IF(DATA_JULIO_2025[[#This Row],[ASER_]]="","",F90)</f>
        <v>LUIS</v>
      </c>
      <c r="Q96">
        <f>IF(DATA_JULIO_2025[[#This Row],[SUPERVISOR]]="","",D90)</f>
        <v>11845</v>
      </c>
      <c r="R96">
        <f>IF(DATA_JULIO_2025[[#This Row],[RECUPERO]]="","",VLOOKUP(DATA_JULIO_2025[[#This Row],[SUPERVISOR]],$H:$I,2,0))</f>
        <v>15500</v>
      </c>
    </row>
    <row r="97" spans="1:18" x14ac:dyDescent="0.25">
      <c r="A97" s="10" t="s">
        <v>9</v>
      </c>
      <c r="B97" s="10" t="str">
        <f>TRIM(D1_JULIO[[#This Row],[ASESOR]])</f>
        <v>MARCO QUISPE</v>
      </c>
      <c r="C97" s="10" t="s">
        <v>52</v>
      </c>
      <c r="D97" s="10">
        <v>0</v>
      </c>
      <c r="E97">
        <f>D1_JULIO[[#This Row],[RECUPERO]]/VLOOKUP(F97,$H:$I,2,0)</f>
        <v>0</v>
      </c>
      <c r="F97" t="str">
        <f>D1_JULIO[[#This Row],[SUPER]]</f>
        <v>LUIS</v>
      </c>
      <c r="L97">
        <v>5</v>
      </c>
      <c r="M97" s="1">
        <f t="shared" si="2"/>
        <v>0.73193548387096774</v>
      </c>
      <c r="N97" t="str" cm="1">
        <f t="array" ref="N97">IFERROR(_xlfn.IFS(M97&gt;100%,"&gt;100%",AND(M97&lt;100%,M97&gt;70%),"&gt;70%",AND(M97&lt;70%,M97&gt;40%),"&gt;40%",AND(M97&lt;40%,M97&gt;0%),"&gt;0%"),"")</f>
        <v>&gt;70%</v>
      </c>
      <c r="O97" t="str">
        <f t="shared" si="3"/>
        <v>CHRISTIAN ALBUJAR</v>
      </c>
      <c r="P97" t="str">
        <f>IF(DATA_JULIO_2025[[#This Row],[ASER_]]="","",F91)</f>
        <v>LUIS</v>
      </c>
      <c r="Q97">
        <f>IF(DATA_JULIO_2025[[#This Row],[SUPERVISOR]]="","",D91)</f>
        <v>11345</v>
      </c>
      <c r="R97">
        <f>IF(DATA_JULIO_2025[[#This Row],[RECUPERO]]="","",VLOOKUP(DATA_JULIO_2025[[#This Row],[SUPERVISOR]],$H:$I,2,0))</f>
        <v>15500</v>
      </c>
    </row>
    <row r="98" spans="1:18" x14ac:dyDescent="0.25">
      <c r="A98" s="10" t="s">
        <v>9</v>
      </c>
      <c r="B98" s="10" t="str">
        <f>TRIM(D1_JULIO[[#This Row],[ASESOR]])</f>
        <v/>
      </c>
      <c r="C98" s="10"/>
      <c r="D98" s="10"/>
      <c r="E98">
        <f>D1_JULIO[[#This Row],[RECUPERO]]/VLOOKUP(F98,$H:$I,2,0)</f>
        <v>0</v>
      </c>
      <c r="F98" t="str">
        <f>D1_JULIO[[#This Row],[SUPER]]</f>
        <v>LUIS</v>
      </c>
      <c r="L98">
        <v>6</v>
      </c>
      <c r="M98" s="1">
        <f t="shared" si="2"/>
        <v>0.5263870967741936</v>
      </c>
      <c r="N98" t="str" cm="1">
        <f t="array" ref="N98">IFERROR(_xlfn.IFS(M98&gt;100%,"&gt;100%",AND(M98&lt;100%,M98&gt;70%),"&gt;70%",AND(M98&lt;70%,M98&gt;40%),"&gt;40%",AND(M98&lt;40%,M98&gt;0%),"&gt;0%"),"")</f>
        <v>&gt;40%</v>
      </c>
      <c r="O98" t="str">
        <f t="shared" si="3"/>
        <v>YEYMY HUERTA</v>
      </c>
      <c r="P98" t="str">
        <f>IF(DATA_JULIO_2025[[#This Row],[ASER_]]="","",F92)</f>
        <v>LUIS</v>
      </c>
      <c r="Q98">
        <f>IF(DATA_JULIO_2025[[#This Row],[SUPERVISOR]]="","",D92)</f>
        <v>8159</v>
      </c>
      <c r="R98">
        <f>IF(DATA_JULIO_2025[[#This Row],[RECUPERO]]="","",VLOOKUP(DATA_JULIO_2025[[#This Row],[SUPERVISOR]],$H:$I,2,0))</f>
        <v>15500</v>
      </c>
    </row>
    <row r="99" spans="1:18" x14ac:dyDescent="0.25">
      <c r="L99">
        <v>7</v>
      </c>
      <c r="M99" s="1">
        <f t="shared" si="2"/>
        <v>0.50425806451612898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3"/>
        <v>GERALDINE ARROYO</v>
      </c>
      <c r="P99" t="str">
        <f>IF(DATA_JULIO_2025[[#This Row],[ASER_]]="","",F93)</f>
        <v>LUIS</v>
      </c>
      <c r="Q99">
        <f>IF(DATA_JULIO_2025[[#This Row],[SUPERVISOR]]="","",D93)</f>
        <v>7816</v>
      </c>
      <c r="R99">
        <f>IF(DATA_JULIO_2025[[#This Row],[RECUPERO]]="","",VLOOKUP(DATA_JULIO_2025[[#This Row],[SUPERVISOR]],$H:$I,2,0))</f>
        <v>15500</v>
      </c>
    </row>
    <row r="100" spans="1:18" x14ac:dyDescent="0.25">
      <c r="L100">
        <v>8</v>
      </c>
      <c r="M100" s="1">
        <f t="shared" si="2"/>
        <v>0.4838064516129032</v>
      </c>
      <c r="N100" t="str" cm="1">
        <f t="array" ref="N100">IFERROR(_xlfn.IFS(M100&gt;100%,"&gt;100%",AND(M100&lt;100%,M100&gt;70%),"&gt;70%",AND(M100&lt;70%,M100&gt;40%),"&gt;40%",AND(M100&lt;40%,M100&gt;0%),"&gt;0%"),"")</f>
        <v>&gt;40%</v>
      </c>
      <c r="O100" t="str">
        <f t="shared" si="3"/>
        <v>ANABEL SIHUE</v>
      </c>
      <c r="P100" t="str">
        <f>IF(DATA_JULIO_2025[[#This Row],[ASER_]]="","",F94)</f>
        <v>LUIS</v>
      </c>
      <c r="Q100">
        <f>IF(DATA_JULIO_2025[[#This Row],[SUPERVISOR]]="","",D94)</f>
        <v>7499</v>
      </c>
      <c r="R100">
        <f>IF(DATA_JULIO_2025[[#This Row],[RECUPERO]]="","",VLOOKUP(DATA_JULIO_2025[[#This Row],[SUPERVISOR]],$H:$I,2,0))</f>
        <v>15500</v>
      </c>
    </row>
    <row r="101" spans="1:18" x14ac:dyDescent="0.25">
      <c r="L101">
        <v>9</v>
      </c>
      <c r="M101" s="1">
        <f t="shared" si="2"/>
        <v>0.34296774193548385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3"/>
        <v>MAYRA AVALOS</v>
      </c>
      <c r="P101" t="str">
        <f>IF(DATA_JULIO_2025[[#This Row],[ASER_]]="","",F95)</f>
        <v>LUIS</v>
      </c>
      <c r="Q101">
        <f>IF(DATA_JULIO_2025[[#This Row],[SUPERVISOR]]="","",D95)</f>
        <v>5316</v>
      </c>
      <c r="R101">
        <f>IF(DATA_JULIO_2025[[#This Row],[RECUPERO]]="","",VLOOKUP(DATA_JULIO_2025[[#This Row],[SUPERVISOR]],$H:$I,2,0))</f>
        <v>15500</v>
      </c>
    </row>
    <row r="102" spans="1:18" x14ac:dyDescent="0.25">
      <c r="L102">
        <v>10</v>
      </c>
      <c r="M102" s="1">
        <f t="shared" si="2"/>
        <v>0.21612903225806451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3"/>
        <v>CINTHYA PAUCAR</v>
      </c>
      <c r="P102" t="str">
        <f>IF(DATA_JULIO_2025[[#This Row],[ASER_]]="","",F96)</f>
        <v>LUIS</v>
      </c>
      <c r="Q102">
        <f>IF(DATA_JULIO_2025[[#This Row],[SUPERVISOR]]="","",D96)</f>
        <v>3350</v>
      </c>
      <c r="R102">
        <f>IF(DATA_JULIO_2025[[#This Row],[RECUPERO]]="","",VLOOKUP(DATA_JULIO_2025[[#This Row],[SUPERVISOR]],$H:$I,2,0))</f>
        <v>15500</v>
      </c>
    </row>
    <row r="103" spans="1:18" x14ac:dyDescent="0.25">
      <c r="L103">
        <v>11</v>
      </c>
      <c r="M103" s="1">
        <f t="shared" si="2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3"/>
        <v>MARCO QUISPE</v>
      </c>
      <c r="P103" t="str">
        <f>IF(DATA_JULIO_2025[[#This Row],[ASER_]]="","",F97)</f>
        <v>LUIS</v>
      </c>
      <c r="Q103">
        <f>IF(DATA_JULIO_2025[[#This Row],[SUPERVISOR]]="","",D97)</f>
        <v>0</v>
      </c>
      <c r="R103">
        <f>IF(DATA_JULIO_2025[[#This Row],[RECUPERO]]="","",VLOOKUP(DATA_JULIO_2025[[#This Row],[SUPERVISOR]],$H:$I,2,0))</f>
        <v>15500</v>
      </c>
    </row>
    <row r="104" spans="1:18" x14ac:dyDescent="0.25">
      <c r="L104">
        <v>12</v>
      </c>
      <c r="M104" s="1">
        <f t="shared" si="2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3"/>
        <v/>
      </c>
      <c r="P104" t="str">
        <f>IF(DATA_JULIO_2025[[#This Row],[ASER_]]="","",F98)</f>
        <v/>
      </c>
      <c r="Q104" t="str">
        <f>IF(DATA_JULIO_2025[[#This Row],[SUPERVISOR]]="","",D98)</f>
        <v/>
      </c>
      <c r="R104" t="str">
        <f>IF(DATA_JULIO_2025[[#This Row],[RECUPERO]]="","",VLOOKUP(DATA_JULIO_2025[[#This Row],[SUPERVISOR]],$H:$I,2,0))</f>
        <v/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R104"/>
  <sheetViews>
    <sheetView zoomScale="85" zoomScaleNormal="85" workbookViewId="0">
      <selection activeCell="D17" sqref="D17"/>
    </sheetView>
  </sheetViews>
  <sheetFormatPr baseColWidth="10" defaultRowHeight="15" x14ac:dyDescent="0.25"/>
  <cols>
    <col min="1" max="1" width="9.42578125" customWidth="1"/>
    <col min="2" max="3" width="22.7109375" customWidth="1"/>
    <col min="4" max="4" width="13.42578125" customWidth="1"/>
    <col min="5" max="5" width="12.28515625" customWidth="1"/>
    <col min="6" max="6" width="10.42578125" customWidth="1"/>
    <col min="7" max="7" width="11.42578125" customWidth="1"/>
    <col min="8" max="8" width="9.7109375" customWidth="1"/>
    <col min="9" max="9" width="8.42578125" customWidth="1"/>
    <col min="10" max="11" width="11.42578125" customWidth="1"/>
    <col min="12" max="12" width="10" customWidth="1"/>
    <col min="13" max="13" width="12.140625" customWidth="1"/>
    <col min="14" max="14" width="20.140625" customWidth="1"/>
    <col min="15" max="15" width="22.7109375" customWidth="1"/>
    <col min="16" max="16" width="11.42578125" customWidth="1"/>
  </cols>
  <sheetData>
    <row r="2" spans="1:18" x14ac:dyDescent="0.25">
      <c r="A2" s="8" t="s">
        <v>97</v>
      </c>
      <c r="B2" s="8" t="s">
        <v>114</v>
      </c>
      <c r="C2" s="8" t="s">
        <v>0</v>
      </c>
      <c r="D2" s="8" t="s">
        <v>98</v>
      </c>
      <c r="E2" s="9" t="s">
        <v>1</v>
      </c>
      <c r="F2" s="8" t="s">
        <v>106</v>
      </c>
      <c r="H2" t="s">
        <v>97</v>
      </c>
      <c r="I2" t="s">
        <v>93</v>
      </c>
    </row>
    <row r="3" spans="1:18" x14ac:dyDescent="0.25">
      <c r="A3" s="10" t="s">
        <v>3</v>
      </c>
      <c r="B3" s="10" t="str">
        <f>TRIM(D1_AGOSTO[[#This Row],[ASESOR]])</f>
        <v>LISELY MERA</v>
      </c>
      <c r="C3" s="10" t="s">
        <v>23</v>
      </c>
      <c r="D3" s="10">
        <v>85152</v>
      </c>
      <c r="E3">
        <f>D1_AGOSTO[[#This Row],[RECUPERO]]/VLOOKUP(F3,$H:$I,2,0)</f>
        <v>1.1826666666666668</v>
      </c>
      <c r="F3" t="str">
        <f>D1_AGOSTO[[#This Row],[SUPER]]</f>
        <v>SANDY</v>
      </c>
      <c r="H3" t="s">
        <v>3</v>
      </c>
      <c r="I3">
        <v>72000</v>
      </c>
    </row>
    <row r="4" spans="1:18" x14ac:dyDescent="0.25">
      <c r="A4" s="10" t="s">
        <v>3</v>
      </c>
      <c r="B4" s="10" t="str">
        <f>TRIM(D1_AGOSTO[[#This Row],[ASESOR]])</f>
        <v>FRANCO HUAMANI</v>
      </c>
      <c r="C4" s="10" t="s">
        <v>24</v>
      </c>
      <c r="D4" s="10">
        <v>81565</v>
      </c>
      <c r="E4">
        <f>D1_AGOSTO[[#This Row],[RECUPERO]]/VLOOKUP(F4,$H:$I,2,0)</f>
        <v>1.1328472222222221</v>
      </c>
      <c r="F4" t="str">
        <f>D1_AGOSTO[[#This Row],[SUPER]]</f>
        <v>SANDY</v>
      </c>
      <c r="H4" t="s">
        <v>4</v>
      </c>
      <c r="I4">
        <v>72000</v>
      </c>
    </row>
    <row r="5" spans="1:18" x14ac:dyDescent="0.35">
      <c r="A5" s="10" t="s">
        <v>3</v>
      </c>
      <c r="B5" s="10" t="str">
        <f>TRIM(D1_AGOSTO[[#This Row],[ASESOR]])</f>
        <v>EVELY TENORIO</v>
      </c>
      <c r="C5" s="10" t="s">
        <v>22</v>
      </c>
      <c r="D5" s="10">
        <v>63897</v>
      </c>
      <c r="E5">
        <f>D1_AGOSTO[[#This Row],[RECUPERO]]/VLOOKUP(F5,$H:$I,2,0)</f>
        <v>0.88745833333333335</v>
      </c>
      <c r="F5" t="str">
        <f>D1_AGOSTO[[#This Row],[SUPER]]</f>
        <v>SANDY</v>
      </c>
      <c r="H5" t="s">
        <v>2</v>
      </c>
      <c r="I5">
        <v>54000</v>
      </c>
    </row>
    <row r="6" spans="1:18" x14ac:dyDescent="0.25">
      <c r="A6" s="10" t="s">
        <v>3</v>
      </c>
      <c r="B6" s="10" t="str">
        <f>TRIM(D1_AGOSTO[[#This Row],[ASESOR]])</f>
        <v>JENY LAZARO</v>
      </c>
      <c r="C6" s="10" t="s">
        <v>26</v>
      </c>
      <c r="D6" s="10">
        <v>57903</v>
      </c>
      <c r="E6">
        <f>D1_AGOSTO[[#This Row],[RECUPERO]]/VLOOKUP(F6,$H:$I,2,0)</f>
        <v>0.8042083333333333</v>
      </c>
      <c r="F6" t="str">
        <f>D1_AGOSTO[[#This Row],[SUPER]]</f>
        <v>SANDY</v>
      </c>
      <c r="H6" t="s">
        <v>5</v>
      </c>
      <c r="I6">
        <v>54000</v>
      </c>
    </row>
    <row r="7" spans="1:18" x14ac:dyDescent="0.25">
      <c r="A7" s="10" t="s">
        <v>3</v>
      </c>
      <c r="B7" s="10" t="str">
        <f>TRIM(D1_AGOSTO[[#This Row],[ASESOR]])</f>
        <v>MALORY MONTEBLANCO</v>
      </c>
      <c r="C7" s="10" t="s">
        <v>25</v>
      </c>
      <c r="D7" s="10">
        <v>57889</v>
      </c>
      <c r="E7">
        <f>D1_AGOSTO[[#This Row],[RECUPERO]]/VLOOKUP(F7,$H:$I,2,0)</f>
        <v>0.80401388888888892</v>
      </c>
      <c r="F7" t="str">
        <f>D1_AGOSTO[[#This Row],[SUPER]]</f>
        <v>SANDY</v>
      </c>
      <c r="H7" t="s">
        <v>6</v>
      </c>
      <c r="I7">
        <v>26000</v>
      </c>
    </row>
    <row r="8" spans="1:18" x14ac:dyDescent="0.25">
      <c r="A8" s="10" t="s">
        <v>3</v>
      </c>
      <c r="B8" s="10" t="str">
        <f>TRIM(D1_AGOSTO[[#This Row],[ASESOR]])</f>
        <v>LUIS VALLADARES</v>
      </c>
      <c r="C8" s="10" t="s">
        <v>29</v>
      </c>
      <c r="D8" s="10">
        <v>52544</v>
      </c>
      <c r="E8">
        <f>D1_AGOSTO[[#This Row],[RECUPERO]]/VLOOKUP(F8,$H:$I,2,0)</f>
        <v>0.72977777777777775</v>
      </c>
      <c r="F8" t="str">
        <f>D1_AGOSTO[[#This Row],[SUPER]]</f>
        <v>SANDY</v>
      </c>
      <c r="H8" t="s">
        <v>7</v>
      </c>
      <c r="I8">
        <v>15500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s="10" t="s">
        <v>3</v>
      </c>
      <c r="B9" s="10" t="str">
        <f>TRIM(D1_AGOSTO[[#This Row],[ASESOR]])</f>
        <v>GABRIELA APONTE</v>
      </c>
      <c r="C9" s="10" t="s">
        <v>27</v>
      </c>
      <c r="D9" s="10">
        <v>51818</v>
      </c>
      <c r="E9">
        <f>D1_AGOSTO[[#This Row],[RECUPERO]]/VLOOKUP(F9,$H:$I,2,0)</f>
        <v>0.71969444444444441</v>
      </c>
      <c r="F9" t="str">
        <f>D1_AGOSTO[[#This Row],[SUPER]]</f>
        <v>SANDY</v>
      </c>
      <c r="H9" t="s">
        <v>8</v>
      </c>
      <c r="I9">
        <v>16000</v>
      </c>
      <c r="L9">
        <v>1</v>
      </c>
      <c r="M9" s="1">
        <f>E3</f>
        <v>1.1826666666666668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>B3</f>
        <v>LISELY MERA</v>
      </c>
      <c r="P9" t="str">
        <f>IF(DATA_AGOSTO_2025[[#This Row],[ASER_]]="","",F3)</f>
        <v>SANDY</v>
      </c>
      <c r="Q9">
        <f>IF(DATA_AGOSTO_2025[[#This Row],[SUPERVISOR]]="","",D3)</f>
        <v>85152</v>
      </c>
      <c r="R9">
        <f>IF(DATA_AGOSTO_2025[[#This Row],[RECUPERO]]="","",VLOOKUP(DATA_AGOSTO_2025[[#This Row],[SUPERVISOR]],$H:$I,2,0))</f>
        <v>72000</v>
      </c>
    </row>
    <row r="10" spans="1:18" x14ac:dyDescent="0.25">
      <c r="A10" s="10" t="s">
        <v>3</v>
      </c>
      <c r="B10" s="10" t="str">
        <f>TRIM(D1_AGOSTO[[#This Row],[ASESOR]])</f>
        <v>ERICK PORTILLA</v>
      </c>
      <c r="C10" s="10" t="s">
        <v>28</v>
      </c>
      <c r="D10" s="10">
        <v>31370</v>
      </c>
      <c r="E10">
        <f>D1_AGOSTO[[#This Row],[RECUPERO]]/VLOOKUP(F10,$H:$I,2,0)</f>
        <v>0.43569444444444444</v>
      </c>
      <c r="F10" t="str">
        <f>D1_AGOSTO[[#This Row],[SUPER]]</f>
        <v>SANDY</v>
      </c>
      <c r="H10" t="s">
        <v>9</v>
      </c>
      <c r="I10">
        <v>16000</v>
      </c>
      <c r="L10">
        <v>2</v>
      </c>
      <c r="M10" s="1">
        <f t="shared" ref="M10:M73" si="0">E4</f>
        <v>1.1328472222222221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ref="O10:O73" si="1">B4</f>
        <v>FRANCO HUAMANI</v>
      </c>
      <c r="P10" t="str">
        <f>IF(DATA_AGOSTO_2025[[#This Row],[ASER_]]="","",F4)</f>
        <v>SANDY</v>
      </c>
      <c r="Q10">
        <f>IF(DATA_AGOSTO_2025[[#This Row],[SUPERVISOR]]="","",D4)</f>
        <v>81565</v>
      </c>
      <c r="R10">
        <f>IF(DATA_AGOSTO_2025[[#This Row],[RECUPERO]]="","",VLOOKUP(DATA_AGOSTO_2025[[#This Row],[SUPERVISOR]],$H:$I,2,0))</f>
        <v>72000</v>
      </c>
    </row>
    <row r="11" spans="1:18" x14ac:dyDescent="0.25">
      <c r="A11" s="10" t="s">
        <v>3</v>
      </c>
      <c r="B11" s="10" t="str">
        <f>TRIM(D1_AGOSTO[[#This Row],[ASESOR]])</f>
        <v>TERRY ECHEVARRIA</v>
      </c>
      <c r="C11" s="10" t="s">
        <v>30</v>
      </c>
      <c r="D11" s="10">
        <v>28645</v>
      </c>
      <c r="E11">
        <f>D1_AGOSTO[[#This Row],[RECUPERO]]/VLOOKUP(F11,$H:$I,2,0)</f>
        <v>0.39784722222222224</v>
      </c>
      <c r="F11" t="str">
        <f>D1_AGOSTO[[#This Row],[SUPER]]</f>
        <v>SANDY</v>
      </c>
      <c r="L11">
        <v>3</v>
      </c>
      <c r="M11" s="1">
        <f t="shared" si="0"/>
        <v>0.88745833333333335</v>
      </c>
      <c r="N11" t="str" cm="1">
        <f t="array" ref="N11">IFERROR(_xlfn.IFS(M11&gt;100%,"&gt;100%",AND(M11&lt;100%,M11&gt;70%),"&gt;70%",AND(M11&lt;70%,M11&gt;40%),"&gt;40%",AND(M11&lt;40%,M11&gt;0%),"&gt;0%"),"")</f>
        <v>&gt;70%</v>
      </c>
      <c r="O11" t="str">
        <f t="shared" si="1"/>
        <v>EVELY TENORIO</v>
      </c>
      <c r="P11" t="str">
        <f>IF(DATA_AGOSTO_2025[[#This Row],[ASER_]]="","",F5)</f>
        <v>SANDY</v>
      </c>
      <c r="Q11">
        <f>IF(DATA_AGOSTO_2025[[#This Row],[SUPERVISOR]]="","",D5)</f>
        <v>63897</v>
      </c>
      <c r="R11">
        <f>IF(DATA_AGOSTO_2025[[#This Row],[RECUPERO]]="","",VLOOKUP(DATA_AGOSTO_2025[[#This Row],[SUPERVISOR]],$H:$I,2,0))</f>
        <v>72000</v>
      </c>
    </row>
    <row r="12" spans="1:18" x14ac:dyDescent="0.25">
      <c r="A12" s="10" t="s">
        <v>3</v>
      </c>
      <c r="B12" s="10" t="str">
        <f>TRIM(D1_AGOSTO[[#This Row],[ASESOR]])</f>
        <v>ROBERTO RODRIGUEZ</v>
      </c>
      <c r="C12" s="10" t="s">
        <v>105</v>
      </c>
      <c r="D12" s="10">
        <v>15450</v>
      </c>
      <c r="E12">
        <f>D1_AGOSTO[[#This Row],[RECUPERO]]/VLOOKUP(F12,$H:$I,2,0)</f>
        <v>0.21458333333333332</v>
      </c>
      <c r="F12" t="str">
        <f>D1_AGOSTO[[#This Row],[SUPER]]</f>
        <v>SANDY</v>
      </c>
      <c r="L12">
        <v>4</v>
      </c>
      <c r="M12" s="1">
        <f t="shared" si="0"/>
        <v>0.8042083333333333</v>
      </c>
      <c r="N12" t="str" cm="1">
        <f t="array" ref="N12">IFERROR(_xlfn.IFS(M12&gt;100%,"&gt;100%",AND(M12&lt;100%,M12&gt;70%),"&gt;70%",AND(M12&lt;70%,M12&gt;40%),"&gt;40%",AND(M12&lt;40%,M12&gt;0%),"&gt;0%"),"")</f>
        <v>&gt;70%</v>
      </c>
      <c r="O12" t="str">
        <f t="shared" si="1"/>
        <v>JENY LAZARO</v>
      </c>
      <c r="P12" t="str">
        <f>IF(DATA_AGOSTO_2025[[#This Row],[ASER_]]="","",F6)</f>
        <v>SANDY</v>
      </c>
      <c r="Q12">
        <f>IF(DATA_AGOSTO_2025[[#This Row],[SUPERVISOR]]="","",D6)</f>
        <v>57903</v>
      </c>
      <c r="R12">
        <f>IF(DATA_AGOSTO_2025[[#This Row],[RECUPERO]]="","",VLOOKUP(DATA_AGOSTO_2025[[#This Row],[SUPERVISOR]],$H:$I,2,0))</f>
        <v>72000</v>
      </c>
    </row>
    <row r="13" spans="1:18" x14ac:dyDescent="0.25">
      <c r="A13" s="10" t="s">
        <v>3</v>
      </c>
      <c r="B13" s="10" t="str">
        <f>TRIM(D1_AGOSTO[[#This Row],[ASESOR]])</f>
        <v/>
      </c>
      <c r="C13" s="10"/>
      <c r="D13" s="10"/>
      <c r="E13">
        <f>D1_AGOSTO[[#This Row],[RECUPERO]]/VLOOKUP(F13,$H:$I,2,0)</f>
        <v>0</v>
      </c>
      <c r="F13" t="str">
        <f>D1_AGOSTO[[#This Row],[SUPER]]</f>
        <v>SANDY</v>
      </c>
      <c r="L13">
        <v>5</v>
      </c>
      <c r="M13" s="1">
        <f t="shared" si="0"/>
        <v>0.80401388888888892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 t="shared" si="1"/>
        <v>MALORY MONTEBLANCO</v>
      </c>
      <c r="P13" t="str">
        <f>IF(DATA_AGOSTO_2025[[#This Row],[ASER_]]="","",F7)</f>
        <v>SANDY</v>
      </c>
      <c r="Q13">
        <f>IF(DATA_AGOSTO_2025[[#This Row],[SUPERVISOR]]="","",D7)</f>
        <v>57889</v>
      </c>
      <c r="R13">
        <f>IF(DATA_AGOSTO_2025[[#This Row],[RECUPERO]]="","",VLOOKUP(DATA_AGOSTO_2025[[#This Row],[SUPERVISOR]],$H:$I,2,0))</f>
        <v>72000</v>
      </c>
    </row>
    <row r="14" spans="1:18" x14ac:dyDescent="0.25">
      <c r="A14" s="10" t="s">
        <v>3</v>
      </c>
      <c r="B14" s="10" t="str">
        <f>TRIM(D1_AGOSTO[[#This Row],[ASESOR]])</f>
        <v/>
      </c>
      <c r="C14" s="10"/>
      <c r="D14" s="10"/>
      <c r="E14">
        <f>D1_AGOSTO[[#This Row],[RECUPERO]]/VLOOKUP(F14,$H:$I,2,0)</f>
        <v>0</v>
      </c>
      <c r="F14" t="str">
        <f>D1_AGOSTO[[#This Row],[SUPER]]</f>
        <v>SANDY</v>
      </c>
      <c r="L14">
        <v>6</v>
      </c>
      <c r="M14" s="1">
        <f t="shared" si="0"/>
        <v>0.72977777777777775</v>
      </c>
      <c r="N14" t="str" cm="1">
        <f t="array" ref="N14">IFERROR(_xlfn.IFS(M14&gt;100%,"&gt;100%",AND(M14&lt;100%,M14&gt;70%),"&gt;70%",AND(M14&lt;70%,M14&gt;40%),"&gt;40%",AND(M14&lt;40%,M14&gt;0%),"&gt;0%"),"")</f>
        <v>&gt;70%</v>
      </c>
      <c r="O14" t="str">
        <f t="shared" si="1"/>
        <v>LUIS VALLADARES</v>
      </c>
      <c r="P14" t="str">
        <f>IF(DATA_AGOSTO_2025[[#This Row],[ASER_]]="","",F8)</f>
        <v>SANDY</v>
      </c>
      <c r="Q14">
        <f>IF(DATA_AGOSTO_2025[[#This Row],[SUPERVISOR]]="","",D8)</f>
        <v>52544</v>
      </c>
      <c r="R14">
        <f>IF(DATA_AGOSTO_2025[[#This Row],[RECUPERO]]="","",VLOOKUP(DATA_AGOSTO_2025[[#This Row],[SUPERVISOR]],$H:$I,2,0))</f>
        <v>72000</v>
      </c>
    </row>
    <row r="15" spans="1:18" x14ac:dyDescent="0.25">
      <c r="A15" s="10" t="s">
        <v>4</v>
      </c>
      <c r="B15" s="10" t="str">
        <f>TRIM(D1_AGOSTO[[#This Row],[ASESOR]])</f>
        <v>PIERINA TESEN</v>
      </c>
      <c r="C15" s="10" t="s">
        <v>59</v>
      </c>
      <c r="D15" s="10">
        <v>103477</v>
      </c>
      <c r="E15">
        <f>D1_AGOSTO[[#This Row],[RECUPERO]]/VLOOKUP(F15,$H:$I,2,0)</f>
        <v>1.4371805555555555</v>
      </c>
      <c r="F15" t="str">
        <f>D1_AGOSTO[[#This Row],[SUPER]]</f>
        <v>MELINA</v>
      </c>
      <c r="L15">
        <v>7</v>
      </c>
      <c r="M15" s="1">
        <f t="shared" si="0"/>
        <v>0.71969444444444441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1"/>
        <v>GABRIELA APONTE</v>
      </c>
      <c r="P15" t="str">
        <f>IF(DATA_AGOSTO_2025[[#This Row],[ASER_]]="","",F9)</f>
        <v>SANDY</v>
      </c>
      <c r="Q15">
        <f>IF(DATA_AGOSTO_2025[[#This Row],[SUPERVISOR]]="","",D9)</f>
        <v>51818</v>
      </c>
      <c r="R15">
        <f>IF(DATA_AGOSTO_2025[[#This Row],[RECUPERO]]="","",VLOOKUP(DATA_AGOSTO_2025[[#This Row],[SUPERVISOR]],$H:$I,2,0))</f>
        <v>72000</v>
      </c>
    </row>
    <row r="16" spans="1:18" x14ac:dyDescent="0.25">
      <c r="A16" s="10" t="s">
        <v>4</v>
      </c>
      <c r="B16" s="10" t="str">
        <f>TRIM(D1_AGOSTO[[#This Row],[ASESOR]])</f>
        <v>JAIR MARTINEZ</v>
      </c>
      <c r="C16" s="10" t="s">
        <v>57</v>
      </c>
      <c r="D16" s="10">
        <v>87142</v>
      </c>
      <c r="E16">
        <f>D1_AGOSTO[[#This Row],[RECUPERO]]/VLOOKUP(F16,$H:$I,2,0)</f>
        <v>1.2103055555555555</v>
      </c>
      <c r="F16" t="str">
        <f>D1_AGOSTO[[#This Row],[SUPER]]</f>
        <v>MELINA</v>
      </c>
      <c r="L16">
        <v>8</v>
      </c>
      <c r="M16" s="1">
        <f t="shared" si="0"/>
        <v>0.43569444444444444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1"/>
        <v>ERICK PORTILLA</v>
      </c>
      <c r="P16" t="str">
        <f>IF(DATA_AGOSTO_2025[[#This Row],[ASER_]]="","",F10)</f>
        <v>SANDY</v>
      </c>
      <c r="Q16">
        <f>IF(DATA_AGOSTO_2025[[#This Row],[SUPERVISOR]]="","",D10)</f>
        <v>31370</v>
      </c>
      <c r="R16">
        <f>IF(DATA_AGOSTO_2025[[#This Row],[RECUPERO]]="","",VLOOKUP(DATA_AGOSTO_2025[[#This Row],[SUPERVISOR]],$H:$I,2,0))</f>
        <v>72000</v>
      </c>
    </row>
    <row r="17" spans="1:18" x14ac:dyDescent="0.25">
      <c r="A17" s="10" t="s">
        <v>4</v>
      </c>
      <c r="B17" s="10" t="str">
        <f>TRIM(D1_AGOSTO[[#This Row],[ASESOR]])</f>
        <v>ANALUCIA PONCE</v>
      </c>
      <c r="C17" s="10" t="s">
        <v>60</v>
      </c>
      <c r="D17" s="10">
        <v>74298.100000000006</v>
      </c>
      <c r="E17">
        <f>D1_AGOSTO[[#This Row],[RECUPERO]]/VLOOKUP(F17,$H:$I,2,0)</f>
        <v>1.0319180555555556</v>
      </c>
      <c r="F17" t="str">
        <f>D1_AGOSTO[[#This Row],[SUPER]]</f>
        <v>MELINA</v>
      </c>
      <c r="L17">
        <v>9</v>
      </c>
      <c r="M17" s="1">
        <f t="shared" si="0"/>
        <v>0.39784722222222224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TERRY ECHEVARRIA</v>
      </c>
      <c r="P17" t="str">
        <f>IF(DATA_AGOSTO_2025[[#This Row],[ASER_]]="","",F11)</f>
        <v>SANDY</v>
      </c>
      <c r="Q17">
        <f>IF(DATA_AGOSTO_2025[[#This Row],[SUPERVISOR]]="","",D11)</f>
        <v>28645</v>
      </c>
      <c r="R17">
        <f>IF(DATA_AGOSTO_2025[[#This Row],[RECUPERO]]="","",VLOOKUP(DATA_AGOSTO_2025[[#This Row],[SUPERVISOR]],$H:$I,2,0))</f>
        <v>72000</v>
      </c>
    </row>
    <row r="18" spans="1:18" x14ac:dyDescent="0.25">
      <c r="A18" s="10" t="s">
        <v>4</v>
      </c>
      <c r="B18" s="10" t="str">
        <f>TRIM(D1_AGOSTO[[#This Row],[ASESOR]])</f>
        <v>MELISSA GUERRERO</v>
      </c>
      <c r="C18" s="10" t="s">
        <v>62</v>
      </c>
      <c r="D18" s="10">
        <v>61822</v>
      </c>
      <c r="E18">
        <f>D1_AGOSTO[[#This Row],[RECUPERO]]/VLOOKUP(F18,$H:$I,2,0)</f>
        <v>0.85863888888888884</v>
      </c>
      <c r="F18" t="str">
        <f>D1_AGOSTO[[#This Row],[SUPER]]</f>
        <v>MELINA</v>
      </c>
      <c r="L18">
        <v>10</v>
      </c>
      <c r="M18" s="1">
        <f t="shared" si="0"/>
        <v>0.21458333333333332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ROBERTO RODRIGUEZ</v>
      </c>
      <c r="P18" t="str">
        <f>IF(DATA_AGOSTO_2025[[#This Row],[ASER_]]="","",F12)</f>
        <v>SANDY</v>
      </c>
      <c r="Q18">
        <f>IF(DATA_AGOSTO_2025[[#This Row],[SUPERVISOR]]="","",D12)</f>
        <v>15450</v>
      </c>
      <c r="R18">
        <f>IF(DATA_AGOSTO_2025[[#This Row],[RECUPERO]]="","",VLOOKUP(DATA_AGOSTO_2025[[#This Row],[SUPERVISOR]],$H:$I,2,0))</f>
        <v>72000</v>
      </c>
    </row>
    <row r="19" spans="1:18" x14ac:dyDescent="0.25">
      <c r="A19" s="10" t="s">
        <v>4</v>
      </c>
      <c r="B19" s="10" t="str">
        <f>TRIM(D1_AGOSTO[[#This Row],[ASESOR]])</f>
        <v>ALEJANDRA QUISPE</v>
      </c>
      <c r="C19" s="10" t="s">
        <v>58</v>
      </c>
      <c r="D19" s="10">
        <v>58381.5</v>
      </c>
      <c r="E19">
        <f>D1_AGOSTO[[#This Row],[RECUPERO]]/VLOOKUP(F19,$H:$I,2,0)</f>
        <v>0.81085416666666665</v>
      </c>
      <c r="F19" t="str">
        <f>D1_AGOSTO[[#This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P19" t="str">
        <f>IF(DATA_AGOSTO_2025[[#This Row],[ASER_]]="","",F13)</f>
        <v/>
      </c>
      <c r="Q19" t="str">
        <f>IF(DATA_AGOSTO_2025[[#This Row],[SUPERVISOR]]="","",D13)</f>
        <v/>
      </c>
      <c r="R19" t="str">
        <f>IF(DATA_AGOSTO_2025[[#This Row],[RECUPERO]]="","",VLOOKUP(DATA_AGOSTO_2025[[#This Row],[SUPERVISOR]],$H:$I,2,0))</f>
        <v/>
      </c>
    </row>
    <row r="20" spans="1:18" x14ac:dyDescent="0.25">
      <c r="A20" s="10" t="s">
        <v>4</v>
      </c>
      <c r="B20" s="10" t="str">
        <f>TRIM(D1_AGOSTO[[#This Row],[ASESOR]])</f>
        <v>CRISTINA TICONA</v>
      </c>
      <c r="C20" s="10" t="s">
        <v>61</v>
      </c>
      <c r="D20" s="10">
        <v>53370</v>
      </c>
      <c r="E20">
        <f>D1_AGOSTO[[#This Row],[RECUPERO]]/VLOOKUP(F20,$H:$I,2,0)</f>
        <v>0.74124999999999996</v>
      </c>
      <c r="F20" t="str">
        <f>D1_AGOSTO[[#This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P20" t="str">
        <f>IF(DATA_AGOSTO_2025[[#This Row],[ASER_]]="","",F14)</f>
        <v/>
      </c>
      <c r="Q20" t="str">
        <f>IF(DATA_AGOSTO_2025[[#This Row],[SUPERVISOR]]="","",D14)</f>
        <v/>
      </c>
      <c r="R20" t="str">
        <f>IF(DATA_AGOSTO_2025[[#This Row],[RECUPERO]]="","",VLOOKUP(DATA_AGOSTO_2025[[#This Row],[SUPERVISOR]],$H:$I,2,0))</f>
        <v/>
      </c>
    </row>
    <row r="21" spans="1:18" x14ac:dyDescent="0.25">
      <c r="A21" s="10" t="s">
        <v>4</v>
      </c>
      <c r="B21" s="10" t="str">
        <f>TRIM(D1_AGOSTO[[#This Row],[ASESOR]])</f>
        <v>MICAELA PEREZ</v>
      </c>
      <c r="C21" s="10" t="s">
        <v>64</v>
      </c>
      <c r="D21" s="10">
        <v>38030</v>
      </c>
      <c r="E21">
        <f>D1_AGOSTO[[#This Row],[RECUPERO]]/VLOOKUP(F21,$H:$I,2,0)</f>
        <v>0.52819444444444441</v>
      </c>
      <c r="F21" t="str">
        <f>D1_AGOSTO[[#This Row],[SUPER]]</f>
        <v>MELINA</v>
      </c>
      <c r="L21">
        <v>1</v>
      </c>
      <c r="M21" s="1">
        <f t="shared" si="0"/>
        <v>1.4371805555555555</v>
      </c>
      <c r="N21" t="str" cm="1">
        <f t="array" ref="N21">IFERROR(_xlfn.IFS(M21&gt;100%,"&gt;100%",AND(M21&lt;100%,M21&gt;70%),"&gt;70%",AND(M21&lt;70%,M21&gt;40%),"&gt;40%",AND(M21&lt;40%,M21&gt;0%),"&gt;0%"),"")</f>
        <v>&gt;100%</v>
      </c>
      <c r="O21" t="str">
        <f t="shared" si="1"/>
        <v>PIERINA TESEN</v>
      </c>
      <c r="P21" t="str">
        <f>IF(DATA_AGOSTO_2025[[#This Row],[ASER_]]="","",F15)</f>
        <v>MELINA</v>
      </c>
      <c r="Q21">
        <f>IF(DATA_AGOSTO_2025[[#This Row],[SUPERVISOR]]="","",D15)</f>
        <v>103477</v>
      </c>
      <c r="R21">
        <f>IF(DATA_AGOSTO_2025[[#This Row],[RECUPERO]]="","",VLOOKUP(DATA_AGOSTO_2025[[#This Row],[SUPERVISOR]],$H:$I,2,0))</f>
        <v>72000</v>
      </c>
    </row>
    <row r="22" spans="1:18" x14ac:dyDescent="0.25">
      <c r="A22" s="10" t="s">
        <v>4</v>
      </c>
      <c r="B22" s="10" t="str">
        <f>TRIM(D1_AGOSTO[[#This Row],[ASESOR]])</f>
        <v>JHONATAN CHAVEZ</v>
      </c>
      <c r="C22" s="10" t="s">
        <v>65</v>
      </c>
      <c r="D22" s="10">
        <v>26195</v>
      </c>
      <c r="E22">
        <f>D1_AGOSTO[[#This Row],[RECUPERO]]/VLOOKUP(F22,$H:$I,2,0)</f>
        <v>0.36381944444444442</v>
      </c>
      <c r="F22" t="str">
        <f>D1_AGOSTO[[#This Row],[SUPER]]</f>
        <v>MELINA</v>
      </c>
      <c r="L22">
        <v>2</v>
      </c>
      <c r="M22" s="1">
        <f t="shared" si="0"/>
        <v>1.2103055555555555</v>
      </c>
      <c r="N22" t="str" cm="1">
        <f t="array" ref="N22">IFERROR(_xlfn.IFS(M22&gt;100%,"&gt;100%",AND(M22&lt;100%,M22&gt;70%),"&gt;70%",AND(M22&lt;70%,M22&gt;40%),"&gt;40%",AND(M22&lt;40%,M22&gt;0%),"&gt;0%"),"")</f>
        <v>&gt;100%</v>
      </c>
      <c r="O22" t="str">
        <f t="shared" si="1"/>
        <v>JAIR MARTINEZ</v>
      </c>
      <c r="P22" t="str">
        <f>IF(DATA_AGOSTO_2025[[#This Row],[ASER_]]="","",F16)</f>
        <v>MELINA</v>
      </c>
      <c r="Q22">
        <f>IF(DATA_AGOSTO_2025[[#This Row],[SUPERVISOR]]="","",D16)</f>
        <v>87142</v>
      </c>
      <c r="R22">
        <f>IF(DATA_AGOSTO_2025[[#This Row],[RECUPERO]]="","",VLOOKUP(DATA_AGOSTO_2025[[#This Row],[SUPERVISOR]],$H:$I,2,0))</f>
        <v>72000</v>
      </c>
    </row>
    <row r="23" spans="1:18" x14ac:dyDescent="0.25">
      <c r="A23" s="10" t="s">
        <v>4</v>
      </c>
      <c r="B23" s="10" t="str">
        <f>TRIM(D1_AGOSTO[[#This Row],[ASESOR]])</f>
        <v>RICHARD RODRIGUEZ</v>
      </c>
      <c r="C23" s="10" t="s">
        <v>63</v>
      </c>
      <c r="D23" s="10">
        <v>22360</v>
      </c>
      <c r="E23">
        <f>D1_AGOSTO[[#This Row],[RECUPERO]]/VLOOKUP(F23,$H:$I,2,0)</f>
        <v>0.31055555555555553</v>
      </c>
      <c r="F23" t="str">
        <f>D1_AGOSTO[[#This Row],[SUPER]]</f>
        <v>MELINA</v>
      </c>
      <c r="L23">
        <v>3</v>
      </c>
      <c r="M23" s="1">
        <f t="shared" si="0"/>
        <v>1.0319180555555556</v>
      </c>
      <c r="N23" t="str" cm="1">
        <f t="array" ref="N23">IFERROR(_xlfn.IFS(M23&gt;100%,"&gt;100%",AND(M23&lt;100%,M23&gt;70%),"&gt;70%",AND(M23&lt;70%,M23&gt;40%),"&gt;40%",AND(M23&lt;40%,M23&gt;0%),"&gt;0%"),"")</f>
        <v>&gt;100%</v>
      </c>
      <c r="O23" t="str">
        <f t="shared" si="1"/>
        <v>ANALUCIA PONCE</v>
      </c>
      <c r="P23" t="str">
        <f>IF(DATA_AGOSTO_2025[[#This Row],[ASER_]]="","",F17)</f>
        <v>MELINA</v>
      </c>
      <c r="Q23">
        <f>IF(DATA_AGOSTO_2025[[#This Row],[SUPERVISOR]]="","",D17)</f>
        <v>74298.100000000006</v>
      </c>
      <c r="R23">
        <f>IF(DATA_AGOSTO_2025[[#This Row],[RECUPERO]]="","",VLOOKUP(DATA_AGOSTO_2025[[#This Row],[SUPERVISOR]],$H:$I,2,0))</f>
        <v>72000</v>
      </c>
    </row>
    <row r="24" spans="1:18" x14ac:dyDescent="0.25">
      <c r="A24" s="10" t="s">
        <v>4</v>
      </c>
      <c r="B24" s="10" t="str">
        <f>TRIM(D1_AGOSTO[[#This Row],[ASESOR]])</f>
        <v>GERSON LAZARO</v>
      </c>
      <c r="C24" s="10" t="s">
        <v>96</v>
      </c>
      <c r="D24" s="10">
        <v>10000</v>
      </c>
      <c r="E24">
        <f>D1_AGOSTO[[#This Row],[RECUPERO]]/VLOOKUP(F24,$H:$I,2,0)</f>
        <v>0.1388888888888889</v>
      </c>
      <c r="F24" t="str">
        <f>D1_AGOSTO[[#This Row],[SUPER]]</f>
        <v>MELINA</v>
      </c>
      <c r="L24">
        <v>4</v>
      </c>
      <c r="M24" s="1">
        <f t="shared" si="0"/>
        <v>0.85863888888888884</v>
      </c>
      <c r="N24" t="str" cm="1">
        <f t="array" ref="N24">IFERROR(_xlfn.IFS(M24&gt;100%,"&gt;100%",AND(M24&lt;100%,M24&gt;70%),"&gt;70%",AND(M24&lt;70%,M24&gt;40%),"&gt;40%",AND(M24&lt;40%,M24&gt;0%),"&gt;0%"),"")</f>
        <v>&gt;70%</v>
      </c>
      <c r="O24" t="str">
        <f t="shared" si="1"/>
        <v>MELISSA GUERRERO</v>
      </c>
      <c r="P24" t="str">
        <f>IF(DATA_AGOSTO_2025[[#This Row],[ASER_]]="","",F18)</f>
        <v>MELINA</v>
      </c>
      <c r="Q24">
        <f>IF(DATA_AGOSTO_2025[[#This Row],[SUPERVISOR]]="","",D18)</f>
        <v>61822</v>
      </c>
      <c r="R24">
        <f>IF(DATA_AGOSTO_2025[[#This Row],[RECUPERO]]="","",VLOOKUP(DATA_AGOSTO_2025[[#This Row],[SUPERVISOR]],$H:$I,2,0))</f>
        <v>72000</v>
      </c>
    </row>
    <row r="25" spans="1:18" x14ac:dyDescent="0.25">
      <c r="A25" s="10" t="s">
        <v>4</v>
      </c>
      <c r="B25" s="10" t="str">
        <f>TRIM(D1_AGOSTO[[#This Row],[ASESOR]])</f>
        <v/>
      </c>
      <c r="C25" s="10"/>
      <c r="D25" s="10"/>
      <c r="E25">
        <f>D1_AGOSTO[[#This Row],[RECUPERO]]/VLOOKUP(F25,$H:$I,2,0)</f>
        <v>0</v>
      </c>
      <c r="F25" t="str">
        <f>D1_AGOSTO[[#This Row],[SUPER]]</f>
        <v>MELINA</v>
      </c>
      <c r="L25">
        <v>5</v>
      </c>
      <c r="M25" s="1">
        <f t="shared" si="0"/>
        <v>0.81085416666666665</v>
      </c>
      <c r="N25" t="str" cm="1">
        <f t="array" ref="N25">IFERROR(_xlfn.IFS(M25&gt;100%,"&gt;100%",AND(M25&lt;100%,M25&gt;70%),"&gt;70%",AND(M25&lt;70%,M25&gt;40%),"&gt;40%",AND(M25&lt;40%,M25&gt;0%),"&gt;0%"),"")</f>
        <v>&gt;70%</v>
      </c>
      <c r="O25" t="str">
        <f t="shared" si="1"/>
        <v>ALEJANDRA QUISPE</v>
      </c>
      <c r="P25" t="str">
        <f>IF(DATA_AGOSTO_2025[[#This Row],[ASER_]]="","",F19)</f>
        <v>MELINA</v>
      </c>
      <c r="Q25">
        <f>IF(DATA_AGOSTO_2025[[#This Row],[SUPERVISOR]]="","",D19)</f>
        <v>58381.5</v>
      </c>
      <c r="R25">
        <f>IF(DATA_AGOSTO_2025[[#This Row],[RECUPERO]]="","",VLOOKUP(DATA_AGOSTO_2025[[#This Row],[SUPERVISOR]],$H:$I,2,0))</f>
        <v>72000</v>
      </c>
    </row>
    <row r="26" spans="1:18" x14ac:dyDescent="0.25">
      <c r="A26" s="10" t="s">
        <v>4</v>
      </c>
      <c r="B26" s="10" t="str">
        <f>TRIM(D1_AGOSTO[[#This Row],[ASESOR]])</f>
        <v/>
      </c>
      <c r="C26" s="10"/>
      <c r="D26" s="10"/>
      <c r="E26">
        <f>D1_AGOSTO[[#This Row],[RECUPERO]]/VLOOKUP(F26,$H:$I,2,0)</f>
        <v>0</v>
      </c>
      <c r="F26" t="str">
        <f>D1_AGOSTO[[#This Row],[SUPER]]</f>
        <v>MELINA</v>
      </c>
      <c r="L26">
        <v>6</v>
      </c>
      <c r="M26" s="1">
        <f t="shared" si="0"/>
        <v>0.74124999999999996</v>
      </c>
      <c r="N26" t="str" cm="1">
        <f t="array" ref="N26">IFERROR(_xlfn.IFS(M26&gt;100%,"&gt;100%",AND(M26&lt;100%,M26&gt;70%),"&gt;70%",AND(M26&lt;70%,M26&gt;40%),"&gt;40%",AND(M26&lt;40%,M26&gt;0%),"&gt;0%"),"")</f>
        <v>&gt;70%</v>
      </c>
      <c r="O26" t="str">
        <f t="shared" si="1"/>
        <v>CRISTINA TICONA</v>
      </c>
      <c r="P26" t="str">
        <f>IF(DATA_AGOSTO_2025[[#This Row],[ASER_]]="","",F20)</f>
        <v>MELINA</v>
      </c>
      <c r="Q26">
        <f>IF(DATA_AGOSTO_2025[[#This Row],[SUPERVISOR]]="","",D20)</f>
        <v>53370</v>
      </c>
      <c r="R26">
        <f>IF(DATA_AGOSTO_2025[[#This Row],[RECUPERO]]="","",VLOOKUP(DATA_AGOSTO_2025[[#This Row],[SUPERVISOR]],$H:$I,2,0))</f>
        <v>72000</v>
      </c>
    </row>
    <row r="27" spans="1:18" x14ac:dyDescent="0.25">
      <c r="A27" s="10" t="s">
        <v>2</v>
      </c>
      <c r="B27" s="10" t="str">
        <f>TRIM(D1_AGOSTO[[#This Row],[ASESOR]])</f>
        <v>VERONICA TASAYCO</v>
      </c>
      <c r="C27" s="10" t="s">
        <v>10</v>
      </c>
      <c r="D27" s="10">
        <v>48172</v>
      </c>
      <c r="E27">
        <f>D1_AGOSTO[[#This Row],[RECUPERO]]/VLOOKUP(F27,$H:$I,2,0)</f>
        <v>0.89207407407407402</v>
      </c>
      <c r="F27" t="str">
        <f>D1_AGOSTO[[#This Row],[SUPER]]</f>
        <v>JORGE</v>
      </c>
      <c r="L27">
        <v>7</v>
      </c>
      <c r="M27" s="1">
        <f t="shared" si="0"/>
        <v>0.52819444444444441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MICAELA PEREZ</v>
      </c>
      <c r="P27" t="str">
        <f>IF(DATA_AGOSTO_2025[[#This Row],[ASER_]]="","",F21)</f>
        <v>MELINA</v>
      </c>
      <c r="Q27">
        <f>IF(DATA_AGOSTO_2025[[#This Row],[SUPERVISOR]]="","",D21)</f>
        <v>38030</v>
      </c>
      <c r="R27">
        <f>IF(DATA_AGOSTO_2025[[#This Row],[RECUPERO]]="","",VLOOKUP(DATA_AGOSTO_2025[[#This Row],[SUPERVISOR]],$H:$I,2,0))</f>
        <v>72000</v>
      </c>
    </row>
    <row r="28" spans="1:18" x14ac:dyDescent="0.25">
      <c r="A28" s="10" t="s">
        <v>2</v>
      </c>
      <c r="B28" s="10" t="str">
        <f>TRIM(D1_AGOSTO[[#This Row],[ASESOR]])</f>
        <v>MARGARITA PIANCHACHI</v>
      </c>
      <c r="C28" s="10" t="s">
        <v>17</v>
      </c>
      <c r="D28" s="10">
        <v>35156</v>
      </c>
      <c r="E28">
        <f>D1_AGOSTO[[#This Row],[RECUPERO]]/VLOOKUP(F28,$H:$I,2,0)</f>
        <v>0.65103703703703708</v>
      </c>
      <c r="F28" t="str">
        <f>D1_AGOSTO[[#This Row],[SUPER]]</f>
        <v>JORGE</v>
      </c>
      <c r="L28">
        <v>8</v>
      </c>
      <c r="M28" s="1">
        <f t="shared" si="0"/>
        <v>0.36381944444444442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1"/>
        <v>JHONATAN CHAVEZ</v>
      </c>
      <c r="P28" t="str">
        <f>IF(DATA_AGOSTO_2025[[#This Row],[ASER_]]="","",F22)</f>
        <v>MELINA</v>
      </c>
      <c r="Q28">
        <f>IF(DATA_AGOSTO_2025[[#This Row],[SUPERVISOR]]="","",D22)</f>
        <v>26195</v>
      </c>
      <c r="R28">
        <f>IF(DATA_AGOSTO_2025[[#This Row],[RECUPERO]]="","",VLOOKUP(DATA_AGOSTO_2025[[#This Row],[SUPERVISOR]],$H:$I,2,0))</f>
        <v>72000</v>
      </c>
    </row>
    <row r="29" spans="1:18" x14ac:dyDescent="0.25">
      <c r="A29" s="10" t="s">
        <v>2</v>
      </c>
      <c r="B29" s="10" t="str">
        <f>TRIM(D1_AGOSTO[[#This Row],[ASESOR]])</f>
        <v>MILAGROS QUIO</v>
      </c>
      <c r="C29" s="10" t="s">
        <v>11</v>
      </c>
      <c r="D29" s="10">
        <v>30894</v>
      </c>
      <c r="E29">
        <f>D1_AGOSTO[[#This Row],[RECUPERO]]/VLOOKUP(F29,$H:$I,2,0)</f>
        <v>0.57211111111111113</v>
      </c>
      <c r="F29" t="str">
        <f>D1_AGOSTO[[#This Row],[SUPER]]</f>
        <v>JORGE</v>
      </c>
      <c r="L29">
        <v>9</v>
      </c>
      <c r="M29" s="1">
        <f t="shared" si="0"/>
        <v>0.31055555555555553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1"/>
        <v>RICHARD RODRIGUEZ</v>
      </c>
      <c r="P29" t="str">
        <f>IF(DATA_AGOSTO_2025[[#This Row],[ASER_]]="","",F23)</f>
        <v>MELINA</v>
      </c>
      <c r="Q29">
        <f>IF(DATA_AGOSTO_2025[[#This Row],[SUPERVISOR]]="","",D23)</f>
        <v>22360</v>
      </c>
      <c r="R29">
        <f>IF(DATA_AGOSTO_2025[[#This Row],[RECUPERO]]="","",VLOOKUP(DATA_AGOSTO_2025[[#This Row],[SUPERVISOR]],$H:$I,2,0))</f>
        <v>72000</v>
      </c>
    </row>
    <row r="30" spans="1:18" x14ac:dyDescent="0.25">
      <c r="A30" s="10" t="s">
        <v>2</v>
      </c>
      <c r="B30" s="10" t="str">
        <f>TRIM(D1_AGOSTO[[#This Row],[ASESOR]])</f>
        <v>FRANS TACSI</v>
      </c>
      <c r="C30" s="10" t="s">
        <v>16</v>
      </c>
      <c r="D30" s="10">
        <v>29590</v>
      </c>
      <c r="E30">
        <f>D1_AGOSTO[[#This Row],[RECUPERO]]/VLOOKUP(F30,$H:$I,2,0)</f>
        <v>0.54796296296296299</v>
      </c>
      <c r="F30" t="str">
        <f>D1_AGOSTO[[#This Row],[SUPER]]</f>
        <v>JORGE</v>
      </c>
      <c r="L30">
        <v>10</v>
      </c>
      <c r="M30" s="1">
        <f t="shared" si="0"/>
        <v>0.1388888888888889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1"/>
        <v>GERSON LAZARO</v>
      </c>
      <c r="P30" t="str">
        <f>IF(DATA_AGOSTO_2025[[#This Row],[ASER_]]="","",F24)</f>
        <v>MELINA</v>
      </c>
      <c r="Q30">
        <f>IF(DATA_AGOSTO_2025[[#This Row],[SUPERVISOR]]="","",D24)</f>
        <v>10000</v>
      </c>
      <c r="R30">
        <f>IF(DATA_AGOSTO_2025[[#This Row],[RECUPERO]]="","",VLOOKUP(DATA_AGOSTO_2025[[#This Row],[SUPERVISOR]],$H:$I,2,0))</f>
        <v>72000</v>
      </c>
    </row>
    <row r="31" spans="1:18" x14ac:dyDescent="0.25">
      <c r="A31" s="10" t="s">
        <v>2</v>
      </c>
      <c r="B31" s="10" t="str">
        <f>TRIM(D1_AGOSTO[[#This Row],[ASESOR]])</f>
        <v>GIANFRANCO PINEDO</v>
      </c>
      <c r="C31" s="10" t="s">
        <v>13</v>
      </c>
      <c r="D31" s="10">
        <v>20682</v>
      </c>
      <c r="E31">
        <f>D1_AGOSTO[[#This Row],[RECUPERO]]/VLOOKUP(F31,$H:$I,2,0)</f>
        <v>0.38300000000000001</v>
      </c>
      <c r="F31" t="str">
        <f>D1_AGOSTO[[#This Row],[SUPER]]</f>
        <v>JORGE</v>
      </c>
      <c r="L31">
        <v>11</v>
      </c>
      <c r="M31" s="1">
        <f t="shared" si="0"/>
        <v>0</v>
      </c>
      <c r="N31" t="str" cm="1">
        <f t="array" ref="N31">IFERROR(_xlfn.IFS(M31&gt;100%,"&gt;100%",AND(M31&lt;100%,M31&gt;70%),"&gt;70%",AND(M31&lt;70%,M31&gt;40%),"&gt;40%",AND(M31&lt;40%,M31&gt;0%),"&gt;0%"),"")</f>
        <v/>
      </c>
      <c r="O31" t="str">
        <f t="shared" si="1"/>
        <v/>
      </c>
      <c r="P31" t="str">
        <f>IF(DATA_AGOSTO_2025[[#This Row],[ASER_]]="","",F25)</f>
        <v/>
      </c>
      <c r="Q31" t="str">
        <f>IF(DATA_AGOSTO_2025[[#This Row],[SUPERVISOR]]="","",D25)</f>
        <v/>
      </c>
      <c r="R31" t="str">
        <f>IF(DATA_AGOSTO_2025[[#This Row],[RECUPERO]]="","",VLOOKUP(DATA_AGOSTO_2025[[#This Row],[SUPERVISOR]],$H:$I,2,0))</f>
        <v/>
      </c>
    </row>
    <row r="32" spans="1:18" x14ac:dyDescent="0.25">
      <c r="A32" s="10" t="s">
        <v>2</v>
      </c>
      <c r="B32" s="10" t="str">
        <f>TRIM(D1_AGOSTO[[#This Row],[ASESOR]])</f>
        <v>GENESIS VICUNA</v>
      </c>
      <c r="C32" s="10" t="s">
        <v>12</v>
      </c>
      <c r="D32" s="10">
        <v>19455</v>
      </c>
      <c r="E32">
        <f>D1_AGOSTO[[#This Row],[RECUPERO]]/VLOOKUP(F32,$H:$I,2,0)</f>
        <v>0.36027777777777775</v>
      </c>
      <c r="F32" t="str">
        <f>D1_AGOSTO[[#This Row],[SUPER]]</f>
        <v>JORGE</v>
      </c>
      <c r="L32">
        <v>12</v>
      </c>
      <c r="M32" s="1">
        <f t="shared" si="0"/>
        <v>0</v>
      </c>
      <c r="N32" t="str" cm="1">
        <f t="array" ref="N32">IFERROR(_xlfn.IFS(M32&gt;100%,"&gt;100%",AND(M32&lt;100%,M32&gt;70%),"&gt;70%",AND(M32&lt;70%,M32&gt;40%),"&gt;40%",AND(M32&lt;40%,M32&gt;0%),"&gt;0%"),"")</f>
        <v/>
      </c>
      <c r="O32" t="str">
        <f t="shared" si="1"/>
        <v/>
      </c>
      <c r="P32" t="str">
        <f>IF(DATA_AGOSTO_2025[[#This Row],[ASER_]]="","",F26)</f>
        <v/>
      </c>
      <c r="Q32" t="str">
        <f>IF(DATA_AGOSTO_2025[[#This Row],[SUPERVISOR]]="","",D26)</f>
        <v/>
      </c>
      <c r="R32" t="str">
        <f>IF(DATA_AGOSTO_2025[[#This Row],[RECUPERO]]="","",VLOOKUP(DATA_AGOSTO_2025[[#This Row],[SUPERVISOR]],$H:$I,2,0))</f>
        <v/>
      </c>
    </row>
    <row r="33" spans="1:18" x14ac:dyDescent="0.25">
      <c r="A33" s="10" t="s">
        <v>2</v>
      </c>
      <c r="B33" s="10" t="str">
        <f>TRIM(D1_AGOSTO[[#This Row],[ASESOR]])</f>
        <v>ANDERSON RODRIGUEZ</v>
      </c>
      <c r="C33" s="10" t="s">
        <v>15</v>
      </c>
      <c r="D33" s="10">
        <v>18777</v>
      </c>
      <c r="E33">
        <f>D1_AGOSTO[[#This Row],[RECUPERO]]/VLOOKUP(F33,$H:$I,2,0)</f>
        <v>0.34772222222222221</v>
      </c>
      <c r="F33" t="str">
        <f>D1_AGOSTO[[#This Row],[SUPER]]</f>
        <v>JORGE</v>
      </c>
      <c r="L33">
        <v>1</v>
      </c>
      <c r="M33" s="1">
        <f t="shared" si="0"/>
        <v>0.89207407407407402</v>
      </c>
      <c r="N33" t="str" cm="1">
        <f t="array" ref="N33">IFERROR(_xlfn.IFS(M33&gt;100%,"&gt;100%",AND(M33&lt;100%,M33&gt;70%),"&gt;70%",AND(M33&lt;70%,M33&gt;40%),"&gt;40%",AND(M33&lt;40%,M33&gt;0%),"&gt;0%"),"")</f>
        <v>&gt;70%</v>
      </c>
      <c r="O33" t="str">
        <f t="shared" si="1"/>
        <v>VERONICA TASAYCO</v>
      </c>
      <c r="P33" t="str">
        <f>IF(DATA_AGOSTO_2025[[#This Row],[ASER_]]="","",F27)</f>
        <v>JORGE</v>
      </c>
      <c r="Q33">
        <f>IF(DATA_AGOSTO_2025[[#This Row],[SUPERVISOR]]="","",D27)</f>
        <v>48172</v>
      </c>
      <c r="R33">
        <f>IF(DATA_AGOSTO_2025[[#This Row],[RECUPERO]]="","",VLOOKUP(DATA_AGOSTO_2025[[#This Row],[SUPERVISOR]],$H:$I,2,0))</f>
        <v>54000</v>
      </c>
    </row>
    <row r="34" spans="1:18" x14ac:dyDescent="0.25">
      <c r="A34" s="10" t="s">
        <v>2</v>
      </c>
      <c r="B34" s="10" t="str">
        <f>TRIM(D1_AGOSTO[[#This Row],[ASESOR]])</f>
        <v>MISHEL MORALES</v>
      </c>
      <c r="C34" s="10" t="s">
        <v>94</v>
      </c>
      <c r="D34" s="10">
        <v>10275</v>
      </c>
      <c r="E34">
        <f>D1_AGOSTO[[#This Row],[RECUPERO]]/VLOOKUP(F34,$H:$I,2,0)</f>
        <v>0.19027777777777777</v>
      </c>
      <c r="F34" t="str">
        <f>D1_AGOSTO[[#This Row],[SUPER]]</f>
        <v>JORGE</v>
      </c>
      <c r="L34">
        <v>2</v>
      </c>
      <c r="M34" s="1">
        <f t="shared" si="0"/>
        <v>0.65103703703703708</v>
      </c>
      <c r="N34" t="str" cm="1">
        <f t="array" ref="N34">IFERROR(_xlfn.IFS(M34&gt;100%,"&gt;100%",AND(M34&lt;100%,M34&gt;70%),"&gt;70%",AND(M34&lt;70%,M34&gt;40%),"&gt;40%",AND(M34&lt;40%,M34&gt;0%),"&gt;0%"),"")</f>
        <v>&gt;40%</v>
      </c>
      <c r="O34" t="str">
        <f t="shared" si="1"/>
        <v>MARGARITA PIANCHACHI</v>
      </c>
      <c r="P34" t="str">
        <f>IF(DATA_AGOSTO_2025[[#This Row],[ASER_]]="","",F28)</f>
        <v>JORGE</v>
      </c>
      <c r="Q34">
        <f>IF(DATA_AGOSTO_2025[[#This Row],[SUPERVISOR]]="","",D28)</f>
        <v>35156</v>
      </c>
      <c r="R34">
        <f>IF(DATA_AGOSTO_2025[[#This Row],[RECUPERO]]="","",VLOOKUP(DATA_AGOSTO_2025[[#This Row],[SUPERVISOR]],$H:$I,2,0))</f>
        <v>54000</v>
      </c>
    </row>
    <row r="35" spans="1:18" x14ac:dyDescent="0.25">
      <c r="A35" s="10" t="s">
        <v>2</v>
      </c>
      <c r="B35" s="10" t="str">
        <f>TRIM(D1_AGOSTO[[#This Row],[ASESOR]])</f>
        <v>BRINA SOTO</v>
      </c>
      <c r="C35" s="10" t="s">
        <v>14</v>
      </c>
      <c r="D35" s="10">
        <v>8134</v>
      </c>
      <c r="E35">
        <f>D1_AGOSTO[[#This Row],[RECUPERO]]/VLOOKUP(F35,$H:$I,2,0)</f>
        <v>0.15062962962962964</v>
      </c>
      <c r="F35" t="str">
        <f>D1_AGOSTO[[#This Row],[SUPER]]</f>
        <v>JORGE</v>
      </c>
      <c r="L35">
        <v>3</v>
      </c>
      <c r="M35" s="1">
        <f t="shared" si="0"/>
        <v>0.57211111111111113</v>
      </c>
      <c r="N35" t="str" cm="1">
        <f t="array" ref="N35">IFERROR(_xlfn.IFS(M35&gt;100%,"&gt;100%",AND(M35&lt;100%,M35&gt;70%),"&gt;70%",AND(M35&lt;70%,M35&gt;40%),"&gt;40%",AND(M35&lt;40%,M35&gt;0%),"&gt;0%"),"")</f>
        <v>&gt;40%</v>
      </c>
      <c r="O35" t="str">
        <f t="shared" si="1"/>
        <v>MILAGROS QUIO</v>
      </c>
      <c r="P35" t="str">
        <f>IF(DATA_AGOSTO_2025[[#This Row],[ASER_]]="","",F29)</f>
        <v>JORGE</v>
      </c>
      <c r="Q35">
        <f>IF(DATA_AGOSTO_2025[[#This Row],[SUPERVISOR]]="","",D29)</f>
        <v>30894</v>
      </c>
      <c r="R35">
        <f>IF(DATA_AGOSTO_2025[[#This Row],[RECUPERO]]="","",VLOOKUP(DATA_AGOSTO_2025[[#This Row],[SUPERVISOR]],$H:$I,2,0))</f>
        <v>54000</v>
      </c>
    </row>
    <row r="36" spans="1:18" x14ac:dyDescent="0.25">
      <c r="A36" s="10" t="s">
        <v>2</v>
      </c>
      <c r="B36" s="10" t="str">
        <f>TRIM(D1_AGOSTO[[#This Row],[ASESOR]])</f>
        <v/>
      </c>
      <c r="C36" s="10"/>
      <c r="D36" s="10"/>
      <c r="E36">
        <f>D1_AGOSTO[[#This Row],[RECUPERO]]/VLOOKUP(F36,$H:$I,2,0)</f>
        <v>0</v>
      </c>
      <c r="F36" t="str">
        <f>D1_AGOSTO[[#This Row],[SUPER]]</f>
        <v>JORGE</v>
      </c>
      <c r="L36">
        <v>4</v>
      </c>
      <c r="M36" s="1">
        <f t="shared" si="0"/>
        <v>0.54796296296296299</v>
      </c>
      <c r="N36" t="str" cm="1">
        <f t="array" ref="N36">IFERROR(_xlfn.IFS(M36&gt;100%,"&gt;100%",AND(M36&lt;100%,M36&gt;70%),"&gt;70%",AND(M36&lt;70%,M36&gt;40%),"&gt;40%",AND(M36&lt;40%,M36&gt;0%),"&gt;0%"),"")</f>
        <v>&gt;40%</v>
      </c>
      <c r="O36" t="str">
        <f t="shared" si="1"/>
        <v>FRANS TACSI</v>
      </c>
      <c r="P36" t="str">
        <f>IF(DATA_AGOSTO_2025[[#This Row],[ASER_]]="","",F30)</f>
        <v>JORGE</v>
      </c>
      <c r="Q36">
        <f>IF(DATA_AGOSTO_2025[[#This Row],[SUPERVISOR]]="","",D30)</f>
        <v>29590</v>
      </c>
      <c r="R36">
        <f>IF(DATA_AGOSTO_2025[[#This Row],[RECUPERO]]="","",VLOOKUP(DATA_AGOSTO_2025[[#This Row],[SUPERVISOR]],$H:$I,2,0))</f>
        <v>54000</v>
      </c>
    </row>
    <row r="37" spans="1:18" x14ac:dyDescent="0.25">
      <c r="A37" s="10" t="s">
        <v>2</v>
      </c>
      <c r="B37" s="10" t="str">
        <f>TRIM(D1_AGOSTO[[#This Row],[ASESOR]])</f>
        <v/>
      </c>
      <c r="C37" s="10"/>
      <c r="D37" s="10"/>
      <c r="E37">
        <f>D1_AGOSTO[[#This Row],[RECUPERO]]/VLOOKUP(F37,$H:$I,2,0)</f>
        <v>0</v>
      </c>
      <c r="F37" t="str">
        <f>D1_AGOSTO[[#This Row],[SUPER]]</f>
        <v>JORGE</v>
      </c>
      <c r="L37">
        <v>5</v>
      </c>
      <c r="M37" s="1">
        <f t="shared" si="0"/>
        <v>0.38300000000000001</v>
      </c>
      <c r="N37" t="str" cm="1">
        <f t="array" ref="N37">IFERROR(_xlfn.IFS(M37&gt;100%,"&gt;100%",AND(M37&lt;100%,M37&gt;70%),"&gt;70%",AND(M37&lt;70%,M37&gt;40%),"&gt;40%",AND(M37&lt;40%,M37&gt;0%),"&gt;0%"),"")</f>
        <v>&gt;0%</v>
      </c>
      <c r="O37" t="str">
        <f t="shared" si="1"/>
        <v>GIANFRANCO PINEDO</v>
      </c>
      <c r="P37" t="str">
        <f>IF(DATA_AGOSTO_2025[[#This Row],[ASER_]]="","",F31)</f>
        <v>JORGE</v>
      </c>
      <c r="Q37">
        <f>IF(DATA_AGOSTO_2025[[#This Row],[SUPERVISOR]]="","",D31)</f>
        <v>20682</v>
      </c>
      <c r="R37">
        <f>IF(DATA_AGOSTO_2025[[#This Row],[RECUPERO]]="","",VLOOKUP(DATA_AGOSTO_2025[[#This Row],[SUPERVISOR]],$H:$I,2,0))</f>
        <v>54000</v>
      </c>
    </row>
    <row r="38" spans="1:18" x14ac:dyDescent="0.25">
      <c r="A38" s="10" t="s">
        <v>2</v>
      </c>
      <c r="B38" s="10" t="str">
        <f>TRIM(D1_AGOSTO[[#This Row],[ASESOR]])</f>
        <v/>
      </c>
      <c r="C38" s="10"/>
      <c r="D38" s="10"/>
      <c r="E38">
        <f>D1_AGOSTO[[#This Row],[RECUPERO]]/VLOOKUP(F38,$H:$I,2,0)</f>
        <v>0</v>
      </c>
      <c r="F38" t="str">
        <f>D1_AGOSTO[[#This Row],[SUPER]]</f>
        <v>JORGE</v>
      </c>
      <c r="L38">
        <v>6</v>
      </c>
      <c r="M38" s="1">
        <f t="shared" si="0"/>
        <v>0.36027777777777775</v>
      </c>
      <c r="N38" t="str" cm="1">
        <f t="array" ref="N38">IFERROR(_xlfn.IFS(M38&gt;100%,"&gt;100%",AND(M38&lt;100%,M38&gt;70%),"&gt;70%",AND(M38&lt;70%,M38&gt;40%),"&gt;40%",AND(M38&lt;40%,M38&gt;0%),"&gt;0%"),"")</f>
        <v>&gt;0%</v>
      </c>
      <c r="O38" t="str">
        <f t="shared" si="1"/>
        <v>GENESIS VICUNA</v>
      </c>
      <c r="P38" t="str">
        <f>IF(DATA_AGOSTO_2025[[#This Row],[ASER_]]="","",F32)</f>
        <v>JORGE</v>
      </c>
      <c r="Q38">
        <f>IF(DATA_AGOSTO_2025[[#This Row],[SUPERVISOR]]="","",D32)</f>
        <v>19455</v>
      </c>
      <c r="R38">
        <f>IF(DATA_AGOSTO_2025[[#This Row],[RECUPERO]]="","",VLOOKUP(DATA_AGOSTO_2025[[#This Row],[SUPERVISOR]],$H:$I,2,0))</f>
        <v>54000</v>
      </c>
    </row>
    <row r="39" spans="1:18" x14ac:dyDescent="0.25">
      <c r="A39" s="10" t="s">
        <v>5</v>
      </c>
      <c r="B39" s="10" t="str">
        <f>TRIM(D1_AGOSTO[[#This Row],[ASESOR]])</f>
        <v>ANTHONY TORRES</v>
      </c>
      <c r="C39" s="10" t="s">
        <v>69</v>
      </c>
      <c r="D39" s="10">
        <v>39333.5</v>
      </c>
      <c r="E39">
        <f>D1_AGOSTO[[#This Row],[RECUPERO]]/VLOOKUP(F39,$H:$I,2,0)</f>
        <v>0.72839814814814818</v>
      </c>
      <c r="F39" t="str">
        <f>D1_AGOSTO[[#This Row],[SUPER]]</f>
        <v>JORDAN</v>
      </c>
      <c r="L39">
        <v>7</v>
      </c>
      <c r="M39" s="1">
        <f t="shared" si="0"/>
        <v>0.34772222222222221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1"/>
        <v>ANDERSON RODRIGUEZ</v>
      </c>
      <c r="P39" t="str">
        <f>IF(DATA_AGOSTO_2025[[#This Row],[ASER_]]="","",F33)</f>
        <v>JORGE</v>
      </c>
      <c r="Q39">
        <f>IF(DATA_AGOSTO_2025[[#This Row],[SUPERVISOR]]="","",D33)</f>
        <v>18777</v>
      </c>
      <c r="R39">
        <f>IF(DATA_AGOSTO_2025[[#This Row],[RECUPERO]]="","",VLOOKUP(DATA_AGOSTO_2025[[#This Row],[SUPERVISOR]],$H:$I,2,0))</f>
        <v>54000</v>
      </c>
    </row>
    <row r="40" spans="1:18" x14ac:dyDescent="0.25">
      <c r="A40" s="10" t="s">
        <v>5</v>
      </c>
      <c r="B40" s="10" t="str">
        <f>TRIM(D1_AGOSTO[[#This Row],[ASESOR]])</f>
        <v>GILBERTO PURIZACA</v>
      </c>
      <c r="C40" s="10" t="s">
        <v>66</v>
      </c>
      <c r="D40" s="10">
        <v>37057</v>
      </c>
      <c r="E40">
        <f>D1_AGOSTO[[#This Row],[RECUPERO]]/VLOOKUP(F40,$H:$I,2,0)</f>
        <v>0.68624074074074071</v>
      </c>
      <c r="F40" t="str">
        <f>D1_AGOSTO[[#This Row],[SUPER]]</f>
        <v>JORDAN</v>
      </c>
      <c r="L40">
        <v>8</v>
      </c>
      <c r="M40" s="1">
        <f t="shared" si="0"/>
        <v>0.19027777777777777</v>
      </c>
      <c r="N40" t="str" cm="1">
        <f t="array" ref="N40">IFERROR(_xlfn.IFS(M40&gt;100%,"&gt;100%",AND(M40&lt;100%,M40&gt;70%),"&gt;70%",AND(M40&lt;70%,M40&gt;40%),"&gt;40%",AND(M40&lt;40%,M40&gt;0%),"&gt;0%"),"")</f>
        <v>&gt;0%</v>
      </c>
      <c r="O40" t="str">
        <f t="shared" si="1"/>
        <v>MISHEL MORALES</v>
      </c>
      <c r="P40" t="str">
        <f>IF(DATA_AGOSTO_2025[[#This Row],[ASER_]]="","",F34)</f>
        <v>JORGE</v>
      </c>
      <c r="Q40">
        <f>IF(DATA_AGOSTO_2025[[#This Row],[SUPERVISOR]]="","",D34)</f>
        <v>10275</v>
      </c>
      <c r="R40">
        <f>IF(DATA_AGOSTO_2025[[#This Row],[RECUPERO]]="","",VLOOKUP(DATA_AGOSTO_2025[[#This Row],[SUPERVISOR]],$H:$I,2,0))</f>
        <v>54000</v>
      </c>
    </row>
    <row r="41" spans="1:18" x14ac:dyDescent="0.25">
      <c r="A41" s="10" t="s">
        <v>5</v>
      </c>
      <c r="B41" s="10" t="str">
        <f>TRIM(D1_AGOSTO[[#This Row],[ASESOR]])</f>
        <v>MERLY CORONEL</v>
      </c>
      <c r="C41" s="10" t="s">
        <v>70</v>
      </c>
      <c r="D41" s="10">
        <v>31860</v>
      </c>
      <c r="E41">
        <f>D1_AGOSTO[[#This Row],[RECUPERO]]/VLOOKUP(F41,$H:$I,2,0)</f>
        <v>0.59</v>
      </c>
      <c r="F41" t="str">
        <f>D1_AGOSTO[[#This Row],[SUPER]]</f>
        <v>JORDAN</v>
      </c>
      <c r="L41">
        <v>9</v>
      </c>
      <c r="M41" s="1">
        <f t="shared" si="0"/>
        <v>0.15062962962962964</v>
      </c>
      <c r="N41" t="str" cm="1">
        <f t="array" ref="N41">IFERROR(_xlfn.IFS(M41&gt;100%,"&gt;100%",AND(M41&lt;100%,M41&gt;70%),"&gt;70%",AND(M41&lt;70%,M41&gt;40%),"&gt;40%",AND(M41&lt;40%,M41&gt;0%),"&gt;0%"),"")</f>
        <v>&gt;0%</v>
      </c>
      <c r="O41" t="str">
        <f t="shared" si="1"/>
        <v>BRINA SOTO</v>
      </c>
      <c r="P41" t="str">
        <f>IF(DATA_AGOSTO_2025[[#This Row],[ASER_]]="","",F35)</f>
        <v>JORGE</v>
      </c>
      <c r="Q41">
        <f>IF(DATA_AGOSTO_2025[[#This Row],[SUPERVISOR]]="","",D35)</f>
        <v>8134</v>
      </c>
      <c r="R41">
        <f>IF(DATA_AGOSTO_2025[[#This Row],[RECUPERO]]="","",VLOOKUP(DATA_AGOSTO_2025[[#This Row],[SUPERVISOR]],$H:$I,2,0))</f>
        <v>54000</v>
      </c>
    </row>
    <row r="42" spans="1:18" x14ac:dyDescent="0.25">
      <c r="A42" s="10" t="s">
        <v>5</v>
      </c>
      <c r="B42" s="10" t="str">
        <f>TRIM(D1_AGOSTO[[#This Row],[ASESOR]])</f>
        <v>AURORA FAUSTOR</v>
      </c>
      <c r="C42" s="10" t="s">
        <v>67</v>
      </c>
      <c r="D42" s="10">
        <v>29713</v>
      </c>
      <c r="E42">
        <f>D1_AGOSTO[[#This Row],[RECUPERO]]/VLOOKUP(F42,$H:$I,2,0)</f>
        <v>0.5502407407407407</v>
      </c>
      <c r="F42" t="str">
        <f>D1_AGOSTO[[#This Row],[SUPER]]</f>
        <v>JORDAN</v>
      </c>
      <c r="L42">
        <v>10</v>
      </c>
      <c r="M42" s="1">
        <f t="shared" si="0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1"/>
        <v/>
      </c>
      <c r="P42" t="str">
        <f>IF(DATA_AGOSTO_2025[[#This Row],[ASER_]]="","",F36)</f>
        <v/>
      </c>
      <c r="Q42" t="str">
        <f>IF(DATA_AGOSTO_2025[[#This Row],[SUPERVISOR]]="","",D36)</f>
        <v/>
      </c>
      <c r="R42" t="str">
        <f>IF(DATA_AGOSTO_2025[[#This Row],[RECUPERO]]="","",VLOOKUP(DATA_AGOSTO_2025[[#This Row],[SUPERVISOR]],$H:$I,2,0))</f>
        <v/>
      </c>
    </row>
    <row r="43" spans="1:18" x14ac:dyDescent="0.25">
      <c r="A43" s="10" t="s">
        <v>5</v>
      </c>
      <c r="B43" s="10" t="str">
        <f>TRIM(D1_AGOSTO[[#This Row],[ASESOR]])</f>
        <v>LUCERO JORDAN</v>
      </c>
      <c r="C43" s="10" t="s">
        <v>68</v>
      </c>
      <c r="D43" s="10">
        <v>27482</v>
      </c>
      <c r="E43">
        <f>D1_AGOSTO[[#This Row],[RECUPERO]]/VLOOKUP(F43,$H:$I,2,0)</f>
        <v>0.50892592592592589</v>
      </c>
      <c r="F43" t="str">
        <f>D1_AGOSTO[[#This Row],[SUPER]]</f>
        <v>JORDAN</v>
      </c>
      <c r="L43">
        <v>11</v>
      </c>
      <c r="M43" s="1">
        <f t="shared" si="0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1"/>
        <v/>
      </c>
      <c r="P43" t="str">
        <f>IF(DATA_AGOSTO_2025[[#This Row],[ASER_]]="","",F37)</f>
        <v/>
      </c>
      <c r="Q43" t="str">
        <f>IF(DATA_AGOSTO_2025[[#This Row],[SUPERVISOR]]="","",D37)</f>
        <v/>
      </c>
      <c r="R43" t="str">
        <f>IF(DATA_AGOSTO_2025[[#This Row],[RECUPERO]]="","",VLOOKUP(DATA_AGOSTO_2025[[#This Row],[SUPERVISOR]],$H:$I,2,0))</f>
        <v/>
      </c>
    </row>
    <row r="44" spans="1:18" x14ac:dyDescent="0.25">
      <c r="A44" s="10" t="s">
        <v>5</v>
      </c>
      <c r="B44" s="10" t="str">
        <f>TRIM(D1_AGOSTO[[#This Row],[ASESOR]])</f>
        <v>GIULIANA QUISPE</v>
      </c>
      <c r="C44" s="10" t="s">
        <v>71</v>
      </c>
      <c r="D44" s="10">
        <v>21644</v>
      </c>
      <c r="E44">
        <f>D1_AGOSTO[[#This Row],[RECUPERO]]/VLOOKUP(F44,$H:$I,2,0)</f>
        <v>0.40081481481481479</v>
      </c>
      <c r="F44" t="str">
        <f>D1_AGOSTO[[#This Row],[SUPER]]</f>
        <v>JORDAN</v>
      </c>
      <c r="L44">
        <v>12</v>
      </c>
      <c r="M44" s="1">
        <f t="shared" si="0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1"/>
        <v/>
      </c>
      <c r="P44" t="str">
        <f>IF(DATA_AGOSTO_2025[[#This Row],[ASER_]]="","",F38)</f>
        <v/>
      </c>
      <c r="Q44" t="str">
        <f>IF(DATA_AGOSTO_2025[[#This Row],[SUPERVISOR]]="","",D38)</f>
        <v/>
      </c>
      <c r="R44" t="str">
        <f>IF(DATA_AGOSTO_2025[[#This Row],[RECUPERO]]="","",VLOOKUP(DATA_AGOSTO_2025[[#This Row],[SUPERVISOR]],$H:$I,2,0))</f>
        <v/>
      </c>
    </row>
    <row r="45" spans="1:18" x14ac:dyDescent="0.25">
      <c r="A45" s="10" t="s">
        <v>5</v>
      </c>
      <c r="B45" s="10" t="str">
        <f>TRIM(D1_AGOSTO[[#This Row],[ASESOR]])</f>
        <v>ERIKA VILLAR</v>
      </c>
      <c r="C45" s="10" t="s">
        <v>72</v>
      </c>
      <c r="D45" s="10">
        <v>13131.57</v>
      </c>
      <c r="E45">
        <f>D1_AGOSTO[[#This Row],[RECUPERO]]/VLOOKUP(F45,$H:$I,2,0)</f>
        <v>0.24317722222222221</v>
      </c>
      <c r="F45" t="str">
        <f>D1_AGOSTO[[#This Row],[SUPER]]</f>
        <v>JORDAN</v>
      </c>
      <c r="L45">
        <v>1</v>
      </c>
      <c r="M45" s="1">
        <f t="shared" si="0"/>
        <v>0.72839814814814818</v>
      </c>
      <c r="N45" t="str" cm="1">
        <f t="array" ref="N45">IFERROR(_xlfn.IFS(M45&gt;100%,"&gt;100%",AND(M45&lt;100%,M45&gt;70%),"&gt;70%",AND(M45&lt;70%,M45&gt;40%),"&gt;40%",AND(M45&lt;40%,M45&gt;0%),"&gt;0%"),"")</f>
        <v>&gt;70%</v>
      </c>
      <c r="O45" t="str">
        <f t="shared" si="1"/>
        <v>ANTHONY TORRES</v>
      </c>
      <c r="P45" t="str">
        <f>IF(DATA_AGOSTO_2025[[#This Row],[ASER_]]="","",F39)</f>
        <v>JORDAN</v>
      </c>
      <c r="Q45">
        <f>IF(DATA_AGOSTO_2025[[#This Row],[SUPERVISOR]]="","",D39)</f>
        <v>39333.5</v>
      </c>
      <c r="R45">
        <f>IF(DATA_AGOSTO_2025[[#This Row],[RECUPERO]]="","",VLOOKUP(DATA_AGOSTO_2025[[#This Row],[SUPERVISOR]],$H:$I,2,0))</f>
        <v>54000</v>
      </c>
    </row>
    <row r="46" spans="1:18" x14ac:dyDescent="0.25">
      <c r="A46" s="10" t="s">
        <v>5</v>
      </c>
      <c r="B46" s="10" t="str">
        <f>TRIM(D1_AGOSTO[[#This Row],[ASESOR]])</f>
        <v>SARITA GARAY</v>
      </c>
      <c r="C46" s="10" t="s">
        <v>73</v>
      </c>
      <c r="D46" s="10">
        <v>6185</v>
      </c>
      <c r="E46">
        <f>D1_AGOSTO[[#This Row],[RECUPERO]]/VLOOKUP(F46,$H:$I,2,0)</f>
        <v>0.11453703703703703</v>
      </c>
      <c r="F46" t="str">
        <f>D1_AGOSTO[[#This Row],[SUPER]]</f>
        <v>JORDAN</v>
      </c>
      <c r="L46">
        <v>2</v>
      </c>
      <c r="M46" s="1">
        <f t="shared" si="0"/>
        <v>0.68624074074074071</v>
      </c>
      <c r="N46" t="str" cm="1">
        <f t="array" ref="N46">IFERROR(_xlfn.IFS(M46&gt;100%,"&gt;100%",AND(M46&lt;100%,M46&gt;70%),"&gt;70%",AND(M46&lt;70%,M46&gt;40%),"&gt;40%",AND(M46&lt;40%,M46&gt;0%),"&gt;0%"),"")</f>
        <v>&gt;40%</v>
      </c>
      <c r="O46" t="str">
        <f t="shared" si="1"/>
        <v>GILBERTO PURIZACA</v>
      </c>
      <c r="P46" t="str">
        <f>IF(DATA_AGOSTO_2025[[#This Row],[ASER_]]="","",F40)</f>
        <v>JORDAN</v>
      </c>
      <c r="Q46">
        <f>IF(DATA_AGOSTO_2025[[#This Row],[SUPERVISOR]]="","",D40)</f>
        <v>37057</v>
      </c>
      <c r="R46">
        <f>IF(DATA_AGOSTO_2025[[#This Row],[RECUPERO]]="","",VLOOKUP(DATA_AGOSTO_2025[[#This Row],[SUPERVISOR]],$H:$I,2,0))</f>
        <v>54000</v>
      </c>
    </row>
    <row r="47" spans="1:18" x14ac:dyDescent="0.25">
      <c r="A47" s="10" t="s">
        <v>5</v>
      </c>
      <c r="B47" s="10" t="str">
        <f>TRIM(D1_AGOSTO[[#This Row],[ASESOR]])</f>
        <v>JESSICA MELGAREJO</v>
      </c>
      <c r="C47" s="10" t="s">
        <v>99</v>
      </c>
      <c r="D47" s="10">
        <v>1671</v>
      </c>
      <c r="E47">
        <f>D1_AGOSTO[[#This Row],[RECUPERO]]/VLOOKUP(F47,$H:$I,2,0)</f>
        <v>3.0944444444444445E-2</v>
      </c>
      <c r="F47" t="str">
        <f>D1_AGOSTO[[#This Row],[SUPER]]</f>
        <v>JORDAN</v>
      </c>
      <c r="L47">
        <v>3</v>
      </c>
      <c r="M47" s="1">
        <f t="shared" si="0"/>
        <v>0.59</v>
      </c>
      <c r="N47" t="str" cm="1">
        <f t="array" ref="N47">IFERROR(_xlfn.IFS(M47&gt;100%,"&gt;100%",AND(M47&lt;100%,M47&gt;70%),"&gt;70%",AND(M47&lt;70%,M47&gt;40%),"&gt;40%",AND(M47&lt;40%,M47&gt;0%),"&gt;0%"),"")</f>
        <v>&gt;40%</v>
      </c>
      <c r="O47" t="str">
        <f t="shared" si="1"/>
        <v>MERLY CORONEL</v>
      </c>
      <c r="P47" t="str">
        <f>IF(DATA_AGOSTO_2025[[#This Row],[ASER_]]="","",F41)</f>
        <v>JORDAN</v>
      </c>
      <c r="Q47">
        <f>IF(DATA_AGOSTO_2025[[#This Row],[SUPERVISOR]]="","",D41)</f>
        <v>31860</v>
      </c>
      <c r="R47">
        <f>IF(DATA_AGOSTO_2025[[#This Row],[RECUPERO]]="","",VLOOKUP(DATA_AGOSTO_2025[[#This Row],[SUPERVISOR]],$H:$I,2,0))</f>
        <v>54000</v>
      </c>
    </row>
    <row r="48" spans="1:18" x14ac:dyDescent="0.25">
      <c r="A48" s="10" t="s">
        <v>5</v>
      </c>
      <c r="B48" s="10" t="str">
        <f>TRIM(D1_AGOSTO[[#This Row],[ASESOR]])</f>
        <v/>
      </c>
      <c r="C48" s="10"/>
      <c r="D48" s="10"/>
      <c r="E48">
        <f>D1_AGOSTO[[#This Row],[RECUPERO]]/VLOOKUP(F48,$H:$I,2,0)</f>
        <v>0</v>
      </c>
      <c r="F48" t="str">
        <f>D1_AGOSTO[[#This Row],[SUPER]]</f>
        <v>JORDAN</v>
      </c>
      <c r="L48">
        <v>4</v>
      </c>
      <c r="M48" s="1">
        <f t="shared" si="0"/>
        <v>0.5502407407407407</v>
      </c>
      <c r="N48" t="str" cm="1">
        <f t="array" ref="N48">IFERROR(_xlfn.IFS(M48&gt;100%,"&gt;100%",AND(M48&lt;100%,M48&gt;70%),"&gt;70%",AND(M48&lt;70%,M48&gt;40%),"&gt;40%",AND(M48&lt;40%,M48&gt;0%),"&gt;0%"),"")</f>
        <v>&gt;40%</v>
      </c>
      <c r="O48" t="str">
        <f t="shared" si="1"/>
        <v>AURORA FAUSTOR</v>
      </c>
      <c r="P48" t="str">
        <f>IF(DATA_AGOSTO_2025[[#This Row],[ASER_]]="","",F42)</f>
        <v>JORDAN</v>
      </c>
      <c r="Q48">
        <f>IF(DATA_AGOSTO_2025[[#This Row],[SUPERVISOR]]="","",D42)</f>
        <v>29713</v>
      </c>
      <c r="R48">
        <f>IF(DATA_AGOSTO_2025[[#This Row],[RECUPERO]]="","",VLOOKUP(DATA_AGOSTO_2025[[#This Row],[SUPERVISOR]],$H:$I,2,0))</f>
        <v>54000</v>
      </c>
    </row>
    <row r="49" spans="1:18" x14ac:dyDescent="0.25">
      <c r="A49" s="10" t="s">
        <v>5</v>
      </c>
      <c r="B49" s="10" t="str">
        <f>TRIM(D1_AGOSTO[[#This Row],[ASESOR]])</f>
        <v/>
      </c>
      <c r="C49" s="10"/>
      <c r="D49" s="10"/>
      <c r="E49">
        <f>D1_AGOSTO[[#This Row],[RECUPERO]]/VLOOKUP(F49,$H:$I,2,0)</f>
        <v>0</v>
      </c>
      <c r="F49" t="str">
        <f>D1_AGOSTO[[#This Row],[SUPER]]</f>
        <v>JORDAN</v>
      </c>
      <c r="L49">
        <v>5</v>
      </c>
      <c r="M49" s="1">
        <f t="shared" si="0"/>
        <v>0.50892592592592589</v>
      </c>
      <c r="N49" t="str" cm="1">
        <f t="array" ref="N49">IFERROR(_xlfn.IFS(M49&gt;100%,"&gt;100%",AND(M49&lt;100%,M49&gt;70%),"&gt;70%",AND(M49&lt;70%,M49&gt;40%),"&gt;40%",AND(M49&lt;40%,M49&gt;0%),"&gt;0%"),"")</f>
        <v>&gt;40%</v>
      </c>
      <c r="O49" t="str">
        <f t="shared" si="1"/>
        <v>LUCERO JORDAN</v>
      </c>
      <c r="P49" t="str">
        <f>IF(DATA_AGOSTO_2025[[#This Row],[ASER_]]="","",F43)</f>
        <v>JORDAN</v>
      </c>
      <c r="Q49">
        <f>IF(DATA_AGOSTO_2025[[#This Row],[SUPERVISOR]]="","",D43)</f>
        <v>27482</v>
      </c>
      <c r="R49">
        <f>IF(DATA_AGOSTO_2025[[#This Row],[RECUPERO]]="","",VLOOKUP(DATA_AGOSTO_2025[[#This Row],[SUPERVISOR]],$H:$I,2,0))</f>
        <v>54000</v>
      </c>
    </row>
    <row r="50" spans="1:18" x14ac:dyDescent="0.25">
      <c r="A50" s="10" t="s">
        <v>5</v>
      </c>
      <c r="B50" s="10" t="str">
        <f>TRIM(D1_AGOSTO[[#This Row],[ASESOR]])</f>
        <v/>
      </c>
      <c r="C50" s="10"/>
      <c r="D50" s="10"/>
      <c r="E50">
        <f>D1_AGOSTO[[#This Row],[RECUPERO]]/VLOOKUP(F50,$H:$I,2,0)</f>
        <v>0</v>
      </c>
      <c r="F50" t="str">
        <f>D1_AGOSTO[[#This Row],[SUPER]]</f>
        <v>JORDAN</v>
      </c>
      <c r="L50">
        <v>6</v>
      </c>
      <c r="M50" s="1">
        <f t="shared" si="0"/>
        <v>0.40081481481481479</v>
      </c>
      <c r="N50" t="str" cm="1">
        <f t="array" ref="N50">IFERROR(_xlfn.IFS(M50&gt;100%,"&gt;100%",AND(M50&lt;100%,M50&gt;70%),"&gt;70%",AND(M50&lt;70%,M50&gt;40%),"&gt;40%",AND(M50&lt;40%,M50&gt;0%),"&gt;0%"),"")</f>
        <v>&gt;40%</v>
      </c>
      <c r="O50" t="str">
        <f t="shared" si="1"/>
        <v>GIULIANA QUISPE</v>
      </c>
      <c r="P50" t="str">
        <f>IF(DATA_AGOSTO_2025[[#This Row],[ASER_]]="","",F44)</f>
        <v>JORDAN</v>
      </c>
      <c r="Q50">
        <f>IF(DATA_AGOSTO_2025[[#This Row],[SUPERVISOR]]="","",D44)</f>
        <v>21644</v>
      </c>
      <c r="R50">
        <f>IF(DATA_AGOSTO_2025[[#This Row],[RECUPERO]]="","",VLOOKUP(DATA_AGOSTO_2025[[#This Row],[SUPERVISOR]],$H:$I,2,0))</f>
        <v>54000</v>
      </c>
    </row>
    <row r="51" spans="1:18" x14ac:dyDescent="0.25">
      <c r="A51" s="10" t="s">
        <v>6</v>
      </c>
      <c r="B51" s="10" t="str">
        <f>TRIM(D1_AGOSTO[[#This Row],[ASESOR]])</f>
        <v>LUIS CENTENO</v>
      </c>
      <c r="C51" s="10" t="s">
        <v>31</v>
      </c>
      <c r="D51" s="10">
        <v>64790</v>
      </c>
      <c r="E51">
        <f>D1_AGOSTO[[#This Row],[RECUPERO]]/VLOOKUP(F51,$H:$I,2,0)</f>
        <v>2.4919230769230771</v>
      </c>
      <c r="F51" t="str">
        <f>D1_AGOSTO[[#This Row],[SUPER]]</f>
        <v>KENNETH</v>
      </c>
      <c r="L51">
        <v>7</v>
      </c>
      <c r="M51" s="1">
        <f t="shared" si="0"/>
        <v>0.24317722222222221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1"/>
        <v>ERIKA VILLAR</v>
      </c>
      <c r="P51" t="str">
        <f>IF(DATA_AGOSTO_2025[[#This Row],[ASER_]]="","",F45)</f>
        <v>JORDAN</v>
      </c>
      <c r="Q51">
        <f>IF(DATA_AGOSTO_2025[[#This Row],[SUPERVISOR]]="","",D45)</f>
        <v>13131.57</v>
      </c>
      <c r="R51">
        <f>IF(DATA_AGOSTO_2025[[#This Row],[RECUPERO]]="","",VLOOKUP(DATA_AGOSTO_2025[[#This Row],[SUPERVISOR]],$H:$I,2,0))</f>
        <v>54000</v>
      </c>
    </row>
    <row r="52" spans="1:18" x14ac:dyDescent="0.25">
      <c r="A52" s="10" t="s">
        <v>6</v>
      </c>
      <c r="B52" s="10" t="str">
        <f>TRIM(D1_AGOSTO[[#This Row],[ASESOR]])</f>
        <v>STWUAR MACURI</v>
      </c>
      <c r="C52" s="10" t="s">
        <v>34</v>
      </c>
      <c r="D52" s="10">
        <v>48660.54</v>
      </c>
      <c r="E52">
        <f>D1_AGOSTO[[#This Row],[RECUPERO]]/VLOOKUP(F52,$H:$I,2,0)</f>
        <v>1.8715592307692308</v>
      </c>
      <c r="F52" t="str">
        <f>D1_AGOSTO[[#This Row],[SUPER]]</f>
        <v>KENNETH</v>
      </c>
      <c r="L52">
        <v>8</v>
      </c>
      <c r="M52" s="1">
        <f t="shared" si="0"/>
        <v>0.11453703703703703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1"/>
        <v>SARITA GARAY</v>
      </c>
      <c r="P52" t="str">
        <f>IF(DATA_AGOSTO_2025[[#This Row],[ASER_]]="","",F46)</f>
        <v>JORDAN</v>
      </c>
      <c r="Q52">
        <f>IF(DATA_AGOSTO_2025[[#This Row],[SUPERVISOR]]="","",D46)</f>
        <v>6185</v>
      </c>
      <c r="R52">
        <f>IF(DATA_AGOSTO_2025[[#This Row],[RECUPERO]]="","",VLOOKUP(DATA_AGOSTO_2025[[#This Row],[SUPERVISOR]],$H:$I,2,0))</f>
        <v>54000</v>
      </c>
    </row>
    <row r="53" spans="1:18" x14ac:dyDescent="0.25">
      <c r="A53" s="10" t="s">
        <v>6</v>
      </c>
      <c r="B53" s="10" t="str">
        <f>TRIM(D1_AGOSTO[[#This Row],[ASESOR]])</f>
        <v>JIMENA MEDINA</v>
      </c>
      <c r="C53" s="10" t="s">
        <v>37</v>
      </c>
      <c r="D53" s="10">
        <v>44110</v>
      </c>
      <c r="E53">
        <f>D1_AGOSTO[[#This Row],[RECUPERO]]/VLOOKUP(F53,$H:$I,2,0)</f>
        <v>1.6965384615384616</v>
      </c>
      <c r="F53" t="str">
        <f>D1_AGOSTO[[#This Row],[SUPER]]</f>
        <v>KENNETH</v>
      </c>
      <c r="L53">
        <v>9</v>
      </c>
      <c r="M53" s="1">
        <f t="shared" si="0"/>
        <v>3.0944444444444445E-2</v>
      </c>
      <c r="N53" t="str" cm="1">
        <f t="array" ref="N53">IFERROR(_xlfn.IFS(M53&gt;100%,"&gt;100%",AND(M53&lt;100%,M53&gt;70%),"&gt;70%",AND(M53&lt;70%,M53&gt;40%),"&gt;40%",AND(M53&lt;40%,M53&gt;0%),"&gt;0%"),"")</f>
        <v>&gt;0%</v>
      </c>
      <c r="O53" t="str">
        <f t="shared" si="1"/>
        <v>JESSICA MELGAREJO</v>
      </c>
      <c r="P53" t="str">
        <f>IF(DATA_AGOSTO_2025[[#This Row],[ASER_]]="","",F47)</f>
        <v>JORDAN</v>
      </c>
      <c r="Q53">
        <f>IF(DATA_AGOSTO_2025[[#This Row],[SUPERVISOR]]="","",D47)</f>
        <v>1671</v>
      </c>
      <c r="R53">
        <f>IF(DATA_AGOSTO_2025[[#This Row],[RECUPERO]]="","",VLOOKUP(DATA_AGOSTO_2025[[#This Row],[SUPERVISOR]],$H:$I,2,0))</f>
        <v>54000</v>
      </c>
    </row>
    <row r="54" spans="1:18" x14ac:dyDescent="0.25">
      <c r="A54" s="10" t="s">
        <v>6</v>
      </c>
      <c r="B54" s="10" t="str">
        <f>TRIM(D1_AGOSTO[[#This Row],[ASESOR]])</f>
        <v>JUAN LOZA</v>
      </c>
      <c r="C54" s="10" t="s">
        <v>35</v>
      </c>
      <c r="D54" s="10">
        <v>30415</v>
      </c>
      <c r="E54">
        <f>D1_AGOSTO[[#This Row],[RECUPERO]]/VLOOKUP(F54,$H:$I,2,0)</f>
        <v>1.1698076923076923</v>
      </c>
      <c r="F54" t="str">
        <f>D1_AGOSTO[[#This Row],[SUPER]]</f>
        <v>KENNETH</v>
      </c>
      <c r="L54">
        <v>10</v>
      </c>
      <c r="M54" s="1">
        <f t="shared" si="0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1"/>
        <v/>
      </c>
      <c r="P54" t="str">
        <f>IF(DATA_AGOSTO_2025[[#This Row],[ASER_]]="","",F48)</f>
        <v/>
      </c>
      <c r="Q54" t="str">
        <f>IF(DATA_AGOSTO_2025[[#This Row],[SUPERVISOR]]="","",D48)</f>
        <v/>
      </c>
      <c r="R54" t="str">
        <f>IF(DATA_AGOSTO_2025[[#This Row],[RECUPERO]]="","",VLOOKUP(DATA_AGOSTO_2025[[#This Row],[SUPERVISOR]],$H:$I,2,0))</f>
        <v/>
      </c>
    </row>
    <row r="55" spans="1:18" x14ac:dyDescent="0.25">
      <c r="A55" s="10" t="s">
        <v>6</v>
      </c>
      <c r="B55" s="10" t="str">
        <f>TRIM(D1_AGOSTO[[#This Row],[ASESOR]])</f>
        <v>GIANNINA AGUILAR</v>
      </c>
      <c r="C55" s="10" t="s">
        <v>32</v>
      </c>
      <c r="D55" s="10">
        <v>26171.3</v>
      </c>
      <c r="E55">
        <f>D1_AGOSTO[[#This Row],[RECUPERO]]/VLOOKUP(F55,$H:$I,2,0)</f>
        <v>1.0065884615384615</v>
      </c>
      <c r="F55" t="str">
        <f>D1_AGOSTO[[#This Row],[SUPER]]</f>
        <v>KENNETH</v>
      </c>
      <c r="L55">
        <v>11</v>
      </c>
      <c r="M55" s="1">
        <f t="shared" si="0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1"/>
        <v/>
      </c>
      <c r="P55" t="str">
        <f>IF(DATA_AGOSTO_2025[[#This Row],[ASER_]]="","",F49)</f>
        <v/>
      </c>
      <c r="Q55" t="str">
        <f>IF(DATA_AGOSTO_2025[[#This Row],[SUPERVISOR]]="","",D49)</f>
        <v/>
      </c>
      <c r="R55" t="str">
        <f>IF(DATA_AGOSTO_2025[[#This Row],[RECUPERO]]="","",VLOOKUP(DATA_AGOSTO_2025[[#This Row],[SUPERVISOR]],$H:$I,2,0))</f>
        <v/>
      </c>
    </row>
    <row r="56" spans="1:18" x14ac:dyDescent="0.25">
      <c r="A56" s="10" t="s">
        <v>6</v>
      </c>
      <c r="B56" s="10" t="str">
        <f>TRIM(D1_AGOSTO[[#This Row],[ASESOR]])</f>
        <v>DARYL FERREL</v>
      </c>
      <c r="C56" s="10" t="s">
        <v>40</v>
      </c>
      <c r="D56" s="10">
        <v>14624</v>
      </c>
      <c r="E56">
        <f>D1_AGOSTO[[#This Row],[RECUPERO]]/VLOOKUP(F56,$H:$I,2,0)</f>
        <v>0.56246153846153846</v>
      </c>
      <c r="F56" t="str">
        <f>D1_AGOSTO[[#This Row],[SUPER]]</f>
        <v>KENNETH</v>
      </c>
      <c r="L56">
        <v>12</v>
      </c>
      <c r="M56" s="1">
        <f t="shared" si="0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1"/>
        <v/>
      </c>
      <c r="P56" t="str">
        <f>IF(DATA_AGOSTO_2025[[#This Row],[ASER_]]="","",F50)</f>
        <v/>
      </c>
      <c r="Q56" t="str">
        <f>IF(DATA_AGOSTO_2025[[#This Row],[SUPERVISOR]]="","",D50)</f>
        <v/>
      </c>
      <c r="R56" t="str">
        <f>IF(DATA_AGOSTO_2025[[#This Row],[RECUPERO]]="","",VLOOKUP(DATA_AGOSTO_2025[[#This Row],[SUPERVISOR]],$H:$I,2,0))</f>
        <v/>
      </c>
    </row>
    <row r="57" spans="1:18" x14ac:dyDescent="0.25">
      <c r="A57" s="10" t="s">
        <v>6</v>
      </c>
      <c r="B57" s="10" t="str">
        <f>TRIM(D1_AGOSTO[[#This Row],[ASESOR]])</f>
        <v>MARIA HUARCAYA</v>
      </c>
      <c r="C57" s="10" t="s">
        <v>38</v>
      </c>
      <c r="D57" s="10">
        <v>13222</v>
      </c>
      <c r="E57">
        <f>D1_AGOSTO[[#This Row],[RECUPERO]]/VLOOKUP(F57,$H:$I,2,0)</f>
        <v>0.50853846153846149</v>
      </c>
      <c r="F57" t="str">
        <f>D1_AGOSTO[[#This Row],[SUPER]]</f>
        <v>KENNETH</v>
      </c>
      <c r="L57">
        <v>1</v>
      </c>
      <c r="M57" s="1">
        <f t="shared" si="0"/>
        <v>2.4919230769230771</v>
      </c>
      <c r="N57" t="str" cm="1">
        <f t="array" ref="N57">IFERROR(_xlfn.IFS(M57&gt;100%,"&gt;100%",AND(M57&lt;100%,M57&gt;70%),"&gt;70%",AND(M57&lt;70%,M57&gt;40%),"&gt;40%",AND(M57&lt;40%,M57&gt;0%),"&gt;0%"),"")</f>
        <v>&gt;100%</v>
      </c>
      <c r="O57" t="str">
        <f t="shared" si="1"/>
        <v>LUIS CENTENO</v>
      </c>
      <c r="P57" t="str">
        <f>IF(DATA_AGOSTO_2025[[#This Row],[ASER_]]="","",F51)</f>
        <v>KENNETH</v>
      </c>
      <c r="Q57">
        <f>IF(DATA_AGOSTO_2025[[#This Row],[SUPERVISOR]]="","",D51)</f>
        <v>64790</v>
      </c>
      <c r="R57">
        <f>IF(DATA_AGOSTO_2025[[#This Row],[RECUPERO]]="","",VLOOKUP(DATA_AGOSTO_2025[[#This Row],[SUPERVISOR]],$H:$I,2,0))</f>
        <v>26000</v>
      </c>
    </row>
    <row r="58" spans="1:18" x14ac:dyDescent="0.25">
      <c r="A58" s="10" t="s">
        <v>6</v>
      </c>
      <c r="B58" s="10" t="str">
        <f>TRIM(D1_AGOSTO[[#This Row],[ASESOR]])</f>
        <v>LINDA TUESTA</v>
      </c>
      <c r="C58" s="10" t="s">
        <v>33</v>
      </c>
      <c r="D58" s="10">
        <v>13076</v>
      </c>
      <c r="E58">
        <f>D1_AGOSTO[[#This Row],[RECUPERO]]/VLOOKUP(F58,$H:$I,2,0)</f>
        <v>0.50292307692307692</v>
      </c>
      <c r="F58" t="str">
        <f>D1_AGOSTO[[#This Row],[SUPER]]</f>
        <v>KENNETH</v>
      </c>
      <c r="L58">
        <v>2</v>
      </c>
      <c r="M58" s="1">
        <f t="shared" si="0"/>
        <v>1.8715592307692308</v>
      </c>
      <c r="N58" t="str" cm="1">
        <f t="array" ref="N58">IFERROR(_xlfn.IFS(M58&gt;100%,"&gt;100%",AND(M58&lt;100%,M58&gt;70%),"&gt;70%",AND(M58&lt;70%,M58&gt;40%),"&gt;40%",AND(M58&lt;40%,M58&gt;0%),"&gt;0%"),"")</f>
        <v>&gt;100%</v>
      </c>
      <c r="O58" t="str">
        <f t="shared" si="1"/>
        <v>STWUAR MACURI</v>
      </c>
      <c r="P58" t="str">
        <f>IF(DATA_AGOSTO_2025[[#This Row],[ASER_]]="","",F52)</f>
        <v>KENNETH</v>
      </c>
      <c r="Q58">
        <f>IF(DATA_AGOSTO_2025[[#This Row],[SUPERVISOR]]="","",D52)</f>
        <v>48660.54</v>
      </c>
      <c r="R58">
        <f>IF(DATA_AGOSTO_2025[[#This Row],[RECUPERO]]="","",VLOOKUP(DATA_AGOSTO_2025[[#This Row],[SUPERVISOR]],$H:$I,2,0))</f>
        <v>26000</v>
      </c>
    </row>
    <row r="59" spans="1:18" x14ac:dyDescent="0.25">
      <c r="A59" s="10" t="s">
        <v>6</v>
      </c>
      <c r="B59" s="10" t="str">
        <f>TRIM(D1_AGOSTO[[#This Row],[ASESOR]])</f>
        <v>YENNY INGA</v>
      </c>
      <c r="C59" s="10" t="s">
        <v>39</v>
      </c>
      <c r="D59" s="10">
        <v>11449</v>
      </c>
      <c r="E59">
        <f>D1_AGOSTO[[#This Row],[RECUPERO]]/VLOOKUP(F59,$H:$I,2,0)</f>
        <v>0.44034615384615383</v>
      </c>
      <c r="F59" t="str">
        <f>D1_AGOSTO[[#This Row],[SUPER]]</f>
        <v>KENNETH</v>
      </c>
      <c r="L59">
        <v>3</v>
      </c>
      <c r="M59" s="1">
        <f t="shared" si="0"/>
        <v>1.6965384615384616</v>
      </c>
      <c r="N59" t="str" cm="1">
        <f t="array" ref="N59">IFERROR(_xlfn.IFS(M59&gt;100%,"&gt;100%",AND(M59&lt;100%,M59&gt;70%),"&gt;70%",AND(M59&lt;70%,M59&gt;40%),"&gt;40%",AND(M59&lt;40%,M59&gt;0%),"&gt;0%"),"")</f>
        <v>&gt;100%</v>
      </c>
      <c r="O59" t="str">
        <f t="shared" si="1"/>
        <v>JIMENA MEDINA</v>
      </c>
      <c r="P59" t="str">
        <f>IF(DATA_AGOSTO_2025[[#This Row],[ASER_]]="","",F53)</f>
        <v>KENNETH</v>
      </c>
      <c r="Q59">
        <f>IF(DATA_AGOSTO_2025[[#This Row],[SUPERVISOR]]="","",D53)</f>
        <v>44110</v>
      </c>
      <c r="R59">
        <f>IF(DATA_AGOSTO_2025[[#This Row],[RECUPERO]]="","",VLOOKUP(DATA_AGOSTO_2025[[#This Row],[SUPERVISOR]],$H:$I,2,0))</f>
        <v>26000</v>
      </c>
    </row>
    <row r="60" spans="1:18" x14ac:dyDescent="0.25">
      <c r="A60" s="10" t="s">
        <v>6</v>
      </c>
      <c r="B60" s="10" t="str">
        <f>TRIM(D1_AGOSTO[[#This Row],[ASESOR]])</f>
        <v>MEDALITH NESTARES</v>
      </c>
      <c r="C60" s="10" t="s">
        <v>36</v>
      </c>
      <c r="D60" s="10">
        <v>9246</v>
      </c>
      <c r="E60">
        <f>D1_AGOSTO[[#This Row],[RECUPERO]]/VLOOKUP(F60,$H:$I,2,0)</f>
        <v>0.35561538461538461</v>
      </c>
      <c r="F60" t="str">
        <f>D1_AGOSTO[[#This Row],[SUPER]]</f>
        <v>KENNETH</v>
      </c>
      <c r="L60">
        <v>4</v>
      </c>
      <c r="M60" s="1">
        <f t="shared" si="0"/>
        <v>1.1698076923076923</v>
      </c>
      <c r="N60" t="str" cm="1">
        <f t="array" ref="N60">IFERROR(_xlfn.IFS(M60&gt;100%,"&gt;100%",AND(M60&lt;100%,M60&gt;70%),"&gt;70%",AND(M60&lt;70%,M60&gt;40%),"&gt;40%",AND(M60&lt;40%,M60&gt;0%),"&gt;0%"),"")</f>
        <v>&gt;100%</v>
      </c>
      <c r="O60" t="str">
        <f t="shared" si="1"/>
        <v>JUAN LOZA</v>
      </c>
      <c r="P60" t="str">
        <f>IF(DATA_AGOSTO_2025[[#This Row],[ASER_]]="","",F54)</f>
        <v>KENNETH</v>
      </c>
      <c r="Q60">
        <f>IF(DATA_AGOSTO_2025[[#This Row],[SUPERVISOR]]="","",D54)</f>
        <v>30415</v>
      </c>
      <c r="R60">
        <f>IF(DATA_AGOSTO_2025[[#This Row],[RECUPERO]]="","",VLOOKUP(DATA_AGOSTO_2025[[#This Row],[SUPERVISOR]],$H:$I,2,0))</f>
        <v>26000</v>
      </c>
    </row>
    <row r="61" spans="1:18" x14ac:dyDescent="0.25">
      <c r="A61" s="10" t="s">
        <v>6</v>
      </c>
      <c r="B61" s="10" t="str">
        <f>TRIM(D1_AGOSTO[[#This Row],[ASESOR]])</f>
        <v>LUPITA HIDALGO</v>
      </c>
      <c r="C61" s="10" t="s">
        <v>102</v>
      </c>
      <c r="D61" s="10">
        <v>285</v>
      </c>
      <c r="E61">
        <f>D1_AGOSTO[[#This Row],[RECUPERO]]/VLOOKUP(F61,$H:$I,2,0)</f>
        <v>1.0961538461538462E-2</v>
      </c>
      <c r="F61" t="str">
        <f>D1_AGOSTO[[#This Row],[SUPER]]</f>
        <v>KENNETH</v>
      </c>
      <c r="L61">
        <v>5</v>
      </c>
      <c r="M61" s="1">
        <f t="shared" si="0"/>
        <v>1.0065884615384615</v>
      </c>
      <c r="N61" t="str" cm="1">
        <f t="array" ref="N61">IFERROR(_xlfn.IFS(M61&gt;100%,"&gt;100%",AND(M61&lt;100%,M61&gt;70%),"&gt;70%",AND(M61&lt;70%,M61&gt;40%),"&gt;40%",AND(M61&lt;40%,M61&gt;0%),"&gt;0%"),"")</f>
        <v>&gt;100%</v>
      </c>
      <c r="O61" t="str">
        <f t="shared" si="1"/>
        <v>GIANNINA AGUILAR</v>
      </c>
      <c r="P61" t="str">
        <f>IF(DATA_AGOSTO_2025[[#This Row],[ASER_]]="","",F55)</f>
        <v>KENNETH</v>
      </c>
      <c r="Q61">
        <f>IF(DATA_AGOSTO_2025[[#This Row],[SUPERVISOR]]="","",D55)</f>
        <v>26171.3</v>
      </c>
      <c r="R61">
        <f>IF(DATA_AGOSTO_2025[[#This Row],[RECUPERO]]="","",VLOOKUP(DATA_AGOSTO_2025[[#This Row],[SUPERVISOR]],$H:$I,2,0))</f>
        <v>26000</v>
      </c>
    </row>
    <row r="62" spans="1:18" x14ac:dyDescent="0.25">
      <c r="A62" s="10" t="s">
        <v>6</v>
      </c>
      <c r="B62" s="10" t="str">
        <f>TRIM(D1_AGOSTO[[#This Row],[ASESOR]])</f>
        <v/>
      </c>
      <c r="C62" s="10"/>
      <c r="D62" s="10"/>
      <c r="E62">
        <f>D1_AGOSTO[[#This Row],[RECUPERO]]/VLOOKUP(F62,$H:$I,2,0)</f>
        <v>0</v>
      </c>
      <c r="F62" t="str">
        <f>D1_AGOSTO[[#This Row],[SUPER]]</f>
        <v>KENNETH</v>
      </c>
      <c r="L62">
        <v>6</v>
      </c>
      <c r="M62" s="1">
        <f t="shared" si="0"/>
        <v>0.56246153846153846</v>
      </c>
      <c r="N62" t="str" cm="1">
        <f t="array" ref="N62">IFERROR(_xlfn.IFS(M62&gt;100%,"&gt;100%",AND(M62&lt;100%,M62&gt;70%),"&gt;70%",AND(M62&lt;70%,M62&gt;40%),"&gt;40%",AND(M62&lt;40%,M62&gt;0%),"&gt;0%"),"")</f>
        <v>&gt;40%</v>
      </c>
      <c r="O62" t="str">
        <f t="shared" si="1"/>
        <v>DARYL FERREL</v>
      </c>
      <c r="P62" t="str">
        <f>IF(DATA_AGOSTO_2025[[#This Row],[ASER_]]="","",F56)</f>
        <v>KENNETH</v>
      </c>
      <c r="Q62">
        <f>IF(DATA_AGOSTO_2025[[#This Row],[SUPERVISOR]]="","",D56)</f>
        <v>14624</v>
      </c>
      <c r="R62">
        <f>IF(DATA_AGOSTO_2025[[#This Row],[RECUPERO]]="","",VLOOKUP(DATA_AGOSTO_2025[[#This Row],[SUPERVISOR]],$H:$I,2,0))</f>
        <v>26000</v>
      </c>
    </row>
    <row r="63" spans="1:18" x14ac:dyDescent="0.25">
      <c r="A63" s="10" t="s">
        <v>7</v>
      </c>
      <c r="B63" s="10" t="str">
        <f>TRIM(D1_AGOSTO[[#This Row],[ASESOR]])</f>
        <v>CARMEN PUMA</v>
      </c>
      <c r="C63" s="10" t="s">
        <v>19</v>
      </c>
      <c r="D63" s="10">
        <v>18950</v>
      </c>
      <c r="E63">
        <f>D1_AGOSTO[[#This Row],[RECUPERO]]/VLOOKUP(F63,$H:$I,2,0)</f>
        <v>1.2225806451612904</v>
      </c>
      <c r="F63" t="str">
        <f>D1_AGOSTO[[#This Row],[SUPER]]</f>
        <v>LEONOR</v>
      </c>
      <c r="L63">
        <v>7</v>
      </c>
      <c r="M63" s="1">
        <f t="shared" si="0"/>
        <v>0.50853846153846149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1"/>
        <v>MARIA HUARCAYA</v>
      </c>
      <c r="P63" t="str">
        <f>IF(DATA_AGOSTO_2025[[#This Row],[ASER_]]="","",F57)</f>
        <v>KENNETH</v>
      </c>
      <c r="Q63">
        <f>IF(DATA_AGOSTO_2025[[#This Row],[SUPERVISOR]]="","",D57)</f>
        <v>13222</v>
      </c>
      <c r="R63">
        <f>IF(DATA_AGOSTO_2025[[#This Row],[RECUPERO]]="","",VLOOKUP(DATA_AGOSTO_2025[[#This Row],[SUPERVISOR]],$H:$I,2,0))</f>
        <v>26000</v>
      </c>
    </row>
    <row r="64" spans="1:18" x14ac:dyDescent="0.25">
      <c r="A64" s="10" t="s">
        <v>7</v>
      </c>
      <c r="B64" s="10" t="str">
        <f>TRIM(D1_AGOSTO[[#This Row],[ASESOR]])</f>
        <v>ALEIDITH GUEVARA</v>
      </c>
      <c r="C64" s="10" t="s">
        <v>18</v>
      </c>
      <c r="D64" s="10">
        <v>15660</v>
      </c>
      <c r="E64">
        <f>D1_AGOSTO[[#This Row],[RECUPERO]]/VLOOKUP(F64,$H:$I,2,0)</f>
        <v>1.0103225806451612</v>
      </c>
      <c r="F64" t="str">
        <f>D1_AGOSTO[[#This Row],[SUPER]]</f>
        <v>LEONOR</v>
      </c>
      <c r="L64">
        <v>8</v>
      </c>
      <c r="M64" s="1">
        <f t="shared" si="0"/>
        <v>0.50292307692307692</v>
      </c>
      <c r="N64" t="str" cm="1">
        <f t="array" ref="N64">IFERROR(_xlfn.IFS(M64&gt;100%,"&gt;100%",AND(M64&lt;100%,M64&gt;70%),"&gt;70%",AND(M64&lt;70%,M64&gt;40%),"&gt;40%",AND(M64&lt;40%,M64&gt;0%),"&gt;0%"),"")</f>
        <v>&gt;40%</v>
      </c>
      <c r="O64" t="str">
        <f t="shared" si="1"/>
        <v>LINDA TUESTA</v>
      </c>
      <c r="P64" t="str">
        <f>IF(DATA_AGOSTO_2025[[#This Row],[ASER_]]="","",F58)</f>
        <v>KENNETH</v>
      </c>
      <c r="Q64">
        <f>IF(DATA_AGOSTO_2025[[#This Row],[SUPERVISOR]]="","",D58)</f>
        <v>13076</v>
      </c>
      <c r="R64">
        <f>IF(DATA_AGOSTO_2025[[#This Row],[RECUPERO]]="","",VLOOKUP(DATA_AGOSTO_2025[[#This Row],[SUPERVISOR]],$H:$I,2,0))</f>
        <v>26000</v>
      </c>
    </row>
    <row r="65" spans="1:18" x14ac:dyDescent="0.25">
      <c r="A65" s="10" t="s">
        <v>7</v>
      </c>
      <c r="B65" s="10" t="str">
        <f>TRIM(D1_AGOSTO[[#This Row],[ASESOR]])</f>
        <v>FRANK PACORA</v>
      </c>
      <c r="C65" s="10" t="s">
        <v>110</v>
      </c>
      <c r="D65" s="10">
        <v>10852</v>
      </c>
      <c r="E65">
        <f>D1_AGOSTO[[#This Row],[RECUPERO]]/VLOOKUP(F65,$H:$I,2,0)</f>
        <v>0.70012903225806455</v>
      </c>
      <c r="F65" t="str">
        <f>D1_AGOSTO[[#This Row],[SUPER]]</f>
        <v>LEONOR</v>
      </c>
      <c r="L65">
        <v>9</v>
      </c>
      <c r="M65" s="1">
        <f t="shared" si="0"/>
        <v>0.44034615384615383</v>
      </c>
      <c r="N65" t="str" cm="1">
        <f t="array" ref="N65">IFERROR(_xlfn.IFS(M65&gt;100%,"&gt;100%",AND(M65&lt;100%,M65&gt;70%),"&gt;70%",AND(M65&lt;70%,M65&gt;40%),"&gt;40%",AND(M65&lt;40%,M65&gt;0%),"&gt;0%"),"")</f>
        <v>&gt;40%</v>
      </c>
      <c r="O65" t="str">
        <f t="shared" si="1"/>
        <v>YENNY INGA</v>
      </c>
      <c r="P65" t="str">
        <f>IF(DATA_AGOSTO_2025[[#This Row],[ASER_]]="","",F59)</f>
        <v>KENNETH</v>
      </c>
      <c r="Q65">
        <f>IF(DATA_AGOSTO_2025[[#This Row],[SUPERVISOR]]="","",D59)</f>
        <v>11449</v>
      </c>
      <c r="R65">
        <f>IF(DATA_AGOSTO_2025[[#This Row],[RECUPERO]]="","",VLOOKUP(DATA_AGOSTO_2025[[#This Row],[SUPERVISOR]],$H:$I,2,0))</f>
        <v>26000</v>
      </c>
    </row>
    <row r="66" spans="1:18" x14ac:dyDescent="0.25">
      <c r="A66" s="10" t="s">
        <v>7</v>
      </c>
      <c r="B66" s="10" t="str">
        <f>TRIM(D1_AGOSTO[[#This Row],[ASESOR]])</f>
        <v>ALEJANDRA AVILA</v>
      </c>
      <c r="C66" s="10" t="s">
        <v>21</v>
      </c>
      <c r="D66" s="10">
        <v>6610</v>
      </c>
      <c r="E66">
        <f>D1_AGOSTO[[#This Row],[RECUPERO]]/VLOOKUP(F66,$H:$I,2,0)</f>
        <v>0.42645161290322581</v>
      </c>
      <c r="F66" t="str">
        <f>D1_AGOSTO[[#This Row],[SUPER]]</f>
        <v>LEONOR</v>
      </c>
      <c r="L66">
        <v>10</v>
      </c>
      <c r="M66" s="1">
        <f t="shared" si="0"/>
        <v>0.35561538461538461</v>
      </c>
      <c r="N66" t="str" cm="1">
        <f t="array" ref="N66">IFERROR(_xlfn.IFS(M66&gt;100%,"&gt;100%",AND(M66&lt;100%,M66&gt;70%),"&gt;70%",AND(M66&lt;70%,M66&gt;40%),"&gt;40%",AND(M66&lt;40%,M66&gt;0%),"&gt;0%"),"")</f>
        <v>&gt;0%</v>
      </c>
      <c r="O66" t="str">
        <f t="shared" si="1"/>
        <v>MEDALITH NESTARES</v>
      </c>
      <c r="P66" t="str">
        <f>IF(DATA_AGOSTO_2025[[#This Row],[ASER_]]="","",F60)</f>
        <v>KENNETH</v>
      </c>
      <c r="Q66">
        <f>IF(DATA_AGOSTO_2025[[#This Row],[SUPERVISOR]]="","",D60)</f>
        <v>9246</v>
      </c>
      <c r="R66">
        <f>IF(DATA_AGOSTO_2025[[#This Row],[RECUPERO]]="","",VLOOKUP(DATA_AGOSTO_2025[[#This Row],[SUPERVISOR]],$H:$I,2,0))</f>
        <v>26000</v>
      </c>
    </row>
    <row r="67" spans="1:18" x14ac:dyDescent="0.25">
      <c r="A67" s="10" t="s">
        <v>7</v>
      </c>
      <c r="B67" s="10" t="str">
        <f>TRIM(D1_AGOSTO[[#This Row],[ASESOR]])</f>
        <v>MICHAEL TAFUR</v>
      </c>
      <c r="C67" s="10" t="s">
        <v>112</v>
      </c>
      <c r="D67" s="10">
        <v>5420</v>
      </c>
      <c r="E67">
        <f>D1_AGOSTO[[#This Row],[RECUPERO]]/VLOOKUP(F67,$H:$I,2,0)</f>
        <v>0.3496774193548387</v>
      </c>
      <c r="F67" t="str">
        <f>D1_AGOSTO[[#This Row],[SUPER]]</f>
        <v>LEONOR</v>
      </c>
      <c r="L67">
        <v>11</v>
      </c>
      <c r="M67" s="1">
        <f t="shared" si="0"/>
        <v>1.0961538461538462E-2</v>
      </c>
      <c r="N67" t="str" cm="1">
        <f t="array" ref="N67">IFERROR(_xlfn.IFS(M67&gt;100%,"&gt;100%",AND(M67&lt;100%,M67&gt;70%),"&gt;70%",AND(M67&lt;70%,M67&gt;40%),"&gt;40%",AND(M67&lt;40%,M67&gt;0%),"&gt;0%"),"")</f>
        <v>&gt;0%</v>
      </c>
      <c r="O67" t="str">
        <f t="shared" si="1"/>
        <v>LUPITA HIDALGO</v>
      </c>
      <c r="P67" t="str">
        <f>IF(DATA_AGOSTO_2025[[#This Row],[ASER_]]="","",F61)</f>
        <v>KENNETH</v>
      </c>
      <c r="Q67">
        <f>IF(DATA_AGOSTO_2025[[#This Row],[SUPERVISOR]]="","",D61)</f>
        <v>285</v>
      </c>
      <c r="R67">
        <f>IF(DATA_AGOSTO_2025[[#This Row],[RECUPERO]]="","",VLOOKUP(DATA_AGOSTO_2025[[#This Row],[SUPERVISOR]],$H:$I,2,0))</f>
        <v>26000</v>
      </c>
    </row>
    <row r="68" spans="1:18" x14ac:dyDescent="0.25">
      <c r="A68" s="10" t="s">
        <v>7</v>
      </c>
      <c r="B68" s="10" t="str">
        <f>TRIM(D1_AGOSTO[[#This Row],[ASESOR]])</f>
        <v>ROCIO TERRONES</v>
      </c>
      <c r="C68" s="10" t="s">
        <v>107</v>
      </c>
      <c r="D68" s="10">
        <v>4341</v>
      </c>
      <c r="E68">
        <f>D1_AGOSTO[[#This Row],[RECUPERO]]/VLOOKUP(F68,$H:$I,2,0)</f>
        <v>0.28006451612903227</v>
      </c>
      <c r="F68" t="str">
        <f>D1_AGOSTO[[#This Row],[SUPER]]</f>
        <v>LEONOR</v>
      </c>
      <c r="L68">
        <v>12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  <c r="P68" t="str">
        <f>IF(DATA_AGOSTO_2025[[#This Row],[ASER_]]="","",F62)</f>
        <v/>
      </c>
      <c r="Q68" t="str">
        <f>IF(DATA_AGOSTO_2025[[#This Row],[SUPERVISOR]]="","",D62)</f>
        <v/>
      </c>
      <c r="R68" t="str">
        <f>IF(DATA_AGOSTO_2025[[#This Row],[RECUPERO]]="","",VLOOKUP(DATA_AGOSTO_2025[[#This Row],[SUPERVISOR]],$H:$I,2,0))</f>
        <v/>
      </c>
    </row>
    <row r="69" spans="1:18" x14ac:dyDescent="0.25">
      <c r="A69" s="10" t="s">
        <v>7</v>
      </c>
      <c r="B69" s="10" t="str">
        <f>TRIM(D1_AGOSTO[[#This Row],[ASESOR]])</f>
        <v>JHOVANA TORRES</v>
      </c>
      <c r="C69" s="10" t="s">
        <v>20</v>
      </c>
      <c r="D69" s="10">
        <v>4160</v>
      </c>
      <c r="E69">
        <f>D1_AGOSTO[[#This Row],[RECUPERO]]/VLOOKUP(F69,$H:$I,2,0)</f>
        <v>0.26838709677419353</v>
      </c>
      <c r="F69" t="str">
        <f>D1_AGOSTO[[#This Row],[SUPER]]</f>
        <v>LEONOR</v>
      </c>
      <c r="L69">
        <v>1</v>
      </c>
      <c r="M69" s="1">
        <f t="shared" si="0"/>
        <v>1.2225806451612904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CARMEN PUMA</v>
      </c>
      <c r="P69" t="str">
        <f>IF(DATA_AGOSTO_2025[[#This Row],[ASER_]]="","",F63)</f>
        <v>LEONOR</v>
      </c>
      <c r="Q69">
        <f>IF(DATA_AGOSTO_2025[[#This Row],[SUPERVISOR]]="","",D63)</f>
        <v>18950</v>
      </c>
      <c r="R69">
        <f>IF(DATA_AGOSTO_2025[[#This Row],[RECUPERO]]="","",VLOOKUP(DATA_AGOSTO_2025[[#This Row],[SUPERVISOR]],$H:$I,2,0))</f>
        <v>15500</v>
      </c>
    </row>
    <row r="70" spans="1:18" x14ac:dyDescent="0.25">
      <c r="A70" s="10" t="s">
        <v>7</v>
      </c>
      <c r="B70" s="10" t="str">
        <f>TRIM(D1_AGOSTO[[#This Row],[ASESOR]])</f>
        <v>MARCOS SARMIENTO</v>
      </c>
      <c r="C70" s="10" t="s">
        <v>109</v>
      </c>
      <c r="D70" s="10">
        <v>2830</v>
      </c>
      <c r="E70">
        <f>D1_AGOSTO[[#This Row],[RECUPERO]]/VLOOKUP(F70,$H:$I,2,0)</f>
        <v>0.18258064516129033</v>
      </c>
      <c r="F70" t="str">
        <f>D1_AGOSTO[[#This Row],[SUPER]]</f>
        <v>LEONOR</v>
      </c>
      <c r="L70">
        <v>2</v>
      </c>
      <c r="M70" s="1">
        <f t="shared" si="0"/>
        <v>1.0103225806451612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ALEIDITH GUEVARA</v>
      </c>
      <c r="P70" t="str">
        <f>IF(DATA_AGOSTO_2025[[#This Row],[ASER_]]="","",F64)</f>
        <v>LEONOR</v>
      </c>
      <c r="Q70">
        <f>IF(DATA_AGOSTO_2025[[#This Row],[SUPERVISOR]]="","",D64)</f>
        <v>15660</v>
      </c>
      <c r="R70">
        <f>IF(DATA_AGOSTO_2025[[#This Row],[RECUPERO]]="","",VLOOKUP(DATA_AGOSTO_2025[[#This Row],[SUPERVISOR]],$H:$I,2,0))</f>
        <v>15500</v>
      </c>
    </row>
    <row r="71" spans="1:18" x14ac:dyDescent="0.25">
      <c r="A71" s="10" t="s">
        <v>7</v>
      </c>
      <c r="B71" s="10" t="str">
        <f>TRIM(D1_AGOSTO[[#This Row],[ASESOR]])</f>
        <v>JOANA GIL</v>
      </c>
      <c r="C71" s="10" t="s">
        <v>111</v>
      </c>
      <c r="D71" s="10">
        <v>1170</v>
      </c>
      <c r="E71">
        <f>D1_AGOSTO[[#This Row],[RECUPERO]]/VLOOKUP(F71,$H:$I,2,0)</f>
        <v>7.5483870967741937E-2</v>
      </c>
      <c r="F71" t="str">
        <f>D1_AGOSTO[[#This Row],[SUPER]]</f>
        <v>LEONOR</v>
      </c>
      <c r="L71">
        <v>3</v>
      </c>
      <c r="M71" s="1">
        <f t="shared" si="0"/>
        <v>0.70012903225806455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1"/>
        <v>FRANK PACORA</v>
      </c>
      <c r="P71" t="str">
        <f>IF(DATA_AGOSTO_2025[[#This Row],[ASER_]]="","",F65)</f>
        <v>LEONOR</v>
      </c>
      <c r="Q71">
        <f>IF(DATA_AGOSTO_2025[[#This Row],[SUPERVISOR]]="","",D65)</f>
        <v>10852</v>
      </c>
      <c r="R71">
        <f>IF(DATA_AGOSTO_2025[[#This Row],[RECUPERO]]="","",VLOOKUP(DATA_AGOSTO_2025[[#This Row],[SUPERVISOR]],$H:$I,2,0))</f>
        <v>15500</v>
      </c>
    </row>
    <row r="72" spans="1:18" x14ac:dyDescent="0.25">
      <c r="A72" s="10" t="s">
        <v>7</v>
      </c>
      <c r="B72" s="10" t="str">
        <f>TRIM(D1_AGOSTO[[#This Row],[ASESOR]])</f>
        <v>CARLOS CALAGUA</v>
      </c>
      <c r="C72" s="10" t="s">
        <v>108</v>
      </c>
      <c r="D72" s="10">
        <v>1000</v>
      </c>
      <c r="E72">
        <f>D1_AGOSTO[[#This Row],[RECUPERO]]/VLOOKUP(F72,$H:$I,2,0)</f>
        <v>6.4516129032258063E-2</v>
      </c>
      <c r="F72" t="str">
        <f>D1_AGOSTO[[#This Row],[SUPER]]</f>
        <v>LEONOR</v>
      </c>
      <c r="L72">
        <v>4</v>
      </c>
      <c r="M72" s="1">
        <f t="shared" si="0"/>
        <v>0.42645161290322581</v>
      </c>
      <c r="N72" t="str" cm="1">
        <f t="array" ref="N72">IFERROR(_xlfn.IFS(M72&gt;100%,"&gt;100%",AND(M72&lt;100%,M72&gt;70%),"&gt;70%",AND(M72&lt;70%,M72&gt;40%),"&gt;40%",AND(M72&lt;40%,M72&gt;0%),"&gt;0%"),"")</f>
        <v>&gt;40%</v>
      </c>
      <c r="O72" t="str">
        <f t="shared" si="1"/>
        <v>ALEJANDRA AVILA</v>
      </c>
      <c r="P72" t="str">
        <f>IF(DATA_AGOSTO_2025[[#This Row],[ASER_]]="","",F66)</f>
        <v>LEONOR</v>
      </c>
      <c r="Q72">
        <f>IF(DATA_AGOSTO_2025[[#This Row],[SUPERVISOR]]="","",D66)</f>
        <v>6610</v>
      </c>
      <c r="R72">
        <f>IF(DATA_AGOSTO_2025[[#This Row],[RECUPERO]]="","",VLOOKUP(DATA_AGOSTO_2025[[#This Row],[SUPERVISOR]],$H:$I,2,0))</f>
        <v>15500</v>
      </c>
    </row>
    <row r="73" spans="1:18" x14ac:dyDescent="0.25">
      <c r="A73" s="10" t="s">
        <v>7</v>
      </c>
      <c r="B73" s="10" t="str">
        <f>TRIM(D1_AGOSTO[[#This Row],[ASESOR]])</f>
        <v/>
      </c>
      <c r="C73" s="10"/>
      <c r="D73" s="10"/>
      <c r="E73">
        <f>D1_AGOSTO[[#This Row],[RECUPERO]]/VLOOKUP(F73,$H:$I,2,0)</f>
        <v>0</v>
      </c>
      <c r="F73" t="str">
        <f>D1_AGOSTO[[#This Row],[SUPER]]</f>
        <v>LEONOR</v>
      </c>
      <c r="L73">
        <v>5</v>
      </c>
      <c r="M73" s="1">
        <f t="shared" si="0"/>
        <v>0.3496774193548387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1"/>
        <v>MICHAEL TAFUR</v>
      </c>
      <c r="P73" t="str">
        <f>IF(DATA_AGOSTO_2025[[#This Row],[ASER_]]="","",F67)</f>
        <v>LEONOR</v>
      </c>
      <c r="Q73">
        <f>IF(DATA_AGOSTO_2025[[#This Row],[SUPERVISOR]]="","",D67)</f>
        <v>5420</v>
      </c>
      <c r="R73">
        <f>IF(DATA_AGOSTO_2025[[#This Row],[RECUPERO]]="","",VLOOKUP(DATA_AGOSTO_2025[[#This Row],[SUPERVISOR]],$H:$I,2,0))</f>
        <v>15500</v>
      </c>
    </row>
    <row r="74" spans="1:18" x14ac:dyDescent="0.25">
      <c r="A74" s="10" t="s">
        <v>7</v>
      </c>
      <c r="B74" s="10" t="str">
        <f>TRIM(D1_AGOSTO[[#This Row],[ASESOR]])</f>
        <v/>
      </c>
      <c r="C74" s="10"/>
      <c r="D74" s="10"/>
      <c r="E74">
        <f>D1_AGOSTO[[#This Row],[RECUPERO]]/VLOOKUP(F74,$H:$I,2,0)</f>
        <v>0</v>
      </c>
      <c r="F74" t="str">
        <f>D1_AGOSTO[[#This Row],[SUPER]]</f>
        <v>LEONOR</v>
      </c>
      <c r="L74">
        <v>6</v>
      </c>
      <c r="M74" s="1">
        <f t="shared" ref="M74:M104" si="2">E68</f>
        <v>0.28006451612903227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ref="O74:O104" si="3">B68</f>
        <v>ROCIO TERRONES</v>
      </c>
      <c r="P74" t="str">
        <f>IF(DATA_AGOSTO_2025[[#This Row],[ASER_]]="","",F68)</f>
        <v>LEONOR</v>
      </c>
      <c r="Q74">
        <f>IF(DATA_AGOSTO_2025[[#This Row],[SUPERVISOR]]="","",D68)</f>
        <v>4341</v>
      </c>
      <c r="R74">
        <f>IF(DATA_AGOSTO_2025[[#This Row],[RECUPERO]]="","",VLOOKUP(DATA_AGOSTO_2025[[#This Row],[SUPERVISOR]],$H:$I,2,0))</f>
        <v>15500</v>
      </c>
    </row>
    <row r="75" spans="1:18" x14ac:dyDescent="0.25">
      <c r="A75" s="10" t="s">
        <v>8</v>
      </c>
      <c r="B75" s="10" t="str">
        <f>TRIM(D1_AGOSTO[[#This Row],[ASESOR]])</f>
        <v>HAROLD FLORES</v>
      </c>
      <c r="C75" s="10" t="s">
        <v>42</v>
      </c>
      <c r="D75" s="12">
        <v>13848</v>
      </c>
      <c r="E75">
        <f>D1_AGOSTO[[#This Row],[RECUPERO]]/VLOOKUP(F75,$H:$I,2,0)</f>
        <v>0.86550000000000005</v>
      </c>
      <c r="F75" t="str">
        <f>D1_AGOSTO[[#This Row],[SUPER]]</f>
        <v>BRYAN</v>
      </c>
      <c r="L75">
        <v>7</v>
      </c>
      <c r="M75" s="1">
        <f t="shared" si="2"/>
        <v>0.26838709677419353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3"/>
        <v>JHOVANA TORRES</v>
      </c>
      <c r="P75" t="str">
        <f>IF(DATA_AGOSTO_2025[[#This Row],[ASER_]]="","",F69)</f>
        <v>LEONOR</v>
      </c>
      <c r="Q75">
        <f>IF(DATA_AGOSTO_2025[[#This Row],[SUPERVISOR]]="","",D69)</f>
        <v>4160</v>
      </c>
      <c r="R75">
        <f>IF(DATA_AGOSTO_2025[[#This Row],[RECUPERO]]="","",VLOOKUP(DATA_AGOSTO_2025[[#This Row],[SUPERVISOR]],$H:$I,2,0))</f>
        <v>15500</v>
      </c>
    </row>
    <row r="76" spans="1:18" x14ac:dyDescent="0.25">
      <c r="A76" s="10" t="s">
        <v>8</v>
      </c>
      <c r="B76" s="10" t="str">
        <f>TRIM(D1_AGOSTO[[#This Row],[ASESOR]])</f>
        <v>GINA HUAMANI</v>
      </c>
      <c r="C76" s="10" t="s">
        <v>44</v>
      </c>
      <c r="D76" s="12">
        <v>13701</v>
      </c>
      <c r="E76">
        <f>D1_AGOSTO[[#This Row],[RECUPERO]]/VLOOKUP(F76,$H:$I,2,0)</f>
        <v>0.85631250000000003</v>
      </c>
      <c r="F76" t="str">
        <f>D1_AGOSTO[[#This Row],[SUPER]]</f>
        <v>BRYAN</v>
      </c>
      <c r="L76">
        <v>8</v>
      </c>
      <c r="M76" s="1">
        <f t="shared" si="2"/>
        <v>0.18258064516129033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MARCOS SARMIENTO</v>
      </c>
      <c r="P76" t="str">
        <f>IF(DATA_AGOSTO_2025[[#This Row],[ASER_]]="","",F70)</f>
        <v>LEONOR</v>
      </c>
      <c r="Q76">
        <f>IF(DATA_AGOSTO_2025[[#This Row],[SUPERVISOR]]="","",D70)</f>
        <v>2830</v>
      </c>
      <c r="R76">
        <f>IF(DATA_AGOSTO_2025[[#This Row],[RECUPERO]]="","",VLOOKUP(DATA_AGOSTO_2025[[#This Row],[SUPERVISOR]],$H:$I,2,0))</f>
        <v>15500</v>
      </c>
    </row>
    <row r="77" spans="1:18" x14ac:dyDescent="0.25">
      <c r="A77" s="10" t="s">
        <v>8</v>
      </c>
      <c r="B77" s="10" t="str">
        <f>TRIM(D1_AGOSTO[[#This Row],[ASESOR]])</f>
        <v>CHRISTIAN ALVARADO</v>
      </c>
      <c r="C77" s="10" t="s">
        <v>41</v>
      </c>
      <c r="D77" s="12">
        <v>13617</v>
      </c>
      <c r="E77">
        <f>D1_AGOSTO[[#This Row],[RECUPERO]]/VLOOKUP(F77,$H:$I,2,0)</f>
        <v>0.85106250000000006</v>
      </c>
      <c r="F77" t="str">
        <f>D1_AGOSTO[[#This Row],[SUPER]]</f>
        <v>BRYAN</v>
      </c>
      <c r="L77">
        <v>9</v>
      </c>
      <c r="M77" s="1">
        <f t="shared" si="2"/>
        <v>7.5483870967741937E-2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3"/>
        <v>JOANA GIL</v>
      </c>
      <c r="P77" t="str">
        <f>IF(DATA_AGOSTO_2025[[#This Row],[ASER_]]="","",F71)</f>
        <v>LEONOR</v>
      </c>
      <c r="Q77">
        <f>IF(DATA_AGOSTO_2025[[#This Row],[SUPERVISOR]]="","",D71)</f>
        <v>1170</v>
      </c>
      <c r="R77">
        <f>IF(DATA_AGOSTO_2025[[#This Row],[RECUPERO]]="","",VLOOKUP(DATA_AGOSTO_2025[[#This Row],[SUPERVISOR]],$H:$I,2,0))</f>
        <v>15500</v>
      </c>
    </row>
    <row r="78" spans="1:18" x14ac:dyDescent="0.25">
      <c r="A78" s="10" t="s">
        <v>8</v>
      </c>
      <c r="B78" s="10" t="str">
        <f>TRIM(D1_AGOSTO[[#This Row],[ASESOR]])</f>
        <v>KATYUSCA LEVANO</v>
      </c>
      <c r="C78" s="10" t="s">
        <v>46</v>
      </c>
      <c r="D78" s="12">
        <v>12611</v>
      </c>
      <c r="E78">
        <f>D1_AGOSTO[[#This Row],[RECUPERO]]/VLOOKUP(F78,$H:$I,2,0)</f>
        <v>0.78818750000000004</v>
      </c>
      <c r="F78" t="str">
        <f>D1_AGOSTO[[#This Row],[SUPER]]</f>
        <v>BRYAN</v>
      </c>
      <c r="L78">
        <v>10</v>
      </c>
      <c r="M78" s="1">
        <f t="shared" si="2"/>
        <v>6.4516129032258063E-2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3"/>
        <v>CARLOS CALAGUA</v>
      </c>
      <c r="P78" t="str">
        <f>IF(DATA_AGOSTO_2025[[#This Row],[ASER_]]="","",F72)</f>
        <v>LEONOR</v>
      </c>
      <c r="Q78">
        <f>IF(DATA_AGOSTO_2025[[#This Row],[SUPERVISOR]]="","",D72)</f>
        <v>1000</v>
      </c>
      <c r="R78">
        <f>IF(DATA_AGOSTO_2025[[#This Row],[RECUPERO]]="","",VLOOKUP(DATA_AGOSTO_2025[[#This Row],[SUPERVISOR]],$H:$I,2,0))</f>
        <v>15500</v>
      </c>
    </row>
    <row r="79" spans="1:18" x14ac:dyDescent="0.25">
      <c r="A79" s="10" t="s">
        <v>8</v>
      </c>
      <c r="B79" s="10" t="str">
        <f>TRIM(D1_AGOSTO[[#This Row],[ASESOR]])</f>
        <v>LYNDA PEREZ</v>
      </c>
      <c r="C79" s="10" t="s">
        <v>43</v>
      </c>
      <c r="D79" s="12">
        <v>11217.26</v>
      </c>
      <c r="E79">
        <f>D1_AGOSTO[[#This Row],[RECUPERO]]/VLOOKUP(F79,$H:$I,2,0)</f>
        <v>0.70107874999999997</v>
      </c>
      <c r="F79" t="str">
        <f>D1_AGOSTO[[#This Row],[SUPER]]</f>
        <v>BRYAN</v>
      </c>
      <c r="L79">
        <v>11</v>
      </c>
      <c r="M79" s="1">
        <f t="shared" si="2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3"/>
        <v/>
      </c>
      <c r="P79" t="str">
        <f>IF(DATA_AGOSTO_2025[[#This Row],[ASER_]]="","",F73)</f>
        <v/>
      </c>
      <c r="Q79" t="str">
        <f>IF(DATA_AGOSTO_2025[[#This Row],[SUPERVISOR]]="","",D73)</f>
        <v/>
      </c>
      <c r="R79" t="str">
        <f>IF(DATA_AGOSTO_2025[[#This Row],[RECUPERO]]="","",VLOOKUP(DATA_AGOSTO_2025[[#This Row],[SUPERVISOR]],$H:$I,2,0))</f>
        <v/>
      </c>
    </row>
    <row r="80" spans="1:18" x14ac:dyDescent="0.25">
      <c r="A80" s="10" t="s">
        <v>8</v>
      </c>
      <c r="B80" s="10" t="str">
        <f>TRIM(D1_AGOSTO[[#This Row],[ASESOR]])</f>
        <v>VERONICA HUARCA</v>
      </c>
      <c r="C80" s="10" t="s">
        <v>48</v>
      </c>
      <c r="D80" s="12">
        <v>10570</v>
      </c>
      <c r="E80">
        <f>D1_AGOSTO[[#This Row],[RECUPERO]]/VLOOKUP(F80,$H:$I,2,0)</f>
        <v>0.66062500000000002</v>
      </c>
      <c r="F80" t="str">
        <f>D1_AGOSTO[[#This Row],[SUPER]]</f>
        <v>BRYAN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  <c r="P80" t="str">
        <f>IF(DATA_AGOSTO_2025[[#This Row],[ASER_]]="","",F74)</f>
        <v/>
      </c>
      <c r="Q80" t="str">
        <f>IF(DATA_AGOSTO_2025[[#This Row],[SUPERVISOR]]="","",D74)</f>
        <v/>
      </c>
      <c r="R80" t="str">
        <f>IF(DATA_AGOSTO_2025[[#This Row],[RECUPERO]]="","",VLOOKUP(DATA_AGOSTO_2025[[#This Row],[SUPERVISOR]],$H:$I,2,0))</f>
        <v/>
      </c>
    </row>
    <row r="81" spans="1:18" x14ac:dyDescent="0.25">
      <c r="A81" s="10" t="s">
        <v>8</v>
      </c>
      <c r="B81" s="10" t="str">
        <f>TRIM(D1_AGOSTO[[#This Row],[ASESOR]])</f>
        <v>KATHLEEN FLORES</v>
      </c>
      <c r="C81" s="10" t="s">
        <v>45</v>
      </c>
      <c r="D81" s="12">
        <v>8982</v>
      </c>
      <c r="E81">
        <f>D1_AGOSTO[[#This Row],[RECUPERO]]/VLOOKUP(F81,$H:$I,2,0)</f>
        <v>0.56137499999999996</v>
      </c>
      <c r="F81" t="str">
        <f>D1_AGOSTO[[#This Row],[SUPER]]</f>
        <v>BRYAN</v>
      </c>
      <c r="L81">
        <v>1</v>
      </c>
      <c r="M81" s="1">
        <f t="shared" si="2"/>
        <v>0.86550000000000005</v>
      </c>
      <c r="N81" t="str" cm="1">
        <f t="array" ref="N81">IFERROR(_xlfn.IFS(M81&gt;100%,"&gt;100%",AND(M81&lt;100%,M81&gt;70%),"&gt;70%",AND(M81&lt;70%,M81&gt;40%),"&gt;40%",AND(M81&lt;40%,M81&gt;0%),"&gt;0%"),"")</f>
        <v>&gt;70%</v>
      </c>
      <c r="O81" t="str">
        <f t="shared" si="3"/>
        <v>HAROLD FLORES</v>
      </c>
      <c r="P81" t="str">
        <f>IF(DATA_AGOSTO_2025[[#This Row],[ASER_]]="","",F75)</f>
        <v>BRYAN</v>
      </c>
      <c r="Q81">
        <f>IF(DATA_AGOSTO_2025[[#This Row],[SUPERVISOR]]="","",D75)</f>
        <v>13848</v>
      </c>
      <c r="R81">
        <f>IF(DATA_AGOSTO_2025[[#This Row],[RECUPERO]]="","",VLOOKUP(DATA_AGOSTO_2025[[#This Row],[SUPERVISOR]],$H:$I,2,0))</f>
        <v>16000</v>
      </c>
    </row>
    <row r="82" spans="1:18" x14ac:dyDescent="0.25">
      <c r="A82" s="10" t="s">
        <v>8</v>
      </c>
      <c r="B82" s="10" t="str">
        <f>TRIM(D1_AGOSTO[[#This Row],[ASESOR]])</f>
        <v>NOEMI CHUQUILIN</v>
      </c>
      <c r="C82" s="10" t="s">
        <v>100</v>
      </c>
      <c r="D82" s="12">
        <v>6388</v>
      </c>
      <c r="E82">
        <f>D1_AGOSTO[[#This Row],[RECUPERO]]/VLOOKUP(F82,$H:$I,2,0)</f>
        <v>0.39924999999999999</v>
      </c>
      <c r="F82" t="str">
        <f>D1_AGOSTO[[#This Row],[SUPER]]</f>
        <v>BRYAN</v>
      </c>
      <c r="L82">
        <v>2</v>
      </c>
      <c r="M82" s="1">
        <f t="shared" si="2"/>
        <v>0.85631250000000003</v>
      </c>
      <c r="N82" t="str" cm="1">
        <f t="array" ref="N82">IFERROR(_xlfn.IFS(M82&gt;100%,"&gt;100%",AND(M82&lt;100%,M82&gt;70%),"&gt;70%",AND(M82&lt;70%,M82&gt;40%),"&gt;40%",AND(M82&lt;40%,M82&gt;0%),"&gt;0%"),"")</f>
        <v>&gt;70%</v>
      </c>
      <c r="O82" t="str">
        <f t="shared" si="3"/>
        <v>GINA HUAMANI</v>
      </c>
      <c r="P82" t="str">
        <f>IF(DATA_AGOSTO_2025[[#This Row],[ASER_]]="","",F76)</f>
        <v>BRYAN</v>
      </c>
      <c r="Q82">
        <f>IF(DATA_AGOSTO_2025[[#This Row],[SUPERVISOR]]="","",D76)</f>
        <v>13701</v>
      </c>
      <c r="R82">
        <f>IF(DATA_AGOSTO_2025[[#This Row],[RECUPERO]]="","",VLOOKUP(DATA_AGOSTO_2025[[#This Row],[SUPERVISOR]],$H:$I,2,0))</f>
        <v>16000</v>
      </c>
    </row>
    <row r="83" spans="1:18" x14ac:dyDescent="0.25">
      <c r="A83" s="10" t="s">
        <v>8</v>
      </c>
      <c r="B83" s="10" t="str">
        <f>TRIM(D1_AGOSTO[[#This Row],[ASESOR]])</f>
        <v>ANGELO SUAREZ</v>
      </c>
      <c r="C83" s="10" t="s">
        <v>95</v>
      </c>
      <c r="D83" s="12">
        <v>4500</v>
      </c>
      <c r="E83">
        <f>D1_AGOSTO[[#This Row],[RECUPERO]]/VLOOKUP(F83,$H:$I,2,0)</f>
        <v>0.28125</v>
      </c>
      <c r="F83" t="str">
        <f>D1_AGOSTO[[#This Row],[SUPER]]</f>
        <v>BRYAN</v>
      </c>
      <c r="L83">
        <v>3</v>
      </c>
      <c r="M83" s="1">
        <f t="shared" si="2"/>
        <v>0.85106250000000006</v>
      </c>
      <c r="N83" t="str" cm="1">
        <f t="array" ref="N83">IFERROR(_xlfn.IFS(M83&gt;100%,"&gt;100%",AND(M83&lt;100%,M83&gt;70%),"&gt;70%",AND(M83&lt;70%,M83&gt;40%),"&gt;40%",AND(M83&lt;40%,M83&gt;0%),"&gt;0%"),"")</f>
        <v>&gt;70%</v>
      </c>
      <c r="O83" t="str">
        <f t="shared" si="3"/>
        <v>CHRISTIAN ALVARADO</v>
      </c>
      <c r="P83" t="str">
        <f>IF(DATA_AGOSTO_2025[[#This Row],[ASER_]]="","",F77)</f>
        <v>BRYAN</v>
      </c>
      <c r="Q83">
        <f>IF(DATA_AGOSTO_2025[[#This Row],[SUPERVISOR]]="","",D77)</f>
        <v>13617</v>
      </c>
      <c r="R83">
        <f>IF(DATA_AGOSTO_2025[[#This Row],[RECUPERO]]="","",VLOOKUP(DATA_AGOSTO_2025[[#This Row],[SUPERVISOR]],$H:$I,2,0))</f>
        <v>16000</v>
      </c>
    </row>
    <row r="84" spans="1:18" x14ac:dyDescent="0.25">
      <c r="A84" s="10" t="s">
        <v>8</v>
      </c>
      <c r="B84" s="10" t="str">
        <f>TRIM(D1_AGOSTO[[#This Row],[ASESOR]])</f>
        <v>JHOHAN CONTRERAS</v>
      </c>
      <c r="C84" s="10" t="s">
        <v>101</v>
      </c>
      <c r="D84" s="12">
        <v>4200</v>
      </c>
      <c r="E84">
        <f>D1_AGOSTO[[#This Row],[RECUPERO]]/VLOOKUP(F84,$H:$I,2,0)</f>
        <v>0.26250000000000001</v>
      </c>
      <c r="F84" t="str">
        <f>D1_AGOSTO[[#This Row],[SUPER]]</f>
        <v>BRYAN</v>
      </c>
      <c r="L84">
        <v>4</v>
      </c>
      <c r="M84" s="1">
        <f t="shared" si="2"/>
        <v>0.78818750000000004</v>
      </c>
      <c r="N84" t="str" cm="1">
        <f t="array" ref="N84">IFERROR(_xlfn.IFS(M84&gt;100%,"&gt;100%",AND(M84&lt;100%,M84&gt;70%),"&gt;70%",AND(M84&lt;70%,M84&gt;40%),"&gt;40%",AND(M84&lt;40%,M84&gt;0%),"&gt;0%"),"")</f>
        <v>&gt;70%</v>
      </c>
      <c r="O84" t="str">
        <f t="shared" si="3"/>
        <v>KATYUSCA LEVANO</v>
      </c>
      <c r="P84" t="str">
        <f>IF(DATA_AGOSTO_2025[[#This Row],[ASER_]]="","",F78)</f>
        <v>BRYAN</v>
      </c>
      <c r="Q84">
        <f>IF(DATA_AGOSTO_2025[[#This Row],[SUPERVISOR]]="","",D78)</f>
        <v>12611</v>
      </c>
      <c r="R84">
        <f>IF(DATA_AGOSTO_2025[[#This Row],[RECUPERO]]="","",VLOOKUP(DATA_AGOSTO_2025[[#This Row],[SUPERVISOR]],$H:$I,2,0))</f>
        <v>16000</v>
      </c>
    </row>
    <row r="85" spans="1:18" x14ac:dyDescent="0.25">
      <c r="A85" s="10" t="s">
        <v>8</v>
      </c>
      <c r="B85" s="10" t="str">
        <f>TRIM(D1_AGOSTO[[#This Row],[ASESOR]])</f>
        <v>DARY VICHARRA</v>
      </c>
      <c r="C85" s="10" t="s">
        <v>47</v>
      </c>
      <c r="D85" s="12">
        <v>1298</v>
      </c>
      <c r="E85">
        <f>D1_AGOSTO[[#This Row],[RECUPERO]]/VLOOKUP(F85,$H:$I,2,0)</f>
        <v>8.1125000000000003E-2</v>
      </c>
      <c r="F85" t="str">
        <f>D1_AGOSTO[[#This Row],[SUPER]]</f>
        <v>BRYAN</v>
      </c>
      <c r="L85">
        <v>5</v>
      </c>
      <c r="M85" s="1">
        <f t="shared" si="2"/>
        <v>0.70107874999999997</v>
      </c>
      <c r="N85" t="str" cm="1">
        <f t="array" ref="N85">IFERROR(_xlfn.IFS(M85&gt;100%,"&gt;100%",AND(M85&lt;100%,M85&gt;70%),"&gt;70%",AND(M85&lt;70%,M85&gt;40%),"&gt;40%",AND(M85&lt;40%,M85&gt;0%),"&gt;0%"),"")</f>
        <v>&gt;70%</v>
      </c>
      <c r="O85" t="str">
        <f t="shared" si="3"/>
        <v>LYNDA PEREZ</v>
      </c>
      <c r="P85" t="str">
        <f>IF(DATA_AGOSTO_2025[[#This Row],[ASER_]]="","",F79)</f>
        <v>BRYAN</v>
      </c>
      <c r="Q85">
        <f>IF(DATA_AGOSTO_2025[[#This Row],[SUPERVISOR]]="","",D79)</f>
        <v>11217.26</v>
      </c>
      <c r="R85">
        <f>IF(DATA_AGOSTO_2025[[#This Row],[RECUPERO]]="","",VLOOKUP(DATA_AGOSTO_2025[[#This Row],[SUPERVISOR]],$H:$I,2,0))</f>
        <v>16000</v>
      </c>
    </row>
    <row r="86" spans="1:18" x14ac:dyDescent="0.25">
      <c r="A86" s="10" t="s">
        <v>8</v>
      </c>
      <c r="B86" s="10" t="str">
        <f>TRIM(D1_AGOSTO[[#This Row],[ASESOR]])</f>
        <v/>
      </c>
      <c r="C86" s="10"/>
      <c r="D86" s="10"/>
      <c r="E86">
        <f>D1_AGOSTO[[#This Row],[RECUPERO]]/VLOOKUP(F86,$H:$I,2,0)</f>
        <v>0</v>
      </c>
      <c r="F86" t="str">
        <f>D1_AGOSTO[[#This Row],[SUPER]]</f>
        <v>BRYAN</v>
      </c>
      <c r="L86">
        <v>6</v>
      </c>
      <c r="M86" s="1">
        <f t="shared" si="2"/>
        <v>0.66062500000000002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VERONICA HUARCA</v>
      </c>
      <c r="P86" t="str">
        <f>IF(DATA_AGOSTO_2025[[#This Row],[ASER_]]="","",F80)</f>
        <v>BRYAN</v>
      </c>
      <c r="Q86">
        <f>IF(DATA_AGOSTO_2025[[#This Row],[SUPERVISOR]]="","",D80)</f>
        <v>10570</v>
      </c>
      <c r="R86">
        <f>IF(DATA_AGOSTO_2025[[#This Row],[RECUPERO]]="","",VLOOKUP(DATA_AGOSTO_2025[[#This Row],[SUPERVISOR]],$H:$I,2,0))</f>
        <v>16000</v>
      </c>
    </row>
    <row r="87" spans="1:18" x14ac:dyDescent="0.25">
      <c r="A87" s="10" t="s">
        <v>9</v>
      </c>
      <c r="B87" s="10" t="str">
        <f>TRIM(D1_AGOSTO[[#This Row],[ASESOR]])</f>
        <v>KIARA CANEPA</v>
      </c>
      <c r="C87" s="10" t="s">
        <v>50</v>
      </c>
      <c r="D87" s="10">
        <v>15300.56</v>
      </c>
      <c r="E87">
        <f>D1_AGOSTO[[#This Row],[RECUPERO]]/VLOOKUP(F87,$H:$I,2,0)</f>
        <v>0.95628499999999994</v>
      </c>
      <c r="F87" t="str">
        <f>D1_AGOSTO[[#This Row],[SUPER]]</f>
        <v>LUIS</v>
      </c>
      <c r="L87">
        <v>7</v>
      </c>
      <c r="M87" s="1">
        <f t="shared" si="2"/>
        <v>0.56137499999999996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KATHLEEN FLORES</v>
      </c>
      <c r="P87" t="str">
        <f>IF(DATA_AGOSTO_2025[[#This Row],[ASER_]]="","",F81)</f>
        <v>BRYAN</v>
      </c>
      <c r="Q87">
        <f>IF(DATA_AGOSTO_2025[[#This Row],[SUPERVISOR]]="","",D81)</f>
        <v>8982</v>
      </c>
      <c r="R87">
        <f>IF(DATA_AGOSTO_2025[[#This Row],[RECUPERO]]="","",VLOOKUP(DATA_AGOSTO_2025[[#This Row],[SUPERVISOR]],$H:$I,2,0))</f>
        <v>16000</v>
      </c>
    </row>
    <row r="88" spans="1:18" x14ac:dyDescent="0.25">
      <c r="A88" s="10" t="s">
        <v>9</v>
      </c>
      <c r="B88" s="10" t="str">
        <f>TRIM(D1_AGOSTO[[#This Row],[ASESOR]])</f>
        <v>JANETH PORTOCARRERO</v>
      </c>
      <c r="C88" s="10" t="s">
        <v>49</v>
      </c>
      <c r="D88" s="10">
        <v>12599</v>
      </c>
      <c r="E88">
        <f>D1_AGOSTO[[#This Row],[RECUPERO]]/VLOOKUP(F88,$H:$I,2,0)</f>
        <v>0.78743750000000001</v>
      </c>
      <c r="F88" t="str">
        <f>D1_AGOSTO[[#This Row],[SUPER]]</f>
        <v>LUIS</v>
      </c>
      <c r="L88">
        <v>8</v>
      </c>
      <c r="M88" s="1">
        <f t="shared" si="2"/>
        <v>0.39924999999999999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3"/>
        <v>NOEMI CHUQUILIN</v>
      </c>
      <c r="P88" t="str">
        <f>IF(DATA_AGOSTO_2025[[#This Row],[ASER_]]="","",F82)</f>
        <v>BRYAN</v>
      </c>
      <c r="Q88">
        <f>IF(DATA_AGOSTO_2025[[#This Row],[SUPERVISOR]]="","",D82)</f>
        <v>6388</v>
      </c>
      <c r="R88">
        <f>IF(DATA_AGOSTO_2025[[#This Row],[RECUPERO]]="","",VLOOKUP(DATA_AGOSTO_2025[[#This Row],[SUPERVISOR]],$H:$I,2,0))</f>
        <v>16000</v>
      </c>
    </row>
    <row r="89" spans="1:18" x14ac:dyDescent="0.25">
      <c r="A89" s="10" t="s">
        <v>9</v>
      </c>
      <c r="B89" s="10" t="str">
        <f>TRIM(D1_AGOSTO[[#This Row],[ASESOR]])</f>
        <v>GERALDINE ARROYO</v>
      </c>
      <c r="C89" s="10" t="s">
        <v>51</v>
      </c>
      <c r="D89" s="10">
        <v>11674</v>
      </c>
      <c r="E89">
        <f>D1_AGOSTO[[#This Row],[RECUPERO]]/VLOOKUP(F89,$H:$I,2,0)</f>
        <v>0.72962499999999997</v>
      </c>
      <c r="F89" t="str">
        <f>D1_AGOSTO[[#This Row],[SUPER]]</f>
        <v>LUIS</v>
      </c>
      <c r="L89">
        <v>9</v>
      </c>
      <c r="M89" s="1">
        <f t="shared" si="2"/>
        <v>0.28125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ANGELO SUAREZ</v>
      </c>
      <c r="P89" t="str">
        <f>IF(DATA_AGOSTO_2025[[#This Row],[ASER_]]="","",F83)</f>
        <v>BRYAN</v>
      </c>
      <c r="Q89">
        <f>IF(DATA_AGOSTO_2025[[#This Row],[SUPERVISOR]]="","",D83)</f>
        <v>4500</v>
      </c>
      <c r="R89">
        <f>IF(DATA_AGOSTO_2025[[#This Row],[RECUPERO]]="","",VLOOKUP(DATA_AGOSTO_2025[[#This Row],[SUPERVISOR]],$H:$I,2,0))</f>
        <v>16000</v>
      </c>
    </row>
    <row r="90" spans="1:18" x14ac:dyDescent="0.25">
      <c r="A90" s="10" t="s">
        <v>9</v>
      </c>
      <c r="B90" s="10" t="str">
        <f>TRIM(D1_AGOSTO[[#This Row],[ASESOR]])</f>
        <v>MARCO QUISPE</v>
      </c>
      <c r="C90" s="10" t="s">
        <v>52</v>
      </c>
      <c r="D90" s="10">
        <v>9850</v>
      </c>
      <c r="E90">
        <f>D1_AGOSTO[[#This Row],[RECUPERO]]/VLOOKUP(F90,$H:$I,2,0)</f>
        <v>0.61562499999999998</v>
      </c>
      <c r="F90" t="str">
        <f>D1_AGOSTO[[#This Row],[SUPER]]</f>
        <v>LUIS</v>
      </c>
      <c r="L90">
        <v>10</v>
      </c>
      <c r="M90" s="1">
        <f t="shared" si="2"/>
        <v>0.26250000000000001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JHOHAN CONTRERAS</v>
      </c>
      <c r="P90" t="str">
        <f>IF(DATA_AGOSTO_2025[[#This Row],[ASER_]]="","",F84)</f>
        <v>BRYAN</v>
      </c>
      <c r="Q90">
        <f>IF(DATA_AGOSTO_2025[[#This Row],[SUPERVISOR]]="","",D84)</f>
        <v>4200</v>
      </c>
      <c r="R90">
        <f>IF(DATA_AGOSTO_2025[[#This Row],[RECUPERO]]="","",VLOOKUP(DATA_AGOSTO_2025[[#This Row],[SUPERVISOR]],$H:$I,2,0))</f>
        <v>16000</v>
      </c>
    </row>
    <row r="91" spans="1:18" x14ac:dyDescent="0.25">
      <c r="A91" s="10" t="s">
        <v>9</v>
      </c>
      <c r="B91" s="10" t="str">
        <f>TRIM(D1_AGOSTO[[#This Row],[ASESOR]])</f>
        <v>CHRISTIAN ALBUJAR</v>
      </c>
      <c r="C91" s="10" t="s">
        <v>53</v>
      </c>
      <c r="D91" s="10">
        <v>7399.91</v>
      </c>
      <c r="E91">
        <f>D1_AGOSTO[[#This Row],[RECUPERO]]/VLOOKUP(F91,$H:$I,2,0)</f>
        <v>0.46249437500000001</v>
      </c>
      <c r="F91" t="str">
        <f>D1_AGOSTO[[#This Row],[SUPER]]</f>
        <v>LUIS</v>
      </c>
      <c r="L91">
        <v>11</v>
      </c>
      <c r="M91" s="1">
        <f t="shared" si="2"/>
        <v>8.1125000000000003E-2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3"/>
        <v>DARY VICHARRA</v>
      </c>
      <c r="P91" t="str">
        <f>IF(DATA_AGOSTO_2025[[#This Row],[ASER_]]="","",F85)</f>
        <v>BRYAN</v>
      </c>
      <c r="Q91">
        <f>IF(DATA_AGOSTO_2025[[#This Row],[SUPERVISOR]]="","",D85)</f>
        <v>1298</v>
      </c>
      <c r="R91">
        <f>IF(DATA_AGOSTO_2025[[#This Row],[RECUPERO]]="","",VLOOKUP(DATA_AGOSTO_2025[[#This Row],[SUPERVISOR]],$H:$I,2,0))</f>
        <v>16000</v>
      </c>
    </row>
    <row r="92" spans="1:18" x14ac:dyDescent="0.25">
      <c r="A92" s="10" t="s">
        <v>9</v>
      </c>
      <c r="B92" s="10" t="str">
        <f>TRIM(D1_AGOSTO[[#This Row],[ASESOR]])</f>
        <v>MAYRA AVALOS</v>
      </c>
      <c r="C92" s="10" t="s">
        <v>55</v>
      </c>
      <c r="D92" s="10">
        <v>6895</v>
      </c>
      <c r="E92">
        <f>D1_AGOSTO[[#This Row],[RECUPERO]]/VLOOKUP(F92,$H:$I,2,0)</f>
        <v>0.43093749999999997</v>
      </c>
      <c r="F92" t="str">
        <f>D1_AGOSTO[[#This Row],[SUPER]]</f>
        <v>LUIS</v>
      </c>
      <c r="L92">
        <v>12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  <c r="P92" t="str">
        <f>IF(DATA_AGOSTO_2025[[#This Row],[ASER_]]="","",F86)</f>
        <v/>
      </c>
      <c r="Q92" t="str">
        <f>IF(DATA_AGOSTO_2025[[#This Row],[SUPERVISOR]]="","",D86)</f>
        <v/>
      </c>
      <c r="R92" t="str">
        <f>IF(DATA_AGOSTO_2025[[#This Row],[RECUPERO]]="","",VLOOKUP(DATA_AGOSTO_2025[[#This Row],[SUPERVISOR]],$H:$I,2,0))</f>
        <v/>
      </c>
    </row>
    <row r="93" spans="1:18" x14ac:dyDescent="0.25">
      <c r="A93" s="10" t="s">
        <v>9</v>
      </c>
      <c r="B93" s="10" t="str">
        <f>TRIM(D1_AGOSTO[[#This Row],[ASESOR]])</f>
        <v>ANABEL SIHUE</v>
      </c>
      <c r="C93" s="10" t="s">
        <v>54</v>
      </c>
      <c r="D93" s="10">
        <v>6415.1</v>
      </c>
      <c r="E93">
        <f>D1_AGOSTO[[#This Row],[RECUPERO]]/VLOOKUP(F93,$H:$I,2,0)</f>
        <v>0.40094375000000004</v>
      </c>
      <c r="F93" t="str">
        <f>D1_AGOSTO[[#This Row],[SUPER]]</f>
        <v>LUIS</v>
      </c>
      <c r="L93">
        <v>1</v>
      </c>
      <c r="M93" s="1">
        <f t="shared" si="2"/>
        <v>0.95628499999999994</v>
      </c>
      <c r="N93" t="str" cm="1">
        <f t="array" ref="N93">IFERROR(_xlfn.IFS(M93&gt;100%,"&gt;100%",AND(M93&lt;100%,M93&gt;70%),"&gt;70%",AND(M93&lt;70%,M93&gt;40%),"&gt;40%",AND(M93&lt;40%,M93&gt;0%),"&gt;0%"),"")</f>
        <v>&gt;70%</v>
      </c>
      <c r="O93" t="str">
        <f t="shared" si="3"/>
        <v>KIARA CANEPA</v>
      </c>
      <c r="P93" t="str">
        <f>IF(DATA_AGOSTO_2025[[#This Row],[ASER_]]="","",F87)</f>
        <v>LUIS</v>
      </c>
      <c r="Q93">
        <f>IF(DATA_AGOSTO_2025[[#This Row],[SUPERVISOR]]="","",D87)</f>
        <v>15300.56</v>
      </c>
      <c r="R93">
        <f>IF(DATA_AGOSTO_2025[[#This Row],[RECUPERO]]="","",VLOOKUP(DATA_AGOSTO_2025[[#This Row],[SUPERVISOR]],$H:$I,2,0))</f>
        <v>16000</v>
      </c>
    </row>
    <row r="94" spans="1:18" x14ac:dyDescent="0.25">
      <c r="A94" s="10" t="s">
        <v>9</v>
      </c>
      <c r="B94" s="10" t="str">
        <f>TRIM(D1_AGOSTO[[#This Row],[ASESOR]])</f>
        <v>LUIS RUIZ</v>
      </c>
      <c r="C94" s="10" t="s">
        <v>104</v>
      </c>
      <c r="D94" s="10">
        <v>4420</v>
      </c>
      <c r="E94">
        <f>D1_AGOSTO[[#This Row],[RECUPERO]]/VLOOKUP(F94,$H:$I,2,0)</f>
        <v>0.27625</v>
      </c>
      <c r="F94" t="str">
        <f>D1_AGOSTO[[#This Row],[SUPER]]</f>
        <v>LUIS</v>
      </c>
      <c r="L94">
        <v>2</v>
      </c>
      <c r="M94" s="1">
        <f t="shared" si="2"/>
        <v>0.78743750000000001</v>
      </c>
      <c r="N94" t="str" cm="1">
        <f t="array" ref="N94">IFERROR(_xlfn.IFS(M94&gt;100%,"&gt;100%",AND(M94&lt;100%,M94&gt;70%),"&gt;70%",AND(M94&lt;70%,M94&gt;40%),"&gt;40%",AND(M94&lt;40%,M94&gt;0%),"&gt;0%"),"")</f>
        <v>&gt;70%</v>
      </c>
      <c r="O94" t="str">
        <f t="shared" si="3"/>
        <v>JANETH PORTOCARRERO</v>
      </c>
      <c r="P94" t="str">
        <f>IF(DATA_AGOSTO_2025[[#This Row],[ASER_]]="","",F88)</f>
        <v>LUIS</v>
      </c>
      <c r="Q94">
        <f>IF(DATA_AGOSTO_2025[[#This Row],[SUPERVISOR]]="","",D88)</f>
        <v>12599</v>
      </c>
      <c r="R94">
        <f>IF(DATA_AGOSTO_2025[[#This Row],[RECUPERO]]="","",VLOOKUP(DATA_AGOSTO_2025[[#This Row],[SUPERVISOR]],$H:$I,2,0))</f>
        <v>16000</v>
      </c>
    </row>
    <row r="95" spans="1:18" x14ac:dyDescent="0.25">
      <c r="A95" s="10" t="s">
        <v>9</v>
      </c>
      <c r="B95" s="10" t="str">
        <f>TRIM(D1_AGOSTO[[#This Row],[ASESOR]])</f>
        <v>YEYMY HUERTA</v>
      </c>
      <c r="C95" s="10" t="s">
        <v>56</v>
      </c>
      <c r="D95" s="10">
        <v>3576</v>
      </c>
      <c r="E95">
        <f>D1_AGOSTO[[#This Row],[RECUPERO]]/VLOOKUP(F95,$H:$I,2,0)</f>
        <v>0.2235</v>
      </c>
      <c r="F95" t="str">
        <f>D1_AGOSTO[[#This Row],[SUPER]]</f>
        <v>LUIS</v>
      </c>
      <c r="L95">
        <v>3</v>
      </c>
      <c r="M95" s="1">
        <f t="shared" si="2"/>
        <v>0.72962499999999997</v>
      </c>
      <c r="N95" t="str" cm="1">
        <f t="array" ref="N95">IFERROR(_xlfn.IFS(M95&gt;100%,"&gt;100%",AND(M95&lt;100%,M95&gt;70%),"&gt;70%",AND(M95&lt;70%,M95&gt;40%),"&gt;40%",AND(M95&lt;40%,M95&gt;0%),"&gt;0%"),"")</f>
        <v>&gt;70%</v>
      </c>
      <c r="O95" t="str">
        <f t="shared" si="3"/>
        <v>GERALDINE ARROYO</v>
      </c>
      <c r="P95" t="str">
        <f>IF(DATA_AGOSTO_2025[[#This Row],[ASER_]]="","",F89)</f>
        <v>LUIS</v>
      </c>
      <c r="Q95">
        <f>IF(DATA_AGOSTO_2025[[#This Row],[SUPERVISOR]]="","",D89)</f>
        <v>11674</v>
      </c>
      <c r="R95">
        <f>IF(DATA_AGOSTO_2025[[#This Row],[RECUPERO]]="","",VLOOKUP(DATA_AGOSTO_2025[[#This Row],[SUPERVISOR]],$H:$I,2,0))</f>
        <v>16000</v>
      </c>
    </row>
    <row r="96" spans="1:18" x14ac:dyDescent="0.25">
      <c r="A96" s="10" t="s">
        <v>9</v>
      </c>
      <c r="B96" s="10" t="str">
        <f>TRIM(D1_AGOSTO[[#This Row],[ASESOR]])</f>
        <v>JAIME TUMIALAN</v>
      </c>
      <c r="C96" s="10" t="s">
        <v>103</v>
      </c>
      <c r="D96" s="10">
        <v>1226</v>
      </c>
      <c r="E96">
        <f>D1_AGOSTO[[#This Row],[RECUPERO]]/VLOOKUP(F96,$H:$I,2,0)</f>
        <v>7.6624999999999999E-2</v>
      </c>
      <c r="F96" t="str">
        <f>D1_AGOSTO[[#This Row],[SUPER]]</f>
        <v>LUIS</v>
      </c>
      <c r="L96">
        <v>4</v>
      </c>
      <c r="M96" s="1">
        <f t="shared" si="2"/>
        <v>0.61562499999999998</v>
      </c>
      <c r="N96" t="str" cm="1">
        <f t="array" ref="N96">IFERROR(_xlfn.IFS(M96&gt;100%,"&gt;100%",AND(M96&lt;100%,M96&gt;70%),"&gt;70%",AND(M96&lt;70%,M96&gt;40%),"&gt;40%",AND(M96&lt;40%,M96&gt;0%),"&gt;0%"),"")</f>
        <v>&gt;40%</v>
      </c>
      <c r="O96" t="str">
        <f t="shared" si="3"/>
        <v>MARCO QUISPE</v>
      </c>
      <c r="P96" t="str">
        <f>IF(DATA_AGOSTO_2025[[#This Row],[ASER_]]="","",F90)</f>
        <v>LUIS</v>
      </c>
      <c r="Q96">
        <f>IF(DATA_AGOSTO_2025[[#This Row],[SUPERVISOR]]="","",D90)</f>
        <v>9850</v>
      </c>
      <c r="R96">
        <f>IF(DATA_AGOSTO_2025[[#This Row],[RECUPERO]]="","",VLOOKUP(DATA_AGOSTO_2025[[#This Row],[SUPERVISOR]],$H:$I,2,0))</f>
        <v>16000</v>
      </c>
    </row>
    <row r="97" spans="1:18" x14ac:dyDescent="0.25">
      <c r="A97" s="10" t="s">
        <v>9</v>
      </c>
      <c r="B97" s="10" t="str">
        <f>TRIM(D1_AGOSTO[[#This Row],[ASESOR]])</f>
        <v/>
      </c>
      <c r="C97" s="10"/>
      <c r="D97" s="10"/>
      <c r="E97">
        <f>D1_AGOSTO[[#This Row],[RECUPERO]]/VLOOKUP(F97,$H:$I,2,0)</f>
        <v>0</v>
      </c>
      <c r="F97" t="str">
        <f>D1_AGOSTO[[#This Row],[SUPER]]</f>
        <v>LUIS</v>
      </c>
      <c r="L97">
        <v>5</v>
      </c>
      <c r="M97" s="1">
        <f t="shared" si="2"/>
        <v>0.46249437500000001</v>
      </c>
      <c r="N97" t="str" cm="1">
        <f t="array" ref="N97">IFERROR(_xlfn.IFS(M97&gt;100%,"&gt;100%",AND(M97&lt;100%,M97&gt;70%),"&gt;70%",AND(M97&lt;70%,M97&gt;40%),"&gt;40%",AND(M97&lt;40%,M97&gt;0%),"&gt;0%"),"")</f>
        <v>&gt;40%</v>
      </c>
      <c r="O97" t="str">
        <f t="shared" si="3"/>
        <v>CHRISTIAN ALBUJAR</v>
      </c>
      <c r="P97" t="str">
        <f>IF(DATA_AGOSTO_2025[[#This Row],[ASER_]]="","",F91)</f>
        <v>LUIS</v>
      </c>
      <c r="Q97">
        <f>IF(DATA_AGOSTO_2025[[#This Row],[SUPERVISOR]]="","",D91)</f>
        <v>7399.91</v>
      </c>
      <c r="R97">
        <f>IF(DATA_AGOSTO_2025[[#This Row],[RECUPERO]]="","",VLOOKUP(DATA_AGOSTO_2025[[#This Row],[SUPERVISOR]],$H:$I,2,0))</f>
        <v>16000</v>
      </c>
    </row>
    <row r="98" spans="1:18" x14ac:dyDescent="0.25">
      <c r="A98" s="10" t="s">
        <v>9</v>
      </c>
      <c r="B98" s="10" t="str">
        <f>TRIM(D1_AGOSTO[[#This Row],[ASESOR]])</f>
        <v/>
      </c>
      <c r="C98" s="10"/>
      <c r="D98" s="10"/>
      <c r="E98">
        <f>D1_AGOSTO[[#This Row],[RECUPERO]]/VLOOKUP(F98,$H:$I,2,0)</f>
        <v>0</v>
      </c>
      <c r="F98" t="str">
        <f>D1_AGOSTO[[#This Row],[SUPER]]</f>
        <v>LUIS</v>
      </c>
      <c r="L98">
        <v>6</v>
      </c>
      <c r="M98" s="1">
        <f t="shared" si="2"/>
        <v>0.43093749999999997</v>
      </c>
      <c r="N98" t="str" cm="1">
        <f t="array" ref="N98">IFERROR(_xlfn.IFS(M98&gt;100%,"&gt;100%",AND(M98&lt;100%,M98&gt;70%),"&gt;70%",AND(M98&lt;70%,M98&gt;40%),"&gt;40%",AND(M98&lt;40%,M98&gt;0%),"&gt;0%"),"")</f>
        <v>&gt;40%</v>
      </c>
      <c r="O98" t="str">
        <f t="shared" si="3"/>
        <v>MAYRA AVALOS</v>
      </c>
      <c r="P98" t="str">
        <f>IF(DATA_AGOSTO_2025[[#This Row],[ASER_]]="","",F92)</f>
        <v>LUIS</v>
      </c>
      <c r="Q98">
        <f>IF(DATA_AGOSTO_2025[[#This Row],[SUPERVISOR]]="","",D92)</f>
        <v>6895</v>
      </c>
      <c r="R98">
        <f>IF(DATA_AGOSTO_2025[[#This Row],[RECUPERO]]="","",VLOOKUP(DATA_AGOSTO_2025[[#This Row],[SUPERVISOR]],$H:$I,2,0))</f>
        <v>16000</v>
      </c>
    </row>
    <row r="99" spans="1:18" x14ac:dyDescent="0.25">
      <c r="L99">
        <v>7</v>
      </c>
      <c r="M99" s="1">
        <f t="shared" si="2"/>
        <v>0.40094375000000004</v>
      </c>
      <c r="N99" t="str" cm="1">
        <f t="array" ref="N99">IFERROR(_xlfn.IFS(M99&gt;100%,"&gt;100%",AND(M99&lt;100%,M99&gt;70%),"&gt;70%",AND(M99&lt;70%,M99&gt;40%),"&gt;40%",AND(M99&lt;40%,M99&gt;0%),"&gt;0%"),"")</f>
        <v>&gt;40%</v>
      </c>
      <c r="O99" t="str">
        <f t="shared" si="3"/>
        <v>ANABEL SIHUE</v>
      </c>
      <c r="P99" t="str">
        <f>IF(DATA_AGOSTO_2025[[#This Row],[ASER_]]="","",F93)</f>
        <v>LUIS</v>
      </c>
      <c r="Q99">
        <f>IF(DATA_AGOSTO_2025[[#This Row],[SUPERVISOR]]="","",D93)</f>
        <v>6415.1</v>
      </c>
      <c r="R99">
        <f>IF(DATA_AGOSTO_2025[[#This Row],[RECUPERO]]="","",VLOOKUP(DATA_AGOSTO_2025[[#This Row],[SUPERVISOR]],$H:$I,2,0))</f>
        <v>16000</v>
      </c>
    </row>
    <row r="100" spans="1:18" x14ac:dyDescent="0.25">
      <c r="L100">
        <v>8</v>
      </c>
      <c r="M100" s="1">
        <f t="shared" si="2"/>
        <v>0.27625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3"/>
        <v>LUIS RUIZ</v>
      </c>
      <c r="P100" t="str">
        <f>IF(DATA_AGOSTO_2025[[#This Row],[ASER_]]="","",F94)</f>
        <v>LUIS</v>
      </c>
      <c r="Q100">
        <f>IF(DATA_AGOSTO_2025[[#This Row],[SUPERVISOR]]="","",D94)</f>
        <v>4420</v>
      </c>
      <c r="R100">
        <f>IF(DATA_AGOSTO_2025[[#This Row],[RECUPERO]]="","",VLOOKUP(DATA_AGOSTO_2025[[#This Row],[SUPERVISOR]],$H:$I,2,0))</f>
        <v>16000</v>
      </c>
    </row>
    <row r="101" spans="1:18" x14ac:dyDescent="0.25">
      <c r="L101">
        <v>9</v>
      </c>
      <c r="M101" s="1">
        <f t="shared" si="2"/>
        <v>0.2235</v>
      </c>
      <c r="N101" t="str" cm="1">
        <f t="array" ref="N101">IFERROR(_xlfn.IFS(M101&gt;100%,"&gt;100%",AND(M101&lt;100%,M101&gt;70%),"&gt;70%",AND(M101&lt;70%,M101&gt;40%),"&gt;40%",AND(M101&lt;40%,M101&gt;0%),"&gt;0%"),"")</f>
        <v>&gt;0%</v>
      </c>
      <c r="O101" t="str">
        <f t="shared" si="3"/>
        <v>YEYMY HUERTA</v>
      </c>
      <c r="P101" t="str">
        <f>IF(DATA_AGOSTO_2025[[#This Row],[ASER_]]="","",F95)</f>
        <v>LUIS</v>
      </c>
      <c r="Q101">
        <f>IF(DATA_AGOSTO_2025[[#This Row],[SUPERVISOR]]="","",D95)</f>
        <v>3576</v>
      </c>
      <c r="R101">
        <f>IF(DATA_AGOSTO_2025[[#This Row],[RECUPERO]]="","",VLOOKUP(DATA_AGOSTO_2025[[#This Row],[SUPERVISOR]],$H:$I,2,0))</f>
        <v>16000</v>
      </c>
    </row>
    <row r="102" spans="1:18" x14ac:dyDescent="0.25">
      <c r="L102">
        <v>10</v>
      </c>
      <c r="M102" s="1">
        <f t="shared" si="2"/>
        <v>7.6624999999999999E-2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3"/>
        <v>JAIME TUMIALAN</v>
      </c>
      <c r="P102" t="str">
        <f>IF(DATA_AGOSTO_2025[[#This Row],[ASER_]]="","",F96)</f>
        <v>LUIS</v>
      </c>
      <c r="Q102">
        <f>IF(DATA_AGOSTO_2025[[#This Row],[SUPERVISOR]]="","",D96)</f>
        <v>1226</v>
      </c>
      <c r="R102">
        <f>IF(DATA_AGOSTO_2025[[#This Row],[RECUPERO]]="","",VLOOKUP(DATA_AGOSTO_2025[[#This Row],[SUPERVISOR]],$H:$I,2,0))</f>
        <v>16000</v>
      </c>
    </row>
    <row r="103" spans="1:18" x14ac:dyDescent="0.25">
      <c r="L103">
        <v>11</v>
      </c>
      <c r="M103" s="1">
        <f t="shared" si="2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3"/>
        <v/>
      </c>
      <c r="P103" t="str">
        <f>IF(DATA_AGOSTO_2025[[#This Row],[ASER_]]="","",F97)</f>
        <v/>
      </c>
      <c r="Q103" t="str">
        <f>IF(DATA_AGOSTO_2025[[#This Row],[SUPERVISOR]]="","",D97)</f>
        <v/>
      </c>
      <c r="R103" t="str">
        <f>IF(DATA_AGOSTO_2025[[#This Row],[RECUPERO]]="","",VLOOKUP(DATA_AGOSTO_2025[[#This Row],[SUPERVISOR]],$H:$I,2,0))</f>
        <v/>
      </c>
    </row>
    <row r="104" spans="1:18" x14ac:dyDescent="0.25">
      <c r="L104">
        <v>12</v>
      </c>
      <c r="M104" s="1">
        <f t="shared" si="2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3"/>
        <v/>
      </c>
      <c r="P104" t="str">
        <f>IF(DATA_AGOSTO_2025[[#This Row],[ASER_]]="","",F98)</f>
        <v/>
      </c>
      <c r="Q104" t="str">
        <f>IF(DATA_AGOSTO_2025[[#This Row],[SUPERVISOR]]="","",D98)</f>
        <v/>
      </c>
      <c r="R104" t="str">
        <f>IF(DATA_AGOSTO_2025[[#This Row],[RECUPERO]]="","",VLOOKUP(DATA_AGOSTO_2025[[#This Row],[SUPERVISOR]],$H:$I,2,0))</f>
        <v/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R104"/>
  <sheetViews>
    <sheetView topLeftCell="A64" zoomScale="85" zoomScaleNormal="85" workbookViewId="0">
      <selection activeCell="C74" sqref="C74"/>
    </sheetView>
  </sheetViews>
  <sheetFormatPr baseColWidth="10" defaultRowHeight="15" x14ac:dyDescent="0.25"/>
  <cols>
    <col min="1" max="1" width="10.7109375" customWidth="1"/>
    <col min="2" max="3" width="30.28515625" customWidth="1"/>
    <col min="4" max="4" width="14.5703125" customWidth="1"/>
    <col min="5" max="5" width="14.85546875" customWidth="1"/>
    <col min="6" max="6" width="11.140625" customWidth="1"/>
    <col min="7" max="7" width="12.28515625" customWidth="1"/>
    <col min="8" max="8" width="15.28515625" customWidth="1"/>
    <col min="9" max="9" width="8.140625" customWidth="1"/>
    <col min="10" max="10" width="14.42578125" customWidth="1"/>
    <col min="11" max="11" width="17.140625" customWidth="1"/>
    <col min="12" max="12" width="10" customWidth="1"/>
    <col min="13" max="13" width="12.140625" customWidth="1"/>
    <col min="14" max="14" width="20.140625" customWidth="1"/>
    <col min="15" max="15" width="22.7109375" customWidth="1"/>
    <col min="16" max="16" width="11.42578125" customWidth="1"/>
  </cols>
  <sheetData>
    <row r="1" spans="1:18" ht="15" customHeight="1" x14ac:dyDescent="0.25"/>
    <row r="2" spans="1:18" x14ac:dyDescent="0.25">
      <c r="A2" s="8" t="s">
        <v>97</v>
      </c>
      <c r="B2" s="8" t="s">
        <v>114</v>
      </c>
      <c r="C2" s="8" t="s">
        <v>0</v>
      </c>
      <c r="D2" s="8" t="s">
        <v>98</v>
      </c>
      <c r="E2" s="9" t="s">
        <v>1</v>
      </c>
      <c r="F2" s="8" t="s">
        <v>106</v>
      </c>
      <c r="H2" t="s">
        <v>0</v>
      </c>
      <c r="I2" t="s">
        <v>93</v>
      </c>
    </row>
    <row r="3" spans="1:18" x14ac:dyDescent="0.25">
      <c r="A3" s="10" t="s">
        <v>3</v>
      </c>
      <c r="B3" s="10" t="str">
        <f>TRIM(D1_SETIEMBRE[[#This Row],[ASESOR]])</f>
        <v>NOEMI CHUQUILIN</v>
      </c>
      <c r="C3" s="10" t="s">
        <v>100</v>
      </c>
      <c r="D3" s="10">
        <v>10487</v>
      </c>
      <c r="E3">
        <v>0.25550953389830505</v>
      </c>
      <c r="F3" t="str">
        <f>D1_SETIEMBRE[[#This Row],[SUPER]]</f>
        <v>SANDY</v>
      </c>
      <c r="H3" t="s">
        <v>100</v>
      </c>
      <c r="I3">
        <f>VLOOKUP(META_SETIEMBRE_2025[[#This Row],[ASESOR]],$B:$E,3,0)/VLOOKUP(META_SETIEMBRE_2025[[#This Row],[ASESOR]],$B:$E,4,0)</f>
        <v>41043.478260869568</v>
      </c>
    </row>
    <row r="4" spans="1:18" x14ac:dyDescent="0.25">
      <c r="A4" s="10" t="s">
        <v>3</v>
      </c>
      <c r="B4" s="10" t="str">
        <f>TRIM(D1_SETIEMBRE[[#This Row],[ASESOR]])</f>
        <v>GINA HUAMANI</v>
      </c>
      <c r="C4" s="10" t="s">
        <v>44</v>
      </c>
      <c r="D4" s="10">
        <v>35897</v>
      </c>
      <c r="E4">
        <v>0.77669896519285042</v>
      </c>
      <c r="F4" t="str">
        <f>D1_SETIEMBRE[[#This Row],[SUPER]]</f>
        <v>SANDY</v>
      </c>
      <c r="H4" t="s">
        <v>44</v>
      </c>
      <c r="I4">
        <f>VLOOKUP(META_SETIEMBRE_2025[[#This Row],[ASESOR]],$B:$E,3,0)/VLOOKUP(META_SETIEMBRE_2025[[#This Row],[ASESOR]],$B:$E,4,0)</f>
        <v>46217.391304347824</v>
      </c>
    </row>
    <row r="5" spans="1:18" x14ac:dyDescent="0.25">
      <c r="A5" s="10" t="s">
        <v>3</v>
      </c>
      <c r="B5" s="10" t="str">
        <f>TRIM(D1_SETIEMBRE[[#This Row],[ASESOR]])</f>
        <v>VERONICA HUARCA</v>
      </c>
      <c r="C5" s="10" t="s">
        <v>48</v>
      </c>
      <c r="D5" s="10">
        <v>11064</v>
      </c>
      <c r="E5">
        <v>0.6644177545691905</v>
      </c>
      <c r="F5" t="str">
        <f>D1_SETIEMBRE[[#This Row],[SUPER]]</f>
        <v>SANDY</v>
      </c>
      <c r="H5" t="s">
        <v>48</v>
      </c>
      <c r="I5">
        <f>VLOOKUP(META_SETIEMBRE_2025[[#This Row],[ASESOR]],$B:$E,3,0)/VLOOKUP(META_SETIEMBRE_2025[[#This Row],[ASESOR]],$B:$E,4,0)</f>
        <v>16652.17391304348</v>
      </c>
    </row>
    <row r="6" spans="1:18" x14ac:dyDescent="0.25">
      <c r="A6" s="10" t="s">
        <v>3</v>
      </c>
      <c r="B6" s="10" t="str">
        <f>TRIM(D1_SETIEMBRE[[#This Row],[ASESOR]])</f>
        <v>GABRIELA APONTE</v>
      </c>
      <c r="C6" s="10" t="s">
        <v>27</v>
      </c>
      <c r="D6" s="10">
        <v>4612</v>
      </c>
      <c r="E6">
        <v>0.1583223880597015</v>
      </c>
      <c r="F6" t="str">
        <f>D1_SETIEMBRE[[#This Row],[SUPER]]</f>
        <v>SANDY</v>
      </c>
      <c r="H6" t="s">
        <v>27</v>
      </c>
      <c r="I6">
        <f>VLOOKUP(META_SETIEMBRE_2025[[#This Row],[ASESOR]],$B:$E,3,0)/VLOOKUP(META_SETIEMBRE_2025[[#This Row],[ASESOR]],$B:$E,4,0)</f>
        <v>29130.434782608692</v>
      </c>
    </row>
    <row r="7" spans="1:18" x14ac:dyDescent="0.25">
      <c r="A7" s="10" t="s">
        <v>3</v>
      </c>
      <c r="B7" s="10" t="str">
        <f>TRIM(D1_SETIEMBRE[[#This Row],[ASESOR]])</f>
        <v>ROBERTO RODRIGUEZ</v>
      </c>
      <c r="C7" s="10" t="s">
        <v>105</v>
      </c>
      <c r="D7" s="10">
        <v>2200</v>
      </c>
      <c r="E7">
        <v>4.1611842105263155E-2</v>
      </c>
      <c r="F7" t="str">
        <f>D1_SETIEMBRE[[#This Row],[SUPER]]</f>
        <v>SANDY</v>
      </c>
      <c r="H7" t="s">
        <v>105</v>
      </c>
      <c r="I7">
        <f>VLOOKUP(META_SETIEMBRE_2025[[#This Row],[ASESOR]],$B:$E,3,0)/VLOOKUP(META_SETIEMBRE_2025[[#This Row],[ASESOR]],$B:$E,4,0)</f>
        <v>52869.565217391304</v>
      </c>
    </row>
    <row r="8" spans="1:18" x14ac:dyDescent="0.25">
      <c r="A8" s="10" t="s">
        <v>3</v>
      </c>
      <c r="B8" s="10" t="str">
        <f>TRIM(D1_SETIEMBRE[[#This Row],[ASESOR]])</f>
        <v>LYNDA PEREZ</v>
      </c>
      <c r="C8" s="10" t="s">
        <v>43</v>
      </c>
      <c r="D8" s="10">
        <v>9523</v>
      </c>
      <c r="E8">
        <v>0.29399865771812078</v>
      </c>
      <c r="F8" t="str">
        <f>D1_SETIEMBRE[[#This Row],[SUPER]]</f>
        <v>SANDY</v>
      </c>
      <c r="H8" t="s">
        <v>43</v>
      </c>
      <c r="I8">
        <f>VLOOKUP(META_SETIEMBRE_2025[[#This Row],[ASESOR]],$B:$E,3,0)/VLOOKUP(META_SETIEMBRE_2025[[#This Row],[ASESOR]],$B:$E,4,0)</f>
        <v>32391.304347826088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</row>
    <row r="9" spans="1:18" x14ac:dyDescent="0.25">
      <c r="A9" s="10" t="s">
        <v>3</v>
      </c>
      <c r="B9" s="10" t="str">
        <f>TRIM(D1_SETIEMBRE[[#This Row],[ASESOR]])</f>
        <v>YEYMY HUERTA</v>
      </c>
      <c r="C9" s="10" t="s">
        <v>56</v>
      </c>
      <c r="D9" s="10">
        <v>6610</v>
      </c>
      <c r="E9">
        <v>0.19977660972404732</v>
      </c>
      <c r="F9" t="str">
        <f>D1_SETIEMBRE[[#This Row],[SUPER]]</f>
        <v>SANDY</v>
      </c>
      <c r="H9" t="s">
        <v>56</v>
      </c>
      <c r="I9">
        <f>VLOOKUP(META_SETIEMBRE_2025[[#This Row],[ASESOR]],$B:$E,3,0)/VLOOKUP(META_SETIEMBRE_2025[[#This Row],[ASESOR]],$B:$E,4,0)</f>
        <v>33086.956521739128</v>
      </c>
      <c r="L9">
        <v>1</v>
      </c>
      <c r="M9" s="1">
        <f>E3</f>
        <v>0.25550953389830505</v>
      </c>
      <c r="N9" t="str" cm="1">
        <f t="array" ref="N9">IFERROR(_xlfn.IFS(M9&gt;100%,"&gt;100%",AND(M9&lt;100%,M9&gt;70%),"&gt;70%",AND(M9&lt;70%,M9&gt;40%),"&gt;40%",AND(M9&lt;40%,M9&gt;0%),"&gt;0%"),"")</f>
        <v>&gt;0%</v>
      </c>
      <c r="O9" t="str">
        <f>B3</f>
        <v>NOEMI CHUQUILIN</v>
      </c>
      <c r="P9" t="str">
        <f>IF(DATA_SETIEMBRE_2025[[#This Row],[ASER_]]="","",F3)</f>
        <v>SANDY</v>
      </c>
      <c r="Q9">
        <f>IF(DATA_SETIEMBRE_2025[[#This Row],[SUPERVISOR]]="","",D3)</f>
        <v>10487</v>
      </c>
      <c r="R9">
        <f>IF(DATA_SETIEMBRE_2025[[#This Row],[RECUPERO]]="","",VLOOKUP(DATA_SETIEMBRE_2025[[#This Row],[ASER_]],$H:$I,2,0))</f>
        <v>41043.478260869568</v>
      </c>
    </row>
    <row r="10" spans="1:18" x14ac:dyDescent="0.25">
      <c r="A10" s="10" t="s">
        <v>3</v>
      </c>
      <c r="B10" s="10" t="str">
        <f>TRIM(D1_SETIEMBRE[[#This Row],[ASESOR]])</f>
        <v>LUIS RUIZ</v>
      </c>
      <c r="C10" s="10" t="s">
        <v>104</v>
      </c>
      <c r="D10" s="10">
        <v>2200</v>
      </c>
      <c r="E10">
        <v>0.12524752475247525</v>
      </c>
      <c r="F10" t="str">
        <f>D1_SETIEMBRE[[#This Row],[SUPER]]</f>
        <v>SANDY</v>
      </c>
      <c r="H10" t="s">
        <v>104</v>
      </c>
      <c r="I10">
        <f>VLOOKUP(META_SETIEMBRE_2025[[#This Row],[ASESOR]],$B:$E,3,0)/VLOOKUP(META_SETIEMBRE_2025[[#This Row],[ASESOR]],$B:$E,4,0)</f>
        <v>17565.217391304348</v>
      </c>
      <c r="L10">
        <v>2</v>
      </c>
      <c r="M10" s="1">
        <f t="shared" ref="M10:M73" si="0">E4</f>
        <v>0.77669896519285042</v>
      </c>
      <c r="N10" t="str" cm="1">
        <f t="array" ref="N10">IFERROR(_xlfn.IFS(M10&gt;100%,"&gt;100%",AND(M10&lt;100%,M10&gt;70%),"&gt;70%",AND(M10&lt;70%,M10&gt;40%),"&gt;40%",AND(M10&lt;40%,M10&gt;0%),"&gt;0%"),"")</f>
        <v>&gt;70%</v>
      </c>
      <c r="O10" t="str">
        <f t="shared" ref="O10:O73" si="1">B4</f>
        <v>GINA HUAMANI</v>
      </c>
      <c r="P10" t="str">
        <f>IF(DATA_SETIEMBRE_2025[[#This Row],[ASER_]]="","",F4)</f>
        <v>SANDY</v>
      </c>
      <c r="Q10">
        <f>IF(DATA_SETIEMBRE_2025[[#This Row],[SUPERVISOR]]="","",D4)</f>
        <v>35897</v>
      </c>
      <c r="R10">
        <f>IF(DATA_SETIEMBRE_2025[[#This Row],[RECUPERO]]="","",VLOOKUP(DATA_SETIEMBRE_2025[[#This Row],[ASER_]],$H:$I,2,0))</f>
        <v>46217.391304347824</v>
      </c>
    </row>
    <row r="11" spans="1:18" x14ac:dyDescent="0.25">
      <c r="A11" s="10" t="s">
        <v>3</v>
      </c>
      <c r="B11" s="10" t="str">
        <f>TRIM(D1_SETIEMBRE[[#This Row],[ASESOR]])</f>
        <v>MICHAEL TAFUR</v>
      </c>
      <c r="C11" s="10" t="s">
        <v>112</v>
      </c>
      <c r="D11" s="10">
        <v>5780</v>
      </c>
      <c r="E11">
        <v>0.34984210526315784</v>
      </c>
      <c r="F11" t="str">
        <f>D1_SETIEMBRE[[#This Row],[SUPER]]</f>
        <v>SANDY</v>
      </c>
      <c r="H11" t="s">
        <v>112</v>
      </c>
      <c r="I11">
        <f>VLOOKUP(META_SETIEMBRE_2025[[#This Row],[ASESOR]],$B:$E,3,0)/VLOOKUP(META_SETIEMBRE_2025[[#This Row],[ASESOR]],$B:$E,4,0)</f>
        <v>16521.739130434784</v>
      </c>
      <c r="L11">
        <v>3</v>
      </c>
      <c r="M11" s="1">
        <f t="shared" si="0"/>
        <v>0.6644177545691905</v>
      </c>
      <c r="N11" t="str" cm="1">
        <f t="array" ref="N11">IFERROR(_xlfn.IFS(M11&gt;100%,"&gt;100%",AND(M11&lt;100%,M11&gt;70%),"&gt;70%",AND(M11&lt;70%,M11&gt;40%),"&gt;40%",AND(M11&lt;40%,M11&gt;0%),"&gt;0%"),"")</f>
        <v>&gt;40%</v>
      </c>
      <c r="O11" t="str">
        <f t="shared" si="1"/>
        <v>VERONICA HUARCA</v>
      </c>
      <c r="P11" t="str">
        <f>IF(DATA_SETIEMBRE_2025[[#This Row],[ASER_]]="","",F5)</f>
        <v>SANDY</v>
      </c>
      <c r="Q11">
        <f>IF(DATA_SETIEMBRE_2025[[#This Row],[SUPERVISOR]]="","",D5)</f>
        <v>11064</v>
      </c>
      <c r="R11">
        <f>IF(DATA_SETIEMBRE_2025[[#This Row],[RECUPERO]]="","",VLOOKUP(DATA_SETIEMBRE_2025[[#This Row],[ASER_]],$H:$I,2,0))</f>
        <v>16652.17391304348</v>
      </c>
    </row>
    <row r="12" spans="1:18" x14ac:dyDescent="0.25">
      <c r="A12" s="10" t="s">
        <v>3</v>
      </c>
      <c r="B12" s="10" t="str">
        <f>TRIM(D1_SETIEMBRE[[#This Row],[ASESOR]])</f>
        <v>JOANA GIL</v>
      </c>
      <c r="C12" s="10" t="s">
        <v>111</v>
      </c>
      <c r="D12" s="10">
        <v>300</v>
      </c>
      <c r="E12">
        <v>7.8677309007981755E-3</v>
      </c>
      <c r="F12" t="str">
        <f>D1_SETIEMBRE[[#This Row],[SUPER]]</f>
        <v>SANDY</v>
      </c>
      <c r="H12" t="s">
        <v>111</v>
      </c>
      <c r="I12">
        <f>VLOOKUP(META_SETIEMBRE_2025[[#This Row],[ASESOR]],$B:$E,3,0)/VLOOKUP(META_SETIEMBRE_2025[[#This Row],[ASESOR]],$B:$E,4,0)</f>
        <v>38130.434782608696</v>
      </c>
      <c r="L12">
        <v>4</v>
      </c>
      <c r="M12" s="1">
        <f t="shared" si="0"/>
        <v>0.1583223880597015</v>
      </c>
      <c r="N12" t="str" cm="1">
        <f t="array" ref="N12">IFERROR(_xlfn.IFS(M12&gt;100%,"&gt;100%",AND(M12&lt;100%,M12&gt;70%),"&gt;70%",AND(M12&lt;70%,M12&gt;40%),"&gt;40%",AND(M12&lt;40%,M12&gt;0%),"&gt;0%"),"")</f>
        <v>&gt;0%</v>
      </c>
      <c r="O12" t="str">
        <f t="shared" si="1"/>
        <v>GABRIELA APONTE</v>
      </c>
      <c r="P12" t="str">
        <f>IF(DATA_SETIEMBRE_2025[[#This Row],[ASER_]]="","",F6)</f>
        <v>SANDY</v>
      </c>
      <c r="Q12">
        <f>IF(DATA_SETIEMBRE_2025[[#This Row],[SUPERVISOR]]="","",D6)</f>
        <v>4612</v>
      </c>
      <c r="R12">
        <f>IF(DATA_SETIEMBRE_2025[[#This Row],[RECUPERO]]="","",VLOOKUP(DATA_SETIEMBRE_2025[[#This Row],[ASER_]],$H:$I,2,0))</f>
        <v>29130.434782608692</v>
      </c>
    </row>
    <row r="13" spans="1:18" x14ac:dyDescent="0.25">
      <c r="A13" s="10" t="s">
        <v>3</v>
      </c>
      <c r="B13" s="10" t="str">
        <f>TRIM(D1_SETIEMBRE[[#This Row],[ASESOR]])</f>
        <v>GIANNINA AGUILAR</v>
      </c>
      <c r="C13" s="10" t="s">
        <v>32</v>
      </c>
      <c r="D13" s="10">
        <v>4022</v>
      </c>
      <c r="E13">
        <v>0.20881715575620766</v>
      </c>
      <c r="F13" t="str">
        <f>D1_SETIEMBRE[[#This Row],[SUPER]]</f>
        <v>SANDY</v>
      </c>
      <c r="H13" t="s">
        <v>32</v>
      </c>
      <c r="I13">
        <f>VLOOKUP(META_SETIEMBRE_2025[[#This Row],[ASESOR]],$B:$E,3,0)/VLOOKUP(META_SETIEMBRE_2025[[#This Row],[ASESOR]],$B:$E,4,0)</f>
        <v>19260.869565217392</v>
      </c>
      <c r="L13">
        <v>5</v>
      </c>
      <c r="M13" s="1">
        <f t="shared" si="0"/>
        <v>4.1611842105263155E-2</v>
      </c>
      <c r="N13" t="str" cm="1">
        <f t="array" ref="N13">IFERROR(_xlfn.IFS(M13&gt;100%,"&gt;100%",AND(M13&lt;100%,M13&gt;70%),"&gt;70%",AND(M13&lt;70%,M13&gt;40%),"&gt;40%",AND(M13&lt;40%,M13&gt;0%),"&gt;0%"),"")</f>
        <v>&gt;0%</v>
      </c>
      <c r="O13" t="str">
        <f t="shared" si="1"/>
        <v>ROBERTO RODRIGUEZ</v>
      </c>
      <c r="P13" t="str">
        <f>IF(DATA_SETIEMBRE_2025[[#This Row],[ASER_]]="","",F7)</f>
        <v>SANDY</v>
      </c>
      <c r="Q13">
        <f>IF(DATA_SETIEMBRE_2025[[#This Row],[SUPERVISOR]]="","",D7)</f>
        <v>2200</v>
      </c>
      <c r="R13">
        <f>IF(DATA_SETIEMBRE_2025[[#This Row],[RECUPERO]]="","",VLOOKUP(DATA_SETIEMBRE_2025[[#This Row],[ASER_]],$H:$I,2,0))</f>
        <v>52869.565217391304</v>
      </c>
    </row>
    <row r="14" spans="1:18" x14ac:dyDescent="0.25">
      <c r="A14" s="10" t="s">
        <v>3</v>
      </c>
      <c r="B14" s="10" t="str">
        <f>TRIM(D1_SETIEMBRE[[#This Row],[ASESOR]])</f>
        <v>LINDA TUESTA</v>
      </c>
      <c r="C14" s="10" t="s">
        <v>33</v>
      </c>
      <c r="D14" s="10">
        <v>6610</v>
      </c>
      <c r="E14">
        <v>0.27051601423487542</v>
      </c>
      <c r="F14" t="str">
        <f>D1_SETIEMBRE[[#This Row],[SUPER]]</f>
        <v>SANDY</v>
      </c>
      <c r="H14" t="s">
        <v>33</v>
      </c>
      <c r="I14">
        <f>VLOOKUP(META_SETIEMBRE_2025[[#This Row],[ASESOR]],$B:$E,3,0)/VLOOKUP(META_SETIEMBRE_2025[[#This Row],[ASESOR]],$B:$E,4,0)</f>
        <v>24434.782608695656</v>
      </c>
      <c r="L14">
        <v>6</v>
      </c>
      <c r="M14" s="1">
        <f t="shared" si="0"/>
        <v>0.29399865771812078</v>
      </c>
      <c r="N14" t="str" cm="1">
        <f t="array" ref="N14">IFERROR(_xlfn.IFS(M14&gt;100%,"&gt;100%",AND(M14&lt;100%,M14&gt;70%),"&gt;70%",AND(M14&lt;70%,M14&gt;40%),"&gt;40%",AND(M14&lt;40%,M14&gt;0%),"&gt;0%"),"")</f>
        <v>&gt;0%</v>
      </c>
      <c r="O14" t="str">
        <f t="shared" si="1"/>
        <v>LYNDA PEREZ</v>
      </c>
      <c r="P14" t="str">
        <f>IF(DATA_SETIEMBRE_2025[[#This Row],[ASER_]]="","",F8)</f>
        <v>SANDY</v>
      </c>
      <c r="Q14">
        <f>IF(DATA_SETIEMBRE_2025[[#This Row],[SUPERVISOR]]="","",D8)</f>
        <v>9523</v>
      </c>
      <c r="R14">
        <f>IF(DATA_SETIEMBRE_2025[[#This Row],[RECUPERO]]="","",VLOOKUP(DATA_SETIEMBRE_2025[[#This Row],[ASER_]],$H:$I,2,0))</f>
        <v>32391.304347826088</v>
      </c>
    </row>
    <row r="15" spans="1:18" x14ac:dyDescent="0.25">
      <c r="A15" s="10" t="s">
        <v>4</v>
      </c>
      <c r="B15" s="10" t="str">
        <f>TRIM(D1_SETIEMBRE[[#This Row],[ASESOR]])</f>
        <v>CARLOS CALAGUA</v>
      </c>
      <c r="C15" s="10" t="s">
        <v>108</v>
      </c>
      <c r="D15" s="10">
        <v>6594</v>
      </c>
      <c r="E15">
        <v>0.17293272519954389</v>
      </c>
      <c r="F15" t="str">
        <f>D1_SETIEMBRE[[#This Row],[SUPER]]</f>
        <v>MELINA</v>
      </c>
      <c r="H15" t="s">
        <v>108</v>
      </c>
      <c r="I15">
        <f>VLOOKUP(META_SETIEMBRE_2025[[#This Row],[ASESOR]],$B:$E,3,0)/VLOOKUP(META_SETIEMBRE_2025[[#This Row],[ASESOR]],$B:$E,4,0)</f>
        <v>38130.434782608696</v>
      </c>
      <c r="L15">
        <v>7</v>
      </c>
      <c r="M15" s="1">
        <f t="shared" si="0"/>
        <v>0.19977660972404732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1"/>
        <v>YEYMY HUERTA</v>
      </c>
      <c r="P15" t="str">
        <f>IF(DATA_SETIEMBRE_2025[[#This Row],[ASER_]]="","",F9)</f>
        <v>SANDY</v>
      </c>
      <c r="Q15">
        <f>IF(DATA_SETIEMBRE_2025[[#This Row],[SUPERVISOR]]="","",D9)</f>
        <v>6610</v>
      </c>
      <c r="R15">
        <f>IF(DATA_SETIEMBRE_2025[[#This Row],[RECUPERO]]="","",VLOOKUP(DATA_SETIEMBRE_2025[[#This Row],[ASER_]],$H:$I,2,0))</f>
        <v>33086.956521739128</v>
      </c>
    </row>
    <row r="16" spans="1:18" x14ac:dyDescent="0.25">
      <c r="A16" s="10" t="s">
        <v>4</v>
      </c>
      <c r="B16" s="10" t="str">
        <f>TRIM(D1_SETIEMBRE[[#This Row],[ASESOR]])</f>
        <v>MAYRA AVALOS</v>
      </c>
      <c r="C16" s="10" t="s">
        <v>55</v>
      </c>
      <c r="D16" s="10">
        <v>10540</v>
      </c>
      <c r="E16">
        <v>0.3185545335085414</v>
      </c>
      <c r="F16" t="str">
        <f>D1_SETIEMBRE[[#This Row],[SUPER]]</f>
        <v>MELINA</v>
      </c>
      <c r="H16" t="s">
        <v>55</v>
      </c>
      <c r="I16">
        <f>VLOOKUP(META_SETIEMBRE_2025[[#This Row],[ASESOR]],$B:$E,3,0)/VLOOKUP(META_SETIEMBRE_2025[[#This Row],[ASESOR]],$B:$E,4,0)</f>
        <v>33086.956521739128</v>
      </c>
      <c r="L16">
        <v>8</v>
      </c>
      <c r="M16" s="1">
        <f t="shared" si="0"/>
        <v>0.12524752475247525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1"/>
        <v>LUIS RUIZ</v>
      </c>
      <c r="P16" t="str">
        <f>IF(DATA_SETIEMBRE_2025[[#This Row],[ASER_]]="","",F10)</f>
        <v>SANDY</v>
      </c>
      <c r="Q16">
        <f>IF(DATA_SETIEMBRE_2025[[#This Row],[SUPERVISOR]]="","",D10)</f>
        <v>2200</v>
      </c>
      <c r="R16">
        <f>IF(DATA_SETIEMBRE_2025[[#This Row],[RECUPERO]]="","",VLOOKUP(DATA_SETIEMBRE_2025[[#This Row],[ASER_]],$H:$I,2,0))</f>
        <v>17565.217391304348</v>
      </c>
    </row>
    <row r="17" spans="1:18" x14ac:dyDescent="0.25">
      <c r="A17" s="10" t="s">
        <v>4</v>
      </c>
      <c r="B17" s="10" t="str">
        <f>TRIM(D1_SETIEMBRE[[#This Row],[ASESOR]])</f>
        <v>MARCO SARMIENTO</v>
      </c>
      <c r="C17" s="10" t="s">
        <v>117</v>
      </c>
      <c r="D17" s="10">
        <v>6148</v>
      </c>
      <c r="E17">
        <v>0.12727632763276328</v>
      </c>
      <c r="F17" t="str">
        <f>D1_SETIEMBRE[[#This Row],[SUPER]]</f>
        <v>MELINA</v>
      </c>
      <c r="H17" t="s">
        <v>117</v>
      </c>
      <c r="I17">
        <f>VLOOKUP(META_SETIEMBRE_2025[[#This Row],[ASESOR]],$B:$E,3,0)/VLOOKUP(META_SETIEMBRE_2025[[#This Row],[ASESOR]],$B:$E,4,0)</f>
        <v>48304.347826086952</v>
      </c>
      <c r="L17">
        <v>9</v>
      </c>
      <c r="M17" s="1">
        <f t="shared" si="0"/>
        <v>0.34984210526315784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MICHAEL TAFUR</v>
      </c>
      <c r="P17" t="str">
        <f>IF(DATA_SETIEMBRE_2025[[#This Row],[ASER_]]="","",F11)</f>
        <v>SANDY</v>
      </c>
      <c r="Q17">
        <f>IF(DATA_SETIEMBRE_2025[[#This Row],[SUPERVISOR]]="","",D11)</f>
        <v>5780</v>
      </c>
      <c r="R17">
        <f>IF(DATA_SETIEMBRE_2025[[#This Row],[RECUPERO]]="","",VLOOKUP(DATA_SETIEMBRE_2025[[#This Row],[ASER_]],$H:$I,2,0))</f>
        <v>16521.739130434784</v>
      </c>
    </row>
    <row r="18" spans="1:18" x14ac:dyDescent="0.25">
      <c r="A18" s="10" t="s">
        <v>4</v>
      </c>
      <c r="B18" s="10" t="str">
        <f>TRIM(D1_SETIEMBRE[[#This Row],[ASESOR]])</f>
        <v>YENNY INGA</v>
      </c>
      <c r="C18" s="10" t="s">
        <v>39</v>
      </c>
      <c r="D18" s="10">
        <v>6059</v>
      </c>
      <c r="E18">
        <v>0.2479661921708185</v>
      </c>
      <c r="F18" t="str">
        <f>D1_SETIEMBRE[[#This Row],[SUPER]]</f>
        <v>MELINA</v>
      </c>
      <c r="H18" t="s">
        <v>39</v>
      </c>
      <c r="I18">
        <f>VLOOKUP(META_SETIEMBRE_2025[[#This Row],[ASESOR]],$B:$E,3,0)/VLOOKUP(META_SETIEMBRE_2025[[#This Row],[ASESOR]],$B:$E,4,0)</f>
        <v>24434.782608695652</v>
      </c>
      <c r="L18">
        <v>10</v>
      </c>
      <c r="M18" s="1">
        <f t="shared" si="0"/>
        <v>7.8677309007981755E-3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JOANA GIL</v>
      </c>
      <c r="P18" t="str">
        <f>IF(DATA_SETIEMBRE_2025[[#This Row],[ASER_]]="","",F12)</f>
        <v>SANDY</v>
      </c>
      <c r="Q18">
        <f>IF(DATA_SETIEMBRE_2025[[#This Row],[SUPERVISOR]]="","",D12)</f>
        <v>300</v>
      </c>
      <c r="R18">
        <f>IF(DATA_SETIEMBRE_2025[[#This Row],[RECUPERO]]="","",VLOOKUP(DATA_SETIEMBRE_2025[[#This Row],[ASER_]],$H:$I,2,0))</f>
        <v>38130.434782608696</v>
      </c>
    </row>
    <row r="19" spans="1:18" x14ac:dyDescent="0.25">
      <c r="A19" s="10" t="s">
        <v>4</v>
      </c>
      <c r="B19" s="10" t="str">
        <f>TRIM(D1_SETIEMBRE[[#This Row],[ASESOR]])</f>
        <v>DARYL FERREL</v>
      </c>
      <c r="C19" s="10" t="s">
        <v>40</v>
      </c>
      <c r="D19" s="10">
        <v>1000</v>
      </c>
      <c r="E19">
        <v>2.8894472361809045E-2</v>
      </c>
      <c r="F19" t="str">
        <f>D1_SETIEMBRE[[#This Row],[SUPER]]</f>
        <v>MELINA</v>
      </c>
      <c r="H19" t="s">
        <v>40</v>
      </c>
      <c r="I19">
        <f>VLOOKUP(META_SETIEMBRE_2025[[#This Row],[ASESOR]],$B:$E,3,0)/VLOOKUP(META_SETIEMBRE_2025[[#This Row],[ASESOR]],$B:$E,4,0)</f>
        <v>34608.695652173912</v>
      </c>
      <c r="L19">
        <v>11</v>
      </c>
      <c r="M19" s="1">
        <f t="shared" si="0"/>
        <v>0.20881715575620766</v>
      </c>
      <c r="N19" t="str" cm="1">
        <f t="array" ref="N19">IFERROR(_xlfn.IFS(M19&gt;100%,"&gt;100%",AND(M19&lt;100%,M19&gt;70%),"&gt;70%",AND(M19&lt;70%,M19&gt;40%),"&gt;40%",AND(M19&lt;40%,M19&gt;0%),"&gt;0%"),"")</f>
        <v>&gt;0%</v>
      </c>
      <c r="O19" t="str">
        <f t="shared" si="1"/>
        <v>GIANNINA AGUILAR</v>
      </c>
      <c r="P19" t="str">
        <f>IF(DATA_SETIEMBRE_2025[[#This Row],[ASER_]]="","",F13)</f>
        <v>SANDY</v>
      </c>
      <c r="Q19">
        <f>IF(DATA_SETIEMBRE_2025[[#This Row],[SUPERVISOR]]="","",D13)</f>
        <v>4022</v>
      </c>
      <c r="R19">
        <f>IF(DATA_SETIEMBRE_2025[[#This Row],[RECUPERO]]="","",VLOOKUP(DATA_SETIEMBRE_2025[[#This Row],[ASER_]],$H:$I,2,0))</f>
        <v>19260.869565217392</v>
      </c>
    </row>
    <row r="20" spans="1:18" x14ac:dyDescent="0.25">
      <c r="A20" s="10" t="s">
        <v>4</v>
      </c>
      <c r="B20" s="10" t="str">
        <f>TRIM(D1_SETIEMBRE[[#This Row],[ASESOR]])</f>
        <v>HAROLD FLORES</v>
      </c>
      <c r="C20" s="10" t="s">
        <v>42</v>
      </c>
      <c r="D20" s="10">
        <v>7660</v>
      </c>
      <c r="E20">
        <v>0.20020454545454544</v>
      </c>
      <c r="F20" t="str">
        <f>D1_SETIEMBRE[[#This Row],[SUPER]]</f>
        <v>MELINA</v>
      </c>
      <c r="H20" t="s">
        <v>42</v>
      </c>
      <c r="I20">
        <f>VLOOKUP(META_SETIEMBRE_2025[[#This Row],[ASESOR]],$B:$E,3,0)/VLOOKUP(META_SETIEMBRE_2025[[#This Row],[ASESOR]],$B:$E,4,0)</f>
        <v>38260.869565217392</v>
      </c>
      <c r="L20">
        <v>12</v>
      </c>
      <c r="M20" s="1">
        <f t="shared" si="0"/>
        <v>0.27051601423487542</v>
      </c>
      <c r="N20" t="str" cm="1">
        <f t="array" ref="N20">IFERROR(_xlfn.IFS(M20&gt;100%,"&gt;100%",AND(M20&lt;100%,M20&gt;70%),"&gt;70%",AND(M20&lt;70%,M20&gt;40%),"&gt;40%",AND(M20&lt;40%,M20&gt;0%),"&gt;0%"),"")</f>
        <v>&gt;0%</v>
      </c>
      <c r="O20" t="str">
        <f t="shared" si="1"/>
        <v>LINDA TUESTA</v>
      </c>
      <c r="P20" t="str">
        <f>IF(DATA_SETIEMBRE_2025[[#This Row],[ASER_]]="","",F14)</f>
        <v>SANDY</v>
      </c>
      <c r="Q20">
        <f>IF(DATA_SETIEMBRE_2025[[#This Row],[SUPERVISOR]]="","",D14)</f>
        <v>6610</v>
      </c>
      <c r="R20">
        <f>IF(DATA_SETIEMBRE_2025[[#This Row],[RECUPERO]]="","",VLOOKUP(DATA_SETIEMBRE_2025[[#This Row],[ASER_]],$H:$I,2,0))</f>
        <v>24434.782608695656</v>
      </c>
    </row>
    <row r="21" spans="1:18" x14ac:dyDescent="0.25">
      <c r="A21" s="10" t="s">
        <v>4</v>
      </c>
      <c r="B21" s="10" t="str">
        <f>TRIM(D1_SETIEMBRE[[#This Row],[ASESOR]])</f>
        <v>JANETH PORTOCARRERO</v>
      </c>
      <c r="C21" s="10" t="s">
        <v>49</v>
      </c>
      <c r="D21" s="10">
        <v>5318</v>
      </c>
      <c r="E21">
        <v>0.30275742574257425</v>
      </c>
      <c r="F21" t="str">
        <f>D1_SETIEMBRE[[#This Row],[SUPER]]</f>
        <v>MELINA</v>
      </c>
      <c r="H21" t="s">
        <v>49</v>
      </c>
      <c r="I21">
        <f>VLOOKUP(META_SETIEMBRE_2025[[#This Row],[ASESOR]],$B:$E,3,0)/VLOOKUP(META_SETIEMBRE_2025[[#This Row],[ASESOR]],$B:$E,4,0)</f>
        <v>17565.217391304348</v>
      </c>
      <c r="L21">
        <v>1</v>
      </c>
      <c r="M21" s="1">
        <f t="shared" si="0"/>
        <v>0.17293272519954389</v>
      </c>
      <c r="N21" t="str" cm="1">
        <f t="array" ref="N21">IFERROR(_xlfn.IFS(M21&gt;100%,"&gt;100%",AND(M21&lt;100%,M21&gt;70%),"&gt;70%",AND(M21&lt;70%,M21&gt;40%),"&gt;40%",AND(M21&lt;40%,M21&gt;0%),"&gt;0%"),"")</f>
        <v>&gt;0%</v>
      </c>
      <c r="O21" t="str">
        <f t="shared" si="1"/>
        <v>CARLOS CALAGUA</v>
      </c>
      <c r="P21" t="str">
        <f>IF(DATA_SETIEMBRE_2025[[#This Row],[ASER_]]="","",F15)</f>
        <v>MELINA</v>
      </c>
      <c r="Q21">
        <f>IF(DATA_SETIEMBRE_2025[[#This Row],[SUPERVISOR]]="","",D15)</f>
        <v>6594</v>
      </c>
      <c r="R21">
        <f>IF(DATA_SETIEMBRE_2025[[#This Row],[RECUPERO]]="","",VLOOKUP(DATA_SETIEMBRE_2025[[#This Row],[ASER_]],$H:$I,2,0))</f>
        <v>38130.434782608696</v>
      </c>
    </row>
    <row r="22" spans="1:18" x14ac:dyDescent="0.25">
      <c r="A22" s="10" t="s">
        <v>4</v>
      </c>
      <c r="B22" s="10" t="str">
        <f>TRIM(D1_SETIEMBRE[[#This Row],[ASESOR]])</f>
        <v>GIULIANA QUISPE</v>
      </c>
      <c r="C22" s="10" t="s">
        <v>71</v>
      </c>
      <c r="D22" s="10">
        <v>42000</v>
      </c>
      <c r="E22">
        <v>1.2044887780548628</v>
      </c>
      <c r="F22" t="str">
        <f>D1_SETIEMBRE[[#This Row],[SUPER]]</f>
        <v>MELINA</v>
      </c>
      <c r="H22" t="s">
        <v>71</v>
      </c>
      <c r="I22">
        <f>VLOOKUP(META_SETIEMBRE_2025[[#This Row],[ASESOR]],$B:$E,3,0)/VLOOKUP(META_SETIEMBRE_2025[[#This Row],[ASESOR]],$B:$E,4,0)</f>
        <v>34869.565217391304</v>
      </c>
      <c r="L22">
        <v>2</v>
      </c>
      <c r="M22" s="1">
        <f t="shared" si="0"/>
        <v>0.3185545335085414</v>
      </c>
      <c r="N22" t="str" cm="1">
        <f t="array" ref="N22">IFERROR(_xlfn.IFS(M22&gt;100%,"&gt;100%",AND(M22&lt;100%,M22&gt;70%),"&gt;70%",AND(M22&lt;70%,M22&gt;40%),"&gt;40%",AND(M22&lt;40%,M22&gt;0%),"&gt;0%"),"")</f>
        <v>&gt;0%</v>
      </c>
      <c r="O22" t="str">
        <f t="shared" si="1"/>
        <v>MAYRA AVALOS</v>
      </c>
      <c r="P22" t="str">
        <f>IF(DATA_SETIEMBRE_2025[[#This Row],[ASER_]]="","",F16)</f>
        <v>MELINA</v>
      </c>
      <c r="Q22">
        <f>IF(DATA_SETIEMBRE_2025[[#This Row],[SUPERVISOR]]="","",D16)</f>
        <v>10540</v>
      </c>
      <c r="R22">
        <f>IF(DATA_SETIEMBRE_2025[[#This Row],[RECUPERO]]="","",VLOOKUP(DATA_SETIEMBRE_2025[[#This Row],[ASER_]],$H:$I,2,0))</f>
        <v>33086.956521739128</v>
      </c>
    </row>
    <row r="23" spans="1:18" x14ac:dyDescent="0.25">
      <c r="A23" s="10" t="s">
        <v>4</v>
      </c>
      <c r="B23" s="10" t="str">
        <f>TRIM(D1_SETIEMBRE[[#This Row],[ASESOR]])</f>
        <v>CHRISTIAN ALBUJAR</v>
      </c>
      <c r="C23" s="10" t="s">
        <v>53</v>
      </c>
      <c r="D23" s="10">
        <v>22365</v>
      </c>
      <c r="E23">
        <v>0.65779411764705886</v>
      </c>
      <c r="F23" t="str">
        <f>D1_SETIEMBRE[[#This Row],[SUPER]]</f>
        <v>MELINA</v>
      </c>
      <c r="H23" t="s">
        <v>53</v>
      </c>
      <c r="I23">
        <f>VLOOKUP(META_SETIEMBRE_2025[[#This Row],[ASESOR]],$B:$E,3,0)/VLOOKUP(META_SETIEMBRE_2025[[#This Row],[ASESOR]],$B:$E,4,0)</f>
        <v>34000</v>
      </c>
      <c r="L23">
        <v>3</v>
      </c>
      <c r="M23" s="1">
        <f t="shared" si="0"/>
        <v>0.12727632763276328</v>
      </c>
      <c r="N23" t="str" cm="1">
        <f t="array" ref="N23">IFERROR(_xlfn.IFS(M23&gt;100%,"&gt;100%",AND(M23&lt;100%,M23&gt;70%),"&gt;70%",AND(M23&lt;70%,M23&gt;40%),"&gt;40%",AND(M23&lt;40%,M23&gt;0%),"&gt;0%"),"")</f>
        <v>&gt;0%</v>
      </c>
      <c r="O23" t="str">
        <f t="shared" si="1"/>
        <v>MARCO SARMIENTO</v>
      </c>
      <c r="P23" t="str">
        <f>IF(DATA_SETIEMBRE_2025[[#This Row],[ASER_]]="","",F17)</f>
        <v>MELINA</v>
      </c>
      <c r="Q23">
        <f>IF(DATA_SETIEMBRE_2025[[#This Row],[SUPERVISOR]]="","",D17)</f>
        <v>6148</v>
      </c>
      <c r="R23">
        <f>IF(DATA_SETIEMBRE_2025[[#This Row],[RECUPERO]]="","",VLOOKUP(DATA_SETIEMBRE_2025[[#This Row],[ASER_]],$H:$I,2,0))</f>
        <v>48304.347826086952</v>
      </c>
    </row>
    <row r="24" spans="1:18" x14ac:dyDescent="0.25">
      <c r="A24" s="10" t="s">
        <v>4</v>
      </c>
      <c r="B24" s="10" t="str">
        <f>TRIM(D1_SETIEMBRE[[#This Row],[ASESOR]])</f>
        <v>GERSON LAZARO</v>
      </c>
      <c r="C24" s="10" t="s">
        <v>96</v>
      </c>
      <c r="D24" s="10">
        <v>34420</v>
      </c>
      <c r="E24">
        <v>0.72165907019143127</v>
      </c>
      <c r="F24" t="str">
        <f>D1_SETIEMBRE[[#This Row],[SUPER]]</f>
        <v>MELINA</v>
      </c>
      <c r="H24" t="s">
        <v>96</v>
      </c>
      <c r="I24">
        <f>VLOOKUP(META_SETIEMBRE_2025[[#This Row],[ASESOR]],$B:$E,3,0)/VLOOKUP(META_SETIEMBRE_2025[[#This Row],[ASESOR]],$B:$E,4,0)</f>
        <v>47695.65217391304</v>
      </c>
      <c r="L24">
        <v>4</v>
      </c>
      <c r="M24" s="1">
        <f t="shared" si="0"/>
        <v>0.2479661921708185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1"/>
        <v>YENNY INGA</v>
      </c>
      <c r="P24" t="str">
        <f>IF(DATA_SETIEMBRE_2025[[#This Row],[ASER_]]="","",F18)</f>
        <v>MELINA</v>
      </c>
      <c r="Q24">
        <f>IF(DATA_SETIEMBRE_2025[[#This Row],[SUPERVISOR]]="","",D18)</f>
        <v>6059</v>
      </c>
      <c r="R24">
        <f>IF(DATA_SETIEMBRE_2025[[#This Row],[RECUPERO]]="","",VLOOKUP(DATA_SETIEMBRE_2025[[#This Row],[ASER_]],$H:$I,2,0))</f>
        <v>24434.782608695652</v>
      </c>
    </row>
    <row r="25" spans="1:18" x14ac:dyDescent="0.25">
      <c r="A25" s="10" t="s">
        <v>4</v>
      </c>
      <c r="B25" s="10" t="str">
        <f>TRIM(D1_SETIEMBRE[[#This Row],[ASESOR]])</f>
        <v>JACQUELINE COLLAHUACHO</v>
      </c>
      <c r="C25" s="10" t="s">
        <v>121</v>
      </c>
      <c r="D25" s="10">
        <v>0.4</v>
      </c>
      <c r="E25">
        <v>2.2660098522167489E-5</v>
      </c>
      <c r="F25" t="str">
        <f>D1_SETIEMBRE[[#This Row],[SUPER]]</f>
        <v>MELINA</v>
      </c>
      <c r="H25" t="s">
        <v>121</v>
      </c>
      <c r="I25">
        <f>VLOOKUP(META_SETIEMBRE_2025[[#This Row],[ASESOR]],$B:$E,3,0)/VLOOKUP(META_SETIEMBRE_2025[[#This Row],[ASESOR]],$B:$E,4,0)</f>
        <v>17652.17391304348</v>
      </c>
      <c r="L25">
        <v>5</v>
      </c>
      <c r="M25" s="1">
        <f t="shared" si="0"/>
        <v>2.8894472361809045E-2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1"/>
        <v>DARYL FERREL</v>
      </c>
      <c r="P25" t="str">
        <f>IF(DATA_SETIEMBRE_2025[[#This Row],[ASER_]]="","",F19)</f>
        <v>MELINA</v>
      </c>
      <c r="Q25">
        <f>IF(DATA_SETIEMBRE_2025[[#This Row],[SUPERVISOR]]="","",D19)</f>
        <v>1000</v>
      </c>
      <c r="R25">
        <f>IF(DATA_SETIEMBRE_2025[[#This Row],[RECUPERO]]="","",VLOOKUP(DATA_SETIEMBRE_2025[[#This Row],[ASER_]],$H:$I,2,0))</f>
        <v>34608.695652173912</v>
      </c>
    </row>
    <row r="26" spans="1:18" x14ac:dyDescent="0.25">
      <c r="A26" s="10" t="s">
        <v>4</v>
      </c>
      <c r="B26" s="10" t="str">
        <f>TRIM(D1_SETIEMBRE[[#This Row],[ASESOR]])</f>
        <v>NARDIA URPIS</v>
      </c>
      <c r="C26" s="10" t="s">
        <v>74</v>
      </c>
      <c r="D26" s="10">
        <v>4635</v>
      </c>
      <c r="E26">
        <v>0.12155644241733181</v>
      </c>
      <c r="F26" t="str">
        <f>D1_SETIEMBRE[[#This Row],[SUPER]]</f>
        <v>MELINA</v>
      </c>
      <c r="H26" t="s">
        <v>74</v>
      </c>
      <c r="I26">
        <f>VLOOKUP(META_SETIEMBRE_2025[[#This Row],[ASESOR]],$B:$E,3,0)/VLOOKUP(META_SETIEMBRE_2025[[#This Row],[ASESOR]],$B:$E,4,0)</f>
        <v>38130.434782608696</v>
      </c>
      <c r="L26">
        <v>6</v>
      </c>
      <c r="M26" s="1">
        <f t="shared" si="0"/>
        <v>0.20020454545454544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1"/>
        <v>HAROLD FLORES</v>
      </c>
      <c r="P26" t="str">
        <f>IF(DATA_SETIEMBRE_2025[[#This Row],[ASER_]]="","",F20)</f>
        <v>MELINA</v>
      </c>
      <c r="Q26">
        <f>IF(DATA_SETIEMBRE_2025[[#This Row],[SUPERVISOR]]="","",D20)</f>
        <v>7660</v>
      </c>
      <c r="R26">
        <f>IF(DATA_SETIEMBRE_2025[[#This Row],[RECUPERO]]="","",VLOOKUP(DATA_SETIEMBRE_2025[[#This Row],[ASER_]],$H:$I,2,0))</f>
        <v>38260.869565217392</v>
      </c>
    </row>
    <row r="27" spans="1:18" x14ac:dyDescent="0.25">
      <c r="A27" s="10" t="s">
        <v>2</v>
      </c>
      <c r="B27" s="10" t="str">
        <f>TRIM(D1_SETIEMBRE[[#This Row],[ASESOR]])</f>
        <v>GENESIS VICUNA</v>
      </c>
      <c r="C27" s="10" t="s">
        <v>12</v>
      </c>
      <c r="D27" s="10">
        <v>14302</v>
      </c>
      <c r="E27">
        <v>0.33911958762886596</v>
      </c>
      <c r="F27" t="str">
        <f>D1_SETIEMBRE[[#This Row],[SUPER]]</f>
        <v>JORGE</v>
      </c>
      <c r="H27" t="s">
        <v>12</v>
      </c>
      <c r="I27">
        <f>VLOOKUP(META_SETIEMBRE_2025[[#This Row],[ASESOR]],$B:$E,3,0)/VLOOKUP(META_SETIEMBRE_2025[[#This Row],[ASESOR]],$B:$E,4,0)</f>
        <v>42173.913043478264</v>
      </c>
      <c r="L27">
        <v>7</v>
      </c>
      <c r="M27" s="1">
        <f t="shared" si="0"/>
        <v>0.30275742574257425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1"/>
        <v>JANETH PORTOCARRERO</v>
      </c>
      <c r="P27" t="str">
        <f>IF(DATA_SETIEMBRE_2025[[#This Row],[ASER_]]="","",F21)</f>
        <v>MELINA</v>
      </c>
      <c r="Q27">
        <f>IF(DATA_SETIEMBRE_2025[[#This Row],[SUPERVISOR]]="","",D21)</f>
        <v>5318</v>
      </c>
      <c r="R27">
        <f>IF(DATA_SETIEMBRE_2025[[#This Row],[RECUPERO]]="","",VLOOKUP(DATA_SETIEMBRE_2025[[#This Row],[ASER_]],$H:$I,2,0))</f>
        <v>17565.217391304348</v>
      </c>
    </row>
    <row r="28" spans="1:18" x14ac:dyDescent="0.25">
      <c r="A28" s="10" t="s">
        <v>2</v>
      </c>
      <c r="B28" s="10" t="str">
        <f>TRIM(D1_SETIEMBRE[[#This Row],[ASESOR]])</f>
        <v>MISHEL MORALES</v>
      </c>
      <c r="C28" s="10" t="s">
        <v>94</v>
      </c>
      <c r="D28" s="10">
        <v>24100</v>
      </c>
      <c r="E28">
        <v>0.65135135135135136</v>
      </c>
      <c r="F28" t="str">
        <f>D1_SETIEMBRE[[#This Row],[SUPER]]</f>
        <v>JORGE</v>
      </c>
      <c r="H28" t="s">
        <v>94</v>
      </c>
      <c r="I28">
        <f>VLOOKUP(META_SETIEMBRE_2025[[#This Row],[ASESOR]],$B:$E,3,0)/VLOOKUP(META_SETIEMBRE_2025[[#This Row],[ASESOR]],$B:$E,4,0)</f>
        <v>37000</v>
      </c>
      <c r="L28">
        <v>8</v>
      </c>
      <c r="M28" s="1">
        <f t="shared" si="0"/>
        <v>1.2044887780548628</v>
      </c>
      <c r="N28" t="str" cm="1">
        <f t="array" ref="N28">IFERROR(_xlfn.IFS(M28&gt;100%,"&gt;100%",AND(M28&lt;100%,M28&gt;70%),"&gt;70%",AND(M28&lt;70%,M28&gt;40%),"&gt;40%",AND(M28&lt;40%,M28&gt;0%),"&gt;0%"),"")</f>
        <v>&gt;100%</v>
      </c>
      <c r="O28" t="str">
        <f t="shared" si="1"/>
        <v>GIULIANA QUISPE</v>
      </c>
      <c r="P28" t="str">
        <f>IF(DATA_SETIEMBRE_2025[[#This Row],[ASER_]]="","",F22)</f>
        <v>MELINA</v>
      </c>
      <c r="Q28">
        <f>IF(DATA_SETIEMBRE_2025[[#This Row],[SUPERVISOR]]="","",D22)</f>
        <v>42000</v>
      </c>
      <c r="R28">
        <f>IF(DATA_SETIEMBRE_2025[[#This Row],[RECUPERO]]="","",VLOOKUP(DATA_SETIEMBRE_2025[[#This Row],[ASER_]],$H:$I,2,0))</f>
        <v>34869.565217391304</v>
      </c>
    </row>
    <row r="29" spans="1:18" x14ac:dyDescent="0.25">
      <c r="A29" s="10" t="s">
        <v>2</v>
      </c>
      <c r="B29" s="10" t="str">
        <f>TRIM(D1_SETIEMBRE[[#This Row],[ASESOR]])</f>
        <v>CHRISTIAN ALVARADO</v>
      </c>
      <c r="C29" s="10" t="s">
        <v>41</v>
      </c>
      <c r="D29" s="10">
        <v>5309</v>
      </c>
      <c r="E29">
        <v>0.13374260679079958</v>
      </c>
      <c r="F29" t="str">
        <f>D1_SETIEMBRE[[#This Row],[SUPER]]</f>
        <v>JORGE</v>
      </c>
      <c r="H29" t="s">
        <v>41</v>
      </c>
      <c r="I29">
        <f>VLOOKUP(META_SETIEMBRE_2025[[#This Row],[ASESOR]],$B:$E,3,0)/VLOOKUP(META_SETIEMBRE_2025[[#This Row],[ASESOR]],$B:$E,4,0)</f>
        <v>39695.65217391304</v>
      </c>
      <c r="L29">
        <v>9</v>
      </c>
      <c r="M29" s="1">
        <f t="shared" si="0"/>
        <v>0.65779411764705886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1"/>
        <v>CHRISTIAN ALBUJAR</v>
      </c>
      <c r="P29" t="str">
        <f>IF(DATA_SETIEMBRE_2025[[#This Row],[ASER_]]="","",F23)</f>
        <v>MELINA</v>
      </c>
      <c r="Q29">
        <f>IF(DATA_SETIEMBRE_2025[[#This Row],[SUPERVISOR]]="","",D23)</f>
        <v>22365</v>
      </c>
      <c r="R29">
        <f>IF(DATA_SETIEMBRE_2025[[#This Row],[RECUPERO]]="","",VLOOKUP(DATA_SETIEMBRE_2025[[#This Row],[ASER_]],$H:$I,2,0))</f>
        <v>34000</v>
      </c>
    </row>
    <row r="30" spans="1:18" x14ac:dyDescent="0.25">
      <c r="A30" s="10" t="s">
        <v>2</v>
      </c>
      <c r="B30" s="10" t="str">
        <f>TRIM(D1_SETIEMBRE[[#This Row],[ASESOR]])</f>
        <v>GILBERTO PURIZACA</v>
      </c>
      <c r="C30" s="10" t="s">
        <v>66</v>
      </c>
      <c r="D30" s="10">
        <v>5000</v>
      </c>
      <c r="E30">
        <v>0.11929460580912865</v>
      </c>
      <c r="F30" t="str">
        <f>D1_SETIEMBRE[[#This Row],[SUPER]]</f>
        <v>JORGE</v>
      </c>
      <c r="H30" t="s">
        <v>66</v>
      </c>
      <c r="I30">
        <f>VLOOKUP(META_SETIEMBRE_2025[[#This Row],[ASESOR]],$B:$E,3,0)/VLOOKUP(META_SETIEMBRE_2025[[#This Row],[ASESOR]],$B:$E,4,0)</f>
        <v>41913.043478260865</v>
      </c>
      <c r="L30">
        <v>10</v>
      </c>
      <c r="M30" s="1">
        <f t="shared" si="0"/>
        <v>0.72165907019143127</v>
      </c>
      <c r="N30" t="str" cm="1">
        <f t="array" ref="N30">IFERROR(_xlfn.IFS(M30&gt;100%,"&gt;100%",AND(M30&lt;100%,M30&gt;70%),"&gt;70%",AND(M30&lt;70%,M30&gt;40%),"&gt;40%",AND(M30&lt;40%,M30&gt;0%),"&gt;0%"),"")</f>
        <v>&gt;70%</v>
      </c>
      <c r="O30" t="str">
        <f t="shared" si="1"/>
        <v>GERSON LAZARO</v>
      </c>
      <c r="P30" t="str">
        <f>IF(DATA_SETIEMBRE_2025[[#This Row],[ASER_]]="","",F24)</f>
        <v>MELINA</v>
      </c>
      <c r="Q30">
        <f>IF(DATA_SETIEMBRE_2025[[#This Row],[SUPERVISOR]]="","",D24)</f>
        <v>34420</v>
      </c>
      <c r="R30">
        <f>IF(DATA_SETIEMBRE_2025[[#This Row],[RECUPERO]]="","",VLOOKUP(DATA_SETIEMBRE_2025[[#This Row],[ASER_]],$H:$I,2,0))</f>
        <v>47695.65217391304</v>
      </c>
    </row>
    <row r="31" spans="1:18" x14ac:dyDescent="0.25">
      <c r="A31" s="10" t="s">
        <v>2</v>
      </c>
      <c r="B31" s="10" t="str">
        <f>TRIM(D1_SETIEMBRE[[#This Row],[ASESOR]])</f>
        <v>MARIA HUARCAYA</v>
      </c>
      <c r="C31" s="10" t="s">
        <v>38</v>
      </c>
      <c r="D31" s="10">
        <v>9379</v>
      </c>
      <c r="E31">
        <v>0.26897381546134663</v>
      </c>
      <c r="F31" t="str">
        <f>D1_SETIEMBRE[[#This Row],[SUPER]]</f>
        <v>JORGE</v>
      </c>
      <c r="H31" t="s">
        <v>38</v>
      </c>
      <c r="I31">
        <f>VLOOKUP(META_SETIEMBRE_2025[[#This Row],[ASESOR]],$B:$E,3,0)/VLOOKUP(META_SETIEMBRE_2025[[#This Row],[ASESOR]],$B:$E,4,0)</f>
        <v>34869.565217391304</v>
      </c>
      <c r="L31">
        <v>11</v>
      </c>
      <c r="M31" s="1">
        <f t="shared" si="0"/>
        <v>2.2660098522167489E-5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1"/>
        <v>JACQUELINE COLLAHUACHO</v>
      </c>
      <c r="P31" t="str">
        <f>IF(DATA_SETIEMBRE_2025[[#This Row],[ASER_]]="","",F25)</f>
        <v>MELINA</v>
      </c>
      <c r="Q31">
        <f>IF(DATA_SETIEMBRE_2025[[#This Row],[SUPERVISOR]]="","",D25)</f>
        <v>0.4</v>
      </c>
      <c r="R31">
        <f>IF(DATA_SETIEMBRE_2025[[#This Row],[RECUPERO]]="","",VLOOKUP(DATA_SETIEMBRE_2025[[#This Row],[ASER_]],$H:$I,2,0))</f>
        <v>17652.17391304348</v>
      </c>
    </row>
    <row r="32" spans="1:18" x14ac:dyDescent="0.25">
      <c r="A32" s="10" t="s">
        <v>2</v>
      </c>
      <c r="B32" s="10" t="str">
        <f>TRIM(D1_SETIEMBRE[[#This Row],[ASESOR]])</f>
        <v>JHONATAN CHAVEZ</v>
      </c>
      <c r="C32" s="10" t="s">
        <v>65</v>
      </c>
      <c r="D32" s="10">
        <v>4966</v>
      </c>
      <c r="E32">
        <v>0.13629832935560859</v>
      </c>
      <c r="F32" t="str">
        <f>D1_SETIEMBRE[[#This Row],[SUPER]]</f>
        <v>JORGE</v>
      </c>
      <c r="H32" t="s">
        <v>65</v>
      </c>
      <c r="I32">
        <f>VLOOKUP(META_SETIEMBRE_2025[[#This Row],[ASESOR]],$B:$E,3,0)/VLOOKUP(META_SETIEMBRE_2025[[#This Row],[ASESOR]],$B:$E,4,0)</f>
        <v>36434.782608695648</v>
      </c>
      <c r="L32">
        <v>12</v>
      </c>
      <c r="M32" s="1">
        <f t="shared" si="0"/>
        <v>0.12155644241733181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1"/>
        <v>NARDIA URPIS</v>
      </c>
      <c r="P32" t="str">
        <f>IF(DATA_SETIEMBRE_2025[[#This Row],[ASER_]]="","",F26)</f>
        <v>MELINA</v>
      </c>
      <c r="Q32">
        <f>IF(DATA_SETIEMBRE_2025[[#This Row],[SUPERVISOR]]="","",D26)</f>
        <v>4635</v>
      </c>
      <c r="R32">
        <f>IF(DATA_SETIEMBRE_2025[[#This Row],[RECUPERO]]="","",VLOOKUP(DATA_SETIEMBRE_2025[[#This Row],[ASER_]],$H:$I,2,0))</f>
        <v>38130.434782608696</v>
      </c>
    </row>
    <row r="33" spans="1:18" x14ac:dyDescent="0.25">
      <c r="A33" s="10" t="s">
        <v>2</v>
      </c>
      <c r="B33" s="10" t="str">
        <f>TRIM(D1_SETIEMBRE[[#This Row],[ASESOR]])</f>
        <v>ANDERSON RODRIGUEZ</v>
      </c>
      <c r="C33" s="10" t="s">
        <v>15</v>
      </c>
      <c r="D33" s="10">
        <v>4350</v>
      </c>
      <c r="E33">
        <v>8.9330357142857142E-2</v>
      </c>
      <c r="F33" t="str">
        <f>D1_SETIEMBRE[[#This Row],[SUPER]]</f>
        <v>JORGE</v>
      </c>
      <c r="H33" t="s">
        <v>15</v>
      </c>
      <c r="I33">
        <f>VLOOKUP(META_SETIEMBRE_2025[[#This Row],[ASESOR]],$B:$E,3,0)/VLOOKUP(META_SETIEMBRE_2025[[#This Row],[ASESOR]],$B:$E,4,0)</f>
        <v>48695.652173913048</v>
      </c>
      <c r="L33">
        <v>1</v>
      </c>
      <c r="M33" s="1">
        <f t="shared" si="0"/>
        <v>0.33911958762886596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1"/>
        <v>GENESIS VICUNA</v>
      </c>
      <c r="P33" t="str">
        <f>IF(DATA_SETIEMBRE_2025[[#This Row],[ASER_]]="","",F27)</f>
        <v>JORGE</v>
      </c>
      <c r="Q33">
        <f>IF(DATA_SETIEMBRE_2025[[#This Row],[SUPERVISOR]]="","",D27)</f>
        <v>14302</v>
      </c>
      <c r="R33">
        <f>IF(DATA_SETIEMBRE_2025[[#This Row],[RECUPERO]]="","",VLOOKUP(DATA_SETIEMBRE_2025[[#This Row],[ASER_]],$H:$I,2,0))</f>
        <v>42173.913043478264</v>
      </c>
    </row>
    <row r="34" spans="1:18" x14ac:dyDescent="0.25">
      <c r="A34" s="10" t="s">
        <v>2</v>
      </c>
      <c r="B34" s="10" t="str">
        <f>TRIM(D1_SETIEMBRE[[#This Row],[ASESOR]])</f>
        <v>FRANS TACSI</v>
      </c>
      <c r="C34" s="10" t="s">
        <v>16</v>
      </c>
      <c r="D34" s="10">
        <v>18082</v>
      </c>
      <c r="E34">
        <v>0.51856109725685784</v>
      </c>
      <c r="F34" t="str">
        <f>D1_SETIEMBRE[[#This Row],[SUPER]]</f>
        <v>JORGE</v>
      </c>
      <c r="H34" t="s">
        <v>16</v>
      </c>
      <c r="I34">
        <f>VLOOKUP(META_SETIEMBRE_2025[[#This Row],[ASESOR]],$B:$E,3,0)/VLOOKUP(META_SETIEMBRE_2025[[#This Row],[ASESOR]],$B:$E,4,0)</f>
        <v>34869.565217391304</v>
      </c>
      <c r="L34">
        <v>2</v>
      </c>
      <c r="M34" s="1">
        <f t="shared" si="0"/>
        <v>0.65135135135135136</v>
      </c>
      <c r="N34" t="str" cm="1">
        <f t="array" ref="N34">IFERROR(_xlfn.IFS(M34&gt;100%,"&gt;100%",AND(M34&lt;100%,M34&gt;70%),"&gt;70%",AND(M34&lt;70%,M34&gt;40%),"&gt;40%",AND(M34&lt;40%,M34&gt;0%),"&gt;0%"),"")</f>
        <v>&gt;40%</v>
      </c>
      <c r="O34" t="str">
        <f t="shared" si="1"/>
        <v>MISHEL MORALES</v>
      </c>
      <c r="P34" t="str">
        <f>IF(DATA_SETIEMBRE_2025[[#This Row],[ASER_]]="","",F28)</f>
        <v>JORGE</v>
      </c>
      <c r="Q34">
        <f>IF(DATA_SETIEMBRE_2025[[#This Row],[SUPERVISOR]]="","",D28)</f>
        <v>24100</v>
      </c>
      <c r="R34">
        <f>IF(DATA_SETIEMBRE_2025[[#This Row],[RECUPERO]]="","",VLOOKUP(DATA_SETIEMBRE_2025[[#This Row],[ASER_]],$H:$I,2,0))</f>
        <v>37000</v>
      </c>
    </row>
    <row r="35" spans="1:18" x14ac:dyDescent="0.25">
      <c r="A35" s="10" t="s">
        <v>2</v>
      </c>
      <c r="B35" s="10" t="str">
        <f>TRIM(D1_SETIEMBRE[[#This Row],[ASESOR]])</f>
        <v/>
      </c>
      <c r="C35" s="10"/>
      <c r="D35" s="10">
        <v>0</v>
      </c>
      <c r="E35">
        <v>0</v>
      </c>
      <c r="F35" t="str">
        <f>D1_SETIEMBRE[[#This Row],[SUPER]]</f>
        <v>JORGE</v>
      </c>
      <c r="H35" t="s">
        <v>107</v>
      </c>
      <c r="I35">
        <f>VLOOKUP(META_SETIEMBRE_2025[[#This Row],[ASESOR]],$B:$E,3,0)/VLOOKUP(META_SETIEMBRE_2025[[#This Row],[ASESOR]],$B:$E,4,0)</f>
        <v>48565.217391304344</v>
      </c>
      <c r="L35">
        <v>3</v>
      </c>
      <c r="M35" s="1">
        <f t="shared" si="0"/>
        <v>0.13374260679079958</v>
      </c>
      <c r="N35" t="str" cm="1">
        <f t="array" ref="N35">IFERROR(_xlfn.IFS(M35&gt;100%,"&gt;100%",AND(M35&lt;100%,M35&gt;70%),"&gt;70%",AND(M35&lt;70%,M35&gt;40%),"&gt;40%",AND(M35&lt;40%,M35&gt;0%),"&gt;0%"),"")</f>
        <v>&gt;0%</v>
      </c>
      <c r="O35" t="str">
        <f t="shared" si="1"/>
        <v>CHRISTIAN ALVARADO</v>
      </c>
      <c r="P35" t="str">
        <f>IF(DATA_SETIEMBRE_2025[[#This Row],[ASER_]]="","",F29)</f>
        <v>JORGE</v>
      </c>
      <c r="Q35">
        <f>IF(DATA_SETIEMBRE_2025[[#This Row],[SUPERVISOR]]="","",D29)</f>
        <v>5309</v>
      </c>
      <c r="R35">
        <f>IF(DATA_SETIEMBRE_2025[[#This Row],[RECUPERO]]="","",VLOOKUP(DATA_SETIEMBRE_2025[[#This Row],[ASER_]],$H:$I,2,0))</f>
        <v>39695.65217391304</v>
      </c>
    </row>
    <row r="36" spans="1:18" x14ac:dyDescent="0.25">
      <c r="A36" s="10" t="s">
        <v>2</v>
      </c>
      <c r="B36" s="10" t="str">
        <f>TRIM(D1_SETIEMBRE[[#This Row],[ASESOR]])</f>
        <v/>
      </c>
      <c r="C36" s="10"/>
      <c r="D36" s="10">
        <v>0</v>
      </c>
      <c r="E36">
        <v>0</v>
      </c>
      <c r="F36" t="str">
        <f>D1_SETIEMBRE[[#This Row],[SUPER]]</f>
        <v>JORGE</v>
      </c>
      <c r="H36" t="s">
        <v>68</v>
      </c>
      <c r="I36">
        <f>VLOOKUP(META_SETIEMBRE_2025[[#This Row],[ASESOR]],$B:$E,3,0)/VLOOKUP(META_SETIEMBRE_2025[[#This Row],[ASESOR]],$B:$E,4,0)</f>
        <v>34869.565217391304</v>
      </c>
      <c r="L36">
        <v>4</v>
      </c>
      <c r="M36" s="1">
        <f t="shared" si="0"/>
        <v>0.11929460580912865</v>
      </c>
      <c r="N36" t="str" cm="1">
        <f t="array" ref="N36">IFERROR(_xlfn.IFS(M36&gt;100%,"&gt;100%",AND(M36&lt;100%,M36&gt;70%),"&gt;70%",AND(M36&lt;70%,M36&gt;40%),"&gt;40%",AND(M36&lt;40%,M36&gt;0%),"&gt;0%"),"")</f>
        <v>&gt;0%</v>
      </c>
      <c r="O36" t="str">
        <f t="shared" si="1"/>
        <v>GILBERTO PURIZACA</v>
      </c>
      <c r="P36" t="str">
        <f>IF(DATA_SETIEMBRE_2025[[#This Row],[ASER_]]="","",F30)</f>
        <v>JORGE</v>
      </c>
      <c r="Q36">
        <f>IF(DATA_SETIEMBRE_2025[[#This Row],[SUPERVISOR]]="","",D30)</f>
        <v>5000</v>
      </c>
      <c r="R36">
        <f>IF(DATA_SETIEMBRE_2025[[#This Row],[RECUPERO]]="","",VLOOKUP(DATA_SETIEMBRE_2025[[#This Row],[ASER_]],$H:$I,2,0))</f>
        <v>41913.043478260865</v>
      </c>
    </row>
    <row r="37" spans="1:18" x14ac:dyDescent="0.25">
      <c r="A37" s="10" t="s">
        <v>2</v>
      </c>
      <c r="B37" s="10" t="str">
        <f>TRIM(D1_SETIEMBRE[[#This Row],[ASESOR]])</f>
        <v/>
      </c>
      <c r="C37" s="10"/>
      <c r="D37" s="10">
        <v>0</v>
      </c>
      <c r="E37">
        <v>0</v>
      </c>
      <c r="F37" t="str">
        <f>D1_SETIEMBRE[[#This Row],[SUPER]]</f>
        <v>JORGE</v>
      </c>
      <c r="H37" t="s">
        <v>72</v>
      </c>
      <c r="I37">
        <f>VLOOKUP(META_SETIEMBRE_2025[[#This Row],[ASESOR]],$B:$E,3,0)/VLOOKUP(META_SETIEMBRE_2025[[#This Row],[ASESOR]],$B:$E,4,0)</f>
        <v>34869.565217391304</v>
      </c>
      <c r="L37">
        <v>5</v>
      </c>
      <c r="M37" s="1">
        <f t="shared" si="0"/>
        <v>0.26897381546134663</v>
      </c>
      <c r="N37" t="str" cm="1">
        <f t="array" ref="N37">IFERROR(_xlfn.IFS(M37&gt;100%,"&gt;100%",AND(M37&lt;100%,M37&gt;70%),"&gt;70%",AND(M37&lt;70%,M37&gt;40%),"&gt;40%",AND(M37&lt;40%,M37&gt;0%),"&gt;0%"),"")</f>
        <v>&gt;0%</v>
      </c>
      <c r="O37" t="str">
        <f t="shared" si="1"/>
        <v>MARIA HUARCAYA</v>
      </c>
      <c r="P37" t="str">
        <f>IF(DATA_SETIEMBRE_2025[[#This Row],[ASER_]]="","",F31)</f>
        <v>JORGE</v>
      </c>
      <c r="Q37">
        <f>IF(DATA_SETIEMBRE_2025[[#This Row],[SUPERVISOR]]="","",D31)</f>
        <v>9379</v>
      </c>
      <c r="R37">
        <f>IF(DATA_SETIEMBRE_2025[[#This Row],[RECUPERO]]="","",VLOOKUP(DATA_SETIEMBRE_2025[[#This Row],[ASER_]],$H:$I,2,0))</f>
        <v>34869.565217391304</v>
      </c>
    </row>
    <row r="38" spans="1:18" x14ac:dyDescent="0.25">
      <c r="A38" s="10" t="s">
        <v>2</v>
      </c>
      <c r="B38" s="10" t="str">
        <f>TRIM(D1_SETIEMBRE[[#This Row],[ASESOR]])</f>
        <v/>
      </c>
      <c r="C38" s="10"/>
      <c r="D38" s="10">
        <v>0</v>
      </c>
      <c r="E38">
        <v>0</v>
      </c>
      <c r="F38" t="str">
        <f>D1_SETIEMBRE[[#This Row],[SUPER]]</f>
        <v>JORGE</v>
      </c>
      <c r="H38" t="s">
        <v>70</v>
      </c>
      <c r="I38">
        <f>VLOOKUP(META_SETIEMBRE_2025[[#This Row],[ASESOR]],$B:$E,3,0)/VLOOKUP(META_SETIEMBRE_2025[[#This Row],[ASESOR]],$B:$E,4,0)</f>
        <v>34869.565217391304</v>
      </c>
      <c r="L38">
        <v>6</v>
      </c>
      <c r="M38" s="1">
        <f t="shared" si="0"/>
        <v>0.13629832935560859</v>
      </c>
      <c r="N38" t="str" cm="1">
        <f t="array" ref="N38">IFERROR(_xlfn.IFS(M38&gt;100%,"&gt;100%",AND(M38&lt;100%,M38&gt;70%),"&gt;70%",AND(M38&lt;70%,M38&gt;40%),"&gt;40%",AND(M38&lt;40%,M38&gt;0%),"&gt;0%"),"")</f>
        <v>&gt;0%</v>
      </c>
      <c r="O38" t="str">
        <f t="shared" si="1"/>
        <v>JHONATAN CHAVEZ</v>
      </c>
      <c r="P38" t="str">
        <f>IF(DATA_SETIEMBRE_2025[[#This Row],[ASER_]]="","",F32)</f>
        <v>JORGE</v>
      </c>
      <c r="Q38">
        <f>IF(DATA_SETIEMBRE_2025[[#This Row],[SUPERVISOR]]="","",D32)</f>
        <v>4966</v>
      </c>
      <c r="R38">
        <f>IF(DATA_SETIEMBRE_2025[[#This Row],[RECUPERO]]="","",VLOOKUP(DATA_SETIEMBRE_2025[[#This Row],[ASER_]],$H:$I,2,0))</f>
        <v>36434.782608695648</v>
      </c>
    </row>
    <row r="39" spans="1:18" x14ac:dyDescent="0.25">
      <c r="A39" s="10" t="s">
        <v>5</v>
      </c>
      <c r="B39" s="10" t="str">
        <f>TRIM(D1_SETIEMBRE[[#This Row],[ASESOR]])</f>
        <v>ROCIO TERRONES</v>
      </c>
      <c r="C39" s="10" t="s">
        <v>107</v>
      </c>
      <c r="D39" s="10">
        <v>13360</v>
      </c>
      <c r="E39">
        <v>0.2750940017905103</v>
      </c>
      <c r="F39" t="str">
        <f>D1_SETIEMBRE[[#This Row],[SUPER]]</f>
        <v>JORDAN</v>
      </c>
      <c r="H39" t="s">
        <v>26</v>
      </c>
      <c r="I39">
        <f>VLOOKUP(META_SETIEMBRE_2025[[#This Row],[ASESOR]],$B:$E,3,0)/VLOOKUP(META_SETIEMBRE_2025[[#This Row],[ASESOR]],$B:$E,4,0)</f>
        <v>36434.782608695648</v>
      </c>
      <c r="L39">
        <v>7</v>
      </c>
      <c r="M39" s="1">
        <f t="shared" si="0"/>
        <v>8.9330357142857142E-2</v>
      </c>
      <c r="N39" t="str" cm="1">
        <f t="array" ref="N39">IFERROR(_xlfn.IFS(M39&gt;100%,"&gt;100%",AND(M39&lt;100%,M39&gt;70%),"&gt;70%",AND(M39&lt;70%,M39&gt;40%),"&gt;40%",AND(M39&lt;40%,M39&gt;0%),"&gt;0%"),"")</f>
        <v>&gt;0%</v>
      </c>
      <c r="O39" t="str">
        <f t="shared" si="1"/>
        <v>ANDERSON RODRIGUEZ</v>
      </c>
      <c r="P39" t="str">
        <f>IF(DATA_SETIEMBRE_2025[[#This Row],[ASER_]]="","",F33)</f>
        <v>JORGE</v>
      </c>
      <c r="Q39">
        <f>IF(DATA_SETIEMBRE_2025[[#This Row],[SUPERVISOR]]="","",D33)</f>
        <v>4350</v>
      </c>
      <c r="R39">
        <f>IF(DATA_SETIEMBRE_2025[[#This Row],[RECUPERO]]="","",VLOOKUP(DATA_SETIEMBRE_2025[[#This Row],[ASER_]],$H:$I,2,0))</f>
        <v>48695.652173913048</v>
      </c>
    </row>
    <row r="40" spans="1:18" x14ac:dyDescent="0.25">
      <c r="A40" s="10" t="s">
        <v>5</v>
      </c>
      <c r="B40" s="10" t="str">
        <f>TRIM(D1_SETIEMBRE[[#This Row],[ASESOR]])</f>
        <v>LUCERO JORDAN</v>
      </c>
      <c r="C40" s="10" t="s">
        <v>68</v>
      </c>
      <c r="D40" s="10">
        <v>10519</v>
      </c>
      <c r="E40">
        <v>0.30166708229426437</v>
      </c>
      <c r="F40" t="str">
        <f>D1_SETIEMBRE[[#This Row],[SUPER]]</f>
        <v>JORDAN</v>
      </c>
      <c r="H40" t="s">
        <v>79</v>
      </c>
      <c r="I40">
        <f>VLOOKUP(META_SETIEMBRE_2025[[#This Row],[ASESOR]],$B:$E,3,0)/VLOOKUP(META_SETIEMBRE_2025[[#This Row],[ASESOR]],$B:$E,4,0)</f>
        <v>42173.913043478264</v>
      </c>
      <c r="L40">
        <v>8</v>
      </c>
      <c r="M40" s="1">
        <f t="shared" si="0"/>
        <v>0.51856109725685784</v>
      </c>
      <c r="N40" t="str" cm="1">
        <f t="array" ref="N40">IFERROR(_xlfn.IFS(M40&gt;100%,"&gt;100%",AND(M40&lt;100%,M40&gt;70%),"&gt;70%",AND(M40&lt;70%,M40&gt;40%),"&gt;40%",AND(M40&lt;40%,M40&gt;0%),"&gt;0%"),"")</f>
        <v>&gt;40%</v>
      </c>
      <c r="O40" t="str">
        <f t="shared" si="1"/>
        <v>FRANS TACSI</v>
      </c>
      <c r="P40" t="str">
        <f>IF(DATA_SETIEMBRE_2025[[#This Row],[ASER_]]="","",F34)</f>
        <v>JORGE</v>
      </c>
      <c r="Q40">
        <f>IF(DATA_SETIEMBRE_2025[[#This Row],[SUPERVISOR]]="","",D34)</f>
        <v>18082</v>
      </c>
      <c r="R40">
        <f>IF(DATA_SETIEMBRE_2025[[#This Row],[RECUPERO]]="","",VLOOKUP(DATA_SETIEMBRE_2025[[#This Row],[ASER_]],$H:$I,2,0))</f>
        <v>34869.565217391304</v>
      </c>
    </row>
    <row r="41" spans="1:18" x14ac:dyDescent="0.25">
      <c r="A41" s="10" t="s">
        <v>5</v>
      </c>
      <c r="B41" s="10" t="str">
        <f>TRIM(D1_SETIEMBRE[[#This Row],[ASESOR]])</f>
        <v>ERIKA VILLAR</v>
      </c>
      <c r="C41" s="10" t="s">
        <v>72</v>
      </c>
      <c r="D41" s="10">
        <v>14766</v>
      </c>
      <c r="E41">
        <v>0.42346384039900248</v>
      </c>
      <c r="F41" t="str">
        <f>D1_SETIEMBRE[[#This Row],[SUPER]]</f>
        <v>JORDAN</v>
      </c>
      <c r="H41" t="s">
        <v>99</v>
      </c>
      <c r="I41">
        <f>VLOOKUP(META_SETIEMBRE_2025[[#This Row],[ASESOR]],$B:$E,3,0)/VLOOKUP(META_SETIEMBRE_2025[[#This Row],[ASESOR]],$B:$E,4,0)</f>
        <v>53434.782608695648</v>
      </c>
      <c r="L41">
        <v>9</v>
      </c>
      <c r="M41" s="1">
        <f t="shared" si="0"/>
        <v>0</v>
      </c>
      <c r="N41" t="str" cm="1">
        <f t="array" ref="N41">IFERROR(_xlfn.IFS(M41&gt;100%,"&gt;100%",AND(M41&lt;100%,M41&gt;70%),"&gt;70%",AND(M41&lt;70%,M41&gt;40%),"&gt;40%",AND(M41&lt;40%,M41&gt;0%),"&gt;0%"),"")</f>
        <v/>
      </c>
      <c r="O41" t="str">
        <f t="shared" si="1"/>
        <v/>
      </c>
      <c r="P41" t="str">
        <f>IF(DATA_SETIEMBRE_2025[[#This Row],[ASER_]]="","",F35)</f>
        <v/>
      </c>
      <c r="Q41" t="str">
        <f>IF(DATA_SETIEMBRE_2025[[#This Row],[SUPERVISOR]]="","",D35)</f>
        <v/>
      </c>
      <c r="R41" t="str">
        <f>IF(DATA_SETIEMBRE_2025[[#This Row],[RECUPERO]]="","",VLOOKUP(DATA_SETIEMBRE_2025[[#This Row],[ASER_]],$H:$I,2,0))</f>
        <v/>
      </c>
    </row>
    <row r="42" spans="1:18" x14ac:dyDescent="0.25">
      <c r="A42" s="10" t="s">
        <v>5</v>
      </c>
      <c r="B42" s="10" t="str">
        <f>TRIM(D1_SETIEMBRE[[#This Row],[ASESOR]])</f>
        <v>MERLY CORONEL</v>
      </c>
      <c r="C42" s="10" t="s">
        <v>70</v>
      </c>
      <c r="D42" s="10">
        <v>4272</v>
      </c>
      <c r="E42">
        <v>0.1225137157107232</v>
      </c>
      <c r="F42" t="str">
        <f>D1_SETIEMBRE[[#This Row],[SUPER]]</f>
        <v>JORDAN</v>
      </c>
      <c r="H42" t="s">
        <v>28</v>
      </c>
      <c r="I42">
        <f>VLOOKUP(META_SETIEMBRE_2025[[#This Row],[ASESOR]],$B:$E,3,0)/VLOOKUP(META_SETIEMBRE_2025[[#This Row],[ASESOR]],$B:$E,4,0)</f>
        <v>43739.130434782608</v>
      </c>
      <c r="L42">
        <v>10</v>
      </c>
      <c r="M42" s="1">
        <f t="shared" si="0"/>
        <v>0</v>
      </c>
      <c r="N42" t="str" cm="1">
        <f t="array" ref="N42">IFERROR(_xlfn.IFS(M42&gt;100%,"&gt;100%",AND(M42&lt;100%,M42&gt;70%),"&gt;70%",AND(M42&lt;70%,M42&gt;40%),"&gt;40%",AND(M42&lt;40%,M42&gt;0%),"&gt;0%"),"")</f>
        <v/>
      </c>
      <c r="O42" t="str">
        <f t="shared" si="1"/>
        <v/>
      </c>
      <c r="P42" t="str">
        <f>IF(DATA_SETIEMBRE_2025[[#This Row],[ASER_]]="","",F36)</f>
        <v/>
      </c>
      <c r="Q42" t="str">
        <f>IF(DATA_SETIEMBRE_2025[[#This Row],[SUPERVISOR]]="","",D36)</f>
        <v/>
      </c>
      <c r="R42" t="str">
        <f>IF(DATA_SETIEMBRE_2025[[#This Row],[RECUPERO]]="","",VLOOKUP(DATA_SETIEMBRE_2025[[#This Row],[ASER_]],$H:$I,2,0))</f>
        <v/>
      </c>
    </row>
    <row r="43" spans="1:18" x14ac:dyDescent="0.25">
      <c r="A43" s="10" t="s">
        <v>5</v>
      </c>
      <c r="B43" s="10" t="str">
        <f>TRIM(D1_SETIEMBRE[[#This Row],[ASESOR]])</f>
        <v>JENY LAZARO</v>
      </c>
      <c r="C43" s="10" t="s">
        <v>26</v>
      </c>
      <c r="D43" s="10">
        <v>14142</v>
      </c>
      <c r="E43">
        <v>0.38814558472553701</v>
      </c>
      <c r="F43" t="str">
        <f>D1_SETIEMBRE[[#This Row],[SUPER]]</f>
        <v>JORDAN</v>
      </c>
      <c r="H43" t="s">
        <v>102</v>
      </c>
      <c r="I43">
        <f>VLOOKUP(META_SETIEMBRE_2025[[#This Row],[ASESOR]],$B:$E,3,0)/VLOOKUP(META_SETIEMBRE_2025[[#This Row],[ASESOR]],$B:$E,4,0)</f>
        <v>53173.913043478256</v>
      </c>
      <c r="L43">
        <v>11</v>
      </c>
      <c r="M43" s="1">
        <f t="shared" si="0"/>
        <v>0</v>
      </c>
      <c r="N43" t="str" cm="1">
        <f t="array" ref="N43">IFERROR(_xlfn.IFS(M43&gt;100%,"&gt;100%",AND(M43&lt;100%,M43&gt;70%),"&gt;70%",AND(M43&lt;70%,M43&gt;40%),"&gt;40%",AND(M43&lt;40%,M43&gt;0%),"&gt;0%"),"")</f>
        <v/>
      </c>
      <c r="O43" t="str">
        <f t="shared" si="1"/>
        <v/>
      </c>
      <c r="P43" t="str">
        <f>IF(DATA_SETIEMBRE_2025[[#This Row],[ASER_]]="","",F37)</f>
        <v/>
      </c>
      <c r="Q43" t="str">
        <f>IF(DATA_SETIEMBRE_2025[[#This Row],[SUPERVISOR]]="","",D37)</f>
        <v/>
      </c>
      <c r="R43" t="str">
        <f>IF(DATA_SETIEMBRE_2025[[#This Row],[RECUPERO]]="","",VLOOKUP(DATA_SETIEMBRE_2025[[#This Row],[ASER_]],$H:$I,2,0))</f>
        <v/>
      </c>
    </row>
    <row r="44" spans="1:18" x14ac:dyDescent="0.25">
      <c r="A44" s="10" t="s">
        <v>5</v>
      </c>
      <c r="B44" s="10" t="str">
        <f>TRIM(D1_SETIEMBRE[[#This Row],[ASESOR]])</f>
        <v>NATALIA MARIN</v>
      </c>
      <c r="C44" s="10" t="s">
        <v>79</v>
      </c>
      <c r="D44" s="10">
        <v>4880</v>
      </c>
      <c r="E44">
        <v>0.11571134020618556</v>
      </c>
      <c r="F44" t="str">
        <f>D1_SETIEMBRE[[#This Row],[SUPER]]</f>
        <v>JORDAN</v>
      </c>
      <c r="H44" t="s">
        <v>75</v>
      </c>
      <c r="I44">
        <f>VLOOKUP(META_SETIEMBRE_2025[[#This Row],[ASESOR]],$B:$E,3,0)/VLOOKUP(META_SETIEMBRE_2025[[#This Row],[ASESOR]],$B:$E,4,0)</f>
        <v>52869.565217391304</v>
      </c>
      <c r="L44">
        <v>12</v>
      </c>
      <c r="M44" s="1">
        <f t="shared" si="0"/>
        <v>0</v>
      </c>
      <c r="N44" t="str" cm="1">
        <f t="array" ref="N44">IFERROR(_xlfn.IFS(M44&gt;100%,"&gt;100%",AND(M44&lt;100%,M44&gt;70%),"&gt;70%",AND(M44&lt;70%,M44&gt;40%),"&gt;40%",AND(M44&lt;40%,M44&gt;0%),"&gt;0%"),"")</f>
        <v/>
      </c>
      <c r="O44" t="str">
        <f t="shared" si="1"/>
        <v/>
      </c>
      <c r="P44" t="str">
        <f>IF(DATA_SETIEMBRE_2025[[#This Row],[ASER_]]="","",F38)</f>
        <v/>
      </c>
      <c r="Q44" t="str">
        <f>IF(DATA_SETIEMBRE_2025[[#This Row],[SUPERVISOR]]="","",D38)</f>
        <v/>
      </c>
      <c r="R44" t="str">
        <f>IF(DATA_SETIEMBRE_2025[[#This Row],[RECUPERO]]="","",VLOOKUP(DATA_SETIEMBRE_2025[[#This Row],[ASER_]],$H:$I,2,0))</f>
        <v/>
      </c>
    </row>
    <row r="45" spans="1:18" x14ac:dyDescent="0.25">
      <c r="A45" s="10" t="s">
        <v>5</v>
      </c>
      <c r="B45" s="10" t="str">
        <f>TRIM(D1_SETIEMBRE[[#This Row],[ASESOR]])</f>
        <v>JESSICA MELGAREJO</v>
      </c>
      <c r="C45" s="10" t="s">
        <v>99</v>
      </c>
      <c r="D45" s="10">
        <v>4143</v>
      </c>
      <c r="E45">
        <v>7.7533767290480074E-2</v>
      </c>
      <c r="F45" t="str">
        <f>D1_SETIEMBRE[[#This Row],[SUPER]]</f>
        <v>JORDAN</v>
      </c>
      <c r="H45" t="s">
        <v>78</v>
      </c>
      <c r="I45">
        <f>VLOOKUP(META_SETIEMBRE_2025[[#This Row],[ASESOR]],$B:$E,3,0)/VLOOKUP(META_SETIEMBRE_2025[[#This Row],[ASESOR]],$B:$E,4,0)</f>
        <v>63043.478260869568</v>
      </c>
      <c r="L45">
        <v>1</v>
      </c>
      <c r="M45" s="1">
        <f t="shared" si="0"/>
        <v>0.2750940017905103</v>
      </c>
      <c r="N45" t="str" cm="1">
        <f t="array" ref="N45">IFERROR(_xlfn.IFS(M45&gt;100%,"&gt;100%",AND(M45&lt;100%,M45&gt;70%),"&gt;70%",AND(M45&lt;70%,M45&gt;40%),"&gt;40%",AND(M45&lt;40%,M45&gt;0%),"&gt;0%"),"")</f>
        <v>&gt;0%</v>
      </c>
      <c r="O45" t="str">
        <f t="shared" si="1"/>
        <v>ROCIO TERRONES</v>
      </c>
      <c r="P45" t="str">
        <f>IF(DATA_SETIEMBRE_2025[[#This Row],[ASER_]]="","",F39)</f>
        <v>JORDAN</v>
      </c>
      <c r="Q45">
        <f>IF(DATA_SETIEMBRE_2025[[#This Row],[SUPERVISOR]]="","",D39)</f>
        <v>13360</v>
      </c>
      <c r="R45">
        <f>IF(DATA_SETIEMBRE_2025[[#This Row],[RECUPERO]]="","",VLOOKUP(DATA_SETIEMBRE_2025[[#This Row],[ASER_]],$H:$I,2,0))</f>
        <v>48565.217391304344</v>
      </c>
    </row>
    <row r="46" spans="1:18" x14ac:dyDescent="0.25">
      <c r="A46" s="10" t="s">
        <v>5</v>
      </c>
      <c r="B46" s="10" t="str">
        <f>TRIM(D1_SETIEMBRE[[#This Row],[ASESOR]])</f>
        <v>ERICK PORTILLA</v>
      </c>
      <c r="C46" s="10" t="s">
        <v>28</v>
      </c>
      <c r="D46" s="10">
        <v>10800</v>
      </c>
      <c r="E46">
        <v>0.24691848906560637</v>
      </c>
      <c r="F46" t="str">
        <f>D1_SETIEMBRE[[#This Row],[SUPER]]</f>
        <v>JORDAN</v>
      </c>
      <c r="H46" t="s">
        <v>22</v>
      </c>
      <c r="I46">
        <f>VLOOKUP(META_SETIEMBRE_2025[[#This Row],[ASESOR]],$B:$E,3,0)/VLOOKUP(META_SETIEMBRE_2025[[#This Row],[ASESOR]],$B:$E,4,0)</f>
        <v>52869.565217391304</v>
      </c>
      <c r="L46">
        <v>2</v>
      </c>
      <c r="M46" s="1">
        <f t="shared" si="0"/>
        <v>0.30166708229426437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1"/>
        <v>LUCERO JORDAN</v>
      </c>
      <c r="P46" t="str">
        <f>IF(DATA_SETIEMBRE_2025[[#This Row],[ASER_]]="","",F40)</f>
        <v>JORDAN</v>
      </c>
      <c r="Q46">
        <f>IF(DATA_SETIEMBRE_2025[[#This Row],[SUPERVISOR]]="","",D40)</f>
        <v>10519</v>
      </c>
      <c r="R46">
        <f>IF(DATA_SETIEMBRE_2025[[#This Row],[RECUPERO]]="","",VLOOKUP(DATA_SETIEMBRE_2025[[#This Row],[ASER_]],$H:$I,2,0))</f>
        <v>34869.565217391304</v>
      </c>
    </row>
    <row r="47" spans="1:18" x14ac:dyDescent="0.25">
      <c r="A47" s="10" t="s">
        <v>5</v>
      </c>
      <c r="B47" s="10" t="str">
        <f>TRIM(D1_SETIEMBRE[[#This Row],[ASESOR]])</f>
        <v/>
      </c>
      <c r="C47" s="10"/>
      <c r="D47" s="10">
        <v>0</v>
      </c>
      <c r="E47">
        <v>0</v>
      </c>
      <c r="F47" t="str">
        <f>D1_SETIEMBRE[[#This Row],[SUPER]]</f>
        <v>JORDAN</v>
      </c>
      <c r="H47" t="s">
        <v>31</v>
      </c>
      <c r="I47">
        <f>VLOOKUP(META_SETIEMBRE_2025[[#This Row],[ASESOR]],$B:$E,3,0)/VLOOKUP(META_SETIEMBRE_2025[[#This Row],[ASESOR]],$B:$E,4,0)</f>
        <v>58347.82608695652</v>
      </c>
      <c r="L47">
        <v>3</v>
      </c>
      <c r="M47" s="1">
        <f t="shared" si="0"/>
        <v>0.42346384039900248</v>
      </c>
      <c r="N47" t="str" cm="1">
        <f t="array" ref="N47">IFERROR(_xlfn.IFS(M47&gt;100%,"&gt;100%",AND(M47&lt;100%,M47&gt;70%),"&gt;70%",AND(M47&lt;70%,M47&gt;40%),"&gt;40%",AND(M47&lt;40%,M47&gt;0%),"&gt;0%"),"")</f>
        <v>&gt;40%</v>
      </c>
      <c r="O47" t="str">
        <f t="shared" si="1"/>
        <v>ERIKA VILLAR</v>
      </c>
      <c r="P47" t="str">
        <f>IF(DATA_SETIEMBRE_2025[[#This Row],[ASER_]]="","",F41)</f>
        <v>JORDAN</v>
      </c>
      <c r="Q47">
        <f>IF(DATA_SETIEMBRE_2025[[#This Row],[SUPERVISOR]]="","",D41)</f>
        <v>14766</v>
      </c>
      <c r="R47">
        <f>IF(DATA_SETIEMBRE_2025[[#This Row],[RECUPERO]]="","",VLOOKUP(DATA_SETIEMBRE_2025[[#This Row],[ASER_]],$H:$I,2,0))</f>
        <v>34869.565217391304</v>
      </c>
    </row>
    <row r="48" spans="1:18" x14ac:dyDescent="0.25">
      <c r="A48" s="10" t="s">
        <v>5</v>
      </c>
      <c r="B48" s="10" t="str">
        <f>TRIM(D1_SETIEMBRE[[#This Row],[ASESOR]])</f>
        <v/>
      </c>
      <c r="C48" s="10"/>
      <c r="D48" s="10">
        <v>0</v>
      </c>
      <c r="E48">
        <v>0</v>
      </c>
      <c r="F48" t="str">
        <f>D1_SETIEMBRE[[#This Row],[SUPER]]</f>
        <v>JORDAN</v>
      </c>
      <c r="H48" t="s">
        <v>17</v>
      </c>
      <c r="I48">
        <f>VLOOKUP(META_SETIEMBRE_2025[[#This Row],[ASESOR]],$B:$E,3,0)/VLOOKUP(META_SETIEMBRE_2025[[#This Row],[ASESOR]],$B:$E,4,0)</f>
        <v>58347.82608695652</v>
      </c>
      <c r="L48">
        <v>4</v>
      </c>
      <c r="M48" s="1">
        <f t="shared" si="0"/>
        <v>0.1225137157107232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1"/>
        <v>MERLY CORONEL</v>
      </c>
      <c r="P48" t="str">
        <f>IF(DATA_SETIEMBRE_2025[[#This Row],[ASER_]]="","",F42)</f>
        <v>JORDAN</v>
      </c>
      <c r="Q48">
        <f>IF(DATA_SETIEMBRE_2025[[#This Row],[SUPERVISOR]]="","",D42)</f>
        <v>4272</v>
      </c>
      <c r="R48">
        <f>IF(DATA_SETIEMBRE_2025[[#This Row],[RECUPERO]]="","",VLOOKUP(DATA_SETIEMBRE_2025[[#This Row],[ASER_]],$H:$I,2,0))</f>
        <v>34869.565217391304</v>
      </c>
    </row>
    <row r="49" spans="1:18" x14ac:dyDescent="0.25">
      <c r="A49" s="10" t="s">
        <v>5</v>
      </c>
      <c r="B49" s="10" t="str">
        <f>TRIM(D1_SETIEMBRE[[#This Row],[ASESOR]])</f>
        <v/>
      </c>
      <c r="C49" s="10"/>
      <c r="D49" s="10">
        <v>0</v>
      </c>
      <c r="E49">
        <v>0</v>
      </c>
      <c r="F49" t="str">
        <f>D1_SETIEMBRE[[#This Row],[SUPER]]</f>
        <v>JORDAN</v>
      </c>
      <c r="H49" t="s">
        <v>29</v>
      </c>
      <c r="I49">
        <f>VLOOKUP(META_SETIEMBRE_2025[[#This Row],[ASESOR]],$B:$E,3,0)/VLOOKUP(META_SETIEMBRE_2025[[#This Row],[ASESOR]],$B:$E,4,0)</f>
        <v>52869.565217391304</v>
      </c>
      <c r="L49">
        <v>5</v>
      </c>
      <c r="M49" s="1">
        <f t="shared" si="0"/>
        <v>0.38814558472553701</v>
      </c>
      <c r="N49" t="str" cm="1">
        <f t="array" ref="N49">IFERROR(_xlfn.IFS(M49&gt;100%,"&gt;100%",AND(M49&lt;100%,M49&gt;70%),"&gt;70%",AND(M49&lt;70%,M49&gt;40%),"&gt;40%",AND(M49&lt;40%,M49&gt;0%),"&gt;0%"),"")</f>
        <v>&gt;0%</v>
      </c>
      <c r="O49" t="str">
        <f t="shared" si="1"/>
        <v>JENY LAZARO</v>
      </c>
      <c r="P49" t="str">
        <f>IF(DATA_SETIEMBRE_2025[[#This Row],[ASER_]]="","",F43)</f>
        <v>JORDAN</v>
      </c>
      <c r="Q49">
        <f>IF(DATA_SETIEMBRE_2025[[#This Row],[SUPERVISOR]]="","",D43)</f>
        <v>14142</v>
      </c>
      <c r="R49">
        <f>IF(DATA_SETIEMBRE_2025[[#This Row],[RECUPERO]]="","",VLOOKUP(DATA_SETIEMBRE_2025[[#This Row],[ASER_]],$H:$I,2,0))</f>
        <v>36434.782608695648</v>
      </c>
    </row>
    <row r="50" spans="1:18" x14ac:dyDescent="0.25">
      <c r="A50" s="10" t="s">
        <v>5</v>
      </c>
      <c r="B50" s="10" t="str">
        <f>TRIM(D1_SETIEMBRE[[#This Row],[ASESOR]])</f>
        <v/>
      </c>
      <c r="C50" s="10"/>
      <c r="D50" s="10">
        <v>0</v>
      </c>
      <c r="E50">
        <v>0</v>
      </c>
      <c r="F50" t="str">
        <f>D1_SETIEMBRE[[#This Row],[SUPER]]</f>
        <v>JORDAN</v>
      </c>
      <c r="H50" t="s">
        <v>36</v>
      </c>
      <c r="I50">
        <f>VLOOKUP(META_SETIEMBRE_2025[[#This Row],[ASESOR]],$B:$E,3,0)/VLOOKUP(META_SETIEMBRE_2025[[#This Row],[ASESOR]],$B:$E,4,0)</f>
        <v>67739.130434782608</v>
      </c>
      <c r="L50">
        <v>6</v>
      </c>
      <c r="M50" s="1">
        <f t="shared" si="0"/>
        <v>0.11571134020618556</v>
      </c>
      <c r="N50" t="str" cm="1">
        <f t="array" ref="N50">IFERROR(_xlfn.IFS(M50&gt;100%,"&gt;100%",AND(M50&lt;100%,M50&gt;70%),"&gt;70%",AND(M50&lt;70%,M50&gt;40%),"&gt;40%",AND(M50&lt;40%,M50&gt;0%),"&gt;0%"),"")</f>
        <v>&gt;0%</v>
      </c>
      <c r="O50" t="str">
        <f t="shared" si="1"/>
        <v>NATALIA MARIN</v>
      </c>
      <c r="P50" t="str">
        <f>IF(DATA_SETIEMBRE_2025[[#This Row],[ASER_]]="","",F44)</f>
        <v>JORDAN</v>
      </c>
      <c r="Q50">
        <f>IF(DATA_SETIEMBRE_2025[[#This Row],[SUPERVISOR]]="","",D44)</f>
        <v>4880</v>
      </c>
      <c r="R50">
        <f>IF(DATA_SETIEMBRE_2025[[#This Row],[RECUPERO]]="","",VLOOKUP(DATA_SETIEMBRE_2025[[#This Row],[ASER_]],$H:$I,2,0))</f>
        <v>42173.913043478264</v>
      </c>
    </row>
    <row r="51" spans="1:18" x14ac:dyDescent="0.25">
      <c r="A51" s="10" t="s">
        <v>6</v>
      </c>
      <c r="B51" s="10" t="str">
        <f>TRIM(D1_SETIEMBRE[[#This Row],[ASESOR]])</f>
        <v>LUPITA HIDALGO</v>
      </c>
      <c r="C51" s="10" t="s">
        <v>102</v>
      </c>
      <c r="D51" s="10">
        <v>10174</v>
      </c>
      <c r="E51">
        <v>0.19133442354865088</v>
      </c>
      <c r="F51" t="str">
        <f>D1_SETIEMBRE[[#This Row],[SUPER]]</f>
        <v>KENNETH</v>
      </c>
      <c r="H51" t="s">
        <v>60</v>
      </c>
      <c r="I51">
        <f>VLOOKUP(META_SETIEMBRE_2025[[#This Row],[ASESOR]],$B:$E,3,0)/VLOOKUP(META_SETIEMBRE_2025[[#This Row],[ASESOR]],$B:$E,4,0)</f>
        <v>52869.565217391304</v>
      </c>
      <c r="L51">
        <v>7</v>
      </c>
      <c r="M51" s="1">
        <f t="shared" si="0"/>
        <v>7.7533767290480074E-2</v>
      </c>
      <c r="N51" t="str" cm="1">
        <f t="array" ref="N51">IFERROR(_xlfn.IFS(M51&gt;100%,"&gt;100%",AND(M51&lt;100%,M51&gt;70%),"&gt;70%",AND(M51&lt;70%,M51&gt;40%),"&gt;40%",AND(M51&lt;40%,M51&gt;0%),"&gt;0%"),"")</f>
        <v>&gt;0%</v>
      </c>
      <c r="O51" t="str">
        <f t="shared" si="1"/>
        <v>JESSICA MELGAREJO</v>
      </c>
      <c r="P51" t="str">
        <f>IF(DATA_SETIEMBRE_2025[[#This Row],[ASER_]]="","",F45)</f>
        <v>JORDAN</v>
      </c>
      <c r="Q51">
        <f>IF(DATA_SETIEMBRE_2025[[#This Row],[SUPERVISOR]]="","",D45)</f>
        <v>4143</v>
      </c>
      <c r="R51">
        <f>IF(DATA_SETIEMBRE_2025[[#This Row],[RECUPERO]]="","",VLOOKUP(DATA_SETIEMBRE_2025[[#This Row],[ASER_]],$H:$I,2,0))</f>
        <v>53434.782608695648</v>
      </c>
    </row>
    <row r="52" spans="1:18" x14ac:dyDescent="0.25">
      <c r="A52" s="10" t="s">
        <v>6</v>
      </c>
      <c r="B52" s="10" t="str">
        <f>TRIM(D1_SETIEMBRE[[#This Row],[ASESOR]])</f>
        <v>MARIA TINTAYA</v>
      </c>
      <c r="C52" s="10" t="s">
        <v>75</v>
      </c>
      <c r="D52" s="10">
        <v>12050</v>
      </c>
      <c r="E52">
        <v>0.22791940789473683</v>
      </c>
      <c r="F52" t="str">
        <f>D1_SETIEMBRE[[#This Row],[SUPER]]</f>
        <v>KENNETH</v>
      </c>
      <c r="H52" t="s">
        <v>69</v>
      </c>
      <c r="I52">
        <f>VLOOKUP(META_SETIEMBRE_2025[[#This Row],[ASESOR]],$B:$E,3,0)/VLOOKUP(META_SETIEMBRE_2025[[#This Row],[ASESOR]],$B:$E,4,0)</f>
        <v>58347.826086956513</v>
      </c>
      <c r="L52">
        <v>8</v>
      </c>
      <c r="M52" s="1">
        <f t="shared" si="0"/>
        <v>0.24691848906560637</v>
      </c>
      <c r="N52" t="str" cm="1">
        <f t="array" ref="N52">IFERROR(_xlfn.IFS(M52&gt;100%,"&gt;100%",AND(M52&lt;100%,M52&gt;70%),"&gt;70%",AND(M52&lt;70%,M52&gt;40%),"&gt;40%",AND(M52&lt;40%,M52&gt;0%),"&gt;0%"),"")</f>
        <v>&gt;0%</v>
      </c>
      <c r="O52" t="str">
        <f t="shared" si="1"/>
        <v>ERICK PORTILLA</v>
      </c>
      <c r="P52" t="str">
        <f>IF(DATA_SETIEMBRE_2025[[#This Row],[ASER_]]="","",F46)</f>
        <v>JORDAN</v>
      </c>
      <c r="Q52">
        <f>IF(DATA_SETIEMBRE_2025[[#This Row],[SUPERVISOR]]="","",D46)</f>
        <v>10800</v>
      </c>
      <c r="R52">
        <f>IF(DATA_SETIEMBRE_2025[[#This Row],[RECUPERO]]="","",VLOOKUP(DATA_SETIEMBRE_2025[[#This Row],[ASER_]],$H:$I,2,0))</f>
        <v>43739.130434782608</v>
      </c>
    </row>
    <row r="53" spans="1:18" x14ac:dyDescent="0.25">
      <c r="A53" s="10" t="s">
        <v>6</v>
      </c>
      <c r="B53" s="10" t="str">
        <f>TRIM(D1_SETIEMBRE[[#This Row],[ASESOR]])</f>
        <v>URSULA CENTENO</v>
      </c>
      <c r="C53" s="10" t="s">
        <v>78</v>
      </c>
      <c r="D53" s="10">
        <v>25330.65</v>
      </c>
      <c r="E53">
        <v>0.40179651724137933</v>
      </c>
      <c r="F53" t="str">
        <f>D1_SETIEMBRE[[#This Row],[SUPER]]</f>
        <v>KENNETH</v>
      </c>
      <c r="H53" t="s">
        <v>110</v>
      </c>
      <c r="I53">
        <f>VLOOKUP(META_SETIEMBRE_2025[[#This Row],[ASESOR]],$B:$E,3,0)/VLOOKUP(META_SETIEMBRE_2025[[#This Row],[ASESOR]],$B:$E,4,0)</f>
        <v>55608.695652173919</v>
      </c>
      <c r="L53">
        <v>9</v>
      </c>
      <c r="M53" s="1">
        <f t="shared" si="0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1"/>
        <v/>
      </c>
      <c r="P53" t="str">
        <f>IF(DATA_SETIEMBRE_2025[[#This Row],[ASER_]]="","",F47)</f>
        <v/>
      </c>
      <c r="Q53" t="str">
        <f>IF(DATA_SETIEMBRE_2025[[#This Row],[SUPERVISOR]]="","",D47)</f>
        <v/>
      </c>
      <c r="R53" t="str">
        <f>IF(DATA_SETIEMBRE_2025[[#This Row],[RECUPERO]]="","",VLOOKUP(DATA_SETIEMBRE_2025[[#This Row],[ASER_]],$H:$I,2,0))</f>
        <v/>
      </c>
    </row>
    <row r="54" spans="1:18" x14ac:dyDescent="0.25">
      <c r="A54" s="10" t="s">
        <v>6</v>
      </c>
      <c r="B54" s="10" t="str">
        <f>TRIM(D1_SETIEMBRE[[#This Row],[ASESOR]])</f>
        <v>EVELY TENORIO</v>
      </c>
      <c r="C54" s="10" t="s">
        <v>22</v>
      </c>
      <c r="D54" s="10">
        <v>11418</v>
      </c>
      <c r="E54">
        <v>0.21596546052631579</v>
      </c>
      <c r="F54" t="str">
        <f>D1_SETIEMBRE[[#This Row],[SUPER]]</f>
        <v>KENNETH</v>
      </c>
      <c r="H54" t="s">
        <v>11</v>
      </c>
      <c r="I54">
        <f>VLOOKUP(META_SETIEMBRE_2025[[#This Row],[ASESOR]],$B:$E,3,0)/VLOOKUP(META_SETIEMBRE_2025[[#This Row],[ASESOR]],$B:$E,4,0)</f>
        <v>58347.82608695652</v>
      </c>
      <c r="L54">
        <v>10</v>
      </c>
      <c r="M54" s="1">
        <f t="shared" si="0"/>
        <v>0</v>
      </c>
      <c r="N54" t="str" cm="1">
        <f t="array" ref="N54">IFERROR(_xlfn.IFS(M54&gt;100%,"&gt;100%",AND(M54&lt;100%,M54&gt;70%),"&gt;70%",AND(M54&lt;70%,M54&gt;40%),"&gt;40%",AND(M54&lt;40%,M54&gt;0%),"&gt;0%"),"")</f>
        <v/>
      </c>
      <c r="O54" t="str">
        <f t="shared" si="1"/>
        <v/>
      </c>
      <c r="P54" t="str">
        <f>IF(DATA_SETIEMBRE_2025[[#This Row],[ASER_]]="","",F48)</f>
        <v/>
      </c>
      <c r="Q54" t="str">
        <f>IF(DATA_SETIEMBRE_2025[[#This Row],[SUPERVISOR]]="","",D48)</f>
        <v/>
      </c>
      <c r="R54" t="str">
        <f>IF(DATA_SETIEMBRE_2025[[#This Row],[RECUPERO]]="","",VLOOKUP(DATA_SETIEMBRE_2025[[#This Row],[ASER_]],$H:$I,2,0))</f>
        <v/>
      </c>
    </row>
    <row r="55" spans="1:18" x14ac:dyDescent="0.25">
      <c r="A55" s="10" t="s">
        <v>6</v>
      </c>
      <c r="B55" s="10" t="str">
        <f>TRIM(D1_SETIEMBRE[[#This Row],[ASESOR]])</f>
        <v>LUIS CENTENO</v>
      </c>
      <c r="C55" s="10" t="s">
        <v>31</v>
      </c>
      <c r="D55" s="10">
        <v>19573</v>
      </c>
      <c r="E55">
        <v>0.3354538002980626</v>
      </c>
      <c r="F55" t="str">
        <f>D1_SETIEMBRE[[#This Row],[SUPER]]</f>
        <v>KENNETH</v>
      </c>
      <c r="H55" t="s">
        <v>20</v>
      </c>
      <c r="I55">
        <f>VLOOKUP(META_SETIEMBRE_2025[[#This Row],[ASESOR]],$B:$E,3,0)/VLOOKUP(META_SETIEMBRE_2025[[#This Row],[ASESOR]],$B:$E,4,0)</f>
        <v>48565.217391304352</v>
      </c>
      <c r="L55">
        <v>11</v>
      </c>
      <c r="M55" s="1">
        <f t="shared" si="0"/>
        <v>0</v>
      </c>
      <c r="N55" t="str" cm="1">
        <f t="array" ref="N55">IFERROR(_xlfn.IFS(M55&gt;100%,"&gt;100%",AND(M55&lt;100%,M55&gt;70%),"&gt;70%",AND(M55&lt;70%,M55&gt;40%),"&gt;40%",AND(M55&lt;40%,M55&gt;0%),"&gt;0%"),"")</f>
        <v/>
      </c>
      <c r="O55" t="str">
        <f t="shared" si="1"/>
        <v/>
      </c>
      <c r="P55" t="str">
        <f>IF(DATA_SETIEMBRE_2025[[#This Row],[ASER_]]="","",F49)</f>
        <v/>
      </c>
      <c r="Q55" t="str">
        <f>IF(DATA_SETIEMBRE_2025[[#This Row],[SUPERVISOR]]="","",D49)</f>
        <v/>
      </c>
      <c r="R55" t="str">
        <f>IF(DATA_SETIEMBRE_2025[[#This Row],[RECUPERO]]="","",VLOOKUP(DATA_SETIEMBRE_2025[[#This Row],[ASER_]],$H:$I,2,0))</f>
        <v/>
      </c>
    </row>
    <row r="56" spans="1:18" x14ac:dyDescent="0.25">
      <c r="A56" s="10" t="s">
        <v>6</v>
      </c>
      <c r="B56" s="10" t="str">
        <f>TRIM(D1_SETIEMBRE[[#This Row],[ASESOR]])</f>
        <v>MARGARITA PIANCHACHI</v>
      </c>
      <c r="C56" s="10" t="s">
        <v>17</v>
      </c>
      <c r="D56" s="10">
        <v>21200</v>
      </c>
      <c r="E56">
        <v>0.36333830104321907</v>
      </c>
      <c r="F56" t="str">
        <f>D1_SETIEMBRE[[#This Row],[SUPER]]</f>
        <v>KENNETH</v>
      </c>
      <c r="H56" t="s">
        <v>58</v>
      </c>
      <c r="I56">
        <f>VLOOKUP(META_SETIEMBRE_2025[[#This Row],[ASESOR]],$B:$E,3,0)/VLOOKUP(META_SETIEMBRE_2025[[#This Row],[ASESOR]],$B:$E,4,0)</f>
        <v>52869.565217391304</v>
      </c>
      <c r="L56">
        <v>12</v>
      </c>
      <c r="M56" s="1">
        <f t="shared" si="0"/>
        <v>0</v>
      </c>
      <c r="N56" t="str" cm="1">
        <f t="array" ref="N56">IFERROR(_xlfn.IFS(M56&gt;100%,"&gt;100%",AND(M56&lt;100%,M56&gt;70%),"&gt;70%",AND(M56&lt;70%,M56&gt;40%),"&gt;40%",AND(M56&lt;40%,M56&gt;0%),"&gt;0%"),"")</f>
        <v/>
      </c>
      <c r="O56" t="str">
        <f t="shared" si="1"/>
        <v/>
      </c>
      <c r="P56" t="str">
        <f>IF(DATA_SETIEMBRE_2025[[#This Row],[ASER_]]="","",F50)</f>
        <v/>
      </c>
      <c r="Q56" t="str">
        <f>IF(DATA_SETIEMBRE_2025[[#This Row],[SUPERVISOR]]="","",D50)</f>
        <v/>
      </c>
      <c r="R56" t="str">
        <f>IF(DATA_SETIEMBRE_2025[[#This Row],[RECUPERO]]="","",VLOOKUP(DATA_SETIEMBRE_2025[[#This Row],[ASER_]],$H:$I,2,0))</f>
        <v/>
      </c>
    </row>
    <row r="57" spans="1:18" x14ac:dyDescent="0.25">
      <c r="A57" s="10" t="s">
        <v>6</v>
      </c>
      <c r="B57" s="10" t="str">
        <f>TRIM(D1_SETIEMBRE[[#This Row],[ASESOR]])</f>
        <v>LUIS VALLADARES</v>
      </c>
      <c r="C57" s="10" t="s">
        <v>29</v>
      </c>
      <c r="D57" s="10">
        <v>25825</v>
      </c>
      <c r="E57">
        <v>0.48846628289473687</v>
      </c>
      <c r="F57" t="str">
        <f>D1_SETIEMBRE[[#This Row],[SUPER]]</f>
        <v>KENNETH</v>
      </c>
      <c r="H57" t="s">
        <v>18</v>
      </c>
      <c r="I57">
        <f>VLOOKUP(META_SETIEMBRE_2025[[#This Row],[ASESOR]],$B:$E,3,0)/VLOOKUP(META_SETIEMBRE_2025[[#This Row],[ASESOR]],$B:$E,4,0)</f>
        <v>55608.695652173912</v>
      </c>
      <c r="L57">
        <v>1</v>
      </c>
      <c r="M57" s="1">
        <f t="shared" si="0"/>
        <v>0.19133442354865088</v>
      </c>
      <c r="N57" t="str" cm="1">
        <f t="array" ref="N57">IFERROR(_xlfn.IFS(M57&gt;100%,"&gt;100%",AND(M57&lt;100%,M57&gt;70%),"&gt;70%",AND(M57&lt;70%,M57&gt;40%),"&gt;40%",AND(M57&lt;40%,M57&gt;0%),"&gt;0%"),"")</f>
        <v>&gt;0%</v>
      </c>
      <c r="O57" t="str">
        <f t="shared" si="1"/>
        <v>LUPITA HIDALGO</v>
      </c>
      <c r="P57" t="str">
        <f>IF(DATA_SETIEMBRE_2025[[#This Row],[ASER_]]="","",F51)</f>
        <v>KENNETH</v>
      </c>
      <c r="Q57">
        <f>IF(DATA_SETIEMBRE_2025[[#This Row],[SUPERVISOR]]="","",D51)</f>
        <v>10174</v>
      </c>
      <c r="R57">
        <f>IF(DATA_SETIEMBRE_2025[[#This Row],[RECUPERO]]="","",VLOOKUP(DATA_SETIEMBRE_2025[[#This Row],[ASER_]],$H:$I,2,0))</f>
        <v>53173.913043478256</v>
      </c>
    </row>
    <row r="58" spans="1:18" x14ac:dyDescent="0.25">
      <c r="A58" s="10" t="s">
        <v>6</v>
      </c>
      <c r="B58" s="10" t="str">
        <f>TRIM(D1_SETIEMBRE[[#This Row],[ASESOR]])</f>
        <v>MEDALITH NESTARES</v>
      </c>
      <c r="C58" s="10" t="s">
        <v>36</v>
      </c>
      <c r="D58" s="10">
        <v>6190</v>
      </c>
      <c r="E58">
        <v>9.1379974326059057E-2</v>
      </c>
      <c r="F58" t="str">
        <f>D1_SETIEMBRE[[#This Row],[SUPER]]</f>
        <v>KENNETH</v>
      </c>
      <c r="H58" t="s">
        <v>117</v>
      </c>
      <c r="I58">
        <f>VLOOKUP(META_SETIEMBRE_2025[[#This Row],[ASESOR]],$B:$E,3,0)/VLOOKUP(META_SETIEMBRE_2025[[#This Row],[ASESOR]],$B:$E,4,0)</f>
        <v>48304.347826086952</v>
      </c>
      <c r="L58">
        <v>2</v>
      </c>
      <c r="M58" s="1">
        <f t="shared" si="0"/>
        <v>0.22791940789473683</v>
      </c>
      <c r="N58" t="str" cm="1">
        <f t="array" ref="N58">IFERROR(_xlfn.IFS(M58&gt;100%,"&gt;100%",AND(M58&lt;100%,M58&gt;70%),"&gt;70%",AND(M58&lt;70%,M58&gt;40%),"&gt;40%",AND(M58&lt;40%,M58&gt;0%),"&gt;0%"),"")</f>
        <v>&gt;0%</v>
      </c>
      <c r="O58" t="str">
        <f t="shared" si="1"/>
        <v>MARIA TINTAYA</v>
      </c>
      <c r="P58" t="str">
        <f>IF(DATA_SETIEMBRE_2025[[#This Row],[ASER_]]="","",F52)</f>
        <v>KENNETH</v>
      </c>
      <c r="Q58">
        <f>IF(DATA_SETIEMBRE_2025[[#This Row],[SUPERVISOR]]="","",D52)</f>
        <v>12050</v>
      </c>
      <c r="R58">
        <f>IF(DATA_SETIEMBRE_2025[[#This Row],[RECUPERO]]="","",VLOOKUP(DATA_SETIEMBRE_2025[[#This Row],[ASER_]],$H:$I,2,0))</f>
        <v>52869.565217391304</v>
      </c>
    </row>
    <row r="59" spans="1:18" x14ac:dyDescent="0.25">
      <c r="A59" s="10" t="s">
        <v>6</v>
      </c>
      <c r="B59" s="10" t="str">
        <f>TRIM(D1_SETIEMBRE[[#This Row],[ASESOR]])</f>
        <v/>
      </c>
      <c r="C59" s="10"/>
      <c r="D59" s="10">
        <v>0</v>
      </c>
      <c r="E59">
        <v>0</v>
      </c>
      <c r="F59" t="str">
        <f>D1_SETIEMBRE[[#This Row],[SUPER]]</f>
        <v>KENNETH</v>
      </c>
      <c r="H59" t="s">
        <v>19</v>
      </c>
      <c r="I59">
        <f>VLOOKUP(META_SETIEMBRE_2025[[#This Row],[ASESOR]],$B:$E,3,0)/VLOOKUP(META_SETIEMBRE_2025[[#This Row],[ASESOR]],$B:$E,4,0)</f>
        <v>34000</v>
      </c>
      <c r="L59">
        <v>3</v>
      </c>
      <c r="M59" s="1">
        <f t="shared" si="0"/>
        <v>0.40179651724137933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1"/>
        <v>URSULA CENTENO</v>
      </c>
      <c r="P59" t="str">
        <f>IF(DATA_SETIEMBRE_2025[[#This Row],[ASER_]]="","",F53)</f>
        <v>KENNETH</v>
      </c>
      <c r="Q59">
        <f>IF(DATA_SETIEMBRE_2025[[#This Row],[SUPERVISOR]]="","",D53)</f>
        <v>25330.65</v>
      </c>
      <c r="R59">
        <f>IF(DATA_SETIEMBRE_2025[[#This Row],[RECUPERO]]="","",VLOOKUP(DATA_SETIEMBRE_2025[[#This Row],[ASER_]],$H:$I,2,0))</f>
        <v>63043.478260869568</v>
      </c>
    </row>
    <row r="60" spans="1:18" x14ac:dyDescent="0.25">
      <c r="A60" s="10" t="s">
        <v>6</v>
      </c>
      <c r="B60" s="10" t="str">
        <f>TRIM(D1_SETIEMBRE[[#This Row],[ASESOR]])</f>
        <v/>
      </c>
      <c r="C60" s="10"/>
      <c r="D60" s="10">
        <v>0</v>
      </c>
      <c r="E60">
        <v>0</v>
      </c>
      <c r="F60" t="str">
        <f>D1_SETIEMBRE[[#This Row],[SUPER]]</f>
        <v>KENNETH</v>
      </c>
      <c r="H60" t="s">
        <v>21</v>
      </c>
      <c r="I60">
        <f>VLOOKUP(META_SETIEMBRE_2025[[#This Row],[ASESOR]],$B:$E,3,0)/VLOOKUP(META_SETIEMBRE_2025[[#This Row],[ASESOR]],$B:$E,4,0)</f>
        <v>58347.82608695652</v>
      </c>
      <c r="L60">
        <v>4</v>
      </c>
      <c r="M60" s="1">
        <f t="shared" si="0"/>
        <v>0.21596546052631579</v>
      </c>
      <c r="N60" t="str" cm="1">
        <f t="array" ref="N60">IFERROR(_xlfn.IFS(M60&gt;100%,"&gt;100%",AND(M60&lt;100%,M60&gt;70%),"&gt;70%",AND(M60&lt;70%,M60&gt;40%),"&gt;40%",AND(M60&lt;40%,M60&gt;0%),"&gt;0%"),"")</f>
        <v>&gt;0%</v>
      </c>
      <c r="O60" t="str">
        <f t="shared" si="1"/>
        <v>EVELY TENORIO</v>
      </c>
      <c r="P60" t="str">
        <f>IF(DATA_SETIEMBRE_2025[[#This Row],[ASER_]]="","",F54)</f>
        <v>KENNETH</v>
      </c>
      <c r="Q60">
        <f>IF(DATA_SETIEMBRE_2025[[#This Row],[SUPERVISOR]]="","",D54)</f>
        <v>11418</v>
      </c>
      <c r="R60">
        <f>IF(DATA_SETIEMBRE_2025[[#This Row],[RECUPERO]]="","",VLOOKUP(DATA_SETIEMBRE_2025[[#This Row],[ASER_]],$H:$I,2,0))</f>
        <v>52869.565217391304</v>
      </c>
    </row>
    <row r="61" spans="1:18" x14ac:dyDescent="0.25">
      <c r="A61" s="10" t="s">
        <v>6</v>
      </c>
      <c r="B61" s="10" t="str">
        <f>TRIM(D1_SETIEMBRE[[#This Row],[ASESOR]])</f>
        <v/>
      </c>
      <c r="C61" s="10"/>
      <c r="D61" s="10">
        <v>0</v>
      </c>
      <c r="E61">
        <v>0</v>
      </c>
      <c r="F61" t="str">
        <f>D1_SETIEMBRE[[#This Row],[SUPER]]</f>
        <v>KENNETH</v>
      </c>
      <c r="H61" t="s">
        <v>81</v>
      </c>
      <c r="I61">
        <f>VLOOKUP(META_SETIEMBRE_2025[[#This Row],[ASESOR]],$B:$E,3,0)/VLOOKUP(META_SETIEMBRE_2025[[#This Row],[ASESOR]],$B:$E,4,0)</f>
        <v>43173.913043478256</v>
      </c>
      <c r="L61">
        <v>5</v>
      </c>
      <c r="M61" s="1">
        <f t="shared" si="0"/>
        <v>0.3354538002980626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1"/>
        <v>LUIS CENTENO</v>
      </c>
      <c r="P61" t="str">
        <f>IF(DATA_SETIEMBRE_2025[[#This Row],[ASER_]]="","",F55)</f>
        <v>KENNETH</v>
      </c>
      <c r="Q61">
        <f>IF(DATA_SETIEMBRE_2025[[#This Row],[SUPERVISOR]]="","",D55)</f>
        <v>19573</v>
      </c>
      <c r="R61">
        <f>IF(DATA_SETIEMBRE_2025[[#This Row],[RECUPERO]]="","",VLOOKUP(DATA_SETIEMBRE_2025[[#This Row],[ASER_]],$H:$I,2,0))</f>
        <v>58347.82608695652</v>
      </c>
    </row>
    <row r="62" spans="1:18" x14ac:dyDescent="0.25">
      <c r="A62" s="10" t="s">
        <v>6</v>
      </c>
      <c r="B62" s="10" t="str">
        <f>TRIM(D1_SETIEMBRE[[#This Row],[ASESOR]])</f>
        <v/>
      </c>
      <c r="C62" s="10"/>
      <c r="D62" s="10">
        <v>0</v>
      </c>
      <c r="E62">
        <v>0</v>
      </c>
      <c r="F62" t="str">
        <f>D1_SETIEMBRE[[#This Row],[SUPER]]</f>
        <v>KENNETH</v>
      </c>
      <c r="H62" t="s">
        <v>61</v>
      </c>
      <c r="I62">
        <f>VLOOKUP(META_SETIEMBRE_2025[[#This Row],[ASESOR]],$B:$E,3,0)/VLOOKUP(META_SETIEMBRE_2025[[#This Row],[ASESOR]],$B:$E,4,0)</f>
        <v>55652.173913043465</v>
      </c>
      <c r="L62">
        <v>6</v>
      </c>
      <c r="M62" s="1">
        <f t="shared" si="0"/>
        <v>0.36333830104321907</v>
      </c>
      <c r="N62" t="str" cm="1">
        <f t="array" ref="N62">IFERROR(_xlfn.IFS(M62&gt;100%,"&gt;100%",AND(M62&lt;100%,M62&gt;70%),"&gt;70%",AND(M62&lt;70%,M62&gt;40%),"&gt;40%",AND(M62&lt;40%,M62&gt;0%),"&gt;0%"),"")</f>
        <v>&gt;0%</v>
      </c>
      <c r="O62" t="str">
        <f t="shared" si="1"/>
        <v>MARGARITA PIANCHACHI</v>
      </c>
      <c r="P62" t="str">
        <f>IF(DATA_SETIEMBRE_2025[[#This Row],[ASER_]]="","",F56)</f>
        <v>KENNETH</v>
      </c>
      <c r="Q62">
        <f>IF(DATA_SETIEMBRE_2025[[#This Row],[SUPERVISOR]]="","",D56)</f>
        <v>21200</v>
      </c>
      <c r="R62">
        <f>IF(DATA_SETIEMBRE_2025[[#This Row],[RECUPERO]]="","",VLOOKUP(DATA_SETIEMBRE_2025[[#This Row],[ASER_]],$H:$I,2,0))</f>
        <v>58347.82608695652</v>
      </c>
    </row>
    <row r="63" spans="1:18" x14ac:dyDescent="0.25">
      <c r="A63" s="10" t="s">
        <v>7</v>
      </c>
      <c r="B63" s="10" t="str">
        <f>TRIM(D1_SETIEMBRE[[#This Row],[ASESOR]])</f>
        <v/>
      </c>
      <c r="C63" s="10"/>
      <c r="D63" s="10">
        <v>0</v>
      </c>
      <c r="E63">
        <v>0</v>
      </c>
      <c r="F63" t="str">
        <f>D1_SETIEMBRE[[#This Row],[SUPER]]</f>
        <v>LEONOR</v>
      </c>
      <c r="H63" t="s">
        <v>10</v>
      </c>
      <c r="I63">
        <f>VLOOKUP(META_SETIEMBRE_2025[[#This Row],[ASESOR]],$B:$E,3,0)/VLOOKUP(META_SETIEMBRE_2025[[#This Row],[ASESOR]],$B:$E,4,0)</f>
        <v>46130.434782608696</v>
      </c>
      <c r="L63">
        <v>7</v>
      </c>
      <c r="M63" s="1">
        <f t="shared" si="0"/>
        <v>0.48846628289473687</v>
      </c>
      <c r="N63" t="str" cm="1">
        <f t="array" ref="N63">IFERROR(_xlfn.IFS(M63&gt;100%,"&gt;100%",AND(M63&lt;100%,M63&gt;70%),"&gt;70%",AND(M63&lt;70%,M63&gt;40%),"&gt;40%",AND(M63&lt;40%,M63&gt;0%),"&gt;0%"),"")</f>
        <v>&gt;40%</v>
      </c>
      <c r="O63" t="str">
        <f t="shared" si="1"/>
        <v>LUIS VALLADARES</v>
      </c>
      <c r="P63" t="str">
        <f>IF(DATA_SETIEMBRE_2025[[#This Row],[ASER_]]="","",F57)</f>
        <v>KENNETH</v>
      </c>
      <c r="Q63">
        <f>IF(DATA_SETIEMBRE_2025[[#This Row],[SUPERVISOR]]="","",D57)</f>
        <v>25825</v>
      </c>
      <c r="R63">
        <f>IF(DATA_SETIEMBRE_2025[[#This Row],[RECUPERO]]="","",VLOOKUP(DATA_SETIEMBRE_2025[[#This Row],[ASER_]],$H:$I,2,0))</f>
        <v>52869.565217391304</v>
      </c>
    </row>
    <row r="64" spans="1:18" x14ac:dyDescent="0.25">
      <c r="A64" s="10" t="s">
        <v>7</v>
      </c>
      <c r="B64" s="10" t="str">
        <f>TRIM(D1_SETIEMBRE[[#This Row],[ASESOR]])</f>
        <v>ANALUCIA PONCE</v>
      </c>
      <c r="C64" s="10" t="s">
        <v>60</v>
      </c>
      <c r="D64" s="10">
        <v>9116</v>
      </c>
      <c r="E64">
        <v>0.17242434210526317</v>
      </c>
      <c r="F64" t="str">
        <f>D1_SETIEMBRE[[#This Row],[SUPER]]</f>
        <v>LEONOR</v>
      </c>
      <c r="H64" t="s">
        <v>62</v>
      </c>
      <c r="I64">
        <f>VLOOKUP(META_SETIEMBRE_2025[[#This Row],[ASESOR]],$B:$E,3,0)/VLOOKUP(META_SETIEMBRE_2025[[#This Row],[ASESOR]],$B:$E,4,0)</f>
        <v>47695.65217391304</v>
      </c>
      <c r="L64">
        <v>8</v>
      </c>
      <c r="M64" s="1">
        <f t="shared" si="0"/>
        <v>9.1379974326059057E-2</v>
      </c>
      <c r="N64" t="str" cm="1">
        <f t="array" ref="N64">IFERROR(_xlfn.IFS(M64&gt;100%,"&gt;100%",AND(M64&lt;100%,M64&gt;70%),"&gt;70%",AND(M64&lt;70%,M64&gt;40%),"&gt;40%",AND(M64&lt;40%,M64&gt;0%),"&gt;0%"),"")</f>
        <v>&gt;0%</v>
      </c>
      <c r="O64" t="str">
        <f t="shared" si="1"/>
        <v>MEDALITH NESTARES</v>
      </c>
      <c r="P64" t="str">
        <f>IF(DATA_SETIEMBRE_2025[[#This Row],[ASER_]]="","",F58)</f>
        <v>KENNETH</v>
      </c>
      <c r="Q64">
        <f>IF(DATA_SETIEMBRE_2025[[#This Row],[SUPERVISOR]]="","",D58)</f>
        <v>6190</v>
      </c>
      <c r="R64">
        <f>IF(DATA_SETIEMBRE_2025[[#This Row],[RECUPERO]]="","",VLOOKUP(DATA_SETIEMBRE_2025[[#This Row],[ASER_]],$H:$I,2,0))</f>
        <v>67739.130434782608</v>
      </c>
    </row>
    <row r="65" spans="1:18" x14ac:dyDescent="0.25">
      <c r="A65" s="10" t="s">
        <v>7</v>
      </c>
      <c r="B65" s="10" t="str">
        <f>TRIM(D1_SETIEMBRE[[#This Row],[ASESOR]])</f>
        <v>ANTHONY TORRES</v>
      </c>
      <c r="C65" s="10" t="s">
        <v>69</v>
      </c>
      <c r="D65" s="10">
        <v>9943</v>
      </c>
      <c r="E65">
        <v>0.17040909090909093</v>
      </c>
      <c r="F65" t="str">
        <f>D1_SETIEMBRE[[#This Row],[SUPER]]</f>
        <v>LEONOR</v>
      </c>
      <c r="H65" t="s">
        <v>59</v>
      </c>
      <c r="I65">
        <f>VLOOKUP(META_SETIEMBRE_2025[[#This Row],[ASESOR]],$B:$E,3,0)/VLOOKUP(META_SETIEMBRE_2025[[#This Row],[ASESOR]],$B:$E,4,0)</f>
        <v>47695.652173913048</v>
      </c>
      <c r="L65">
        <v>9</v>
      </c>
      <c r="M65" s="1">
        <f t="shared" si="0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1"/>
        <v/>
      </c>
      <c r="P65" t="str">
        <f>IF(DATA_SETIEMBRE_2025[[#This Row],[ASER_]]="","",F59)</f>
        <v/>
      </c>
      <c r="Q65" t="str">
        <f>IF(DATA_SETIEMBRE_2025[[#This Row],[SUPERVISOR]]="","",D59)</f>
        <v/>
      </c>
      <c r="R65" t="str">
        <f>IF(DATA_SETIEMBRE_2025[[#This Row],[RECUPERO]]="","",VLOOKUP(DATA_SETIEMBRE_2025[[#This Row],[ASER_]],$H:$I,2,0))</f>
        <v/>
      </c>
    </row>
    <row r="66" spans="1:18" x14ac:dyDescent="0.25">
      <c r="A66" s="10" t="s">
        <v>7</v>
      </c>
      <c r="B66" s="10" t="str">
        <f>TRIM(D1_SETIEMBRE[[#This Row],[ASESOR]])</f>
        <v>FRANK PACORA</v>
      </c>
      <c r="C66" s="10" t="s">
        <v>110</v>
      </c>
      <c r="D66" s="10">
        <v>8184</v>
      </c>
      <c r="E66">
        <v>0.14717122752150116</v>
      </c>
      <c r="F66" t="str">
        <f>D1_SETIEMBRE[[#This Row],[SUPER]]</f>
        <v>LEONOR</v>
      </c>
      <c r="H66" t="s">
        <v>76</v>
      </c>
      <c r="I66">
        <f>VLOOKUP(META_SETIEMBRE_2025[[#This Row],[ASESOR]],$B:$E,3,0)/VLOOKUP(META_SETIEMBRE_2025[[#This Row],[ASESOR]],$B:$E,4,0)</f>
        <v>47695.65217391304</v>
      </c>
      <c r="L66">
        <v>10</v>
      </c>
      <c r="M66" s="1">
        <f t="shared" si="0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1"/>
        <v/>
      </c>
      <c r="P66" t="str">
        <f>IF(DATA_SETIEMBRE_2025[[#This Row],[ASER_]]="","",F60)</f>
        <v/>
      </c>
      <c r="Q66" t="str">
        <f>IF(DATA_SETIEMBRE_2025[[#This Row],[SUPERVISOR]]="","",D60)</f>
        <v/>
      </c>
      <c r="R66" t="str">
        <f>IF(DATA_SETIEMBRE_2025[[#This Row],[RECUPERO]]="","",VLOOKUP(DATA_SETIEMBRE_2025[[#This Row],[ASER_]],$H:$I,2,0))</f>
        <v/>
      </c>
    </row>
    <row r="67" spans="1:18" x14ac:dyDescent="0.25">
      <c r="A67" s="10" t="s">
        <v>7</v>
      </c>
      <c r="B67" s="10" t="str">
        <f>TRIM(D1_SETIEMBRE[[#This Row],[ASESOR]])</f>
        <v>MILAGROS QUIO</v>
      </c>
      <c r="C67" s="10" t="s">
        <v>11</v>
      </c>
      <c r="D67" s="10">
        <v>10790.5</v>
      </c>
      <c r="E67">
        <v>0.18493405365126678</v>
      </c>
      <c r="F67" t="str">
        <f>D1_SETIEMBRE[[#This Row],[SUPER]]</f>
        <v>LEONOR</v>
      </c>
      <c r="H67" t="s">
        <v>120</v>
      </c>
      <c r="I67">
        <f>VLOOKUP(META_SETIEMBRE_2025[[#This Row],[ASESOR]],$B:$E,3,0)/VLOOKUP(META_SETIEMBRE_2025[[#This Row],[ASESOR]],$B:$E,4,0)</f>
        <v>28913.043478260872</v>
      </c>
      <c r="L67">
        <v>11</v>
      </c>
      <c r="M67" s="1">
        <f t="shared" si="0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1"/>
        <v/>
      </c>
      <c r="P67" t="str">
        <f>IF(DATA_SETIEMBRE_2025[[#This Row],[ASER_]]="","",F61)</f>
        <v/>
      </c>
      <c r="Q67" t="str">
        <f>IF(DATA_SETIEMBRE_2025[[#This Row],[SUPERVISOR]]="","",D61)</f>
        <v/>
      </c>
      <c r="R67" t="str">
        <f>IF(DATA_SETIEMBRE_2025[[#This Row],[RECUPERO]]="","",VLOOKUP(DATA_SETIEMBRE_2025[[#This Row],[ASER_]],$H:$I,2,0))</f>
        <v/>
      </c>
    </row>
    <row r="68" spans="1:18" x14ac:dyDescent="0.25">
      <c r="A68" s="10" t="s">
        <v>7</v>
      </c>
      <c r="B68" s="10" t="str">
        <f>TRIM(D1_SETIEMBRE[[#This Row],[ASESOR]])</f>
        <v>JHOVANA TORRES</v>
      </c>
      <c r="C68" s="10" t="s">
        <v>20</v>
      </c>
      <c r="D68" s="10">
        <v>28830</v>
      </c>
      <c r="E68">
        <v>0.59363473589973137</v>
      </c>
      <c r="F68" t="str">
        <f>D1_SETIEMBRE[[#This Row],[SUPER]]</f>
        <v>LEONOR</v>
      </c>
      <c r="H68" t="s">
        <v>95</v>
      </c>
      <c r="I68">
        <f>VLOOKUP(META_SETIEMBRE_2025[[#This Row],[ASESOR]],$B:$E,3,0)/VLOOKUP(META_SETIEMBRE_2025[[#This Row],[ASESOR]],$B:$E,4,0)</f>
        <v>59608.695652173919</v>
      </c>
      <c r="L68">
        <v>12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  <c r="P68" t="str">
        <f>IF(DATA_SETIEMBRE_2025[[#This Row],[ASER_]]="","",F62)</f>
        <v/>
      </c>
      <c r="Q68" t="str">
        <f>IF(DATA_SETIEMBRE_2025[[#This Row],[SUPERVISOR]]="","",D62)</f>
        <v/>
      </c>
      <c r="R68" t="str">
        <f>IF(DATA_SETIEMBRE_2025[[#This Row],[RECUPERO]]="","",VLOOKUP(DATA_SETIEMBRE_2025[[#This Row],[ASER_]],$H:$I,2,0))</f>
        <v/>
      </c>
    </row>
    <row r="69" spans="1:18" x14ac:dyDescent="0.25">
      <c r="A69" s="10" t="s">
        <v>7</v>
      </c>
      <c r="B69" s="10" t="str">
        <f>TRIM(D1_SETIEMBRE[[#This Row],[ASESOR]])</f>
        <v>ALEJANDRA QUISPE</v>
      </c>
      <c r="C69" s="10" t="s">
        <v>58</v>
      </c>
      <c r="D69" s="10">
        <v>5965</v>
      </c>
      <c r="E69">
        <v>0.11282483552631579</v>
      </c>
      <c r="F69" t="str">
        <f>D1_SETIEMBRE[[#This Row],[SUPER]]</f>
        <v>LEONOR</v>
      </c>
      <c r="H69" t="s">
        <v>46</v>
      </c>
      <c r="I69">
        <f>VLOOKUP(META_SETIEMBRE_2025[[#This Row],[ASESOR]],$B:$E,3,0)/VLOOKUP(META_SETIEMBRE_2025[[#This Row],[ASESOR]],$B:$E,4,0)</f>
        <v>50956.521739130432</v>
      </c>
      <c r="L69">
        <v>1</v>
      </c>
      <c r="M69" s="1">
        <f t="shared" si="0"/>
        <v>0</v>
      </c>
      <c r="N69" t="str" cm="1">
        <f t="array" ref="N69">IFERROR(_xlfn.IFS(M69&gt;100%,"&gt;100%",AND(M69&lt;100%,M69&gt;70%),"&gt;70%",AND(M69&lt;70%,M69&gt;40%),"&gt;40%",AND(M69&lt;40%,M69&gt;0%),"&gt;0%"),"")</f>
        <v/>
      </c>
      <c r="O69" t="str">
        <f t="shared" si="1"/>
        <v/>
      </c>
      <c r="P69" t="str">
        <f>IF(DATA_SETIEMBRE_2025[[#This Row],[ASER_]]="","",F63)</f>
        <v/>
      </c>
      <c r="Q69" t="str">
        <f>IF(DATA_SETIEMBRE_2025[[#This Row],[SUPERVISOR]]="","",D63)</f>
        <v/>
      </c>
      <c r="R69" t="str">
        <f>IF(DATA_SETIEMBRE_2025[[#This Row],[RECUPERO]]="","",VLOOKUP(DATA_SETIEMBRE_2025[[#This Row],[ASER_]],$H:$I,2,0))</f>
        <v/>
      </c>
    </row>
    <row r="70" spans="1:18" x14ac:dyDescent="0.25">
      <c r="A70" s="10" t="s">
        <v>7</v>
      </c>
      <c r="B70" s="10" t="str">
        <f>TRIM(D1_SETIEMBRE[[#This Row],[ASESOR]])</f>
        <v>ALEIDITH GUEVARA</v>
      </c>
      <c r="C70" s="10" t="s">
        <v>18</v>
      </c>
      <c r="D70" s="10">
        <v>8710</v>
      </c>
      <c r="E70">
        <v>0.15663017982799063</v>
      </c>
      <c r="F70" t="str">
        <f>D1_SETIEMBRE[[#This Row],[SUPER]]</f>
        <v>LEONOR</v>
      </c>
      <c r="H70" t="s">
        <v>25</v>
      </c>
      <c r="I70">
        <f>VLOOKUP(META_SETIEMBRE_2025[[#This Row],[ASESOR]],$B:$E,3,0)/VLOOKUP(META_SETIEMBRE_2025[[#This Row],[ASESOR]],$B:$E,4,0)</f>
        <v>55652.173913043473</v>
      </c>
      <c r="L70">
        <v>2</v>
      </c>
      <c r="M70" s="1">
        <f t="shared" si="0"/>
        <v>0.17242434210526317</v>
      </c>
      <c r="N70" t="str" cm="1">
        <f t="array" ref="N70">IFERROR(_xlfn.IFS(M70&gt;100%,"&gt;100%",AND(M70&lt;100%,M70&gt;70%),"&gt;70%",AND(M70&lt;70%,M70&gt;40%),"&gt;40%",AND(M70&lt;40%,M70&gt;0%),"&gt;0%"),"")</f>
        <v>&gt;0%</v>
      </c>
      <c r="O70" t="str">
        <f t="shared" si="1"/>
        <v>ANALUCIA PONCE</v>
      </c>
      <c r="P70" t="str">
        <f>IF(DATA_SETIEMBRE_2025[[#This Row],[ASER_]]="","",F64)</f>
        <v>LEONOR</v>
      </c>
      <c r="Q70">
        <f>IF(DATA_SETIEMBRE_2025[[#This Row],[SUPERVISOR]]="","",D64)</f>
        <v>9116</v>
      </c>
      <c r="R70">
        <f>IF(DATA_SETIEMBRE_2025[[#This Row],[RECUPERO]]="","",VLOOKUP(DATA_SETIEMBRE_2025[[#This Row],[ASER_]],$H:$I,2,0))</f>
        <v>52869.565217391304</v>
      </c>
    </row>
    <row r="71" spans="1:18" x14ac:dyDescent="0.25">
      <c r="A71" s="10" t="s">
        <v>7</v>
      </c>
      <c r="B71" s="10" t="str">
        <f>TRIM(D1_SETIEMBRE[[#This Row],[ASESOR]])</f>
        <v>MARCO SARMIENTO</v>
      </c>
      <c r="C71" s="10" t="s">
        <v>117</v>
      </c>
      <c r="D71" s="10">
        <v>6148</v>
      </c>
      <c r="E71">
        <v>0.12727632763276328</v>
      </c>
      <c r="F71" t="str">
        <f>D1_SETIEMBRE[[#This Row],[SUPER]]</f>
        <v>LEONOR</v>
      </c>
      <c r="H71" t="s">
        <v>24</v>
      </c>
      <c r="I71">
        <f>VLOOKUP(META_SETIEMBRE_2025[[#This Row],[ASESOR]],$B:$E,3,0)/VLOOKUP(META_SETIEMBRE_2025[[#This Row],[ASESOR]],$B:$E,4,0)</f>
        <v>32173.91304347826</v>
      </c>
      <c r="L71">
        <v>3</v>
      </c>
      <c r="M71" s="1">
        <f t="shared" si="0"/>
        <v>0.17040909090909093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1"/>
        <v>ANTHONY TORRES</v>
      </c>
      <c r="P71" t="str">
        <f>IF(DATA_SETIEMBRE_2025[[#This Row],[ASER_]]="","",F65)</f>
        <v>LEONOR</v>
      </c>
      <c r="Q71">
        <f>IF(DATA_SETIEMBRE_2025[[#This Row],[SUPERVISOR]]="","",D65)</f>
        <v>9943</v>
      </c>
      <c r="R71">
        <f>IF(DATA_SETIEMBRE_2025[[#This Row],[RECUPERO]]="","",VLOOKUP(DATA_SETIEMBRE_2025[[#This Row],[ASER_]],$H:$I,2,0))</f>
        <v>58347.826086956513</v>
      </c>
    </row>
    <row r="72" spans="1:18" x14ac:dyDescent="0.25">
      <c r="A72" s="10" t="s">
        <v>7</v>
      </c>
      <c r="B72" s="10" t="str">
        <f>TRIM(D1_SETIEMBRE[[#This Row],[ASESOR]])</f>
        <v>CARMEN PUMA</v>
      </c>
      <c r="C72" s="10" t="s">
        <v>19</v>
      </c>
      <c r="D72" s="10">
        <v>30020</v>
      </c>
      <c r="E72">
        <v>0.88294117647058823</v>
      </c>
      <c r="F72" t="str">
        <f>D1_SETIEMBRE[[#This Row],[SUPER]]</f>
        <v>LEONOR</v>
      </c>
      <c r="H72" t="s">
        <v>50</v>
      </c>
      <c r="I72">
        <f>VLOOKUP(META_SETIEMBRE_2025[[#This Row],[ASESOR]],$B:$E,3,0)/VLOOKUP(META_SETIEMBRE_2025[[#This Row],[ASESOR]],$B:$E,4,0)</f>
        <v>41304.34782608696</v>
      </c>
      <c r="L72">
        <v>4</v>
      </c>
      <c r="M72" s="1">
        <f t="shared" si="0"/>
        <v>0.14717122752150116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1"/>
        <v>FRANK PACORA</v>
      </c>
      <c r="P72" t="str">
        <f>IF(DATA_SETIEMBRE_2025[[#This Row],[ASER_]]="","",F66)</f>
        <v>LEONOR</v>
      </c>
      <c r="Q72">
        <f>IF(DATA_SETIEMBRE_2025[[#This Row],[SUPERVISOR]]="","",D66)</f>
        <v>8184</v>
      </c>
      <c r="R72">
        <f>IF(DATA_SETIEMBRE_2025[[#This Row],[RECUPERO]]="","",VLOOKUP(DATA_SETIEMBRE_2025[[#This Row],[ASER_]],$H:$I,2,0))</f>
        <v>55608.695652173919</v>
      </c>
    </row>
    <row r="73" spans="1:18" x14ac:dyDescent="0.25">
      <c r="A73" s="10" t="s">
        <v>7</v>
      </c>
      <c r="B73" s="10" t="str">
        <f>TRIM(D1_SETIEMBRE[[#This Row],[ASESOR]])</f>
        <v>ALEJANDRA AVILA</v>
      </c>
      <c r="C73" s="10" t="s">
        <v>21</v>
      </c>
      <c r="D73" s="10">
        <v>10930</v>
      </c>
      <c r="E73">
        <v>0.18732488822652757</v>
      </c>
      <c r="F73" t="str">
        <f>D1_SETIEMBRE[[#This Row],[SUPER]]</f>
        <v>LEONOR</v>
      </c>
      <c r="H73" t="s">
        <v>77</v>
      </c>
      <c r="I73">
        <f>VLOOKUP(META_SETIEMBRE_2025[[#This Row],[ASESOR]],$B:$E,3,0)/VLOOKUP(META_SETIEMBRE_2025[[#This Row],[ASESOR]],$B:$E,4,0)</f>
        <v>41304.34782608696</v>
      </c>
      <c r="L73">
        <v>5</v>
      </c>
      <c r="M73" s="1">
        <f t="shared" si="0"/>
        <v>0.18493405365126678</v>
      </c>
      <c r="N73" t="str" cm="1">
        <f t="array" ref="N73">IFERROR(_xlfn.IFS(M73&gt;100%,"&gt;100%",AND(M73&lt;100%,M73&gt;70%),"&gt;70%",AND(M73&lt;70%,M73&gt;40%),"&gt;40%",AND(M73&lt;40%,M73&gt;0%),"&gt;0%"),"")</f>
        <v>&gt;0%</v>
      </c>
      <c r="O73" t="str">
        <f t="shared" si="1"/>
        <v>MILAGROS QUIO</v>
      </c>
      <c r="P73" t="str">
        <f>IF(DATA_SETIEMBRE_2025[[#This Row],[ASER_]]="","",F67)</f>
        <v>LEONOR</v>
      </c>
      <c r="Q73">
        <f>IF(DATA_SETIEMBRE_2025[[#This Row],[SUPERVISOR]]="","",D67)</f>
        <v>10790.5</v>
      </c>
      <c r="R73">
        <f>IF(DATA_SETIEMBRE_2025[[#This Row],[RECUPERO]]="","",VLOOKUP(DATA_SETIEMBRE_2025[[#This Row],[ASER_]],$H:$I,2,0))</f>
        <v>58347.82608695652</v>
      </c>
    </row>
    <row r="74" spans="1:18" x14ac:dyDescent="0.25">
      <c r="A74" s="10" t="s">
        <v>7</v>
      </c>
      <c r="B74" s="10" t="str">
        <f>TRIM(D1_SETIEMBRE[[#This Row],[ASESOR]])</f>
        <v/>
      </c>
      <c r="C74" s="10"/>
      <c r="D74" s="10">
        <v>0</v>
      </c>
      <c r="E74">
        <v>0</v>
      </c>
      <c r="F74" t="str">
        <f>D1_SETIEMBRE[[#This Row],[SUPER]]</f>
        <v>LEONOR</v>
      </c>
      <c r="H74" t="s">
        <v>51</v>
      </c>
      <c r="I74">
        <f>VLOOKUP(META_SETIEMBRE_2025[[#This Row],[ASESOR]],$B:$E,3,0)/VLOOKUP(META_SETIEMBRE_2025[[#This Row],[ASESOR]],$B:$E,4,0)</f>
        <v>19695.652173913044</v>
      </c>
      <c r="L74">
        <v>6</v>
      </c>
      <c r="M74" s="1">
        <f t="shared" ref="M74:M104" si="2">E68</f>
        <v>0.59363473589973137</v>
      </c>
      <c r="N74" t="str" cm="1">
        <f t="array" ref="N74">IFERROR(_xlfn.IFS(M74&gt;100%,"&gt;100%",AND(M74&lt;100%,M74&gt;70%),"&gt;70%",AND(M74&lt;70%,M74&gt;40%),"&gt;40%",AND(M74&lt;40%,M74&gt;0%),"&gt;0%"),"")</f>
        <v>&gt;40%</v>
      </c>
      <c r="O74" t="str">
        <f t="shared" ref="O74:O104" si="3">B68</f>
        <v>JHOVANA TORRES</v>
      </c>
      <c r="P74" t="str">
        <f>IF(DATA_SETIEMBRE_2025[[#This Row],[ASER_]]="","",F68)</f>
        <v>LEONOR</v>
      </c>
      <c r="Q74">
        <f>IF(DATA_SETIEMBRE_2025[[#This Row],[SUPERVISOR]]="","",D68)</f>
        <v>28830</v>
      </c>
      <c r="R74">
        <f>IF(DATA_SETIEMBRE_2025[[#This Row],[RECUPERO]]="","",VLOOKUP(DATA_SETIEMBRE_2025[[#This Row],[ASER_]],$H:$I,2,0))</f>
        <v>48565.217391304352</v>
      </c>
    </row>
    <row r="75" spans="1:18" x14ac:dyDescent="0.25">
      <c r="A75" s="10" t="s">
        <v>8</v>
      </c>
      <c r="B75" s="10" t="str">
        <f>TRIM(D1_SETIEMBRE[[#This Row],[ASESOR]])</f>
        <v>DAVID SANCHEZ</v>
      </c>
      <c r="C75" s="10" t="s">
        <v>81</v>
      </c>
      <c r="D75" s="10">
        <v>42400.5</v>
      </c>
      <c r="E75">
        <v>0.98208610271903329</v>
      </c>
      <c r="F75" t="str">
        <f>D1_SETIEMBRE[[#This Row],[SUPER]]</f>
        <v>BRYAN</v>
      </c>
      <c r="H75" t="s">
        <v>34</v>
      </c>
      <c r="I75">
        <f>VLOOKUP(META_SETIEMBRE_2025[[#This Row],[ASESOR]],$B:$E,3,0)/VLOOKUP(META_SETIEMBRE_2025[[#This Row],[ASESOR]],$B:$E,4,0)</f>
        <v>36739.130434782608</v>
      </c>
      <c r="L75">
        <v>7</v>
      </c>
      <c r="M75" s="1">
        <f t="shared" si="2"/>
        <v>0.11282483552631579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3"/>
        <v>ALEJANDRA QUISPE</v>
      </c>
      <c r="P75" t="str">
        <f>IF(DATA_SETIEMBRE_2025[[#This Row],[ASER_]]="","",F69)</f>
        <v>LEONOR</v>
      </c>
      <c r="Q75">
        <f>IF(DATA_SETIEMBRE_2025[[#This Row],[SUPERVISOR]]="","",D69)</f>
        <v>5965</v>
      </c>
      <c r="R75">
        <f>IF(DATA_SETIEMBRE_2025[[#This Row],[RECUPERO]]="","",VLOOKUP(DATA_SETIEMBRE_2025[[#This Row],[ASER_]],$H:$I,2,0))</f>
        <v>52869.565217391304</v>
      </c>
    </row>
    <row r="76" spans="1:18" x14ac:dyDescent="0.25">
      <c r="A76" s="10" t="s">
        <v>8</v>
      </c>
      <c r="B76" s="10" t="str">
        <f>TRIM(D1_SETIEMBRE[[#This Row],[ASESOR]])</f>
        <v>CRISTINA TICONA</v>
      </c>
      <c r="C76" s="10" t="s">
        <v>61</v>
      </c>
      <c r="D76" s="10">
        <v>8809</v>
      </c>
      <c r="E76">
        <v>0.15828671875000003</v>
      </c>
      <c r="F76" t="str">
        <f>D1_SETIEMBRE[[#This Row],[SUPER]]</f>
        <v>BRYAN</v>
      </c>
      <c r="H76" t="s">
        <v>19</v>
      </c>
      <c r="I76">
        <f>VLOOKUP(META_SETIEMBRE_2025[[#This Row],[ASESOR]],$B:$E,3,0)/VLOOKUP(META_SETIEMBRE_2025[[#This Row],[ASESOR]],$B:$E,4,0)</f>
        <v>34000</v>
      </c>
      <c r="L76">
        <v>8</v>
      </c>
      <c r="M76" s="1">
        <f t="shared" si="2"/>
        <v>0.15663017982799063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ALEIDITH GUEVARA</v>
      </c>
      <c r="P76" t="str">
        <f>IF(DATA_SETIEMBRE_2025[[#This Row],[ASER_]]="","",F70)</f>
        <v>LEONOR</v>
      </c>
      <c r="Q76">
        <f>IF(DATA_SETIEMBRE_2025[[#This Row],[SUPERVISOR]]="","",D70)</f>
        <v>8710</v>
      </c>
      <c r="R76">
        <f>IF(DATA_SETIEMBRE_2025[[#This Row],[RECUPERO]]="","",VLOOKUP(DATA_SETIEMBRE_2025[[#This Row],[ASER_]],$H:$I,2,0))</f>
        <v>55608.695652173912</v>
      </c>
    </row>
    <row r="77" spans="1:18" x14ac:dyDescent="0.25">
      <c r="A77" s="10" t="s">
        <v>8</v>
      </c>
      <c r="B77" s="10" t="str">
        <f>TRIM(D1_SETIEMBRE[[#This Row],[ASESOR]])</f>
        <v>VERONICA TASAYCO</v>
      </c>
      <c r="C77" s="10" t="s">
        <v>10</v>
      </c>
      <c r="D77" s="10">
        <v>25401</v>
      </c>
      <c r="E77">
        <v>0.55063430725730445</v>
      </c>
      <c r="F77" t="str">
        <f>D1_SETIEMBRE[[#This Row],[SUPER]]</f>
        <v>BRYAN</v>
      </c>
      <c r="H77" t="s">
        <v>54</v>
      </c>
      <c r="I77">
        <f>VLOOKUP(META_SETIEMBRE_2025[[#This Row],[ASESOR]],$B:$E,3,0)/VLOOKUP(META_SETIEMBRE_2025[[#This Row],[ASESOR]],$B:$E,4,0)</f>
        <v>19695.652173913044</v>
      </c>
      <c r="L77">
        <v>9</v>
      </c>
      <c r="M77" s="1">
        <f t="shared" si="2"/>
        <v>0.12727632763276328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3"/>
        <v>MARCO SARMIENTO</v>
      </c>
      <c r="P77" t="str">
        <f>IF(DATA_SETIEMBRE_2025[[#This Row],[ASER_]]="","",F71)</f>
        <v>LEONOR</v>
      </c>
      <c r="Q77">
        <f>IF(DATA_SETIEMBRE_2025[[#This Row],[SUPERVISOR]]="","",D71)</f>
        <v>6148</v>
      </c>
      <c r="R77">
        <f>IF(DATA_SETIEMBRE_2025[[#This Row],[RECUPERO]]="","",VLOOKUP(DATA_SETIEMBRE_2025[[#This Row],[ASER_]],$H:$I,2,0))</f>
        <v>48304.347826086952</v>
      </c>
    </row>
    <row r="78" spans="1:18" x14ac:dyDescent="0.25">
      <c r="A78" s="10" t="s">
        <v>8</v>
      </c>
      <c r="B78" s="10" t="str">
        <f>TRIM(D1_SETIEMBRE[[#This Row],[ASESOR]])</f>
        <v>MELISSA GUERRERO</v>
      </c>
      <c r="C78" s="10" t="s">
        <v>62</v>
      </c>
      <c r="D78" s="10">
        <v>21534</v>
      </c>
      <c r="E78">
        <v>0.45148769371011854</v>
      </c>
      <c r="F78" t="str">
        <f>D1_SETIEMBRE[[#This Row],[SUPER]]</f>
        <v>BRYAN</v>
      </c>
      <c r="H78" t="s">
        <v>80</v>
      </c>
      <c r="I78">
        <f>VLOOKUP(META_SETIEMBRE_2025[[#This Row],[ASESOR]],$B:$E,3,0)/VLOOKUP(META_SETIEMBRE_2025[[#This Row],[ASESOR]],$B:$E,4,0)</f>
        <v>32173.91304347826</v>
      </c>
      <c r="L78">
        <v>10</v>
      </c>
      <c r="M78" s="1">
        <f t="shared" si="2"/>
        <v>0.88294117647058823</v>
      </c>
      <c r="N78" t="str" cm="1">
        <f t="array" ref="N78">IFERROR(_xlfn.IFS(M78&gt;100%,"&gt;100%",AND(M78&lt;100%,M78&gt;70%),"&gt;70%",AND(M78&lt;70%,M78&gt;40%),"&gt;40%",AND(M78&lt;40%,M78&gt;0%),"&gt;0%"),"")</f>
        <v>&gt;70%</v>
      </c>
      <c r="O78" t="str">
        <f t="shared" si="3"/>
        <v>CARMEN PUMA</v>
      </c>
      <c r="P78" t="str">
        <f>IF(DATA_SETIEMBRE_2025[[#This Row],[ASER_]]="","",F72)</f>
        <v>LEONOR</v>
      </c>
      <c r="Q78">
        <f>IF(DATA_SETIEMBRE_2025[[#This Row],[SUPERVISOR]]="","",D72)</f>
        <v>30020</v>
      </c>
      <c r="R78">
        <f>IF(DATA_SETIEMBRE_2025[[#This Row],[RECUPERO]]="","",VLOOKUP(DATA_SETIEMBRE_2025[[#This Row],[ASER_]],$H:$I,2,0))</f>
        <v>34000</v>
      </c>
    </row>
    <row r="79" spans="1:18" x14ac:dyDescent="0.25">
      <c r="A79" s="10" t="s">
        <v>8</v>
      </c>
      <c r="B79" s="10" t="str">
        <f>TRIM(D1_SETIEMBRE[[#This Row],[ASESOR]])</f>
        <v>PIERINA TESEN</v>
      </c>
      <c r="C79" s="10" t="s">
        <v>59</v>
      </c>
      <c r="D79" s="10">
        <v>27723</v>
      </c>
      <c r="E79">
        <v>0.58124794895168641</v>
      </c>
      <c r="F79" t="str">
        <f>D1_SETIEMBRE[[#This Row],[SUPER]]</f>
        <v>BRYAN</v>
      </c>
      <c r="H79" t="s">
        <v>37</v>
      </c>
      <c r="I79">
        <f>VLOOKUP(META_SETIEMBRE_2025[[#This Row],[ASESOR]],$B:$E,3,0)/VLOOKUP(META_SETIEMBRE_2025[[#This Row],[ASESOR]],$B:$E,4,0)</f>
        <v>26565.217391304348</v>
      </c>
      <c r="L79">
        <v>11</v>
      </c>
      <c r="M79" s="1">
        <f t="shared" si="2"/>
        <v>0.18732488822652757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3"/>
        <v>ALEJANDRA AVILA</v>
      </c>
      <c r="P79" t="str">
        <f>IF(DATA_SETIEMBRE_2025[[#This Row],[ASER_]]="","",F73)</f>
        <v>LEONOR</v>
      </c>
      <c r="Q79">
        <f>IF(DATA_SETIEMBRE_2025[[#This Row],[SUPERVISOR]]="","",D73)</f>
        <v>10930</v>
      </c>
      <c r="R79">
        <f>IF(DATA_SETIEMBRE_2025[[#This Row],[RECUPERO]]="","",VLOOKUP(DATA_SETIEMBRE_2025[[#This Row],[ASER_]],$H:$I,2,0))</f>
        <v>58347.82608695652</v>
      </c>
    </row>
    <row r="80" spans="1:18" x14ac:dyDescent="0.25">
      <c r="A80" s="10" t="s">
        <v>8</v>
      </c>
      <c r="B80" s="10" t="str">
        <f>TRIM(D1_SETIEMBRE[[#This Row],[ASESOR]])</f>
        <v>VICTOR RAMIREZ</v>
      </c>
      <c r="C80" s="10" t="s">
        <v>76</v>
      </c>
      <c r="D80" s="10">
        <v>33946</v>
      </c>
      <c r="E80">
        <v>0.71172105742935288</v>
      </c>
      <c r="F80" t="str">
        <f>D1_SETIEMBRE[[#This Row],[SUPER]]</f>
        <v>BRYAN</v>
      </c>
      <c r="H80" t="s">
        <v>103</v>
      </c>
      <c r="I80">
        <f>VLOOKUP(META_SETIEMBRE_2025[[#This Row],[ASESOR]],$B:$E,3,0)/VLOOKUP(META_SETIEMBRE_2025[[#This Row],[ASESOR]],$B:$E,4,0)</f>
        <v>36130.434782608696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  <c r="P80" t="str">
        <f>IF(DATA_SETIEMBRE_2025[[#This Row],[ASER_]]="","",F74)</f>
        <v/>
      </c>
      <c r="Q80" t="str">
        <f>IF(DATA_SETIEMBRE_2025[[#This Row],[SUPERVISOR]]="","",D74)</f>
        <v/>
      </c>
      <c r="R80" t="str">
        <f>IF(DATA_SETIEMBRE_2025[[#This Row],[RECUPERO]]="","",VLOOKUP(DATA_SETIEMBRE_2025[[#This Row],[ASER_]],$H:$I,2,0))</f>
        <v/>
      </c>
    </row>
    <row r="81" spans="1:18" x14ac:dyDescent="0.25">
      <c r="A81" s="10" t="s">
        <v>8</v>
      </c>
      <c r="B81" s="10" t="str">
        <f>TRIM(D1_SETIEMBRE[[#This Row],[ASESOR]])</f>
        <v>ROSA ROJAS</v>
      </c>
      <c r="C81" s="10" t="s">
        <v>120</v>
      </c>
      <c r="D81" s="10">
        <v>4168</v>
      </c>
      <c r="E81">
        <v>0.14415639097744359</v>
      </c>
      <c r="F81" t="str">
        <f>D1_SETIEMBRE[[#This Row],[SUPER]]</f>
        <v>BRYAN</v>
      </c>
      <c r="L81">
        <v>1</v>
      </c>
      <c r="M81" s="1">
        <f t="shared" si="2"/>
        <v>0.98208610271903329</v>
      </c>
      <c r="N81" t="str" cm="1">
        <f t="array" ref="N81">IFERROR(_xlfn.IFS(M81&gt;100%,"&gt;100%",AND(M81&lt;100%,M81&gt;70%),"&gt;70%",AND(M81&lt;70%,M81&gt;40%),"&gt;40%",AND(M81&lt;40%,M81&gt;0%),"&gt;0%"),"")</f>
        <v>&gt;70%</v>
      </c>
      <c r="O81" t="str">
        <f t="shared" si="3"/>
        <v>DAVID SANCHEZ</v>
      </c>
      <c r="P81" t="str">
        <f>IF(DATA_SETIEMBRE_2025[[#This Row],[ASER_]]="","",F75)</f>
        <v>BRYAN</v>
      </c>
      <c r="Q81">
        <f>IF(DATA_SETIEMBRE_2025[[#This Row],[SUPERVISOR]]="","",D75)</f>
        <v>42400.5</v>
      </c>
      <c r="R81">
        <f>IF(DATA_SETIEMBRE_2025[[#This Row],[RECUPERO]]="","",VLOOKUP(DATA_SETIEMBRE_2025[[#This Row],[ASER_]],$H:$I,2,0))</f>
        <v>43173.913043478256</v>
      </c>
    </row>
    <row r="82" spans="1:18" x14ac:dyDescent="0.25">
      <c r="A82" s="10" t="s">
        <v>8</v>
      </c>
      <c r="B82" s="10" t="str">
        <f>TRIM(D1_SETIEMBRE[[#This Row],[ASESOR]])</f>
        <v>ANGELO SUAREZ</v>
      </c>
      <c r="C82" s="10" t="s">
        <v>95</v>
      </c>
      <c r="D82" s="10">
        <v>9765</v>
      </c>
      <c r="E82">
        <v>0.16381838074398247</v>
      </c>
      <c r="F82" t="str">
        <f>D1_SETIEMBRE[[#This Row],[SUPER]]</f>
        <v>BRYAN</v>
      </c>
      <c r="L82">
        <v>2</v>
      </c>
      <c r="M82" s="1">
        <f t="shared" si="2"/>
        <v>0.15828671875000003</v>
      </c>
      <c r="N82" t="str" cm="1">
        <f t="array" ref="N82">IFERROR(_xlfn.IFS(M82&gt;100%,"&gt;100%",AND(M82&lt;100%,M82&gt;70%),"&gt;70%",AND(M82&lt;70%,M82&gt;40%),"&gt;40%",AND(M82&lt;40%,M82&gt;0%),"&gt;0%"),"")</f>
        <v>&gt;0%</v>
      </c>
      <c r="O82" t="str">
        <f t="shared" si="3"/>
        <v>CRISTINA TICONA</v>
      </c>
      <c r="P82" t="str">
        <f>IF(DATA_SETIEMBRE_2025[[#This Row],[ASER_]]="","",F76)</f>
        <v>BRYAN</v>
      </c>
      <c r="Q82">
        <f>IF(DATA_SETIEMBRE_2025[[#This Row],[SUPERVISOR]]="","",D76)</f>
        <v>8809</v>
      </c>
      <c r="R82">
        <f>IF(DATA_SETIEMBRE_2025[[#This Row],[RECUPERO]]="","",VLOOKUP(DATA_SETIEMBRE_2025[[#This Row],[ASER_]],$H:$I,2,0))</f>
        <v>55652.173913043465</v>
      </c>
    </row>
    <row r="83" spans="1:18" x14ac:dyDescent="0.25">
      <c r="A83" s="10" t="s">
        <v>8</v>
      </c>
      <c r="B83" s="10" t="str">
        <f>TRIM(D1_SETIEMBRE[[#This Row],[ASESOR]])</f>
        <v>KATYUSCA LEVANO</v>
      </c>
      <c r="C83" s="10" t="s">
        <v>46</v>
      </c>
      <c r="D83" s="10">
        <v>8772</v>
      </c>
      <c r="E83">
        <v>0.17214675767918089</v>
      </c>
      <c r="F83" t="str">
        <f>D1_SETIEMBRE[[#This Row],[SUPER]]</f>
        <v>BRYAN</v>
      </c>
      <c r="L83">
        <v>3</v>
      </c>
      <c r="M83" s="1">
        <f t="shared" si="2"/>
        <v>0.55063430725730445</v>
      </c>
      <c r="N83" t="str" cm="1">
        <f t="array" ref="N83">IFERROR(_xlfn.IFS(M83&gt;100%,"&gt;100%",AND(M83&lt;100%,M83&gt;70%),"&gt;70%",AND(M83&lt;70%,M83&gt;40%),"&gt;40%",AND(M83&lt;40%,M83&gt;0%),"&gt;0%"),"")</f>
        <v>&gt;40%</v>
      </c>
      <c r="O83" t="str">
        <f t="shared" si="3"/>
        <v>VERONICA TASAYCO</v>
      </c>
      <c r="P83" t="str">
        <f>IF(DATA_SETIEMBRE_2025[[#This Row],[ASER_]]="","",F77)</f>
        <v>BRYAN</v>
      </c>
      <c r="Q83">
        <f>IF(DATA_SETIEMBRE_2025[[#This Row],[SUPERVISOR]]="","",D77)</f>
        <v>25401</v>
      </c>
      <c r="R83">
        <f>IF(DATA_SETIEMBRE_2025[[#This Row],[RECUPERO]]="","",VLOOKUP(DATA_SETIEMBRE_2025[[#This Row],[ASER_]],$H:$I,2,0))</f>
        <v>46130.434782608696</v>
      </c>
    </row>
    <row r="84" spans="1:18" x14ac:dyDescent="0.25">
      <c r="A84" s="10" t="s">
        <v>8</v>
      </c>
      <c r="B84" s="10" t="str">
        <f>TRIM(D1_SETIEMBRE[[#This Row],[ASESOR]])</f>
        <v>MALORY MONTEBLANCO</v>
      </c>
      <c r="C84" s="10" t="s">
        <v>25</v>
      </c>
      <c r="D84" s="10">
        <v>12146</v>
      </c>
      <c r="E84">
        <v>0.21824843750000003</v>
      </c>
      <c r="F84" t="str">
        <f>D1_SETIEMBRE[[#This Row],[SUPER]]</f>
        <v>BRYAN</v>
      </c>
      <c r="L84">
        <v>4</v>
      </c>
      <c r="M84" s="1">
        <f t="shared" si="2"/>
        <v>0.45148769371011854</v>
      </c>
      <c r="N84" t="str" cm="1">
        <f t="array" ref="N84">IFERROR(_xlfn.IFS(M84&gt;100%,"&gt;100%",AND(M84&lt;100%,M84&gt;70%),"&gt;70%",AND(M84&lt;70%,M84&gt;40%),"&gt;40%",AND(M84&lt;40%,M84&gt;0%),"&gt;0%"),"")</f>
        <v>&gt;40%</v>
      </c>
      <c r="O84" t="str">
        <f t="shared" si="3"/>
        <v>MELISSA GUERRERO</v>
      </c>
      <c r="P84" t="str">
        <f>IF(DATA_SETIEMBRE_2025[[#This Row],[ASER_]]="","",F78)</f>
        <v>BRYAN</v>
      </c>
      <c r="Q84">
        <f>IF(DATA_SETIEMBRE_2025[[#This Row],[SUPERVISOR]]="","",D78)</f>
        <v>21534</v>
      </c>
      <c r="R84">
        <f>IF(DATA_SETIEMBRE_2025[[#This Row],[RECUPERO]]="","",VLOOKUP(DATA_SETIEMBRE_2025[[#This Row],[ASER_]],$H:$I,2,0))</f>
        <v>47695.65217391304</v>
      </c>
    </row>
    <row r="85" spans="1:18" x14ac:dyDescent="0.25">
      <c r="A85" s="10" t="s">
        <v>8</v>
      </c>
      <c r="B85" s="10" t="str">
        <f>TRIM(D1_SETIEMBRE[[#This Row],[ASESOR]])</f>
        <v/>
      </c>
      <c r="C85" s="10"/>
      <c r="D85" s="10">
        <v>0</v>
      </c>
      <c r="E85">
        <v>0</v>
      </c>
      <c r="F85" t="str">
        <f>D1_SETIEMBRE[[#This Row],[SUPER]]</f>
        <v>BRYAN</v>
      </c>
      <c r="L85">
        <v>5</v>
      </c>
      <c r="M85" s="1">
        <f t="shared" si="2"/>
        <v>0.58124794895168641</v>
      </c>
      <c r="N85" t="str" cm="1">
        <f t="array" ref="N85">IFERROR(_xlfn.IFS(M85&gt;100%,"&gt;100%",AND(M85&lt;100%,M85&gt;70%),"&gt;70%",AND(M85&lt;70%,M85&gt;40%),"&gt;40%",AND(M85&lt;40%,M85&gt;0%),"&gt;0%"),"")</f>
        <v>&gt;40%</v>
      </c>
      <c r="O85" t="str">
        <f t="shared" si="3"/>
        <v>PIERINA TESEN</v>
      </c>
      <c r="P85" t="str">
        <f>IF(DATA_SETIEMBRE_2025[[#This Row],[ASER_]]="","",F79)</f>
        <v>BRYAN</v>
      </c>
      <c r="Q85">
        <f>IF(DATA_SETIEMBRE_2025[[#This Row],[SUPERVISOR]]="","",D79)</f>
        <v>27723</v>
      </c>
      <c r="R85">
        <f>IF(DATA_SETIEMBRE_2025[[#This Row],[RECUPERO]]="","",VLOOKUP(DATA_SETIEMBRE_2025[[#This Row],[ASER_]],$H:$I,2,0))</f>
        <v>47695.652173913048</v>
      </c>
    </row>
    <row r="86" spans="1:18" x14ac:dyDescent="0.25">
      <c r="A86" s="10" t="s">
        <v>8</v>
      </c>
      <c r="B86" s="10" t="str">
        <f>TRIM(D1_SETIEMBRE[[#This Row],[ASESOR]])</f>
        <v/>
      </c>
      <c r="C86" s="10"/>
      <c r="D86" s="10">
        <v>0</v>
      </c>
      <c r="E86">
        <v>0</v>
      </c>
      <c r="F86" t="str">
        <f>D1_SETIEMBRE[[#This Row],[SUPER]]</f>
        <v>BRYAN</v>
      </c>
      <c r="L86">
        <v>6</v>
      </c>
      <c r="M86" s="1">
        <f t="shared" si="2"/>
        <v>0.71172105742935288</v>
      </c>
      <c r="N86" t="str" cm="1">
        <f t="array" ref="N86">IFERROR(_xlfn.IFS(M86&gt;100%,"&gt;100%",AND(M86&lt;100%,M86&gt;70%),"&gt;70%",AND(M86&lt;70%,M86&gt;40%),"&gt;40%",AND(M86&lt;40%,M86&gt;0%),"&gt;0%"),"")</f>
        <v>&gt;70%</v>
      </c>
      <c r="O86" t="str">
        <f t="shared" si="3"/>
        <v>VICTOR RAMIREZ</v>
      </c>
      <c r="P86" t="str">
        <f>IF(DATA_SETIEMBRE_2025[[#This Row],[ASER_]]="","",F80)</f>
        <v>BRYAN</v>
      </c>
      <c r="Q86">
        <f>IF(DATA_SETIEMBRE_2025[[#This Row],[SUPERVISOR]]="","",D80)</f>
        <v>33946</v>
      </c>
      <c r="R86">
        <f>IF(DATA_SETIEMBRE_2025[[#This Row],[RECUPERO]]="","",VLOOKUP(DATA_SETIEMBRE_2025[[#This Row],[ASER_]],$H:$I,2,0))</f>
        <v>47695.65217391304</v>
      </c>
    </row>
    <row r="87" spans="1:18" x14ac:dyDescent="0.25">
      <c r="A87" s="10" t="s">
        <v>9</v>
      </c>
      <c r="B87" s="10" t="str">
        <f>TRIM(D1_SETIEMBRE[[#This Row],[ASESOR]])</f>
        <v>FRANCO HUAMANI</v>
      </c>
      <c r="C87" s="10" t="s">
        <v>24</v>
      </c>
      <c r="D87" s="10">
        <v>25269</v>
      </c>
      <c r="E87">
        <v>0.78538783783783783</v>
      </c>
      <c r="F87" t="str">
        <f>D1_SETIEMBRE[[#This Row],[SUPER]]</f>
        <v>LUIS</v>
      </c>
      <c r="L87">
        <v>7</v>
      </c>
      <c r="M87" s="1">
        <f t="shared" si="2"/>
        <v>0.14415639097744359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3"/>
        <v>ROSA ROJAS</v>
      </c>
      <c r="P87" t="str">
        <f>IF(DATA_SETIEMBRE_2025[[#This Row],[ASER_]]="","",F81)</f>
        <v>BRYAN</v>
      </c>
      <c r="Q87">
        <f>IF(DATA_SETIEMBRE_2025[[#This Row],[SUPERVISOR]]="","",D81)</f>
        <v>4168</v>
      </c>
      <c r="R87">
        <f>IF(DATA_SETIEMBRE_2025[[#This Row],[RECUPERO]]="","",VLOOKUP(DATA_SETIEMBRE_2025[[#This Row],[ASER_]],$H:$I,2,0))</f>
        <v>28913.043478260872</v>
      </c>
    </row>
    <row r="88" spans="1:18" x14ac:dyDescent="0.25">
      <c r="A88" s="10" t="s">
        <v>9</v>
      </c>
      <c r="B88" s="10" t="str">
        <f>TRIM(D1_SETIEMBRE[[#This Row],[ASESOR]])</f>
        <v>KIARA CANEPA</v>
      </c>
      <c r="C88" s="10" t="s">
        <v>50</v>
      </c>
      <c r="D88" s="10">
        <v>13256</v>
      </c>
      <c r="E88">
        <v>0.32093473684210522</v>
      </c>
      <c r="F88" t="str">
        <f>D1_SETIEMBRE[[#This Row],[SUPER]]</f>
        <v>LUIS</v>
      </c>
      <c r="L88">
        <v>8</v>
      </c>
      <c r="M88" s="1">
        <f t="shared" si="2"/>
        <v>0.16381838074398247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3"/>
        <v>ANGELO SUAREZ</v>
      </c>
      <c r="P88" t="str">
        <f>IF(DATA_SETIEMBRE_2025[[#This Row],[ASER_]]="","",F82)</f>
        <v>BRYAN</v>
      </c>
      <c r="Q88">
        <f>IF(DATA_SETIEMBRE_2025[[#This Row],[SUPERVISOR]]="","",D82)</f>
        <v>9765</v>
      </c>
      <c r="R88">
        <f>IF(DATA_SETIEMBRE_2025[[#This Row],[RECUPERO]]="","",VLOOKUP(DATA_SETIEMBRE_2025[[#This Row],[ASER_]],$H:$I,2,0))</f>
        <v>59608.695652173919</v>
      </c>
    </row>
    <row r="89" spans="1:18" x14ac:dyDescent="0.25">
      <c r="A89" s="10" t="s">
        <v>9</v>
      </c>
      <c r="B89" s="10" t="str">
        <f>TRIM(D1_SETIEMBRE[[#This Row],[ASESOR]])</f>
        <v>JUAN ALANOCCA</v>
      </c>
      <c r="C89" s="10" t="s">
        <v>77</v>
      </c>
      <c r="D89" s="10">
        <v>7869</v>
      </c>
      <c r="E89">
        <v>0.19051263157894735</v>
      </c>
      <c r="F89" t="str">
        <f>D1_SETIEMBRE[[#This Row],[SUPER]]</f>
        <v>LUIS</v>
      </c>
      <c r="L89">
        <v>9</v>
      </c>
      <c r="M89" s="1">
        <f t="shared" si="2"/>
        <v>0.17214675767918089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KATYUSCA LEVANO</v>
      </c>
      <c r="P89" t="str">
        <f>IF(DATA_SETIEMBRE_2025[[#This Row],[ASER_]]="","",F83)</f>
        <v>BRYAN</v>
      </c>
      <c r="Q89">
        <f>IF(DATA_SETIEMBRE_2025[[#This Row],[SUPERVISOR]]="","",D83)</f>
        <v>8772</v>
      </c>
      <c r="R89">
        <f>IF(DATA_SETIEMBRE_2025[[#This Row],[RECUPERO]]="","",VLOOKUP(DATA_SETIEMBRE_2025[[#This Row],[ASER_]],$H:$I,2,0))</f>
        <v>50956.521739130432</v>
      </c>
    </row>
    <row r="90" spans="1:18" x14ac:dyDescent="0.25">
      <c r="A90" s="10" t="s">
        <v>9</v>
      </c>
      <c r="B90" s="10" t="str">
        <f>TRIM(D1_SETIEMBRE[[#This Row],[ASESOR]])</f>
        <v>GERALDINE ARROYO</v>
      </c>
      <c r="C90" s="10" t="s">
        <v>51</v>
      </c>
      <c r="D90" s="10">
        <v>5977</v>
      </c>
      <c r="E90">
        <v>0.30346799116997791</v>
      </c>
      <c r="F90" t="str">
        <f>D1_SETIEMBRE[[#This Row],[SUPER]]</f>
        <v>LUIS</v>
      </c>
      <c r="L90">
        <v>10</v>
      </c>
      <c r="M90" s="1">
        <f t="shared" si="2"/>
        <v>0.21824843750000003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MALORY MONTEBLANCO</v>
      </c>
      <c r="P90" t="str">
        <f>IF(DATA_SETIEMBRE_2025[[#This Row],[ASER_]]="","",F84)</f>
        <v>BRYAN</v>
      </c>
      <c r="Q90">
        <f>IF(DATA_SETIEMBRE_2025[[#This Row],[SUPERVISOR]]="","",D84)</f>
        <v>12146</v>
      </c>
      <c r="R90">
        <f>IF(DATA_SETIEMBRE_2025[[#This Row],[RECUPERO]]="","",VLOOKUP(DATA_SETIEMBRE_2025[[#This Row],[ASER_]],$H:$I,2,0))</f>
        <v>55652.173913043473</v>
      </c>
    </row>
    <row r="91" spans="1:18" x14ac:dyDescent="0.25">
      <c r="A91" s="10" t="s">
        <v>9</v>
      </c>
      <c r="B91" s="10" t="str">
        <f>TRIM(D1_SETIEMBRE[[#This Row],[ASESOR]])</f>
        <v>STWUAR MACURI</v>
      </c>
      <c r="C91" s="10" t="s">
        <v>34</v>
      </c>
      <c r="D91" s="10">
        <v>17892</v>
      </c>
      <c r="E91">
        <v>0.48700118343195264</v>
      </c>
      <c r="F91" t="str">
        <f>D1_SETIEMBRE[[#This Row],[SUPER]]</f>
        <v>LUIS</v>
      </c>
      <c r="L91">
        <v>11</v>
      </c>
      <c r="M91" s="1">
        <f t="shared" si="2"/>
        <v>0</v>
      </c>
      <c r="N91" t="str" cm="1">
        <f t="array" ref="N91">IFERROR(_xlfn.IFS(M91&gt;100%,"&gt;100%",AND(M91&lt;100%,M91&gt;70%),"&gt;70%",AND(M91&lt;70%,M91&gt;40%),"&gt;40%",AND(M91&lt;40%,M91&gt;0%),"&gt;0%"),"")</f>
        <v/>
      </c>
      <c r="O91" t="str">
        <f t="shared" si="3"/>
        <v/>
      </c>
      <c r="P91" t="str">
        <f>IF(DATA_SETIEMBRE_2025[[#This Row],[ASER_]]="","",F85)</f>
        <v/>
      </c>
      <c r="Q91" t="str">
        <f>IF(DATA_SETIEMBRE_2025[[#This Row],[SUPERVISOR]]="","",D85)</f>
        <v/>
      </c>
      <c r="R91" t="str">
        <f>IF(DATA_SETIEMBRE_2025[[#This Row],[RECUPERO]]="","",VLOOKUP(DATA_SETIEMBRE_2025[[#This Row],[ASER_]],$H:$I,2,0))</f>
        <v/>
      </c>
    </row>
    <row r="92" spans="1:18" x14ac:dyDescent="0.25">
      <c r="A92" s="10" t="s">
        <v>9</v>
      </c>
      <c r="B92" s="10" t="str">
        <f>TRIM(D1_SETIEMBRE[[#This Row],[ASESOR]])</f>
        <v>CARMEN PUMA</v>
      </c>
      <c r="C92" s="10" t="s">
        <v>19</v>
      </c>
      <c r="D92" s="10">
        <v>30020</v>
      </c>
      <c r="E92">
        <v>0.88294117647058823</v>
      </c>
      <c r="F92" t="str">
        <f>D1_SETIEMBRE[[#This Row],[SUPER]]</f>
        <v>LUIS</v>
      </c>
      <c r="L92">
        <v>12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  <c r="P92" t="str">
        <f>IF(DATA_SETIEMBRE_2025[[#This Row],[ASER_]]="","",F86)</f>
        <v/>
      </c>
      <c r="Q92" t="str">
        <f>IF(DATA_SETIEMBRE_2025[[#This Row],[SUPERVISOR]]="","",D86)</f>
        <v/>
      </c>
      <c r="R92" t="str">
        <f>IF(DATA_SETIEMBRE_2025[[#This Row],[RECUPERO]]="","",VLOOKUP(DATA_SETIEMBRE_2025[[#This Row],[ASER_]],$H:$I,2,0))</f>
        <v/>
      </c>
    </row>
    <row r="93" spans="1:18" x14ac:dyDescent="0.25">
      <c r="A93" s="10" t="s">
        <v>9</v>
      </c>
      <c r="B93" s="10" t="str">
        <f>TRIM(D1_SETIEMBRE[[#This Row],[ASESOR]])</f>
        <v>ANABEL SIHUE</v>
      </c>
      <c r="C93" s="10" t="s">
        <v>54</v>
      </c>
      <c r="D93" s="10">
        <v>2112</v>
      </c>
      <c r="E93">
        <v>0.1072317880794702</v>
      </c>
      <c r="F93" t="str">
        <f>D1_SETIEMBRE[[#This Row],[SUPER]]</f>
        <v>LUIS</v>
      </c>
      <c r="L93">
        <v>1</v>
      </c>
      <c r="M93" s="1">
        <f t="shared" si="2"/>
        <v>0.78538783783783783</v>
      </c>
      <c r="N93" t="str" cm="1">
        <f t="array" ref="N93">IFERROR(_xlfn.IFS(M93&gt;100%,"&gt;100%",AND(M93&lt;100%,M93&gt;70%),"&gt;70%",AND(M93&lt;70%,M93&gt;40%),"&gt;40%",AND(M93&lt;40%,M93&gt;0%),"&gt;0%"),"")</f>
        <v>&gt;70%</v>
      </c>
      <c r="O93" t="str">
        <f t="shared" si="3"/>
        <v>FRANCO HUAMANI</v>
      </c>
      <c r="P93" t="str">
        <f>IF(DATA_SETIEMBRE_2025[[#This Row],[ASER_]]="","",F87)</f>
        <v>LUIS</v>
      </c>
      <c r="Q93">
        <f>IF(DATA_SETIEMBRE_2025[[#This Row],[SUPERVISOR]]="","",D87)</f>
        <v>25269</v>
      </c>
      <c r="R93">
        <f>IF(DATA_SETIEMBRE_2025[[#This Row],[RECUPERO]]="","",VLOOKUP(DATA_SETIEMBRE_2025[[#This Row],[ASER_]],$H:$I,2,0))</f>
        <v>32173.91304347826</v>
      </c>
    </row>
    <row r="94" spans="1:18" x14ac:dyDescent="0.25">
      <c r="A94" s="10" t="s">
        <v>9</v>
      </c>
      <c r="B94" s="10" t="str">
        <f>TRIM(D1_SETIEMBRE[[#This Row],[ASESOR]])</f>
        <v>DANIEL ZAPATA</v>
      </c>
      <c r="C94" s="10" t="s">
        <v>80</v>
      </c>
      <c r="D94" s="10">
        <v>1640</v>
      </c>
      <c r="E94">
        <v>5.0972972972972971E-2</v>
      </c>
      <c r="F94" t="str">
        <f>D1_SETIEMBRE[[#This Row],[SUPER]]</f>
        <v>LUIS</v>
      </c>
      <c r="L94">
        <v>2</v>
      </c>
      <c r="M94" s="1">
        <f t="shared" si="2"/>
        <v>0.32093473684210522</v>
      </c>
      <c r="N94" t="str" cm="1">
        <f t="array" ref="N94">IFERROR(_xlfn.IFS(M94&gt;100%,"&gt;100%",AND(M94&lt;100%,M94&gt;70%),"&gt;70%",AND(M94&lt;70%,M94&gt;40%),"&gt;40%",AND(M94&lt;40%,M94&gt;0%),"&gt;0%"),"")</f>
        <v>&gt;0%</v>
      </c>
      <c r="O94" t="str">
        <f t="shared" si="3"/>
        <v>KIARA CANEPA</v>
      </c>
      <c r="P94" t="str">
        <f>IF(DATA_SETIEMBRE_2025[[#This Row],[ASER_]]="","",F88)</f>
        <v>LUIS</v>
      </c>
      <c r="Q94">
        <f>IF(DATA_SETIEMBRE_2025[[#This Row],[SUPERVISOR]]="","",D88)</f>
        <v>13256</v>
      </c>
      <c r="R94">
        <f>IF(DATA_SETIEMBRE_2025[[#This Row],[RECUPERO]]="","",VLOOKUP(DATA_SETIEMBRE_2025[[#This Row],[ASER_]],$H:$I,2,0))</f>
        <v>41304.34782608696</v>
      </c>
    </row>
    <row r="95" spans="1:18" x14ac:dyDescent="0.25">
      <c r="A95" s="10" t="s">
        <v>9</v>
      </c>
      <c r="B95" s="10" t="str">
        <f>TRIM(D1_SETIEMBRE[[#This Row],[ASESOR]])</f>
        <v>JIMENA MEDINA</v>
      </c>
      <c r="C95" s="10" t="s">
        <v>37</v>
      </c>
      <c r="D95" s="10">
        <v>11921</v>
      </c>
      <c r="E95">
        <v>0.44874468085106384</v>
      </c>
      <c r="F95" t="str">
        <f>D1_SETIEMBRE[[#This Row],[SUPER]]</f>
        <v>LUIS</v>
      </c>
      <c r="L95">
        <v>3</v>
      </c>
      <c r="M95" s="1">
        <f t="shared" si="2"/>
        <v>0.19051263157894735</v>
      </c>
      <c r="N95" t="str" cm="1">
        <f t="array" ref="N95">IFERROR(_xlfn.IFS(M95&gt;100%,"&gt;100%",AND(M95&lt;100%,M95&gt;70%),"&gt;70%",AND(M95&lt;70%,M95&gt;40%),"&gt;40%",AND(M95&lt;40%,M95&gt;0%),"&gt;0%"),"")</f>
        <v>&gt;0%</v>
      </c>
      <c r="O95" t="str">
        <f t="shared" si="3"/>
        <v>JUAN ALANOCCA</v>
      </c>
      <c r="P95" t="str">
        <f>IF(DATA_SETIEMBRE_2025[[#This Row],[ASER_]]="","",F89)</f>
        <v>LUIS</v>
      </c>
      <c r="Q95">
        <f>IF(DATA_SETIEMBRE_2025[[#This Row],[SUPERVISOR]]="","",D89)</f>
        <v>7869</v>
      </c>
      <c r="R95">
        <f>IF(DATA_SETIEMBRE_2025[[#This Row],[RECUPERO]]="","",VLOOKUP(DATA_SETIEMBRE_2025[[#This Row],[ASER_]],$H:$I,2,0))</f>
        <v>41304.34782608696</v>
      </c>
    </row>
    <row r="96" spans="1:18" x14ac:dyDescent="0.25">
      <c r="A96" s="10" t="s">
        <v>9</v>
      </c>
      <c r="B96" s="10" t="str">
        <f>TRIM(D1_SETIEMBRE[[#This Row],[ASESOR]])</f>
        <v>JAIME TUMIALAN</v>
      </c>
      <c r="C96" s="10" t="s">
        <v>103</v>
      </c>
      <c r="D96" s="10">
        <v>5720</v>
      </c>
      <c r="E96">
        <v>0.15831528279181709</v>
      </c>
      <c r="F96" t="str">
        <f>D1_SETIEMBRE[[#This Row],[SUPER]]</f>
        <v>LUIS</v>
      </c>
      <c r="L96">
        <v>4</v>
      </c>
      <c r="M96" s="1">
        <f t="shared" si="2"/>
        <v>0.30346799116997791</v>
      </c>
      <c r="N96" t="str" cm="1">
        <f t="array" ref="N96">IFERROR(_xlfn.IFS(M96&gt;100%,"&gt;100%",AND(M96&lt;100%,M96&gt;70%),"&gt;70%",AND(M96&lt;70%,M96&gt;40%),"&gt;40%",AND(M96&lt;40%,M96&gt;0%),"&gt;0%"),"")</f>
        <v>&gt;0%</v>
      </c>
      <c r="O96" t="str">
        <f t="shared" si="3"/>
        <v>GERALDINE ARROYO</v>
      </c>
      <c r="P96" t="str">
        <f>IF(DATA_SETIEMBRE_2025[[#This Row],[ASER_]]="","",F90)</f>
        <v>LUIS</v>
      </c>
      <c r="Q96">
        <f>IF(DATA_SETIEMBRE_2025[[#This Row],[SUPERVISOR]]="","",D90)</f>
        <v>5977</v>
      </c>
      <c r="R96">
        <f>IF(DATA_SETIEMBRE_2025[[#This Row],[RECUPERO]]="","",VLOOKUP(DATA_SETIEMBRE_2025[[#This Row],[ASER_]],$H:$I,2,0))</f>
        <v>19695.652173913044</v>
      </c>
    </row>
    <row r="97" spans="1:18" x14ac:dyDescent="0.25">
      <c r="A97" s="10" t="s">
        <v>9</v>
      </c>
      <c r="B97" s="10" t="str">
        <f>TRIM(D1_SETIEMBRE[[#This Row],[ASESOR]])</f>
        <v/>
      </c>
      <c r="C97" s="10"/>
      <c r="D97" s="10">
        <v>0</v>
      </c>
      <c r="E97">
        <v>0</v>
      </c>
      <c r="F97" t="str">
        <f>D1_SETIEMBRE[[#This Row],[SUPER]]</f>
        <v>LUIS</v>
      </c>
      <c r="L97">
        <v>5</v>
      </c>
      <c r="M97" s="1">
        <f t="shared" si="2"/>
        <v>0.48700118343195264</v>
      </c>
      <c r="N97" t="str" cm="1">
        <f t="array" ref="N97">IFERROR(_xlfn.IFS(M97&gt;100%,"&gt;100%",AND(M97&lt;100%,M97&gt;70%),"&gt;70%",AND(M97&lt;70%,M97&gt;40%),"&gt;40%",AND(M97&lt;40%,M97&gt;0%),"&gt;0%"),"")</f>
        <v>&gt;40%</v>
      </c>
      <c r="O97" t="str">
        <f t="shared" si="3"/>
        <v>STWUAR MACURI</v>
      </c>
      <c r="P97" t="str">
        <f>IF(DATA_SETIEMBRE_2025[[#This Row],[ASER_]]="","",F91)</f>
        <v>LUIS</v>
      </c>
      <c r="Q97">
        <f>IF(DATA_SETIEMBRE_2025[[#This Row],[SUPERVISOR]]="","",D91)</f>
        <v>17892</v>
      </c>
      <c r="R97">
        <f>IF(DATA_SETIEMBRE_2025[[#This Row],[RECUPERO]]="","",VLOOKUP(DATA_SETIEMBRE_2025[[#This Row],[ASER_]],$H:$I,2,0))</f>
        <v>36739.130434782608</v>
      </c>
    </row>
    <row r="98" spans="1:18" x14ac:dyDescent="0.25">
      <c r="A98" s="10" t="s">
        <v>9</v>
      </c>
      <c r="B98" s="10" t="str">
        <f>TRIM(D1_SETIEMBRE[[#This Row],[ASESOR]])</f>
        <v/>
      </c>
      <c r="C98" s="10"/>
      <c r="D98" s="10">
        <v>0</v>
      </c>
      <c r="E98">
        <v>0</v>
      </c>
      <c r="F98" t="str">
        <f>D1_SETIEMBRE[[#This Row],[SUPER]]</f>
        <v>LUIS</v>
      </c>
      <c r="L98">
        <v>6</v>
      </c>
      <c r="M98" s="1">
        <f t="shared" si="2"/>
        <v>0.88294117647058823</v>
      </c>
      <c r="N98" t="str" cm="1">
        <f t="array" ref="N98">IFERROR(_xlfn.IFS(M98&gt;100%,"&gt;100%",AND(M98&lt;100%,M98&gt;70%),"&gt;70%",AND(M98&lt;70%,M98&gt;40%),"&gt;40%",AND(M98&lt;40%,M98&gt;0%),"&gt;0%"),"")</f>
        <v>&gt;70%</v>
      </c>
      <c r="O98" t="str">
        <f t="shared" si="3"/>
        <v>CARMEN PUMA</v>
      </c>
      <c r="P98" t="str">
        <f>IF(DATA_SETIEMBRE_2025[[#This Row],[ASER_]]="","",F92)</f>
        <v>LUIS</v>
      </c>
      <c r="Q98">
        <f>IF(DATA_SETIEMBRE_2025[[#This Row],[SUPERVISOR]]="","",D92)</f>
        <v>30020</v>
      </c>
      <c r="R98">
        <f>IF(DATA_SETIEMBRE_2025[[#This Row],[RECUPERO]]="","",VLOOKUP(DATA_SETIEMBRE_2025[[#This Row],[ASER_]],$H:$I,2,0))</f>
        <v>34000</v>
      </c>
    </row>
    <row r="99" spans="1:18" x14ac:dyDescent="0.25">
      <c r="L99">
        <v>7</v>
      </c>
      <c r="M99" s="1">
        <f t="shared" si="2"/>
        <v>0.1072317880794702</v>
      </c>
      <c r="N99" t="str" cm="1">
        <f t="array" ref="N99">IFERROR(_xlfn.IFS(M99&gt;100%,"&gt;100%",AND(M99&lt;100%,M99&gt;70%),"&gt;70%",AND(M99&lt;70%,M99&gt;40%),"&gt;40%",AND(M99&lt;40%,M99&gt;0%),"&gt;0%"),"")</f>
        <v>&gt;0%</v>
      </c>
      <c r="O99" t="str">
        <f t="shared" si="3"/>
        <v>ANABEL SIHUE</v>
      </c>
      <c r="P99" t="str">
        <f>IF(DATA_SETIEMBRE_2025[[#This Row],[ASER_]]="","",F93)</f>
        <v>LUIS</v>
      </c>
      <c r="Q99">
        <f>IF(DATA_SETIEMBRE_2025[[#This Row],[SUPERVISOR]]="","",D93)</f>
        <v>2112</v>
      </c>
      <c r="R99">
        <f>IF(DATA_SETIEMBRE_2025[[#This Row],[RECUPERO]]="","",VLOOKUP(DATA_SETIEMBRE_2025[[#This Row],[ASER_]],$H:$I,2,0))</f>
        <v>19695.652173913044</v>
      </c>
    </row>
    <row r="100" spans="1:18" x14ac:dyDescent="0.25">
      <c r="L100">
        <v>8</v>
      </c>
      <c r="M100" s="1">
        <f t="shared" si="2"/>
        <v>5.0972972972972971E-2</v>
      </c>
      <c r="N100" t="str" cm="1">
        <f t="array" ref="N100">IFERROR(_xlfn.IFS(M100&gt;100%,"&gt;100%",AND(M100&lt;100%,M100&gt;70%),"&gt;70%",AND(M100&lt;70%,M100&gt;40%),"&gt;40%",AND(M100&lt;40%,M100&gt;0%),"&gt;0%"),"")</f>
        <v>&gt;0%</v>
      </c>
      <c r="O100" t="str">
        <f t="shared" si="3"/>
        <v>DANIEL ZAPATA</v>
      </c>
      <c r="P100" t="str">
        <f>IF(DATA_SETIEMBRE_2025[[#This Row],[ASER_]]="","",F94)</f>
        <v>LUIS</v>
      </c>
      <c r="Q100">
        <f>IF(DATA_SETIEMBRE_2025[[#This Row],[SUPERVISOR]]="","",D94)</f>
        <v>1640</v>
      </c>
      <c r="R100">
        <f>IF(DATA_SETIEMBRE_2025[[#This Row],[RECUPERO]]="","",VLOOKUP(DATA_SETIEMBRE_2025[[#This Row],[ASER_]],$H:$I,2,0))</f>
        <v>32173.91304347826</v>
      </c>
    </row>
    <row r="101" spans="1:18" x14ac:dyDescent="0.25">
      <c r="L101">
        <v>9</v>
      </c>
      <c r="M101" s="1">
        <f t="shared" si="2"/>
        <v>0.44874468085106384</v>
      </c>
      <c r="N101" t="str" cm="1">
        <f t="array" ref="N101">IFERROR(_xlfn.IFS(M101&gt;100%,"&gt;100%",AND(M101&lt;100%,M101&gt;70%),"&gt;70%",AND(M101&lt;70%,M101&gt;40%),"&gt;40%",AND(M101&lt;40%,M101&gt;0%),"&gt;0%"),"")</f>
        <v>&gt;40%</v>
      </c>
      <c r="O101" t="str">
        <f t="shared" si="3"/>
        <v>JIMENA MEDINA</v>
      </c>
      <c r="P101" t="str">
        <f>IF(DATA_SETIEMBRE_2025[[#This Row],[ASER_]]="","",F95)</f>
        <v>LUIS</v>
      </c>
      <c r="Q101">
        <f>IF(DATA_SETIEMBRE_2025[[#This Row],[SUPERVISOR]]="","",D95)</f>
        <v>11921</v>
      </c>
      <c r="R101">
        <f>IF(DATA_SETIEMBRE_2025[[#This Row],[RECUPERO]]="","",VLOOKUP(DATA_SETIEMBRE_2025[[#This Row],[ASER_]],$H:$I,2,0))</f>
        <v>26565.217391304348</v>
      </c>
    </row>
    <row r="102" spans="1:18" x14ac:dyDescent="0.25">
      <c r="L102">
        <v>10</v>
      </c>
      <c r="M102" s="1">
        <f t="shared" si="2"/>
        <v>0.15831528279181709</v>
      </c>
      <c r="N102" t="str" cm="1">
        <f t="array" ref="N102">IFERROR(_xlfn.IFS(M102&gt;100%,"&gt;100%",AND(M102&lt;100%,M102&gt;70%),"&gt;70%",AND(M102&lt;70%,M102&gt;40%),"&gt;40%",AND(M102&lt;40%,M102&gt;0%),"&gt;0%"),"")</f>
        <v>&gt;0%</v>
      </c>
      <c r="O102" t="str">
        <f t="shared" si="3"/>
        <v>JAIME TUMIALAN</v>
      </c>
      <c r="P102" t="str">
        <f>IF(DATA_SETIEMBRE_2025[[#This Row],[ASER_]]="","",F96)</f>
        <v>LUIS</v>
      </c>
      <c r="Q102">
        <f>IF(DATA_SETIEMBRE_2025[[#This Row],[SUPERVISOR]]="","",D96)</f>
        <v>5720</v>
      </c>
      <c r="R102">
        <f>IF(DATA_SETIEMBRE_2025[[#This Row],[RECUPERO]]="","",VLOOKUP(DATA_SETIEMBRE_2025[[#This Row],[ASER_]],$H:$I,2,0))</f>
        <v>36130.434782608696</v>
      </c>
    </row>
    <row r="103" spans="1:18" x14ac:dyDescent="0.25">
      <c r="L103">
        <v>11</v>
      </c>
      <c r="M103" s="1">
        <f t="shared" si="2"/>
        <v>0</v>
      </c>
      <c r="N103" t="str" cm="1">
        <f t="array" ref="N103">IFERROR(_xlfn.IFS(M103&gt;100%,"&gt;100%",AND(M103&lt;100%,M103&gt;70%),"&gt;70%",AND(M103&lt;70%,M103&gt;40%),"&gt;40%",AND(M103&lt;40%,M103&gt;0%),"&gt;0%"),"")</f>
        <v/>
      </c>
      <c r="O103" t="str">
        <f t="shared" si="3"/>
        <v/>
      </c>
      <c r="P103" t="str">
        <f>IF(DATA_SETIEMBRE_2025[[#This Row],[ASER_]]="","",F97)</f>
        <v/>
      </c>
      <c r="Q103" t="str">
        <f>IF(DATA_SETIEMBRE_2025[[#This Row],[SUPERVISOR]]="","",D97)</f>
        <v/>
      </c>
      <c r="R103" t="str">
        <f>IF(DATA_SETIEMBRE_2025[[#This Row],[RECUPERO]]="","",VLOOKUP(DATA_SETIEMBRE_2025[[#This Row],[ASER_]],$H:$I,2,0))</f>
        <v/>
      </c>
    </row>
    <row r="104" spans="1:18" x14ac:dyDescent="0.25">
      <c r="L104">
        <v>12</v>
      </c>
      <c r="M104" s="1">
        <f t="shared" si="2"/>
        <v>0</v>
      </c>
      <c r="N104" t="str" cm="1">
        <f t="array" ref="N104">IFERROR(_xlfn.IFS(M104&gt;100%,"&gt;100%",AND(M104&lt;100%,M104&gt;70%),"&gt;70%",AND(M104&lt;70%,M104&gt;40%),"&gt;40%",AND(M104&lt;40%,M104&gt;0%),"&gt;0%"),"")</f>
        <v/>
      </c>
      <c r="O104" t="str">
        <f t="shared" si="3"/>
        <v/>
      </c>
      <c r="P104" t="str">
        <f>IF(DATA_SETIEMBRE_2025[[#This Row],[ASER_]]="","",F98)</f>
        <v/>
      </c>
      <c r="Q104" t="str">
        <f>IF(DATA_SETIEMBRE_2025[[#This Row],[SUPERVISOR]]="","",D98)</f>
        <v/>
      </c>
      <c r="R104" t="str">
        <f>IF(DATA_SETIEMBRE_2025[[#This Row],[RECUPERO]]="","",VLOOKUP(DATA_SETIEMBRE_2025[[#This Row],[ASER_]],$H:$I,2,0))</f>
        <v/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AN128"/>
  <sheetViews>
    <sheetView zoomScale="40" zoomScaleNormal="40" workbookViewId="0">
      <selection activeCell="L36" sqref="L36:AN37"/>
    </sheetView>
  </sheetViews>
  <sheetFormatPr baseColWidth="10" defaultRowHeight="15" x14ac:dyDescent="0.25"/>
  <cols>
    <col min="1" max="1" width="11.42578125" customWidth="1"/>
    <col min="2" max="2" width="15.28515625" customWidth="1"/>
    <col min="3" max="3" width="11.42578125" customWidth="1"/>
    <col min="4" max="4" width="13.28515625" customWidth="1"/>
    <col min="5" max="5" width="11.85546875" customWidth="1"/>
    <col min="6" max="7" width="11.42578125" customWidth="1"/>
    <col min="8" max="8" width="11.7109375" customWidth="1"/>
    <col min="9" max="16" width="11.42578125" customWidth="1"/>
    <col min="21" max="28" width="11.7109375" customWidth="1"/>
    <col min="29" max="43" width="12.7109375" customWidth="1"/>
  </cols>
  <sheetData>
    <row r="2" spans="1:40" x14ac:dyDescent="0.25">
      <c r="A2" t="s">
        <v>97</v>
      </c>
      <c r="B2" t="s">
        <v>113</v>
      </c>
      <c r="C2" t="s">
        <v>0</v>
      </c>
      <c r="D2" t="s">
        <v>98</v>
      </c>
      <c r="E2" t="s">
        <v>1</v>
      </c>
      <c r="F2" t="s">
        <v>106</v>
      </c>
      <c r="H2" s="5" t="s">
        <v>92</v>
      </c>
      <c r="I2" s="5" t="s">
        <v>93</v>
      </c>
    </row>
    <row r="3" spans="1:40" x14ac:dyDescent="0.25">
      <c r="A3" t="s">
        <v>3</v>
      </c>
      <c r="B3" t="str">
        <f>TRIM(D1_OCTUBRE[[#This Row],[ASESOR]])</f>
        <v>LISELY MERA</v>
      </c>
      <c r="C3" t="s">
        <v>23</v>
      </c>
      <c r="D3">
        <v>58265</v>
      </c>
      <c r="E3">
        <v>2.6484090909090909</v>
      </c>
      <c r="F3" t="str">
        <f>D1_OCTUBRE[[#This Row],[SUPER]]</f>
        <v>SANDY</v>
      </c>
      <c r="H3" s="6" t="s">
        <v>6</v>
      </c>
      <c r="I3">
        <v>53000</v>
      </c>
    </row>
    <row r="4" spans="1:40" x14ac:dyDescent="0.25">
      <c r="A4" t="s">
        <v>3</v>
      </c>
      <c r="B4" t="str">
        <f>TRIM(D1_OCTUBRE[[#This Row],[ASESOR]])</f>
        <v>GINA HUAMANI</v>
      </c>
      <c r="C4" t="s">
        <v>44</v>
      </c>
      <c r="D4">
        <v>24680</v>
      </c>
      <c r="E4">
        <v>1.1218181818181818</v>
      </c>
      <c r="F4" t="str">
        <f>D1_OCTUBRE[[#This Row],[SUPER]]</f>
        <v>SANDY</v>
      </c>
      <c r="H4" s="6" t="s">
        <v>5</v>
      </c>
      <c r="I4">
        <v>32000</v>
      </c>
    </row>
    <row r="5" spans="1:40" x14ac:dyDescent="0.25">
      <c r="A5" t="s">
        <v>3</v>
      </c>
      <c r="B5" t="str">
        <f>TRIM(D1_OCTUBRE[[#This Row],[ASESOR]])</f>
        <v>VERONICA HUARCA</v>
      </c>
      <c r="C5" t="s">
        <v>48</v>
      </c>
      <c r="D5">
        <v>23753.200000000001</v>
      </c>
      <c r="E5">
        <v>1.079690909090909</v>
      </c>
      <c r="F5" t="str">
        <f>D1_OCTUBRE[[#This Row],[SUPER]]</f>
        <v>SANDY</v>
      </c>
      <c r="H5" s="6" t="s">
        <v>2</v>
      </c>
      <c r="I5">
        <v>32000</v>
      </c>
    </row>
    <row r="6" spans="1:40" x14ac:dyDescent="0.25">
      <c r="A6" t="s">
        <v>3</v>
      </c>
      <c r="B6" t="str">
        <f>TRIM(D1_OCTUBRE[[#This Row],[ASESOR]])</f>
        <v>LYNDA PEREZ</v>
      </c>
      <c r="C6" t="s">
        <v>43</v>
      </c>
      <c r="D6">
        <v>22255</v>
      </c>
      <c r="E6">
        <v>1.011590909090909</v>
      </c>
      <c r="F6" t="str">
        <f>D1_OCTUBRE[[#This Row],[SUPER]]</f>
        <v>SANDY</v>
      </c>
      <c r="H6" s="6" t="s">
        <v>4</v>
      </c>
      <c r="I6">
        <v>22000</v>
      </c>
    </row>
    <row r="7" spans="1:40" x14ac:dyDescent="0.25">
      <c r="A7" t="s">
        <v>3</v>
      </c>
      <c r="B7" t="str">
        <f>TRIM(D1_OCTUBRE[[#This Row],[ASESOR]])</f>
        <v>ROBERTO RODRIGUEZ</v>
      </c>
      <c r="C7" t="s">
        <v>105</v>
      </c>
      <c r="D7">
        <v>20697</v>
      </c>
      <c r="E7">
        <v>0.94077272727272732</v>
      </c>
      <c r="F7" t="str">
        <f>D1_OCTUBRE[[#This Row],[SUPER]]</f>
        <v>SANDY</v>
      </c>
      <c r="H7" s="6" t="s">
        <v>3</v>
      </c>
      <c r="I7">
        <v>22000</v>
      </c>
    </row>
    <row r="8" spans="1:40" x14ac:dyDescent="0.25">
      <c r="A8" t="s">
        <v>3</v>
      </c>
      <c r="B8" t="str">
        <f>TRIM(D1_OCTUBRE[[#This Row],[ASESOR]])</f>
        <v>NOEMI CHUQUILIN</v>
      </c>
      <c r="C8" t="s">
        <v>100</v>
      </c>
      <c r="D8">
        <v>18798</v>
      </c>
      <c r="E8">
        <v>0.85445454545454547</v>
      </c>
      <c r="F8" t="str">
        <f>D1_OCTUBRE[[#This Row],[SUPER]]</f>
        <v>SANDY</v>
      </c>
      <c r="H8" s="6" t="s">
        <v>7</v>
      </c>
      <c r="I8">
        <v>53000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  <c r="S8" s="4" t="s">
        <v>167</v>
      </c>
      <c r="T8" s="4" t="s">
        <v>168</v>
      </c>
      <c r="U8" s="4" t="s">
        <v>169</v>
      </c>
      <c r="V8" s="4" t="s">
        <v>170</v>
      </c>
      <c r="W8" s="4" t="s">
        <v>171</v>
      </c>
      <c r="X8" s="4" t="s">
        <v>172</v>
      </c>
      <c r="Y8" s="4" t="s">
        <v>173</v>
      </c>
      <c r="Z8" s="4" t="s">
        <v>174</v>
      </c>
      <c r="AA8" s="4" t="s">
        <v>175</v>
      </c>
      <c r="AB8" s="4" t="s">
        <v>176</v>
      </c>
      <c r="AC8" s="4" t="s">
        <v>177</v>
      </c>
      <c r="AD8" s="4" t="s">
        <v>178</v>
      </c>
      <c r="AE8" s="4" t="s">
        <v>179</v>
      </c>
      <c r="AF8" s="4" t="s">
        <v>180</v>
      </c>
      <c r="AG8" s="4" t="s">
        <v>181</v>
      </c>
      <c r="AH8" s="4" t="s">
        <v>182</v>
      </c>
      <c r="AI8" s="4" t="s">
        <v>183</v>
      </c>
      <c r="AJ8" s="4" t="s">
        <v>184</v>
      </c>
      <c r="AK8" s="4" t="s">
        <v>185</v>
      </c>
      <c r="AL8" s="4" t="s">
        <v>186</v>
      </c>
      <c r="AM8" s="4" t="s">
        <v>187</v>
      </c>
      <c r="AN8" s="4" t="s">
        <v>188</v>
      </c>
    </row>
    <row r="9" spans="1:40" x14ac:dyDescent="0.25">
      <c r="A9" t="s">
        <v>3</v>
      </c>
      <c r="B9" t="str">
        <f>TRIM(D1_OCTUBRE[[#This Row],[ASESOR]])</f>
        <v>LINDA TUESTA</v>
      </c>
      <c r="C9" t="s">
        <v>33</v>
      </c>
      <c r="D9">
        <v>16760</v>
      </c>
      <c r="E9">
        <v>0.76181818181818184</v>
      </c>
      <c r="F9" t="str">
        <f>D1_OCTUBRE[[#This Row],[SUPER]]</f>
        <v>SANDY</v>
      </c>
      <c r="H9" s="6" t="s">
        <v>8</v>
      </c>
      <c r="I9" s="6">
        <v>70000</v>
      </c>
      <c r="L9">
        <v>1</v>
      </c>
      <c r="M9" s="1">
        <f t="shared" ref="M9:M72" si="0">E3</f>
        <v>2.6484090909090909</v>
      </c>
      <c r="N9" t="str" cm="1">
        <f t="array" ref="N9">IFERROR(_xlfn.IFS(M9&gt;100%,"&gt;100%",AND(M9&lt;100%,M9&gt;70%),"&gt;70%",AND(M9&lt;70%,M9&gt;40%),"&gt;40%",AND(M9&lt;40%,M9&gt;0%),"&gt;0%"),"")</f>
        <v>&gt;100%</v>
      </c>
      <c r="O9" t="str">
        <f t="shared" ref="O9:O72" si="1">B3</f>
        <v>LISELY MERA</v>
      </c>
      <c r="P9" t="str">
        <f>IF(DATA_OCTUBRE_2025[[#This Row],[ASER_]]="","",F3)</f>
        <v>SANDY</v>
      </c>
      <c r="Q9">
        <f>IF(DATA_OCTUBRE_2025[[#This Row],[SUPERVISOR]]="","",D3)</f>
        <v>58265</v>
      </c>
      <c r="R9">
        <f>IF(DATA_OCTUBRE_2025[[#This Row],[RECUPERO]]="","",VLOOKUP(DATA_OCTUBRE_2025[[#This Row],[SUPERVISOR]],$H:$I,2,0))</f>
        <v>22000</v>
      </c>
      <c r="S9" s="19">
        <v>350</v>
      </c>
      <c r="T9" s="19">
        <v>0</v>
      </c>
      <c r="U9" s="19">
        <v>403</v>
      </c>
      <c r="V9" s="19">
        <v>400</v>
      </c>
      <c r="W9" s="19">
        <v>0</v>
      </c>
      <c r="X9" s="19">
        <v>1045</v>
      </c>
      <c r="Y9" s="19">
        <v>3832</v>
      </c>
      <c r="Z9" s="19">
        <v>5300</v>
      </c>
      <c r="AA9" s="19">
        <v>8500</v>
      </c>
      <c r="AB9" s="19">
        <v>1300</v>
      </c>
      <c r="AC9" s="19">
        <v>600</v>
      </c>
      <c r="AD9" s="19">
        <v>0</v>
      </c>
      <c r="AE9" s="19">
        <v>860</v>
      </c>
      <c r="AF9" s="19">
        <v>10950</v>
      </c>
      <c r="AG9" s="19">
        <v>0</v>
      </c>
      <c r="AH9" s="19">
        <v>4000</v>
      </c>
      <c r="AI9" s="19">
        <v>200</v>
      </c>
      <c r="AJ9" s="19">
        <v>3000</v>
      </c>
      <c r="AK9" s="19">
        <v>1700</v>
      </c>
      <c r="AL9" s="19">
        <v>4000</v>
      </c>
      <c r="AM9" s="19">
        <v>4000</v>
      </c>
      <c r="AN9" s="19">
        <v>7825</v>
      </c>
    </row>
    <row r="10" spans="1:40" x14ac:dyDescent="0.25">
      <c r="A10" t="s">
        <v>3</v>
      </c>
      <c r="B10" t="str">
        <f>TRIM(D1_OCTUBRE[[#This Row],[ASESOR]])</f>
        <v>JOANA GIL</v>
      </c>
      <c r="C10" t="s">
        <v>111</v>
      </c>
      <c r="D10">
        <v>15323</v>
      </c>
      <c r="E10">
        <v>0.69650000000000001</v>
      </c>
      <c r="F10" t="str">
        <f>D1_OCTUBRE[[#This Row],[SUPER]]</f>
        <v>SANDY</v>
      </c>
      <c r="H10" t="s">
        <v>9</v>
      </c>
      <c r="I10">
        <v>23000</v>
      </c>
      <c r="L10">
        <v>2</v>
      </c>
      <c r="M10" s="1">
        <f t="shared" si="0"/>
        <v>1.1218181818181818</v>
      </c>
      <c r="N10" t="str" cm="1">
        <f t="array" ref="N10">IFERROR(_xlfn.IFS(M10&gt;100%,"&gt;100%",AND(M10&lt;100%,M10&gt;70%),"&gt;70%",AND(M10&lt;70%,M10&gt;40%),"&gt;40%",AND(M10&lt;40%,M10&gt;0%),"&gt;0%"),"")</f>
        <v>&gt;100%</v>
      </c>
      <c r="O10" t="str">
        <f t="shared" si="1"/>
        <v>GINA HUAMANI</v>
      </c>
      <c r="P10" t="str">
        <f>IF(DATA_OCTUBRE_2025[[#This Row],[ASER_]]="","",F4)</f>
        <v>SANDY</v>
      </c>
      <c r="Q10">
        <f>IF(DATA_OCTUBRE_2025[[#This Row],[SUPERVISOR]]="","",D4)</f>
        <v>24680</v>
      </c>
      <c r="R10">
        <f>IF(DATA_OCTUBRE_2025[[#This Row],[RECUPERO]]="","",VLOOKUP(DATA_OCTUBRE_2025[[#This Row],[SUPERVISOR]],$H:$I,2,0))</f>
        <v>22000</v>
      </c>
      <c r="S10" s="19">
        <v>1000</v>
      </c>
      <c r="T10" s="19">
        <v>0</v>
      </c>
      <c r="U10" s="19">
        <v>270</v>
      </c>
      <c r="V10" s="19">
        <v>0</v>
      </c>
      <c r="W10" s="19">
        <v>0</v>
      </c>
      <c r="X10" s="19">
        <v>0</v>
      </c>
      <c r="Y10" s="19">
        <v>650</v>
      </c>
      <c r="Z10" s="19">
        <v>0</v>
      </c>
      <c r="AA10" s="19">
        <v>12000</v>
      </c>
      <c r="AB10" s="19">
        <v>1300</v>
      </c>
      <c r="AC10" s="19">
        <v>300</v>
      </c>
      <c r="AD10" s="19">
        <v>0</v>
      </c>
      <c r="AE10" s="19">
        <v>1550</v>
      </c>
      <c r="AF10" s="19">
        <v>1800</v>
      </c>
      <c r="AG10" s="19">
        <v>150</v>
      </c>
      <c r="AH10" s="19">
        <v>0</v>
      </c>
      <c r="AI10" s="19">
        <v>0</v>
      </c>
      <c r="AJ10" s="19">
        <v>1900</v>
      </c>
      <c r="AK10" s="19">
        <v>500</v>
      </c>
      <c r="AL10" s="19">
        <v>950</v>
      </c>
      <c r="AM10" s="19">
        <v>0</v>
      </c>
      <c r="AN10" s="19">
        <v>2310</v>
      </c>
    </row>
    <row r="11" spans="1:40" x14ac:dyDescent="0.25">
      <c r="A11" t="s">
        <v>3</v>
      </c>
      <c r="B11" t="str">
        <f>TRIM(D1_OCTUBRE[[#This Row],[ASESOR]])</f>
        <v>CHRISTIAN ALBUJAR</v>
      </c>
      <c r="C11" t="s">
        <v>53</v>
      </c>
      <c r="D11">
        <v>9994.4</v>
      </c>
      <c r="E11">
        <v>0.45429090909090908</v>
      </c>
      <c r="F11" t="str">
        <f>D1_OCTUBRE[[#This Row],[SUPER]]</f>
        <v>SANDY</v>
      </c>
      <c r="L11">
        <v>3</v>
      </c>
      <c r="M11" s="1">
        <f t="shared" si="0"/>
        <v>1.079690909090909</v>
      </c>
      <c r="N11" t="str" cm="1">
        <f t="array" ref="N11">IFERROR(_xlfn.IFS(M11&gt;100%,"&gt;100%",AND(M11&lt;100%,M11&gt;70%),"&gt;70%",AND(M11&lt;70%,M11&gt;40%),"&gt;40%",AND(M11&lt;40%,M11&gt;0%),"&gt;0%"),"")</f>
        <v>&gt;100%</v>
      </c>
      <c r="O11" t="str">
        <f t="shared" si="1"/>
        <v>VERONICA HUARCA</v>
      </c>
      <c r="P11" t="str">
        <f>IF(DATA_OCTUBRE_2025[[#This Row],[ASER_]]="","",F5)</f>
        <v>SANDY</v>
      </c>
      <c r="Q11">
        <f>IF(DATA_OCTUBRE_2025[[#This Row],[SUPERVISOR]]="","",D5)</f>
        <v>23753.200000000001</v>
      </c>
      <c r="R11">
        <f>IF(DATA_OCTUBRE_2025[[#This Row],[RECUPERO]]="","",VLOOKUP(DATA_OCTUBRE_2025[[#This Row],[SUPERVISOR]],$H:$I,2,0))</f>
        <v>22000</v>
      </c>
      <c r="S11" s="19">
        <v>0</v>
      </c>
      <c r="T11" s="19">
        <v>0</v>
      </c>
      <c r="U11" s="19">
        <v>500</v>
      </c>
      <c r="V11" s="19">
        <v>400</v>
      </c>
      <c r="W11" s="19">
        <v>0</v>
      </c>
      <c r="X11" s="19">
        <v>0</v>
      </c>
      <c r="Y11" s="19">
        <v>1700</v>
      </c>
      <c r="Z11" s="19">
        <v>2485</v>
      </c>
      <c r="AA11" s="19">
        <v>150</v>
      </c>
      <c r="AB11" s="19">
        <v>0</v>
      </c>
      <c r="AC11" s="19">
        <v>700</v>
      </c>
      <c r="AD11" s="19">
        <v>0</v>
      </c>
      <c r="AE11" s="19">
        <v>0</v>
      </c>
      <c r="AF11" s="19">
        <v>3500</v>
      </c>
      <c r="AG11" s="19">
        <v>10000</v>
      </c>
      <c r="AH11" s="19">
        <v>0</v>
      </c>
      <c r="AI11" s="19">
        <v>0</v>
      </c>
      <c r="AJ11" s="19">
        <v>400</v>
      </c>
      <c r="AK11" s="19">
        <v>0</v>
      </c>
      <c r="AL11" s="19">
        <v>0</v>
      </c>
      <c r="AM11" s="19">
        <v>4300</v>
      </c>
      <c r="AN11" s="19">
        <v>0</v>
      </c>
    </row>
    <row r="12" spans="1:40" x14ac:dyDescent="0.25">
      <c r="A12" t="s">
        <v>3</v>
      </c>
      <c r="B12" t="str">
        <f>TRIM(D1_OCTUBRE[[#This Row],[ASESOR]])</f>
        <v>LUIS RUIZ</v>
      </c>
      <c r="C12" t="s">
        <v>104</v>
      </c>
      <c r="D12">
        <v>7120</v>
      </c>
      <c r="E12">
        <v>0.32363636363636361</v>
      </c>
      <c r="F12" t="str">
        <f>D1_OCTUBRE[[#This Row],[SUPER]]</f>
        <v>SANDY</v>
      </c>
      <c r="L12">
        <v>4</v>
      </c>
      <c r="M12" s="1">
        <f t="shared" si="0"/>
        <v>1.011590909090909</v>
      </c>
      <c r="N12" t="str" cm="1">
        <f t="array" ref="N12">IFERROR(_xlfn.IFS(M12&gt;100%,"&gt;100%",AND(M12&lt;100%,M12&gt;70%),"&gt;70%",AND(M12&lt;70%,M12&gt;40%),"&gt;40%",AND(M12&lt;40%,M12&gt;0%),"&gt;0%"),"")</f>
        <v>&gt;100%</v>
      </c>
      <c r="O12" t="str">
        <f t="shared" si="1"/>
        <v>LYNDA PEREZ</v>
      </c>
      <c r="P12" t="str">
        <f>IF(DATA_OCTUBRE_2025[[#This Row],[ASER_]]="","",F6)</f>
        <v>SANDY</v>
      </c>
      <c r="Q12">
        <f>IF(DATA_OCTUBRE_2025[[#This Row],[SUPERVISOR]]="","",D6)</f>
        <v>22255</v>
      </c>
      <c r="R12">
        <f>IF(DATA_OCTUBRE_2025[[#This Row],[RECUPERO]]="","",VLOOKUP(DATA_OCTUBRE_2025[[#This Row],[SUPERVISOR]],$H:$I,2,0))</f>
        <v>22000</v>
      </c>
      <c r="S12" s="19">
        <v>0</v>
      </c>
      <c r="T12" s="19">
        <v>600</v>
      </c>
      <c r="U12" s="19">
        <v>208</v>
      </c>
      <c r="V12" s="19">
        <v>120</v>
      </c>
      <c r="W12" s="19">
        <v>560</v>
      </c>
      <c r="X12" s="19">
        <v>0</v>
      </c>
      <c r="Y12" s="19">
        <v>0</v>
      </c>
      <c r="Z12" s="19">
        <v>0</v>
      </c>
      <c r="AA12" s="19">
        <v>2000</v>
      </c>
      <c r="AB12" s="19">
        <v>1100</v>
      </c>
      <c r="AC12" s="19">
        <v>0</v>
      </c>
      <c r="AD12" s="19">
        <v>1047</v>
      </c>
      <c r="AE12" s="19">
        <v>2500</v>
      </c>
      <c r="AF12" s="19">
        <v>0</v>
      </c>
      <c r="AG12" s="19">
        <v>0</v>
      </c>
      <c r="AH12" s="19">
        <v>1000</v>
      </c>
      <c r="AI12" s="19">
        <v>775</v>
      </c>
      <c r="AJ12" s="19">
        <v>100</v>
      </c>
      <c r="AK12" s="19">
        <v>0</v>
      </c>
      <c r="AL12" s="19">
        <v>9240</v>
      </c>
      <c r="AM12" s="19">
        <v>2525</v>
      </c>
      <c r="AN12" s="19">
        <v>1200</v>
      </c>
    </row>
    <row r="13" spans="1:40" x14ac:dyDescent="0.25">
      <c r="A13" t="s">
        <v>3</v>
      </c>
      <c r="B13" t="str">
        <f>TRIM(D1_OCTUBRE[[#This Row],[ASESOR]])</f>
        <v/>
      </c>
      <c r="E13">
        <v>0</v>
      </c>
      <c r="F13" t="str">
        <f>D1_OCTUBRE[[#This Row],[SUPER]]</f>
        <v>SANDY</v>
      </c>
      <c r="J13" s="7"/>
      <c r="L13">
        <v>5</v>
      </c>
      <c r="M13" s="1">
        <f t="shared" si="0"/>
        <v>0.94077272727272732</v>
      </c>
      <c r="N13" t="str" cm="1">
        <f t="array" ref="N13">IFERROR(_xlfn.IFS(M13&gt;100%,"&gt;100%",AND(M13&lt;100%,M13&gt;70%),"&gt;70%",AND(M13&lt;70%,M13&gt;40%),"&gt;40%",AND(M13&lt;40%,M13&gt;0%),"&gt;0%"),"")</f>
        <v>&gt;70%</v>
      </c>
      <c r="O13" t="str">
        <f>B7</f>
        <v>ROBERTO RODRIGUEZ</v>
      </c>
      <c r="P13" t="str">
        <f>IF(DATA_OCTUBRE_2025[[#This Row],[ASER_]]="","",F7)</f>
        <v>SANDY</v>
      </c>
      <c r="Q13">
        <f>IF(DATA_OCTUBRE_2025[[#This Row],[SUPERVISOR]]="","",D7)</f>
        <v>20697</v>
      </c>
      <c r="R13">
        <f>IF(DATA_OCTUBRE_2025[[#This Row],[RECUPERO]]="","",VLOOKUP(DATA_OCTUBRE_2025[[#This Row],[SUPERVISOR]],$H:$I,2,0))</f>
        <v>22000</v>
      </c>
      <c r="S13" s="19">
        <v>0</v>
      </c>
      <c r="T13" s="19">
        <v>500</v>
      </c>
      <c r="U13" s="19">
        <v>340</v>
      </c>
      <c r="V13" s="19">
        <v>500</v>
      </c>
      <c r="W13" s="19">
        <v>0</v>
      </c>
      <c r="X13" s="19">
        <v>0</v>
      </c>
      <c r="Y13" s="19">
        <v>2000</v>
      </c>
      <c r="Z13" s="19">
        <v>0</v>
      </c>
      <c r="AA13" s="19">
        <v>0</v>
      </c>
      <c r="AB13" s="19">
        <v>300</v>
      </c>
      <c r="AC13" s="19">
        <v>375</v>
      </c>
      <c r="AD13" s="19">
        <v>340</v>
      </c>
      <c r="AE13" s="19">
        <v>0</v>
      </c>
      <c r="AF13" s="19">
        <v>4800</v>
      </c>
      <c r="AG13" s="19">
        <v>0</v>
      </c>
      <c r="AH13" s="19">
        <v>0</v>
      </c>
      <c r="AI13" s="19">
        <v>1415</v>
      </c>
      <c r="AJ13" s="19">
        <v>3551</v>
      </c>
      <c r="AK13" s="19">
        <v>0</v>
      </c>
      <c r="AL13" s="19">
        <v>880</v>
      </c>
      <c r="AM13" s="19">
        <v>5695</v>
      </c>
      <c r="AN13" s="19">
        <v>0</v>
      </c>
    </row>
    <row r="14" spans="1:40" x14ac:dyDescent="0.25">
      <c r="A14" t="s">
        <v>3</v>
      </c>
      <c r="B14" t="str">
        <f>TRIM(D1_OCTUBRE[[#This Row],[ASESOR]])</f>
        <v/>
      </c>
      <c r="E14">
        <v>0</v>
      </c>
      <c r="F14" t="str">
        <f>D1_OCTUBRE[[#This Row],[SUPER]]</f>
        <v>SANDY</v>
      </c>
      <c r="L14">
        <v>6</v>
      </c>
      <c r="M14" s="1">
        <f t="shared" si="0"/>
        <v>0.85445454545454547</v>
      </c>
      <c r="N14" t="str" cm="1">
        <f t="array" ref="N14">IFERROR(_xlfn.IFS(M14&gt;100%,"&gt;100%",AND(M14&lt;100%,M14&gt;70%),"&gt;70%",AND(M14&lt;70%,M14&gt;40%),"&gt;40%",AND(M14&lt;40%,M14&gt;0%),"&gt;0%"),"")</f>
        <v>&gt;70%</v>
      </c>
      <c r="O14" t="str">
        <f t="shared" si="1"/>
        <v>NOEMI CHUQUILIN</v>
      </c>
      <c r="P14" t="str">
        <f>IF(DATA_OCTUBRE_2025[[#This Row],[ASER_]]="","",F8)</f>
        <v>SANDY</v>
      </c>
      <c r="Q14">
        <f>IF(DATA_OCTUBRE_2025[[#This Row],[SUPERVISOR]]="","",D8)</f>
        <v>18798</v>
      </c>
      <c r="R14">
        <f>IF(DATA_OCTUBRE_2025[[#This Row],[RECUPERO]]="","",VLOOKUP(DATA_OCTUBRE_2025[[#This Row],[SUPERVISOR]],$H:$I,2,0))</f>
        <v>22000</v>
      </c>
      <c r="S14" s="19">
        <v>300</v>
      </c>
      <c r="T14" s="19">
        <v>200</v>
      </c>
      <c r="U14" s="19">
        <v>0</v>
      </c>
      <c r="V14" s="19">
        <v>1070</v>
      </c>
      <c r="W14" s="19">
        <v>1000</v>
      </c>
      <c r="X14" s="19">
        <v>300</v>
      </c>
      <c r="Y14" s="19">
        <v>0</v>
      </c>
      <c r="Z14" s="19">
        <v>1310</v>
      </c>
      <c r="AA14" s="19">
        <v>300</v>
      </c>
      <c r="AB14" s="19">
        <v>288</v>
      </c>
      <c r="AC14" s="19">
        <v>0</v>
      </c>
      <c r="AD14" s="19">
        <v>1040</v>
      </c>
      <c r="AE14" s="19">
        <v>1150</v>
      </c>
      <c r="AF14" s="19">
        <v>475</v>
      </c>
      <c r="AG14" s="19">
        <v>0</v>
      </c>
      <c r="AH14" s="19">
        <v>7500</v>
      </c>
      <c r="AI14" s="19">
        <v>1570</v>
      </c>
      <c r="AJ14" s="19">
        <v>200</v>
      </c>
      <c r="AK14" s="19">
        <v>2500</v>
      </c>
      <c r="AL14" s="19">
        <v>175</v>
      </c>
      <c r="AM14" s="19">
        <v>0</v>
      </c>
      <c r="AN14" s="19">
        <v>0</v>
      </c>
    </row>
    <row r="15" spans="1:40" x14ac:dyDescent="0.25">
      <c r="A15" t="s">
        <v>3</v>
      </c>
      <c r="B15" t="str">
        <f>TRIM(D1_OCTUBRE[[#This Row],[ASESOR]])</f>
        <v/>
      </c>
      <c r="E15">
        <v>0</v>
      </c>
      <c r="F15" t="str">
        <f>D1_OCTUBRE[[#This Row],[SUPER]]</f>
        <v>SANDY</v>
      </c>
      <c r="L15">
        <v>7</v>
      </c>
      <c r="M15" s="1">
        <f t="shared" si="0"/>
        <v>0.76181818181818184</v>
      </c>
      <c r="N15" t="str" cm="1">
        <f t="array" ref="N15">IFERROR(_xlfn.IFS(M15&gt;100%,"&gt;100%",AND(M15&lt;100%,M15&gt;70%),"&gt;70%",AND(M15&lt;70%,M15&gt;40%),"&gt;40%",AND(M15&lt;40%,M15&gt;0%),"&gt;0%"),"")</f>
        <v>&gt;70%</v>
      </c>
      <c r="O15" t="str">
        <f t="shared" si="1"/>
        <v>LINDA TUESTA</v>
      </c>
      <c r="P15" t="str">
        <f>IF(DATA_OCTUBRE_2025[[#This Row],[ASER_]]="","",F9)</f>
        <v>SANDY</v>
      </c>
      <c r="Q15">
        <f>IF(DATA_OCTUBRE_2025[[#This Row],[SUPERVISOR]]="","",D9)</f>
        <v>16760</v>
      </c>
      <c r="R15">
        <f>IF(DATA_OCTUBRE_2025[[#This Row],[RECUPERO]]="","",VLOOKUP(DATA_OCTUBRE_2025[[#This Row],[SUPERVISOR]],$H:$I,2,0))</f>
        <v>22000</v>
      </c>
      <c r="S15" s="19">
        <v>0</v>
      </c>
      <c r="T15" s="19">
        <v>0</v>
      </c>
      <c r="U15" s="19">
        <v>0</v>
      </c>
      <c r="V15" s="19">
        <v>400</v>
      </c>
      <c r="W15" s="19">
        <v>150</v>
      </c>
      <c r="X15" s="19">
        <v>0</v>
      </c>
      <c r="Y15" s="19">
        <v>1062</v>
      </c>
      <c r="Z15" s="19">
        <v>0</v>
      </c>
      <c r="AA15" s="19">
        <v>300</v>
      </c>
      <c r="AB15" s="19">
        <v>618</v>
      </c>
      <c r="AC15" s="19">
        <v>0</v>
      </c>
      <c r="AD15" s="19">
        <v>2000</v>
      </c>
      <c r="AE15" s="19">
        <v>4500</v>
      </c>
      <c r="AF15" s="19">
        <v>0</v>
      </c>
      <c r="AG15" s="19">
        <v>0</v>
      </c>
      <c r="AH15" s="19">
        <v>820</v>
      </c>
      <c r="AI15" s="19">
        <v>400</v>
      </c>
      <c r="AJ15" s="19">
        <v>3000</v>
      </c>
      <c r="AK15" s="19">
        <v>500</v>
      </c>
      <c r="AL15" s="19">
        <v>0</v>
      </c>
      <c r="AM15" s="19">
        <v>1310</v>
      </c>
      <c r="AN15" s="19">
        <v>1700</v>
      </c>
    </row>
    <row r="16" spans="1:40" x14ac:dyDescent="0.25">
      <c r="A16" t="s">
        <v>3</v>
      </c>
      <c r="B16" t="str">
        <f>TRIM(D1_OCTUBRE[[#This Row],[ASESOR]])</f>
        <v/>
      </c>
      <c r="E16">
        <v>0</v>
      </c>
      <c r="F16" t="str">
        <f>D1_OCTUBRE[[#This Row],[SUPER]]</f>
        <v>SANDY</v>
      </c>
      <c r="L16">
        <v>8</v>
      </c>
      <c r="M16" s="1">
        <f t="shared" si="0"/>
        <v>0.69650000000000001</v>
      </c>
      <c r="N16" t="str" cm="1">
        <f t="array" ref="N16">IFERROR(_xlfn.IFS(M16&gt;100%,"&gt;100%",AND(M16&lt;100%,M16&gt;70%),"&gt;70%",AND(M16&lt;70%,M16&gt;40%),"&gt;40%",AND(M16&lt;40%,M16&gt;0%),"&gt;0%"),"")</f>
        <v>&gt;40%</v>
      </c>
      <c r="O16" t="str">
        <f t="shared" si="1"/>
        <v>JOANA GIL</v>
      </c>
      <c r="P16" t="str">
        <f>IF(DATA_OCTUBRE_2025[[#This Row],[ASER_]]="","",F10)</f>
        <v>SANDY</v>
      </c>
      <c r="Q16">
        <f>IF(DATA_OCTUBRE_2025[[#This Row],[SUPERVISOR]]="","",D10)</f>
        <v>15323</v>
      </c>
      <c r="R16">
        <f>IF(DATA_OCTUBRE_2025[[#This Row],[RECUPERO]]="","",VLOOKUP(DATA_OCTUBRE_2025[[#This Row],[SUPERVISOR]],$H:$I,2,0))</f>
        <v>22000</v>
      </c>
      <c r="S16" s="19">
        <v>0</v>
      </c>
      <c r="T16" s="19">
        <v>0</v>
      </c>
      <c r="U16" s="19">
        <v>0</v>
      </c>
      <c r="V16" s="19">
        <v>150</v>
      </c>
      <c r="W16" s="19">
        <v>200</v>
      </c>
      <c r="X16" s="19">
        <v>0</v>
      </c>
      <c r="Y16" s="19">
        <v>200</v>
      </c>
      <c r="Z16" s="19">
        <v>0</v>
      </c>
      <c r="AA16" s="19">
        <v>0</v>
      </c>
      <c r="AB16" s="19">
        <v>550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3305</v>
      </c>
      <c r="AK16" s="19">
        <v>0</v>
      </c>
      <c r="AL16" s="19">
        <v>600</v>
      </c>
      <c r="AM16" s="19">
        <v>6000</v>
      </c>
      <c r="AN16" s="19">
        <v>4318</v>
      </c>
    </row>
    <row r="17" spans="1:40" x14ac:dyDescent="0.25">
      <c r="A17" t="s">
        <v>3</v>
      </c>
      <c r="B17" t="str">
        <f>TRIM(D1_OCTUBRE[[#This Row],[ASESOR]])</f>
        <v/>
      </c>
      <c r="E17">
        <v>0</v>
      </c>
      <c r="F17" t="str">
        <f>D1_OCTUBRE[[#This Row],[SUPER]]</f>
        <v>SANDY</v>
      </c>
      <c r="L17">
        <v>9</v>
      </c>
      <c r="M17" s="1">
        <f t="shared" si="0"/>
        <v>0.45429090909090908</v>
      </c>
      <c r="N17" t="str" cm="1">
        <f t="array" ref="N17">IFERROR(_xlfn.IFS(M17&gt;100%,"&gt;100%",AND(M17&lt;100%,M17&gt;70%),"&gt;70%",AND(M17&lt;70%,M17&gt;40%),"&gt;40%",AND(M17&lt;40%,M17&gt;0%),"&gt;0%"),"")</f>
        <v>&gt;40%</v>
      </c>
      <c r="O17" t="str">
        <f t="shared" si="1"/>
        <v>CHRISTIAN ALBUJAR</v>
      </c>
      <c r="P17" t="str">
        <f>IF(DATA_OCTUBRE_2025[[#This Row],[ASER_]]="","",F11)</f>
        <v>SANDY</v>
      </c>
      <c r="Q17">
        <f>IF(DATA_OCTUBRE_2025[[#This Row],[SUPERVISOR]]="","",D11)</f>
        <v>9994.4</v>
      </c>
      <c r="R17">
        <f>IF(DATA_OCTUBRE_2025[[#This Row],[RECUPERO]]="","",VLOOKUP(DATA_OCTUBRE_2025[[#This Row],[SUPERVISOR]],$H:$I,2,0))</f>
        <v>22000</v>
      </c>
      <c r="S17" s="19">
        <v>0</v>
      </c>
      <c r="T17" s="19">
        <v>318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7000</v>
      </c>
      <c r="AC17" s="19">
        <v>0</v>
      </c>
      <c r="AD17" s="19">
        <v>560</v>
      </c>
      <c r="AE17" s="19">
        <v>1610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560</v>
      </c>
    </row>
    <row r="18" spans="1:40" x14ac:dyDescent="0.25">
      <c r="A18" t="s">
        <v>4</v>
      </c>
      <c r="B18" t="str">
        <f>TRIM(D1_OCTUBRE[[#This Row],[ASESOR]])</f>
        <v>DARYL FERREL</v>
      </c>
      <c r="C18" t="s">
        <v>40</v>
      </c>
      <c r="D18">
        <v>49284</v>
      </c>
      <c r="E18">
        <v>2.2401818181818181</v>
      </c>
      <c r="F18" t="str">
        <f>D1_OCTUBRE[[#This Row],[SUPER]]</f>
        <v>MELINA</v>
      </c>
      <c r="L18">
        <v>10</v>
      </c>
      <c r="M18" s="1">
        <f t="shared" si="0"/>
        <v>0.32363636363636361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LUIS RUIZ</v>
      </c>
      <c r="P18" t="str">
        <f>IF(DATA_OCTUBRE_2025[[#This Row],[ASER_]]="","",F12)</f>
        <v>SANDY</v>
      </c>
      <c r="Q18">
        <f>IF(DATA_OCTUBRE_2025[[#This Row],[SUPERVISOR]]="","",D12)</f>
        <v>7120</v>
      </c>
      <c r="R18">
        <f>IF(DATA_OCTUBRE_2025[[#This Row],[RECUPERO]]="","",VLOOKUP(DATA_OCTUBRE_2025[[#This Row],[SUPERVISOR]],$H:$I,2,0))</f>
        <v>22000</v>
      </c>
      <c r="S18" s="19">
        <v>2100</v>
      </c>
      <c r="T18" s="19">
        <v>0</v>
      </c>
      <c r="U18" s="19">
        <v>0</v>
      </c>
      <c r="V18" s="19">
        <v>0</v>
      </c>
      <c r="W18" s="19">
        <v>0</v>
      </c>
      <c r="X18" s="19">
        <v>380</v>
      </c>
      <c r="Y18" s="19">
        <v>0</v>
      </c>
      <c r="Z18" s="19">
        <v>150</v>
      </c>
      <c r="AA18" s="19">
        <v>0</v>
      </c>
      <c r="AB18" s="19">
        <v>1000</v>
      </c>
      <c r="AC18" s="19">
        <v>0</v>
      </c>
      <c r="AD18" s="19">
        <v>2200</v>
      </c>
      <c r="AE18" s="19">
        <v>0</v>
      </c>
      <c r="AF18" s="19">
        <v>0</v>
      </c>
      <c r="AG18" s="19">
        <v>500</v>
      </c>
      <c r="AH18" s="19">
        <v>0</v>
      </c>
      <c r="AI18" s="19">
        <v>840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</row>
    <row r="19" spans="1:40" x14ac:dyDescent="0.25">
      <c r="A19" t="s">
        <v>4</v>
      </c>
      <c r="B19" t="str">
        <f>TRIM(D1_OCTUBRE[[#This Row],[ASESOR]])</f>
        <v>GERSON LAZARO</v>
      </c>
      <c r="C19" t="s">
        <v>96</v>
      </c>
      <c r="D19">
        <v>26162</v>
      </c>
      <c r="E19">
        <v>1.1891818181818181</v>
      </c>
      <c r="F19" t="str">
        <f>D1_OCTUBRE[[#This Row],[SUPER]]</f>
        <v>MELINA</v>
      </c>
      <c r="L19">
        <v>11</v>
      </c>
      <c r="M19" s="1">
        <f t="shared" si="0"/>
        <v>0</v>
      </c>
      <c r="N19" t="str" cm="1">
        <f t="array" ref="N19">IFERROR(_xlfn.IFS(M19&gt;100%,"&gt;100%",AND(M19&lt;100%,M19&gt;70%),"&gt;70%",AND(M19&lt;70%,M19&gt;40%),"&gt;40%",AND(M19&lt;40%,M19&gt;0%),"&gt;0%"),"")</f>
        <v/>
      </c>
      <c r="O19" t="str">
        <f t="shared" si="1"/>
        <v/>
      </c>
      <c r="P19" t="str">
        <f>IF(DATA_OCTUBRE_2025[[#This Row],[ASER_]]="","",F13)</f>
        <v/>
      </c>
      <c r="Q19" t="str">
        <f>IF(DATA_OCTUBRE_2025[[#This Row],[SUPERVISOR]]="","",D13)</f>
        <v/>
      </c>
      <c r="R19" t="str">
        <f>IF(DATA_OCTUBRE_2025[[#This Row],[RECUPERO]]="","",VLOOKUP(DATA_OCTUBRE_2025[[#This Row],[SUPERVISOR]],$H:$I,2,0))</f>
        <v/>
      </c>
      <c r="S19" s="19" t="s">
        <v>189</v>
      </c>
      <c r="T19" s="19" t="s">
        <v>189</v>
      </c>
      <c r="U19" s="19" t="s">
        <v>189</v>
      </c>
      <c r="V19" s="19" t="s">
        <v>189</v>
      </c>
      <c r="W19" s="19" t="s">
        <v>189</v>
      </c>
      <c r="X19" s="19" t="s">
        <v>189</v>
      </c>
      <c r="Y19" s="19" t="s">
        <v>189</v>
      </c>
      <c r="Z19" s="19" t="s">
        <v>189</v>
      </c>
      <c r="AA19" s="19" t="s">
        <v>189</v>
      </c>
      <c r="AB19" s="19" t="s">
        <v>189</v>
      </c>
      <c r="AC19" s="19" t="s">
        <v>189</v>
      </c>
      <c r="AD19" s="19" t="s">
        <v>189</v>
      </c>
      <c r="AE19" s="19" t="s">
        <v>189</v>
      </c>
      <c r="AF19" s="19" t="s">
        <v>189</v>
      </c>
      <c r="AG19" s="19" t="s">
        <v>189</v>
      </c>
      <c r="AH19" s="19" t="s">
        <v>189</v>
      </c>
      <c r="AI19" s="19" t="s">
        <v>189</v>
      </c>
      <c r="AJ19" s="19" t="s">
        <v>189</v>
      </c>
      <c r="AK19" s="19" t="s">
        <v>189</v>
      </c>
      <c r="AL19" s="19" t="s">
        <v>189</v>
      </c>
      <c r="AM19" s="19" t="s">
        <v>189</v>
      </c>
      <c r="AN19" s="19" t="s">
        <v>189</v>
      </c>
    </row>
    <row r="20" spans="1:40" x14ac:dyDescent="0.25">
      <c r="A20" t="s">
        <v>4</v>
      </c>
      <c r="B20" t="str">
        <f>TRIM(D1_OCTUBRE[[#This Row],[ASESOR]])</f>
        <v>JUAN LOZA</v>
      </c>
      <c r="C20" t="s">
        <v>35</v>
      </c>
      <c r="D20">
        <v>17692</v>
      </c>
      <c r="E20">
        <v>0.80418181818181822</v>
      </c>
      <c r="F20" t="str">
        <f>D1_OCTUBRE[[#This Row],[SUPER]]</f>
        <v>MELINA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P20" t="str">
        <f>IF(DATA_OCTUBRE_2025[[#This Row],[ASER_]]="","",F14)</f>
        <v/>
      </c>
      <c r="Q20" t="str">
        <f>IF(DATA_OCTUBRE_2025[[#This Row],[SUPERVISOR]]="","",D14)</f>
        <v/>
      </c>
      <c r="R20" t="str">
        <f>IF(DATA_OCTUBRE_2025[[#This Row],[RECUPERO]]="","",VLOOKUP(DATA_OCTUBRE_2025[[#This Row],[SUPERVISOR]],$H:$I,2,0))</f>
        <v/>
      </c>
      <c r="S20" s="19" t="s">
        <v>189</v>
      </c>
      <c r="T20" s="19" t="s">
        <v>189</v>
      </c>
      <c r="U20" s="19" t="s">
        <v>189</v>
      </c>
      <c r="V20" s="19" t="s">
        <v>189</v>
      </c>
      <c r="W20" s="19" t="s">
        <v>189</v>
      </c>
      <c r="X20" s="19" t="s">
        <v>189</v>
      </c>
      <c r="Y20" s="19" t="s">
        <v>189</v>
      </c>
      <c r="Z20" s="19" t="s">
        <v>189</v>
      </c>
      <c r="AA20" s="19" t="s">
        <v>189</v>
      </c>
      <c r="AB20" s="19" t="s">
        <v>189</v>
      </c>
      <c r="AC20" s="19" t="s">
        <v>189</v>
      </c>
      <c r="AD20" s="19" t="s">
        <v>189</v>
      </c>
      <c r="AE20" s="19" t="s">
        <v>189</v>
      </c>
      <c r="AF20" s="19" t="s">
        <v>189</v>
      </c>
      <c r="AG20" s="19" t="s">
        <v>189</v>
      </c>
      <c r="AH20" s="19" t="s">
        <v>189</v>
      </c>
      <c r="AI20" s="19" t="s">
        <v>189</v>
      </c>
      <c r="AJ20" s="19" t="s">
        <v>189</v>
      </c>
      <c r="AK20" s="19" t="s">
        <v>189</v>
      </c>
      <c r="AL20" s="19" t="s">
        <v>189</v>
      </c>
      <c r="AM20" s="19" t="s">
        <v>189</v>
      </c>
      <c r="AN20" s="19" t="s">
        <v>189</v>
      </c>
    </row>
    <row r="21" spans="1:40" x14ac:dyDescent="0.25">
      <c r="A21" t="s">
        <v>4</v>
      </c>
      <c r="B21" t="str">
        <f>TRIM(D1_OCTUBRE[[#This Row],[ASESOR]])</f>
        <v>MAYRA AVALOS</v>
      </c>
      <c r="C21" t="s">
        <v>55</v>
      </c>
      <c r="D21">
        <v>14814</v>
      </c>
      <c r="E21">
        <v>0.67336363636363639</v>
      </c>
      <c r="F21" t="str">
        <f>D1_OCTUBRE[[#This Row],[SUPER]]</f>
        <v>MELINA</v>
      </c>
      <c r="L21">
        <v>13</v>
      </c>
      <c r="M21" s="1">
        <f t="shared" si="0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1"/>
        <v/>
      </c>
      <c r="P21" t="str">
        <f>IF(DATA_OCTUBRE_2025[[#This Row],[ASER_]]="","",F15)</f>
        <v/>
      </c>
      <c r="Q21" t="str">
        <f>IF(DATA_OCTUBRE_2025[[#This Row],[SUPERVISOR]]="","",D15)</f>
        <v/>
      </c>
      <c r="R21" t="str">
        <f>IF(DATA_OCTUBRE_2025[[#This Row],[RECUPERO]]="","",VLOOKUP(DATA_OCTUBRE_2025[[#This Row],[SUPERVISOR]],$H:$I,2,0))</f>
        <v/>
      </c>
      <c r="S21" s="19" t="s">
        <v>189</v>
      </c>
      <c r="T21" s="19" t="s">
        <v>189</v>
      </c>
      <c r="U21" s="19" t="s">
        <v>189</v>
      </c>
      <c r="V21" s="19" t="s">
        <v>189</v>
      </c>
      <c r="W21" s="19" t="s">
        <v>189</v>
      </c>
      <c r="X21" s="19" t="s">
        <v>189</v>
      </c>
      <c r="Y21" s="19" t="s">
        <v>189</v>
      </c>
      <c r="Z21" s="19" t="s">
        <v>189</v>
      </c>
      <c r="AA21" s="19" t="s">
        <v>189</v>
      </c>
      <c r="AB21" s="19" t="s">
        <v>189</v>
      </c>
      <c r="AC21" s="19" t="s">
        <v>189</v>
      </c>
      <c r="AD21" s="19" t="s">
        <v>189</v>
      </c>
      <c r="AE21" s="19" t="s">
        <v>189</v>
      </c>
      <c r="AF21" s="19" t="s">
        <v>189</v>
      </c>
      <c r="AG21" s="19" t="s">
        <v>189</v>
      </c>
      <c r="AH21" s="19" t="s">
        <v>189</v>
      </c>
      <c r="AI21" s="19" t="s">
        <v>189</v>
      </c>
      <c r="AJ21" s="19" t="s">
        <v>189</v>
      </c>
      <c r="AK21" s="19" t="s">
        <v>189</v>
      </c>
      <c r="AL21" s="19" t="s">
        <v>189</v>
      </c>
      <c r="AM21" s="19" t="s">
        <v>189</v>
      </c>
      <c r="AN21" s="19" t="s">
        <v>189</v>
      </c>
    </row>
    <row r="22" spans="1:40" x14ac:dyDescent="0.25">
      <c r="A22" t="s">
        <v>4</v>
      </c>
      <c r="B22" t="str">
        <f>TRIM(D1_OCTUBRE[[#This Row],[ASESOR]])</f>
        <v>GIULIANA QUISPE</v>
      </c>
      <c r="C22" t="s">
        <v>71</v>
      </c>
      <c r="D22">
        <v>11786</v>
      </c>
      <c r="E22">
        <v>0.53572727272727272</v>
      </c>
      <c r="F22" t="str">
        <f>D1_OCTUBRE[[#This Row],[SUPER]]</f>
        <v>MELINA</v>
      </c>
      <c r="L22">
        <v>14</v>
      </c>
      <c r="M22" s="1">
        <f t="shared" si="0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1"/>
        <v/>
      </c>
      <c r="P22" t="str">
        <f>IF(DATA_OCTUBRE_2025[[#This Row],[ASER_]]="","",F16)</f>
        <v/>
      </c>
      <c r="Q22" t="str">
        <f>IF(DATA_OCTUBRE_2025[[#This Row],[SUPERVISOR]]="","",D16)</f>
        <v/>
      </c>
      <c r="R22" t="str">
        <f>IF(DATA_OCTUBRE_2025[[#This Row],[RECUPERO]]="","",VLOOKUP(DATA_OCTUBRE_2025[[#This Row],[SUPERVISOR]],$H:$I,2,0))</f>
        <v/>
      </c>
      <c r="S22" s="19" t="s">
        <v>189</v>
      </c>
      <c r="T22" s="19" t="s">
        <v>189</v>
      </c>
      <c r="U22" s="19" t="s">
        <v>189</v>
      </c>
      <c r="V22" s="19" t="s">
        <v>189</v>
      </c>
      <c r="W22" s="19" t="s">
        <v>189</v>
      </c>
      <c r="X22" s="19" t="s">
        <v>189</v>
      </c>
      <c r="Y22" s="19" t="s">
        <v>189</v>
      </c>
      <c r="Z22" s="19" t="s">
        <v>189</v>
      </c>
      <c r="AA22" s="19" t="s">
        <v>189</v>
      </c>
      <c r="AB22" s="19" t="s">
        <v>189</v>
      </c>
      <c r="AC22" s="19" t="s">
        <v>189</v>
      </c>
      <c r="AD22" s="19" t="s">
        <v>189</v>
      </c>
      <c r="AE22" s="19" t="s">
        <v>189</v>
      </c>
      <c r="AF22" s="19" t="s">
        <v>189</v>
      </c>
      <c r="AG22" s="19" t="s">
        <v>189</v>
      </c>
      <c r="AH22" s="19" t="s">
        <v>189</v>
      </c>
      <c r="AI22" s="19" t="s">
        <v>189</v>
      </c>
      <c r="AJ22" s="19" t="s">
        <v>189</v>
      </c>
      <c r="AK22" s="19" t="s">
        <v>189</v>
      </c>
      <c r="AL22" s="19" t="s">
        <v>189</v>
      </c>
      <c r="AM22" s="19" t="s">
        <v>189</v>
      </c>
      <c r="AN22" s="19" t="s">
        <v>189</v>
      </c>
    </row>
    <row r="23" spans="1:40" x14ac:dyDescent="0.25">
      <c r="A23" t="s">
        <v>4</v>
      </c>
      <c r="B23" t="str">
        <f>TRIM(D1_OCTUBRE[[#This Row],[ASESOR]])</f>
        <v>NARDIA URPIS</v>
      </c>
      <c r="C23" t="s">
        <v>74</v>
      </c>
      <c r="D23">
        <v>11693</v>
      </c>
      <c r="E23">
        <v>0.53149999999999997</v>
      </c>
      <c r="F23" t="str">
        <f>D1_OCTUBRE[[#This Row],[SUPER]]</f>
        <v>MELINA</v>
      </c>
      <c r="L23">
        <v>15</v>
      </c>
      <c r="M23" s="1">
        <f t="shared" si="0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1"/>
        <v/>
      </c>
      <c r="P23" t="str">
        <f>IF(DATA_OCTUBRE_2025[[#This Row],[ASER_]]="","",F17)</f>
        <v/>
      </c>
      <c r="Q23" t="str">
        <f>IF(DATA_OCTUBRE_2025[[#This Row],[SUPERVISOR]]="","",D17)</f>
        <v/>
      </c>
      <c r="R23" t="str">
        <f>IF(DATA_OCTUBRE_2025[[#This Row],[RECUPERO]]="","",VLOOKUP(DATA_OCTUBRE_2025[[#This Row],[SUPERVISOR]],$H:$I,2,0))</f>
        <v/>
      </c>
      <c r="S23" s="19" t="s">
        <v>189</v>
      </c>
      <c r="T23" s="19" t="s">
        <v>189</v>
      </c>
      <c r="U23" s="19" t="s">
        <v>189</v>
      </c>
      <c r="V23" s="19" t="s">
        <v>189</v>
      </c>
      <c r="W23" s="19" t="s">
        <v>189</v>
      </c>
      <c r="X23" s="19" t="s">
        <v>189</v>
      </c>
      <c r="Y23" s="19" t="s">
        <v>189</v>
      </c>
      <c r="Z23" s="19" t="s">
        <v>189</v>
      </c>
      <c r="AA23" s="19" t="s">
        <v>189</v>
      </c>
      <c r="AB23" s="19" t="s">
        <v>189</v>
      </c>
      <c r="AC23" s="19" t="s">
        <v>189</v>
      </c>
      <c r="AD23" s="19" t="s">
        <v>189</v>
      </c>
      <c r="AE23" s="19" t="s">
        <v>189</v>
      </c>
      <c r="AF23" s="19" t="s">
        <v>189</v>
      </c>
      <c r="AG23" s="19" t="s">
        <v>189</v>
      </c>
      <c r="AH23" s="19" t="s">
        <v>189</v>
      </c>
      <c r="AI23" s="19" t="s">
        <v>189</v>
      </c>
      <c r="AJ23" s="19" t="s">
        <v>189</v>
      </c>
      <c r="AK23" s="19" t="s">
        <v>189</v>
      </c>
      <c r="AL23" s="19" t="s">
        <v>189</v>
      </c>
      <c r="AM23" s="19" t="s">
        <v>189</v>
      </c>
      <c r="AN23" s="19" t="s">
        <v>189</v>
      </c>
    </row>
    <row r="24" spans="1:40" x14ac:dyDescent="0.25">
      <c r="A24" t="s">
        <v>4</v>
      </c>
      <c r="B24" t="str">
        <f>TRIM(D1_OCTUBRE[[#This Row],[ASESOR]])</f>
        <v>ANGELO SUAREZ</v>
      </c>
      <c r="C24" t="s">
        <v>95</v>
      </c>
      <c r="D24">
        <v>9835</v>
      </c>
      <c r="E24">
        <v>0.44704545454545452</v>
      </c>
      <c r="F24" t="str">
        <f>D1_OCTUBRE[[#This Row],[SUPER]]</f>
        <v>MELINA</v>
      </c>
      <c r="L24">
        <v>1</v>
      </c>
      <c r="M24" s="1">
        <f t="shared" si="0"/>
        <v>2.2401818181818181</v>
      </c>
      <c r="N24" t="str" cm="1">
        <f t="array" ref="N24">IFERROR(_xlfn.IFS(M24&gt;100%,"&gt;100%",AND(M24&lt;100%,M24&gt;70%),"&gt;70%",AND(M24&lt;70%,M24&gt;40%),"&gt;40%",AND(M24&lt;40%,M24&gt;0%),"&gt;0%"),"")</f>
        <v>&gt;100%</v>
      </c>
      <c r="O24" t="str">
        <f t="shared" si="1"/>
        <v>DARYL FERREL</v>
      </c>
      <c r="P24" t="str">
        <f>IF(DATA_OCTUBRE_2025[[#This Row],[ASER_]]="","",F18)</f>
        <v>MELINA</v>
      </c>
      <c r="Q24">
        <f>IF(DATA_OCTUBRE_2025[[#This Row],[SUPERVISOR]]="","",D18)</f>
        <v>49284</v>
      </c>
      <c r="R24">
        <f>IF(DATA_OCTUBRE_2025[[#This Row],[RECUPERO]]="","",VLOOKUP(DATA_OCTUBRE_2025[[#This Row],[SUPERVISOR]],$H:$I,2,0))</f>
        <v>22000</v>
      </c>
      <c r="S24" s="19">
        <v>950</v>
      </c>
      <c r="T24" s="19">
        <v>0</v>
      </c>
      <c r="U24" s="19">
        <v>0</v>
      </c>
      <c r="V24" s="19">
        <v>0</v>
      </c>
      <c r="W24" s="19">
        <v>0</v>
      </c>
      <c r="X24" s="19">
        <v>1700</v>
      </c>
      <c r="Y24" s="19">
        <v>800</v>
      </c>
      <c r="Z24" s="19">
        <v>1200</v>
      </c>
      <c r="AA24" s="19">
        <v>300</v>
      </c>
      <c r="AB24" s="19">
        <v>20300</v>
      </c>
      <c r="AC24" s="19">
        <v>0</v>
      </c>
      <c r="AD24" s="19">
        <v>280</v>
      </c>
      <c r="AE24" s="19">
        <v>390</v>
      </c>
      <c r="AF24" s="19">
        <v>0</v>
      </c>
      <c r="AG24" s="19">
        <v>700</v>
      </c>
      <c r="AH24" s="19">
        <v>294</v>
      </c>
      <c r="AI24" s="19">
        <v>220</v>
      </c>
      <c r="AJ24" s="19">
        <v>1200</v>
      </c>
      <c r="AK24" s="19">
        <v>0</v>
      </c>
      <c r="AL24" s="19">
        <v>0</v>
      </c>
      <c r="AM24" s="19">
        <v>0</v>
      </c>
      <c r="AN24" s="19">
        <v>20950</v>
      </c>
    </row>
    <row r="25" spans="1:40" x14ac:dyDescent="0.25">
      <c r="A25" t="s">
        <v>4</v>
      </c>
      <c r="B25" t="str">
        <f>TRIM(D1_OCTUBRE[[#This Row],[ASESOR]])</f>
        <v>JACQUELINE COLLAHUACHO</v>
      </c>
      <c r="C25" t="s">
        <v>121</v>
      </c>
      <c r="D25">
        <v>9348</v>
      </c>
      <c r="E25">
        <v>0.4249090909090909</v>
      </c>
      <c r="F25" t="str">
        <f>D1_OCTUBRE[[#This Row],[SUPER]]</f>
        <v>MELINA</v>
      </c>
      <c r="L25">
        <v>2</v>
      </c>
      <c r="M25" s="1">
        <f t="shared" si="0"/>
        <v>1.1891818181818181</v>
      </c>
      <c r="N25" t="str" cm="1">
        <f t="array" ref="N25">IFERROR(_xlfn.IFS(M25&gt;100%,"&gt;100%",AND(M25&lt;100%,M25&gt;70%),"&gt;70%",AND(M25&lt;70%,M25&gt;40%),"&gt;40%",AND(M25&lt;40%,M25&gt;0%),"&gt;0%"),"")</f>
        <v>&gt;100%</v>
      </c>
      <c r="O25" t="str">
        <f t="shared" si="1"/>
        <v>GERSON LAZARO</v>
      </c>
      <c r="P25" t="str">
        <f>IF(DATA_OCTUBRE_2025[[#This Row],[ASER_]]="","",F19)</f>
        <v>MELINA</v>
      </c>
      <c r="Q25">
        <f>IF(DATA_OCTUBRE_2025[[#This Row],[SUPERVISOR]]="","",D19)</f>
        <v>26162</v>
      </c>
      <c r="R25">
        <f>IF(DATA_OCTUBRE_2025[[#This Row],[RECUPERO]]="","",VLOOKUP(DATA_OCTUBRE_2025[[#This Row],[SUPERVISOR]],$H:$I,2,0))</f>
        <v>22000</v>
      </c>
      <c r="S25" s="19">
        <v>200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540</v>
      </c>
      <c r="AA25" s="19">
        <v>0</v>
      </c>
      <c r="AB25" s="19">
        <v>200</v>
      </c>
      <c r="AC25" s="19">
        <v>14200</v>
      </c>
      <c r="AD25" s="19">
        <v>100</v>
      </c>
      <c r="AE25" s="19">
        <v>5000</v>
      </c>
      <c r="AF25" s="19">
        <v>300</v>
      </c>
      <c r="AG25" s="19">
        <v>230</v>
      </c>
      <c r="AH25" s="19">
        <v>0</v>
      </c>
      <c r="AI25" s="19">
        <v>0</v>
      </c>
      <c r="AJ25" s="19">
        <v>590</v>
      </c>
      <c r="AK25" s="19">
        <v>0</v>
      </c>
      <c r="AL25" s="19">
        <v>2180</v>
      </c>
      <c r="AM25" s="19">
        <v>800</v>
      </c>
      <c r="AN25" s="19">
        <v>1822</v>
      </c>
    </row>
    <row r="26" spans="1:40" x14ac:dyDescent="0.25">
      <c r="A26" t="s">
        <v>4</v>
      </c>
      <c r="B26" t="str">
        <f>TRIM(D1_OCTUBRE[[#This Row],[ASESOR]])</f>
        <v>JANETH PORTOCARRERO</v>
      </c>
      <c r="C26" t="s">
        <v>49</v>
      </c>
      <c r="D26">
        <v>9305</v>
      </c>
      <c r="E26">
        <v>0.42295454545454547</v>
      </c>
      <c r="F26" t="str">
        <f>D1_OCTUBRE[[#This Row],[SUPER]]</f>
        <v>MELINA</v>
      </c>
      <c r="L26">
        <v>3</v>
      </c>
      <c r="M26" s="1">
        <f t="shared" si="0"/>
        <v>0.80418181818181822</v>
      </c>
      <c r="N26" t="str" cm="1">
        <f t="array" ref="N26">IFERROR(_xlfn.IFS(M26&gt;100%,"&gt;100%",AND(M26&lt;100%,M26&gt;70%),"&gt;70%",AND(M26&lt;70%,M26&gt;40%),"&gt;40%",AND(M26&lt;40%,M26&gt;0%),"&gt;0%"),"")</f>
        <v>&gt;70%</v>
      </c>
      <c r="O26" t="str">
        <f t="shared" si="1"/>
        <v>JUAN LOZA</v>
      </c>
      <c r="P26" t="str">
        <f>IF(DATA_OCTUBRE_2025[[#This Row],[ASER_]]="","",F20)</f>
        <v>MELINA</v>
      </c>
      <c r="Q26">
        <f>IF(DATA_OCTUBRE_2025[[#This Row],[SUPERVISOR]]="","",D20)</f>
        <v>17692</v>
      </c>
      <c r="R26">
        <f>IF(DATA_OCTUBRE_2025[[#This Row],[RECUPERO]]="","",VLOOKUP(DATA_OCTUBRE_2025[[#This Row],[SUPERVISOR]],$H:$I,2,0))</f>
        <v>22000</v>
      </c>
      <c r="S26" s="19">
        <v>520</v>
      </c>
      <c r="T26" s="19">
        <v>600</v>
      </c>
      <c r="U26" s="19">
        <v>0</v>
      </c>
      <c r="V26" s="19">
        <v>0</v>
      </c>
      <c r="W26" s="19">
        <v>2000</v>
      </c>
      <c r="X26" s="19">
        <v>0</v>
      </c>
      <c r="Y26" s="19">
        <v>4400</v>
      </c>
      <c r="Z26" s="19">
        <v>0</v>
      </c>
      <c r="AA26" s="19">
        <v>0</v>
      </c>
      <c r="AB26" s="19">
        <v>700</v>
      </c>
      <c r="AC26" s="19">
        <v>700</v>
      </c>
      <c r="AD26" s="19">
        <v>0</v>
      </c>
      <c r="AE26" s="19">
        <v>2300</v>
      </c>
      <c r="AF26" s="19">
        <v>0</v>
      </c>
      <c r="AG26" s="19">
        <v>0</v>
      </c>
      <c r="AH26" s="19">
        <v>368</v>
      </c>
      <c r="AI26" s="19">
        <v>592</v>
      </c>
      <c r="AJ26" s="19">
        <v>290</v>
      </c>
      <c r="AK26" s="19">
        <v>0</v>
      </c>
      <c r="AL26" s="19">
        <v>0</v>
      </c>
      <c r="AM26" s="19">
        <v>2222</v>
      </c>
      <c r="AN26" s="19">
        <v>3000</v>
      </c>
    </row>
    <row r="27" spans="1:40" x14ac:dyDescent="0.25">
      <c r="A27" t="s">
        <v>4</v>
      </c>
      <c r="B27" t="str">
        <f>TRIM(D1_OCTUBRE[[#This Row],[ASESOR]])</f>
        <v>CARLOS CALAGUA</v>
      </c>
      <c r="C27" t="s">
        <v>108</v>
      </c>
      <c r="D27">
        <v>9289</v>
      </c>
      <c r="E27">
        <v>0.42222727272727273</v>
      </c>
      <c r="F27" t="str">
        <f>D1_OCTUBRE[[#This Row],[SUPER]]</f>
        <v>MELINA</v>
      </c>
      <c r="L27">
        <v>4</v>
      </c>
      <c r="M27" s="1">
        <f t="shared" si="0"/>
        <v>0.67336363636363639</v>
      </c>
      <c r="N27" t="str" cm="1">
        <f t="array" ref="N27">IFERROR(_xlfn.IFS(M27&gt;100%,"&gt;100%",AND(M27&lt;100%,M27&gt;70%),"&gt;70%",AND(M27&lt;70%,M27&gt;40%),"&gt;40%",AND(M27&lt;40%,M27&gt;0%),"&gt;0%"),"")</f>
        <v>&gt;40%</v>
      </c>
      <c r="O27" t="str">
        <f t="shared" si="1"/>
        <v>MAYRA AVALOS</v>
      </c>
      <c r="P27" t="str">
        <f>IF(DATA_OCTUBRE_2025[[#This Row],[ASER_]]="","",F21)</f>
        <v>MELINA</v>
      </c>
      <c r="Q27">
        <f>IF(DATA_OCTUBRE_2025[[#This Row],[SUPERVISOR]]="","",D21)</f>
        <v>14814</v>
      </c>
      <c r="R27">
        <f>IF(DATA_OCTUBRE_2025[[#This Row],[RECUPERO]]="","",VLOOKUP(DATA_OCTUBRE_2025[[#This Row],[SUPERVISOR]],$H:$I,2,0))</f>
        <v>22000</v>
      </c>
      <c r="S27" s="19">
        <v>0</v>
      </c>
      <c r="T27" s="19">
        <v>0</v>
      </c>
      <c r="U27" s="19">
        <v>510</v>
      </c>
      <c r="V27" s="19">
        <v>200</v>
      </c>
      <c r="W27" s="19">
        <v>300</v>
      </c>
      <c r="X27" s="19">
        <v>0</v>
      </c>
      <c r="Y27" s="19">
        <v>149</v>
      </c>
      <c r="Z27" s="19">
        <v>0</v>
      </c>
      <c r="AA27" s="19">
        <v>0</v>
      </c>
      <c r="AB27" s="19">
        <v>0</v>
      </c>
      <c r="AC27" s="19">
        <v>4000</v>
      </c>
      <c r="AD27" s="19">
        <v>0</v>
      </c>
      <c r="AE27" s="19">
        <v>6000</v>
      </c>
      <c r="AF27" s="19">
        <v>400</v>
      </c>
      <c r="AG27" s="19">
        <v>0</v>
      </c>
      <c r="AH27" s="19">
        <v>0</v>
      </c>
      <c r="AI27" s="19">
        <v>0</v>
      </c>
      <c r="AJ27" s="19">
        <v>200</v>
      </c>
      <c r="AK27" s="19">
        <v>1575</v>
      </c>
      <c r="AL27" s="19">
        <v>480</v>
      </c>
      <c r="AM27" s="19">
        <v>200</v>
      </c>
      <c r="AN27" s="19">
        <v>800</v>
      </c>
    </row>
    <row r="28" spans="1:40" x14ac:dyDescent="0.25">
      <c r="A28" t="s">
        <v>4</v>
      </c>
      <c r="B28" t="str">
        <f>TRIM(D1_OCTUBRE[[#This Row],[ASESOR]])</f>
        <v/>
      </c>
      <c r="E28">
        <v>0</v>
      </c>
      <c r="F28" t="str">
        <f>D1_OCTUBRE[[#This Row],[SUPER]]</f>
        <v>MELINA</v>
      </c>
      <c r="L28">
        <v>5</v>
      </c>
      <c r="M28" s="1">
        <f t="shared" si="0"/>
        <v>0.53572727272727272</v>
      </c>
      <c r="N28" t="str" cm="1">
        <f t="array" ref="N28">IFERROR(_xlfn.IFS(M28&gt;100%,"&gt;100%",AND(M28&lt;100%,M28&gt;70%),"&gt;70%",AND(M28&lt;70%,M28&gt;40%),"&gt;40%",AND(M28&lt;40%,M28&gt;0%),"&gt;0%"),"")</f>
        <v>&gt;40%</v>
      </c>
      <c r="O28" t="str">
        <f t="shared" si="1"/>
        <v>GIULIANA QUISPE</v>
      </c>
      <c r="P28" t="str">
        <f>IF(DATA_OCTUBRE_2025[[#This Row],[ASER_]]="","",F22)</f>
        <v>MELINA</v>
      </c>
      <c r="Q28">
        <f>IF(DATA_OCTUBRE_2025[[#This Row],[SUPERVISOR]]="","",D22)</f>
        <v>11786</v>
      </c>
      <c r="R28">
        <f>IF(DATA_OCTUBRE_2025[[#This Row],[RECUPERO]]="","",VLOOKUP(DATA_OCTUBRE_2025[[#This Row],[SUPERVISOR]],$H:$I,2,0))</f>
        <v>22000</v>
      </c>
      <c r="S28" s="19">
        <v>153</v>
      </c>
      <c r="T28" s="19">
        <v>690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700</v>
      </c>
      <c r="AA28" s="19">
        <v>0</v>
      </c>
      <c r="AB28" s="19">
        <v>200</v>
      </c>
      <c r="AC28" s="19">
        <v>0</v>
      </c>
      <c r="AD28" s="19">
        <v>0</v>
      </c>
      <c r="AE28" s="19">
        <v>250</v>
      </c>
      <c r="AF28" s="19">
        <v>0</v>
      </c>
      <c r="AG28" s="19">
        <v>1716</v>
      </c>
      <c r="AH28" s="19">
        <v>720</v>
      </c>
      <c r="AI28" s="19">
        <v>3637</v>
      </c>
      <c r="AJ28" s="19">
        <v>1050</v>
      </c>
      <c r="AK28" s="19">
        <v>0</v>
      </c>
      <c r="AL28" s="19">
        <v>2400</v>
      </c>
      <c r="AM28" s="19">
        <v>270</v>
      </c>
      <c r="AN28" s="19">
        <v>0</v>
      </c>
    </row>
    <row r="29" spans="1:40" x14ac:dyDescent="0.25">
      <c r="A29" t="s">
        <v>4</v>
      </c>
      <c r="B29" t="str">
        <f>TRIM(D1_OCTUBRE[[#This Row],[ASESOR]])</f>
        <v/>
      </c>
      <c r="E29">
        <v>0</v>
      </c>
      <c r="F29" t="str">
        <f>D1_OCTUBRE[[#This Row],[SUPER]]</f>
        <v>MELINA</v>
      </c>
      <c r="L29">
        <v>6</v>
      </c>
      <c r="M29" s="1">
        <f t="shared" si="0"/>
        <v>0.53149999999999997</v>
      </c>
      <c r="N29" t="str" cm="1">
        <f t="array" ref="N29">IFERROR(_xlfn.IFS(M29&gt;100%,"&gt;100%",AND(M29&lt;100%,M29&gt;70%),"&gt;70%",AND(M29&lt;70%,M29&gt;40%),"&gt;40%",AND(M29&lt;40%,M29&gt;0%),"&gt;0%"),"")</f>
        <v>&gt;40%</v>
      </c>
      <c r="O29" t="str">
        <f t="shared" si="1"/>
        <v>NARDIA URPIS</v>
      </c>
      <c r="P29" t="str">
        <f>IF(DATA_OCTUBRE_2025[[#This Row],[ASER_]]="","",F23)</f>
        <v>MELINA</v>
      </c>
      <c r="Q29">
        <f>IF(DATA_OCTUBRE_2025[[#This Row],[SUPERVISOR]]="","",D23)</f>
        <v>11693</v>
      </c>
      <c r="R29">
        <f>IF(DATA_OCTUBRE_2025[[#This Row],[RECUPERO]]="","",VLOOKUP(DATA_OCTUBRE_2025[[#This Row],[SUPERVISOR]],$H:$I,2,0))</f>
        <v>22000</v>
      </c>
      <c r="S29" s="19">
        <v>120</v>
      </c>
      <c r="T29" s="19">
        <v>0</v>
      </c>
      <c r="U29" s="19">
        <v>250</v>
      </c>
      <c r="V29" s="19">
        <v>0</v>
      </c>
      <c r="W29" s="19">
        <v>0</v>
      </c>
      <c r="X29" s="19">
        <v>0</v>
      </c>
      <c r="Y29" s="19">
        <v>0</v>
      </c>
      <c r="Z29" s="19">
        <v>3500</v>
      </c>
      <c r="AA29" s="19">
        <v>0</v>
      </c>
      <c r="AB29" s="19">
        <v>0</v>
      </c>
      <c r="AC29" s="19">
        <v>500</v>
      </c>
      <c r="AD29" s="19">
        <v>0</v>
      </c>
      <c r="AE29" s="19">
        <v>0</v>
      </c>
      <c r="AF29" s="19">
        <v>0</v>
      </c>
      <c r="AG29" s="19">
        <v>0</v>
      </c>
      <c r="AH29" s="19">
        <v>6000</v>
      </c>
      <c r="AI29" s="19">
        <v>0</v>
      </c>
      <c r="AJ29" s="19">
        <v>0</v>
      </c>
      <c r="AK29" s="19">
        <v>260</v>
      </c>
      <c r="AL29" s="19">
        <v>300</v>
      </c>
      <c r="AM29" s="19">
        <v>340</v>
      </c>
      <c r="AN29" s="19">
        <v>423</v>
      </c>
    </row>
    <row r="30" spans="1:40" x14ac:dyDescent="0.25">
      <c r="A30" t="s">
        <v>4</v>
      </c>
      <c r="B30" t="str">
        <f>TRIM(D1_OCTUBRE[[#This Row],[ASESOR]])</f>
        <v/>
      </c>
      <c r="E30">
        <v>0</v>
      </c>
      <c r="F30" t="str">
        <f>D1_OCTUBRE[[#This Row],[SUPER]]</f>
        <v>MELINA</v>
      </c>
      <c r="L30">
        <v>7</v>
      </c>
      <c r="M30" s="1">
        <f t="shared" si="0"/>
        <v>0.44704545454545452</v>
      </c>
      <c r="N30" t="str" cm="1">
        <f t="array" ref="N30">IFERROR(_xlfn.IFS(M30&gt;100%,"&gt;100%",AND(M30&lt;100%,M30&gt;70%),"&gt;70%",AND(M30&lt;70%,M30&gt;40%),"&gt;40%",AND(M30&lt;40%,M30&gt;0%),"&gt;0%"),"")</f>
        <v>&gt;40%</v>
      </c>
      <c r="O30" t="str">
        <f t="shared" si="1"/>
        <v>ANGELO SUAREZ</v>
      </c>
      <c r="P30" t="str">
        <f>IF(DATA_OCTUBRE_2025[[#This Row],[ASER_]]="","",F24)</f>
        <v>MELINA</v>
      </c>
      <c r="Q30">
        <f>IF(DATA_OCTUBRE_2025[[#This Row],[SUPERVISOR]]="","",D24)</f>
        <v>9835</v>
      </c>
      <c r="R30">
        <f>IF(DATA_OCTUBRE_2025[[#This Row],[RECUPERO]]="","",VLOOKUP(DATA_OCTUBRE_2025[[#This Row],[SUPERVISOR]],$H:$I,2,0))</f>
        <v>22000</v>
      </c>
      <c r="S30" s="19">
        <v>0</v>
      </c>
      <c r="T30" s="19">
        <v>0</v>
      </c>
      <c r="U30" s="19">
        <v>450</v>
      </c>
      <c r="V30" s="19">
        <v>2500</v>
      </c>
      <c r="W30" s="19">
        <v>400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700</v>
      </c>
      <c r="AE30" s="19">
        <v>150</v>
      </c>
      <c r="AF30" s="19">
        <v>0</v>
      </c>
      <c r="AG30" s="19">
        <v>450</v>
      </c>
      <c r="AH30" s="19">
        <v>0</v>
      </c>
      <c r="AI30" s="19">
        <v>4000</v>
      </c>
      <c r="AJ30" s="19">
        <v>0</v>
      </c>
      <c r="AK30" s="19">
        <v>200</v>
      </c>
      <c r="AL30" s="19">
        <v>0</v>
      </c>
      <c r="AM30" s="19">
        <v>985</v>
      </c>
      <c r="AN30" s="19">
        <v>0</v>
      </c>
    </row>
    <row r="31" spans="1:40" x14ac:dyDescent="0.25">
      <c r="A31" t="s">
        <v>4</v>
      </c>
      <c r="B31" t="str">
        <f>TRIM(D1_OCTUBRE[[#This Row],[ASESOR]])</f>
        <v/>
      </c>
      <c r="E31">
        <v>0</v>
      </c>
      <c r="F31" t="str">
        <f>D1_OCTUBRE[[#This Row],[SUPER]]</f>
        <v>MELINA</v>
      </c>
      <c r="L31">
        <v>8</v>
      </c>
      <c r="M31" s="1">
        <f t="shared" si="0"/>
        <v>0.4249090909090909</v>
      </c>
      <c r="N31" t="str" cm="1">
        <f t="array" ref="N31">IFERROR(_xlfn.IFS(M31&gt;100%,"&gt;100%",AND(M31&lt;100%,M31&gt;70%),"&gt;70%",AND(M31&lt;70%,M31&gt;40%),"&gt;40%",AND(M31&lt;40%,M31&gt;0%),"&gt;0%"),"")</f>
        <v>&gt;40%</v>
      </c>
      <c r="O31" t="str">
        <f t="shared" si="1"/>
        <v>JACQUELINE COLLAHUACHO</v>
      </c>
      <c r="P31" t="str">
        <f>IF(DATA_OCTUBRE_2025[[#This Row],[ASER_]]="","",F25)</f>
        <v>MELINA</v>
      </c>
      <c r="Q31">
        <f>IF(DATA_OCTUBRE_2025[[#This Row],[SUPERVISOR]]="","",D25)</f>
        <v>9348</v>
      </c>
      <c r="R31">
        <f>IF(DATA_OCTUBRE_2025[[#This Row],[RECUPERO]]="","",VLOOKUP(DATA_OCTUBRE_2025[[#This Row],[SUPERVISOR]],$H:$I,2,0))</f>
        <v>22000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1000</v>
      </c>
      <c r="Z31" s="19">
        <v>0</v>
      </c>
      <c r="AA31" s="19">
        <v>398</v>
      </c>
      <c r="AB31" s="19">
        <v>750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7000</v>
      </c>
      <c r="AN31" s="19">
        <v>200</v>
      </c>
    </row>
    <row r="32" spans="1:40" x14ac:dyDescent="0.25">
      <c r="A32" t="s">
        <v>4</v>
      </c>
      <c r="B32" t="str">
        <f>TRIM(D1_OCTUBRE[[#This Row],[ASESOR]])</f>
        <v/>
      </c>
      <c r="E32">
        <v>0</v>
      </c>
      <c r="F32" t="str">
        <f>D1_OCTUBRE[[#This Row],[SUPER]]</f>
        <v>MELINA</v>
      </c>
      <c r="L32">
        <v>9</v>
      </c>
      <c r="M32" s="1">
        <f t="shared" si="0"/>
        <v>0.42295454545454547</v>
      </c>
      <c r="N32" t="str" cm="1">
        <f t="array" ref="N32">IFERROR(_xlfn.IFS(M32&gt;100%,"&gt;100%",AND(M32&lt;100%,M32&gt;70%),"&gt;70%",AND(M32&lt;70%,M32&gt;40%),"&gt;40%",AND(M32&lt;40%,M32&gt;0%),"&gt;0%"),"")</f>
        <v>&gt;40%</v>
      </c>
      <c r="O32" t="str">
        <f t="shared" si="1"/>
        <v>JANETH PORTOCARRERO</v>
      </c>
      <c r="P32" t="str">
        <f>IF(DATA_OCTUBRE_2025[[#This Row],[ASER_]]="","",F26)</f>
        <v>MELINA</v>
      </c>
      <c r="Q32">
        <f>IF(DATA_OCTUBRE_2025[[#This Row],[SUPERVISOR]]="","",D26)</f>
        <v>9305</v>
      </c>
      <c r="R32">
        <f>IF(DATA_OCTUBRE_2025[[#This Row],[RECUPERO]]="","",VLOOKUP(DATA_OCTUBRE_2025[[#This Row],[SUPERVISOR]],$H:$I,2,0))</f>
        <v>22000</v>
      </c>
      <c r="S32" s="19">
        <v>0</v>
      </c>
      <c r="T32" s="19">
        <v>0</v>
      </c>
      <c r="U32" s="19">
        <v>0</v>
      </c>
      <c r="V32" s="19">
        <v>0</v>
      </c>
      <c r="W32" s="19">
        <v>680</v>
      </c>
      <c r="X32" s="19">
        <v>0</v>
      </c>
      <c r="Y32" s="19">
        <v>0</v>
      </c>
      <c r="Z32" s="19">
        <v>0</v>
      </c>
      <c r="AA32" s="19">
        <v>500</v>
      </c>
      <c r="AB32" s="19">
        <v>100</v>
      </c>
      <c r="AC32" s="19">
        <v>0</v>
      </c>
      <c r="AD32" s="19">
        <v>900</v>
      </c>
      <c r="AE32" s="19">
        <v>0</v>
      </c>
      <c r="AF32" s="19">
        <v>2000</v>
      </c>
      <c r="AG32" s="19">
        <v>0</v>
      </c>
      <c r="AH32" s="19">
        <v>0</v>
      </c>
      <c r="AI32" s="19">
        <v>1000</v>
      </c>
      <c r="AJ32" s="19">
        <v>500</v>
      </c>
      <c r="AK32" s="19">
        <v>0</v>
      </c>
      <c r="AL32" s="19">
        <v>700</v>
      </c>
      <c r="AM32" s="19">
        <v>0</v>
      </c>
      <c r="AN32" s="19">
        <v>2600</v>
      </c>
    </row>
    <row r="33" spans="1:40" x14ac:dyDescent="0.25">
      <c r="A33" t="s">
        <v>2</v>
      </c>
      <c r="B33" t="str">
        <f>TRIM(D1_OCTUBRE[[#This Row],[ASESOR]])</f>
        <v>JHONATAN CHAVEZ</v>
      </c>
      <c r="C33" t="s">
        <v>65</v>
      </c>
      <c r="D33">
        <v>44734</v>
      </c>
      <c r="E33">
        <v>1.3979375000000001</v>
      </c>
      <c r="F33" t="str">
        <f>D1_OCTUBRE[[#This Row],[SUPER]]</f>
        <v>JORGE</v>
      </c>
      <c r="L33">
        <v>10</v>
      </c>
      <c r="M33" s="1">
        <f t="shared" si="0"/>
        <v>0.42222727272727273</v>
      </c>
      <c r="N33" t="str" cm="1">
        <f t="array" ref="N33">IFERROR(_xlfn.IFS(M33&gt;100%,"&gt;100%",AND(M33&lt;100%,M33&gt;70%),"&gt;70%",AND(M33&lt;70%,M33&gt;40%),"&gt;40%",AND(M33&lt;40%,M33&gt;0%),"&gt;0%"),"")</f>
        <v>&gt;40%</v>
      </c>
      <c r="O33" t="str">
        <f t="shared" si="1"/>
        <v>CARLOS CALAGUA</v>
      </c>
      <c r="P33" t="str">
        <f>IF(DATA_OCTUBRE_2025[[#This Row],[ASER_]]="","",F27)</f>
        <v>MELINA</v>
      </c>
      <c r="Q33">
        <f>IF(DATA_OCTUBRE_2025[[#This Row],[SUPERVISOR]]="","",D27)</f>
        <v>9289</v>
      </c>
      <c r="R33">
        <f>IF(DATA_OCTUBRE_2025[[#This Row],[RECUPERO]]="","",VLOOKUP(DATA_OCTUBRE_2025[[#This Row],[SUPERVISOR]],$H:$I,2,0))</f>
        <v>22000</v>
      </c>
      <c r="S33" s="19">
        <v>0</v>
      </c>
      <c r="T33" s="19">
        <v>0</v>
      </c>
      <c r="U33" s="19">
        <v>200</v>
      </c>
      <c r="V33" s="19">
        <v>0</v>
      </c>
      <c r="W33" s="19">
        <v>0</v>
      </c>
      <c r="X33" s="19">
        <v>300</v>
      </c>
      <c r="Y33" s="19">
        <v>0</v>
      </c>
      <c r="Z33" s="19">
        <v>0</v>
      </c>
      <c r="AA33" s="19">
        <v>0</v>
      </c>
      <c r="AB33" s="19">
        <v>350</v>
      </c>
      <c r="AC33" s="19">
        <v>0</v>
      </c>
      <c r="AD33" s="19">
        <v>0</v>
      </c>
      <c r="AE33" s="19">
        <v>0</v>
      </c>
      <c r="AF33" s="19">
        <v>248</v>
      </c>
      <c r="AG33" s="19">
        <v>1400</v>
      </c>
      <c r="AH33" s="19">
        <v>300</v>
      </c>
      <c r="AI33" s="19">
        <v>650</v>
      </c>
      <c r="AJ33" s="19">
        <v>750</v>
      </c>
      <c r="AK33" s="19">
        <v>0</v>
      </c>
      <c r="AL33" s="19">
        <v>1000</v>
      </c>
      <c r="AM33" s="19">
        <v>1230</v>
      </c>
      <c r="AN33" s="19">
        <v>861</v>
      </c>
    </row>
    <row r="34" spans="1:40" x14ac:dyDescent="0.25">
      <c r="A34" t="s">
        <v>2</v>
      </c>
      <c r="B34" t="str">
        <f>TRIM(D1_OCTUBRE[[#This Row],[ASESOR]])</f>
        <v>MISHEL MORALES</v>
      </c>
      <c r="C34" t="s">
        <v>94</v>
      </c>
      <c r="D34">
        <v>31860</v>
      </c>
      <c r="E34">
        <v>0.99562499999999998</v>
      </c>
      <c r="F34" t="str">
        <f>D1_OCTUBRE[[#This Row],[SUPER]]</f>
        <v>JORGE</v>
      </c>
      <c r="L34">
        <v>11</v>
      </c>
      <c r="M34" s="1">
        <f t="shared" si="0"/>
        <v>0</v>
      </c>
      <c r="N34" t="str" cm="1">
        <f t="array" ref="N34">IFERROR(_xlfn.IFS(M34&gt;100%,"&gt;100%",AND(M34&lt;100%,M34&gt;70%),"&gt;70%",AND(M34&lt;70%,M34&gt;40%),"&gt;40%",AND(M34&lt;40%,M34&gt;0%),"&gt;0%"),"")</f>
        <v/>
      </c>
      <c r="O34" t="str">
        <f t="shared" si="1"/>
        <v/>
      </c>
      <c r="P34" t="str">
        <f>IF(DATA_OCTUBRE_2025[[#This Row],[ASER_]]="","",F28)</f>
        <v/>
      </c>
      <c r="Q34" t="str">
        <f>IF(DATA_OCTUBRE_2025[[#This Row],[SUPERVISOR]]="","",D28)</f>
        <v/>
      </c>
      <c r="R34" t="str">
        <f>IF(DATA_OCTUBRE_2025[[#This Row],[RECUPERO]]="","",VLOOKUP(DATA_OCTUBRE_2025[[#This Row],[SUPERVISOR]],$H:$I,2,0))</f>
        <v/>
      </c>
      <c r="S34" s="19" t="s">
        <v>189</v>
      </c>
      <c r="T34" s="19" t="s">
        <v>189</v>
      </c>
      <c r="U34" s="19" t="s">
        <v>189</v>
      </c>
      <c r="V34" s="19" t="s">
        <v>189</v>
      </c>
      <c r="W34" s="19" t="s">
        <v>189</v>
      </c>
      <c r="X34" s="19" t="s">
        <v>189</v>
      </c>
      <c r="Y34" s="19" t="s">
        <v>189</v>
      </c>
      <c r="Z34" s="19" t="s">
        <v>189</v>
      </c>
      <c r="AA34" s="19" t="s">
        <v>189</v>
      </c>
      <c r="AB34" s="19" t="s">
        <v>189</v>
      </c>
      <c r="AC34" s="19" t="s">
        <v>189</v>
      </c>
      <c r="AD34" s="19" t="s">
        <v>189</v>
      </c>
      <c r="AE34" s="19" t="s">
        <v>189</v>
      </c>
      <c r="AF34" s="19" t="s">
        <v>189</v>
      </c>
      <c r="AG34" s="19" t="s">
        <v>189</v>
      </c>
      <c r="AH34" s="19" t="s">
        <v>189</v>
      </c>
      <c r="AI34" s="19" t="s">
        <v>189</v>
      </c>
      <c r="AJ34" s="19" t="s">
        <v>189</v>
      </c>
      <c r="AK34" s="19" t="s">
        <v>189</v>
      </c>
      <c r="AL34" s="19" t="s">
        <v>189</v>
      </c>
      <c r="AM34" s="19" t="s">
        <v>189</v>
      </c>
      <c r="AN34" s="19" t="s">
        <v>189</v>
      </c>
    </row>
    <row r="35" spans="1:40" x14ac:dyDescent="0.25">
      <c r="A35" t="s">
        <v>2</v>
      </c>
      <c r="B35" t="str">
        <f>TRIM(D1_OCTUBRE[[#This Row],[ASESOR]])</f>
        <v>FRANS TACSI</v>
      </c>
      <c r="C35" t="s">
        <v>16</v>
      </c>
      <c r="D35">
        <v>30613</v>
      </c>
      <c r="E35">
        <v>0.95665624999999999</v>
      </c>
      <c r="F35" t="str">
        <f>D1_OCTUBRE[[#This Row],[SUPER]]</f>
        <v>JORGE</v>
      </c>
      <c r="L35">
        <v>12</v>
      </c>
      <c r="M35" s="1">
        <f t="shared" si="0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1"/>
        <v/>
      </c>
      <c r="P35" t="str">
        <f>IF(DATA_OCTUBRE_2025[[#This Row],[ASER_]]="","",F29)</f>
        <v/>
      </c>
      <c r="Q35" t="str">
        <f>IF(DATA_OCTUBRE_2025[[#This Row],[SUPERVISOR]]="","",D29)</f>
        <v/>
      </c>
      <c r="R35" t="str">
        <f>IF(DATA_OCTUBRE_2025[[#This Row],[RECUPERO]]="","",VLOOKUP(DATA_OCTUBRE_2025[[#This Row],[SUPERVISOR]],$H:$I,2,0))</f>
        <v/>
      </c>
      <c r="S35" s="19" t="s">
        <v>189</v>
      </c>
      <c r="T35" s="19" t="s">
        <v>189</v>
      </c>
      <c r="U35" s="19" t="s">
        <v>189</v>
      </c>
      <c r="V35" s="19" t="s">
        <v>189</v>
      </c>
      <c r="W35" s="19" t="s">
        <v>189</v>
      </c>
      <c r="X35" s="19" t="s">
        <v>189</v>
      </c>
      <c r="Y35" s="19" t="s">
        <v>189</v>
      </c>
      <c r="Z35" s="19" t="s">
        <v>189</v>
      </c>
      <c r="AA35" s="19" t="s">
        <v>189</v>
      </c>
      <c r="AB35" s="19" t="s">
        <v>189</v>
      </c>
      <c r="AC35" s="19" t="s">
        <v>189</v>
      </c>
      <c r="AD35" s="19" t="s">
        <v>189</v>
      </c>
      <c r="AE35" s="19" t="s">
        <v>189</v>
      </c>
      <c r="AF35" s="19" t="s">
        <v>189</v>
      </c>
      <c r="AG35" s="19" t="s">
        <v>189</v>
      </c>
      <c r="AH35" s="19" t="s">
        <v>189</v>
      </c>
      <c r="AI35" s="19" t="s">
        <v>189</v>
      </c>
      <c r="AJ35" s="19" t="s">
        <v>189</v>
      </c>
      <c r="AK35" s="19" t="s">
        <v>189</v>
      </c>
      <c r="AL35" s="19" t="s">
        <v>189</v>
      </c>
      <c r="AM35" s="19" t="s">
        <v>189</v>
      </c>
      <c r="AN35" s="19" t="s">
        <v>189</v>
      </c>
    </row>
    <row r="36" spans="1:40" x14ac:dyDescent="0.25">
      <c r="A36" t="s">
        <v>2</v>
      </c>
      <c r="B36" t="str">
        <f>TRIM(D1_OCTUBRE[[#This Row],[ASESOR]])</f>
        <v>ANDERSON RODRIGUEZ</v>
      </c>
      <c r="C36" t="s">
        <v>15</v>
      </c>
      <c r="D36">
        <v>30834</v>
      </c>
      <c r="E36">
        <v>0.96356249999999999</v>
      </c>
      <c r="F36" t="str">
        <f>D1_OCTUBRE[[#This Row],[SUPER]]</f>
        <v>JORGE</v>
      </c>
      <c r="L36">
        <v>13</v>
      </c>
      <c r="M36" s="1">
        <f t="shared" si="0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1"/>
        <v/>
      </c>
      <c r="P36" t="str">
        <f>IF(DATA_OCTUBRE_2025[[#This Row],[ASER_]]="","",F30)</f>
        <v/>
      </c>
      <c r="Q36" t="str">
        <f>IF(DATA_OCTUBRE_2025[[#This Row],[SUPERVISOR]]="","",D30)</f>
        <v/>
      </c>
      <c r="R36" t="str">
        <f>IF(DATA_OCTUBRE_2025[[#This Row],[RECUPERO]]="","",VLOOKUP(DATA_OCTUBRE_2025[[#This Row],[SUPERVISOR]],$H:$I,2,0))</f>
        <v/>
      </c>
      <c r="S36" s="19" t="s">
        <v>189</v>
      </c>
      <c r="T36" s="19" t="s">
        <v>189</v>
      </c>
      <c r="U36" s="19" t="s">
        <v>189</v>
      </c>
      <c r="V36" s="19" t="s">
        <v>189</v>
      </c>
      <c r="W36" s="19" t="s">
        <v>189</v>
      </c>
      <c r="X36" s="19" t="s">
        <v>189</v>
      </c>
      <c r="Y36" s="19" t="s">
        <v>189</v>
      </c>
      <c r="Z36" s="19" t="s">
        <v>189</v>
      </c>
      <c r="AA36" s="19" t="s">
        <v>189</v>
      </c>
      <c r="AB36" s="19" t="s">
        <v>189</v>
      </c>
      <c r="AC36" s="19" t="s">
        <v>189</v>
      </c>
      <c r="AD36" s="19" t="s">
        <v>189</v>
      </c>
      <c r="AE36" s="19" t="s">
        <v>189</v>
      </c>
      <c r="AF36" s="19" t="s">
        <v>189</v>
      </c>
      <c r="AG36" s="19" t="s">
        <v>189</v>
      </c>
      <c r="AH36" s="19" t="s">
        <v>189</v>
      </c>
      <c r="AI36" s="19" t="s">
        <v>189</v>
      </c>
      <c r="AJ36" s="19" t="s">
        <v>189</v>
      </c>
      <c r="AK36" s="19" t="s">
        <v>189</v>
      </c>
      <c r="AL36" s="19" t="s">
        <v>189</v>
      </c>
      <c r="AM36" s="19" t="s">
        <v>189</v>
      </c>
      <c r="AN36" s="19" t="s">
        <v>189</v>
      </c>
    </row>
    <row r="37" spans="1:40" x14ac:dyDescent="0.25">
      <c r="A37" t="s">
        <v>2</v>
      </c>
      <c r="B37" t="str">
        <f>TRIM(D1_OCTUBRE[[#This Row],[ASESOR]])</f>
        <v>MARIA HUARCAYA</v>
      </c>
      <c r="C37" t="s">
        <v>38</v>
      </c>
      <c r="D37">
        <v>30627</v>
      </c>
      <c r="E37">
        <v>0.95709374999999997</v>
      </c>
      <c r="F37" t="str">
        <f>D1_OCTUBRE[[#This Row],[SUPER]]</f>
        <v>JORGE</v>
      </c>
      <c r="L37">
        <v>14</v>
      </c>
      <c r="M37" s="1">
        <f t="shared" si="0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1"/>
        <v/>
      </c>
      <c r="P37" t="str">
        <f>IF(DATA_OCTUBRE_2025[[#This Row],[ASER_]]="","",F31)</f>
        <v/>
      </c>
      <c r="Q37" t="str">
        <f>IF(DATA_OCTUBRE_2025[[#This Row],[SUPERVISOR]]="","",D31)</f>
        <v/>
      </c>
      <c r="R37" t="str">
        <f>IF(DATA_OCTUBRE_2025[[#This Row],[RECUPERO]]="","",VLOOKUP(DATA_OCTUBRE_2025[[#This Row],[SUPERVISOR]],$H:$I,2,0))</f>
        <v/>
      </c>
      <c r="S37" s="19" t="s">
        <v>189</v>
      </c>
      <c r="T37" s="19" t="s">
        <v>189</v>
      </c>
      <c r="U37" s="19" t="s">
        <v>189</v>
      </c>
      <c r="V37" s="19" t="s">
        <v>189</v>
      </c>
      <c r="W37" s="19" t="s">
        <v>189</v>
      </c>
      <c r="X37" s="19" t="s">
        <v>189</v>
      </c>
      <c r="Y37" s="19" t="s">
        <v>189</v>
      </c>
      <c r="Z37" s="19" t="s">
        <v>189</v>
      </c>
      <c r="AA37" s="19" t="s">
        <v>189</v>
      </c>
      <c r="AB37" s="19" t="s">
        <v>189</v>
      </c>
      <c r="AC37" s="19" t="s">
        <v>189</v>
      </c>
      <c r="AD37" s="19" t="s">
        <v>189</v>
      </c>
      <c r="AE37" s="19" t="s">
        <v>189</v>
      </c>
      <c r="AF37" s="19" t="s">
        <v>189</v>
      </c>
      <c r="AG37" s="19" t="s">
        <v>189</v>
      </c>
      <c r="AH37" s="19" t="s">
        <v>189</v>
      </c>
      <c r="AI37" s="19" t="s">
        <v>189</v>
      </c>
      <c r="AJ37" s="19" t="s">
        <v>189</v>
      </c>
      <c r="AK37" s="19" t="s">
        <v>189</v>
      </c>
      <c r="AL37" s="19" t="s">
        <v>189</v>
      </c>
      <c r="AM37" s="19" t="s">
        <v>189</v>
      </c>
      <c r="AN37" s="19" t="s">
        <v>189</v>
      </c>
    </row>
    <row r="38" spans="1:40" x14ac:dyDescent="0.25">
      <c r="A38" t="s">
        <v>2</v>
      </c>
      <c r="B38" t="str">
        <f>TRIM(D1_OCTUBRE[[#This Row],[ASESOR]])</f>
        <v>GENESIS VICUNA</v>
      </c>
      <c r="C38" t="s">
        <v>12</v>
      </c>
      <c r="D38">
        <v>27763</v>
      </c>
      <c r="E38">
        <v>0.86759375000000005</v>
      </c>
      <c r="F38" t="str">
        <f>D1_OCTUBRE[[#This Row],[SUPER]]</f>
        <v>JORGE</v>
      </c>
      <c r="L38">
        <v>15</v>
      </c>
      <c r="M38" s="1">
        <f t="shared" si="0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1"/>
        <v/>
      </c>
      <c r="P38" t="str">
        <f>IF(DATA_OCTUBRE_2025[[#This Row],[ASER_]]="","",F32)</f>
        <v/>
      </c>
      <c r="Q38" t="str">
        <f>IF(DATA_OCTUBRE_2025[[#This Row],[SUPERVISOR]]="","",D32)</f>
        <v/>
      </c>
      <c r="R38" t="str">
        <f>IF(DATA_OCTUBRE_2025[[#This Row],[RECUPERO]]="","",VLOOKUP(DATA_OCTUBRE_2025[[#This Row],[SUPERVISOR]],$H:$I,2,0))</f>
        <v/>
      </c>
      <c r="S38" s="19" t="s">
        <v>189</v>
      </c>
      <c r="T38" s="19" t="s">
        <v>189</v>
      </c>
      <c r="U38" s="19" t="s">
        <v>189</v>
      </c>
      <c r="V38" s="19" t="s">
        <v>189</v>
      </c>
      <c r="W38" s="19" t="s">
        <v>189</v>
      </c>
      <c r="X38" s="19" t="s">
        <v>189</v>
      </c>
      <c r="Y38" s="19" t="s">
        <v>189</v>
      </c>
      <c r="Z38" s="19" t="s">
        <v>189</v>
      </c>
      <c r="AA38" s="19" t="s">
        <v>189</v>
      </c>
      <c r="AB38" s="19" t="s">
        <v>189</v>
      </c>
      <c r="AC38" s="19" t="s">
        <v>189</v>
      </c>
      <c r="AD38" s="19" t="s">
        <v>189</v>
      </c>
      <c r="AE38" s="19" t="s">
        <v>189</v>
      </c>
      <c r="AF38" s="19" t="s">
        <v>189</v>
      </c>
      <c r="AG38" s="19" t="s">
        <v>189</v>
      </c>
      <c r="AH38" s="19" t="s">
        <v>189</v>
      </c>
      <c r="AI38" s="19" t="s">
        <v>189</v>
      </c>
      <c r="AJ38" s="19" t="s">
        <v>189</v>
      </c>
      <c r="AK38" s="19" t="s">
        <v>189</v>
      </c>
      <c r="AL38" s="19" t="s">
        <v>189</v>
      </c>
      <c r="AM38" s="19" t="s">
        <v>189</v>
      </c>
      <c r="AN38" s="19" t="s">
        <v>189</v>
      </c>
    </row>
    <row r="39" spans="1:40" x14ac:dyDescent="0.25">
      <c r="A39" t="s">
        <v>2</v>
      </c>
      <c r="B39" t="str">
        <f>TRIM(D1_OCTUBRE[[#This Row],[ASESOR]])</f>
        <v>SARITA GARAY</v>
      </c>
      <c r="C39" t="s">
        <v>73</v>
      </c>
      <c r="D39">
        <v>14095</v>
      </c>
      <c r="E39">
        <v>0.44046875000000002</v>
      </c>
      <c r="F39" t="str">
        <f>D1_OCTUBRE[[#This Row],[SUPER]]</f>
        <v>JORGE</v>
      </c>
      <c r="L39">
        <v>1</v>
      </c>
      <c r="M39" s="1">
        <f t="shared" si="0"/>
        <v>1.3979375000000001</v>
      </c>
      <c r="N39" t="str" cm="1">
        <f t="array" ref="N39">IFERROR(_xlfn.IFS(M39&gt;100%,"&gt;100%",AND(M39&lt;100%,M39&gt;70%),"&gt;70%",AND(M39&lt;70%,M39&gt;40%),"&gt;40%",AND(M39&lt;40%,M39&gt;0%),"&gt;0%"),"")</f>
        <v>&gt;100%</v>
      </c>
      <c r="O39" t="str">
        <f t="shared" si="1"/>
        <v>JHONATAN CHAVEZ</v>
      </c>
      <c r="P39" t="str">
        <f>IF(DATA_OCTUBRE_2025[[#This Row],[ASER_]]="","",F33)</f>
        <v>JORGE</v>
      </c>
      <c r="Q39">
        <f>IF(DATA_OCTUBRE_2025[[#This Row],[SUPERVISOR]]="","",D33)</f>
        <v>44734</v>
      </c>
      <c r="R39">
        <f>IF(DATA_OCTUBRE_2025[[#This Row],[RECUPERO]]="","",VLOOKUP(DATA_OCTUBRE_2025[[#This Row],[SUPERVISOR]],$H:$I,2,0))</f>
        <v>32000</v>
      </c>
      <c r="S39" s="19">
        <v>0</v>
      </c>
      <c r="T39" s="19">
        <v>0</v>
      </c>
      <c r="U39" s="19">
        <v>1200</v>
      </c>
      <c r="V39" s="19">
        <v>0</v>
      </c>
      <c r="W39" s="19">
        <v>3200</v>
      </c>
      <c r="X39" s="19">
        <v>0</v>
      </c>
      <c r="Y39" s="19">
        <v>800</v>
      </c>
      <c r="Z39" s="19">
        <v>0</v>
      </c>
      <c r="AA39" s="19">
        <v>3400</v>
      </c>
      <c r="AB39" s="19">
        <v>0</v>
      </c>
      <c r="AC39" s="19">
        <v>0</v>
      </c>
      <c r="AD39" s="19">
        <v>1500</v>
      </c>
      <c r="AE39" s="19">
        <v>1498</v>
      </c>
      <c r="AF39" s="19">
        <v>1000</v>
      </c>
      <c r="AG39" s="19">
        <v>0</v>
      </c>
      <c r="AH39" s="19">
        <v>1400</v>
      </c>
      <c r="AI39" s="19">
        <v>3200</v>
      </c>
      <c r="AJ39" s="19">
        <v>0</v>
      </c>
      <c r="AK39" s="19">
        <v>13300</v>
      </c>
      <c r="AL39" s="19">
        <v>0</v>
      </c>
      <c r="AM39" s="19">
        <v>10319</v>
      </c>
      <c r="AN39" s="19">
        <v>3917</v>
      </c>
    </row>
    <row r="40" spans="1:40" x14ac:dyDescent="0.25">
      <c r="A40" t="s">
        <v>2</v>
      </c>
      <c r="B40" t="str">
        <f>TRIM(D1_OCTUBRE[[#This Row],[ASESOR]])</f>
        <v>CHRISTIAN ALVARADO</v>
      </c>
      <c r="C40" t="s">
        <v>41</v>
      </c>
      <c r="D40">
        <v>10734</v>
      </c>
      <c r="E40">
        <v>0.3354375</v>
      </c>
      <c r="F40" t="str">
        <f>D1_OCTUBRE[[#This Row],[SUPER]]</f>
        <v>JORGE</v>
      </c>
      <c r="L40">
        <v>2</v>
      </c>
      <c r="M40" s="1">
        <f t="shared" si="0"/>
        <v>0.99562499999999998</v>
      </c>
      <c r="N40" t="str" cm="1">
        <f t="array" ref="N40">IFERROR(_xlfn.IFS(M40&gt;100%,"&gt;100%",AND(M40&lt;100%,M40&gt;70%),"&gt;70%",AND(M40&lt;70%,M40&gt;40%),"&gt;40%",AND(M40&lt;40%,M40&gt;0%),"&gt;0%"),"")</f>
        <v>&gt;70%</v>
      </c>
      <c r="O40" t="str">
        <f t="shared" si="1"/>
        <v>MISHEL MORALES</v>
      </c>
      <c r="P40" t="str">
        <f>IF(DATA_OCTUBRE_2025[[#This Row],[ASER_]]="","",F34)</f>
        <v>JORGE</v>
      </c>
      <c r="Q40">
        <f>IF(DATA_OCTUBRE_2025[[#This Row],[SUPERVISOR]]="","",D34)</f>
        <v>31860</v>
      </c>
      <c r="R40">
        <f>IF(DATA_OCTUBRE_2025[[#This Row],[RECUPERO]]="","",VLOOKUP(DATA_OCTUBRE_2025[[#This Row],[SUPERVISOR]],$H:$I,2,0))</f>
        <v>32000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105</v>
      </c>
      <c r="Z40" s="19">
        <v>0</v>
      </c>
      <c r="AA40" s="19">
        <v>0</v>
      </c>
      <c r="AB40" s="19">
        <v>985</v>
      </c>
      <c r="AC40" s="19">
        <v>13000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2500</v>
      </c>
      <c r="AJ40" s="19">
        <v>0</v>
      </c>
      <c r="AK40" s="19">
        <v>0</v>
      </c>
      <c r="AL40" s="19">
        <v>600</v>
      </c>
      <c r="AM40" s="19">
        <v>860</v>
      </c>
      <c r="AN40" s="19">
        <v>13810</v>
      </c>
    </row>
    <row r="41" spans="1:40" x14ac:dyDescent="0.25">
      <c r="A41" t="s">
        <v>2</v>
      </c>
      <c r="B41" t="str">
        <f>TRIM(D1_OCTUBRE[[#This Row],[ASESOR]])</f>
        <v/>
      </c>
      <c r="E41">
        <v>0</v>
      </c>
      <c r="F41" t="str">
        <f>D1_OCTUBRE[[#This Row],[SUPER]]</f>
        <v>JORGE</v>
      </c>
      <c r="L41">
        <v>3</v>
      </c>
      <c r="M41" s="1">
        <f t="shared" si="0"/>
        <v>0.95665624999999999</v>
      </c>
      <c r="N41" t="str" cm="1">
        <f t="array" ref="N41">IFERROR(_xlfn.IFS(M41&gt;100%,"&gt;100%",AND(M41&lt;100%,M41&gt;70%),"&gt;70%",AND(M41&lt;70%,M41&gt;40%),"&gt;40%",AND(M41&lt;40%,M41&gt;0%),"&gt;0%"),"")</f>
        <v>&gt;70%</v>
      </c>
      <c r="O41" t="str">
        <f t="shared" si="1"/>
        <v>FRANS TACSI</v>
      </c>
      <c r="P41" t="str">
        <f>IF(DATA_OCTUBRE_2025[[#This Row],[ASER_]]="","",F35)</f>
        <v>JORGE</v>
      </c>
      <c r="Q41">
        <f>IF(DATA_OCTUBRE_2025[[#This Row],[SUPERVISOR]]="","",D35)</f>
        <v>30613</v>
      </c>
      <c r="R41">
        <f>IF(DATA_OCTUBRE_2025[[#This Row],[RECUPERO]]="","",VLOOKUP(DATA_OCTUBRE_2025[[#This Row],[SUPERVISOR]],$H:$I,2,0))</f>
        <v>32000</v>
      </c>
      <c r="S41" s="19">
        <v>600</v>
      </c>
      <c r="T41" s="19">
        <v>0</v>
      </c>
      <c r="U41" s="19">
        <v>600</v>
      </c>
      <c r="V41" s="19">
        <v>0</v>
      </c>
      <c r="W41" s="19">
        <v>0</v>
      </c>
      <c r="X41" s="19">
        <v>600</v>
      </c>
      <c r="Y41" s="19">
        <v>0</v>
      </c>
      <c r="Z41" s="19">
        <v>8800</v>
      </c>
      <c r="AA41" s="19">
        <v>2900</v>
      </c>
      <c r="AB41" s="19">
        <v>0</v>
      </c>
      <c r="AC41" s="19">
        <v>0</v>
      </c>
      <c r="AD41" s="19">
        <v>3000</v>
      </c>
      <c r="AE41" s="19">
        <v>600</v>
      </c>
      <c r="AF41" s="19">
        <v>0</v>
      </c>
      <c r="AG41" s="19">
        <v>0</v>
      </c>
      <c r="AH41" s="19">
        <v>400</v>
      </c>
      <c r="AI41" s="19">
        <v>0</v>
      </c>
      <c r="AJ41" s="19">
        <v>0</v>
      </c>
      <c r="AK41" s="19">
        <v>5000</v>
      </c>
      <c r="AL41" s="19">
        <v>1500</v>
      </c>
      <c r="AM41" s="19">
        <v>813</v>
      </c>
      <c r="AN41" s="19">
        <v>5800</v>
      </c>
    </row>
    <row r="42" spans="1:40" x14ac:dyDescent="0.25">
      <c r="A42" t="s">
        <v>2</v>
      </c>
      <c r="B42" t="str">
        <f>TRIM(D1_OCTUBRE[[#This Row],[ASESOR]])</f>
        <v/>
      </c>
      <c r="E42">
        <v>0</v>
      </c>
      <c r="F42" t="str">
        <f>D1_OCTUBRE[[#This Row],[SUPER]]</f>
        <v>JORGE</v>
      </c>
      <c r="L42">
        <v>4</v>
      </c>
      <c r="M42" s="1">
        <f t="shared" si="0"/>
        <v>0.96356249999999999</v>
      </c>
      <c r="N42" t="str" cm="1">
        <f t="array" ref="N42">IFERROR(_xlfn.IFS(M42&gt;100%,"&gt;100%",AND(M42&lt;100%,M42&gt;70%),"&gt;70%",AND(M42&lt;70%,M42&gt;40%),"&gt;40%",AND(M42&lt;40%,M42&gt;0%),"&gt;0%"),"")</f>
        <v>&gt;70%</v>
      </c>
      <c r="O42" t="str">
        <f t="shared" si="1"/>
        <v>ANDERSON RODRIGUEZ</v>
      </c>
      <c r="P42" t="str">
        <f>IF(DATA_OCTUBRE_2025[[#This Row],[ASER_]]="","",F36)</f>
        <v>JORGE</v>
      </c>
      <c r="Q42">
        <f>IF(DATA_OCTUBRE_2025[[#This Row],[SUPERVISOR]]="","",D36)</f>
        <v>30834</v>
      </c>
      <c r="R42">
        <f>IF(DATA_OCTUBRE_2025[[#This Row],[RECUPERO]]="","",VLOOKUP(DATA_OCTUBRE_2025[[#This Row],[SUPERVISOR]],$H:$I,2,0))</f>
        <v>32000</v>
      </c>
      <c r="S42" s="19">
        <v>250</v>
      </c>
      <c r="T42" s="19">
        <v>0</v>
      </c>
      <c r="U42" s="19">
        <v>600</v>
      </c>
      <c r="V42" s="19">
        <v>0</v>
      </c>
      <c r="W42" s="19">
        <v>0</v>
      </c>
      <c r="X42" s="19">
        <v>0</v>
      </c>
      <c r="Y42" s="19">
        <v>330</v>
      </c>
      <c r="Z42" s="19">
        <v>254</v>
      </c>
      <c r="AA42" s="19">
        <v>20000</v>
      </c>
      <c r="AB42" s="19">
        <v>0</v>
      </c>
      <c r="AC42" s="19">
        <v>0</v>
      </c>
      <c r="AD42" s="19">
        <v>0</v>
      </c>
      <c r="AE42" s="19">
        <v>500</v>
      </c>
      <c r="AF42" s="19">
        <v>3000</v>
      </c>
      <c r="AG42" s="19">
        <v>2100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3800</v>
      </c>
    </row>
    <row r="43" spans="1:40" x14ac:dyDescent="0.25">
      <c r="A43" t="s">
        <v>2</v>
      </c>
      <c r="B43" t="str">
        <f>TRIM(D1_OCTUBRE[[#This Row],[ASESOR]])</f>
        <v/>
      </c>
      <c r="E43">
        <v>0</v>
      </c>
      <c r="F43" t="str">
        <f>D1_OCTUBRE[[#This Row],[SUPER]]</f>
        <v>JORGE</v>
      </c>
      <c r="L43">
        <v>5</v>
      </c>
      <c r="M43" s="1">
        <f t="shared" si="0"/>
        <v>0.95709374999999997</v>
      </c>
      <c r="N43" t="str" cm="1">
        <f t="array" ref="N43">IFERROR(_xlfn.IFS(M43&gt;100%,"&gt;100%",AND(M43&lt;100%,M43&gt;70%),"&gt;70%",AND(M43&lt;70%,M43&gt;40%),"&gt;40%",AND(M43&lt;40%,M43&gt;0%),"&gt;0%"),"")</f>
        <v>&gt;70%</v>
      </c>
      <c r="O43" t="str">
        <f t="shared" si="1"/>
        <v>MARIA HUARCAYA</v>
      </c>
      <c r="P43" t="str">
        <f>IF(DATA_OCTUBRE_2025[[#This Row],[ASER_]]="","",F37)</f>
        <v>JORGE</v>
      </c>
      <c r="Q43">
        <f>IF(DATA_OCTUBRE_2025[[#This Row],[SUPERVISOR]]="","",D37)</f>
        <v>30627</v>
      </c>
      <c r="R43">
        <f>IF(DATA_OCTUBRE_2025[[#This Row],[RECUPERO]]="","",VLOOKUP(DATA_OCTUBRE_2025[[#This Row],[SUPERVISOR]],$H:$I,2,0))</f>
        <v>32000</v>
      </c>
      <c r="S43" s="19">
        <v>0</v>
      </c>
      <c r="T43" s="19">
        <v>0</v>
      </c>
      <c r="U43" s="19">
        <v>550</v>
      </c>
      <c r="V43" s="19">
        <v>850</v>
      </c>
      <c r="W43" s="19">
        <v>0</v>
      </c>
      <c r="X43" s="19">
        <v>180</v>
      </c>
      <c r="Y43" s="19">
        <v>1600</v>
      </c>
      <c r="Z43" s="19">
        <v>0</v>
      </c>
      <c r="AA43" s="19">
        <v>0</v>
      </c>
      <c r="AB43" s="19">
        <v>903.5</v>
      </c>
      <c r="AC43" s="19">
        <v>13500</v>
      </c>
      <c r="AD43" s="19">
        <v>0</v>
      </c>
      <c r="AE43" s="19">
        <v>787</v>
      </c>
      <c r="AF43" s="19">
        <v>0</v>
      </c>
      <c r="AG43" s="19">
        <v>600</v>
      </c>
      <c r="AH43" s="19">
        <v>1300</v>
      </c>
      <c r="AI43" s="19">
        <v>1000</v>
      </c>
      <c r="AJ43" s="19">
        <v>100</v>
      </c>
      <c r="AK43" s="19">
        <v>4000</v>
      </c>
      <c r="AL43" s="19">
        <v>0</v>
      </c>
      <c r="AM43" s="19">
        <v>0</v>
      </c>
      <c r="AN43" s="19">
        <v>5256.5</v>
      </c>
    </row>
    <row r="44" spans="1:40" x14ac:dyDescent="0.25">
      <c r="A44" t="s">
        <v>2</v>
      </c>
      <c r="B44" t="str">
        <f>TRIM(D1_OCTUBRE[[#This Row],[ASESOR]])</f>
        <v/>
      </c>
      <c r="E44">
        <v>0</v>
      </c>
      <c r="F44" t="str">
        <f>D1_OCTUBRE[[#This Row],[SUPER]]</f>
        <v>JORGE</v>
      </c>
      <c r="L44">
        <v>6</v>
      </c>
      <c r="M44" s="1">
        <f t="shared" si="0"/>
        <v>0.86759375000000005</v>
      </c>
      <c r="N44" t="str" cm="1">
        <f t="array" ref="N44">IFERROR(_xlfn.IFS(M44&gt;100%,"&gt;100%",AND(M44&lt;100%,M44&gt;70%),"&gt;70%",AND(M44&lt;70%,M44&gt;40%),"&gt;40%",AND(M44&lt;40%,M44&gt;0%),"&gt;0%"),"")</f>
        <v>&gt;70%</v>
      </c>
      <c r="O44" t="str">
        <f t="shared" si="1"/>
        <v>GENESIS VICUNA</v>
      </c>
      <c r="P44" t="str">
        <f>IF(DATA_OCTUBRE_2025[[#This Row],[ASER_]]="","",F38)</f>
        <v>JORGE</v>
      </c>
      <c r="Q44">
        <f>IF(DATA_OCTUBRE_2025[[#This Row],[SUPERVISOR]]="","",D38)</f>
        <v>27763</v>
      </c>
      <c r="R44">
        <f>IF(DATA_OCTUBRE_2025[[#This Row],[RECUPERO]]="","",VLOOKUP(DATA_OCTUBRE_2025[[#This Row],[SUPERVISOR]],$H:$I,2,0))</f>
        <v>32000</v>
      </c>
      <c r="S44" s="19">
        <v>0</v>
      </c>
      <c r="T44" s="19">
        <v>0</v>
      </c>
      <c r="U44" s="19">
        <v>1900</v>
      </c>
      <c r="V44" s="19">
        <v>600</v>
      </c>
      <c r="W44" s="19">
        <v>0</v>
      </c>
      <c r="X44" s="19">
        <v>1100</v>
      </c>
      <c r="Y44" s="19">
        <v>800</v>
      </c>
      <c r="Z44" s="19">
        <v>3500</v>
      </c>
      <c r="AA44" s="19">
        <v>0</v>
      </c>
      <c r="AB44" s="19">
        <v>1282</v>
      </c>
      <c r="AC44" s="19">
        <v>0</v>
      </c>
      <c r="AD44" s="19">
        <v>0</v>
      </c>
      <c r="AE44" s="19">
        <v>0</v>
      </c>
      <c r="AF44" s="19">
        <v>600</v>
      </c>
      <c r="AG44" s="19">
        <v>3450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531</v>
      </c>
      <c r="AN44" s="19">
        <v>14000</v>
      </c>
    </row>
    <row r="45" spans="1:40" x14ac:dyDescent="0.25">
      <c r="A45" t="s">
        <v>2</v>
      </c>
      <c r="B45" t="str">
        <f>TRIM(D1_OCTUBRE[[#This Row],[ASESOR]])</f>
        <v/>
      </c>
      <c r="E45">
        <v>0</v>
      </c>
      <c r="F45" t="str">
        <f>D1_OCTUBRE[[#This Row],[SUPER]]</f>
        <v>JORGE</v>
      </c>
      <c r="L45">
        <v>7</v>
      </c>
      <c r="M45" s="1">
        <f t="shared" si="0"/>
        <v>0.44046875000000002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1"/>
        <v>SARITA GARAY</v>
      </c>
      <c r="P45" t="str">
        <f>IF(DATA_OCTUBRE_2025[[#This Row],[ASER_]]="","",F39)</f>
        <v>JORGE</v>
      </c>
      <c r="Q45">
        <f>IF(DATA_OCTUBRE_2025[[#This Row],[SUPERVISOR]]="","",D39)</f>
        <v>14095</v>
      </c>
      <c r="R45">
        <f>IF(DATA_OCTUBRE_2025[[#This Row],[RECUPERO]]="","",VLOOKUP(DATA_OCTUBRE_2025[[#This Row],[SUPERVISOR]],$H:$I,2,0))</f>
        <v>32000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1200</v>
      </c>
      <c r="Y45" s="19">
        <v>650</v>
      </c>
      <c r="Z45" s="19">
        <v>0</v>
      </c>
      <c r="AA45" s="19">
        <v>0</v>
      </c>
      <c r="AB45" s="19">
        <v>700</v>
      </c>
      <c r="AC45" s="19">
        <v>0</v>
      </c>
      <c r="AD45" s="19">
        <v>0</v>
      </c>
      <c r="AE45" s="19">
        <v>0</v>
      </c>
      <c r="AF45" s="19">
        <v>0</v>
      </c>
      <c r="AG45" s="19">
        <v>4500</v>
      </c>
      <c r="AH45" s="19">
        <v>0</v>
      </c>
      <c r="AI45" s="19">
        <v>510</v>
      </c>
      <c r="AJ45" s="19">
        <v>0</v>
      </c>
      <c r="AK45" s="19">
        <v>0</v>
      </c>
      <c r="AL45" s="19">
        <v>0</v>
      </c>
      <c r="AM45" s="19">
        <v>850</v>
      </c>
      <c r="AN45" s="19">
        <v>5685</v>
      </c>
    </row>
    <row r="46" spans="1:40" x14ac:dyDescent="0.25">
      <c r="A46" t="s">
        <v>2</v>
      </c>
      <c r="B46" t="str">
        <f>TRIM(D1_OCTUBRE[[#This Row],[ASESOR]])</f>
        <v/>
      </c>
      <c r="E46">
        <v>0</v>
      </c>
      <c r="F46" t="str">
        <f>D1_OCTUBRE[[#This Row],[SUPER]]</f>
        <v>JORGE</v>
      </c>
      <c r="L46">
        <v>8</v>
      </c>
      <c r="M46" s="1">
        <f t="shared" si="0"/>
        <v>0.3354375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1"/>
        <v>CHRISTIAN ALVARADO</v>
      </c>
      <c r="P46" t="str">
        <f>IF(DATA_OCTUBRE_2025[[#This Row],[ASER_]]="","",F40)</f>
        <v>JORGE</v>
      </c>
      <c r="Q46">
        <f>IF(DATA_OCTUBRE_2025[[#This Row],[SUPERVISOR]]="","",D40)</f>
        <v>10734</v>
      </c>
      <c r="R46">
        <f>IF(DATA_OCTUBRE_2025[[#This Row],[RECUPERO]]="","",VLOOKUP(DATA_OCTUBRE_2025[[#This Row],[SUPERVISOR]],$H:$I,2,0))</f>
        <v>32000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320</v>
      </c>
      <c r="Z46" s="19">
        <v>257</v>
      </c>
      <c r="AA46" s="19">
        <v>0</v>
      </c>
      <c r="AB46" s="19">
        <v>0</v>
      </c>
      <c r="AC46" s="19">
        <v>330</v>
      </c>
      <c r="AD46" s="19">
        <v>230</v>
      </c>
      <c r="AE46" s="19">
        <v>0</v>
      </c>
      <c r="AF46" s="19">
        <v>0</v>
      </c>
      <c r="AG46" s="19">
        <v>1000</v>
      </c>
      <c r="AH46" s="19">
        <v>300</v>
      </c>
      <c r="AI46" s="19">
        <v>5500</v>
      </c>
      <c r="AJ46" s="19">
        <v>1000</v>
      </c>
      <c r="AK46" s="19">
        <v>0</v>
      </c>
      <c r="AL46" s="19">
        <v>650</v>
      </c>
      <c r="AM46" s="19">
        <v>0</v>
      </c>
      <c r="AN46" s="19">
        <v>1147</v>
      </c>
    </row>
    <row r="47" spans="1:40" x14ac:dyDescent="0.25">
      <c r="A47" t="s">
        <v>2</v>
      </c>
      <c r="B47" t="str">
        <f>TRIM(D1_OCTUBRE[[#This Row],[ASESOR]])</f>
        <v/>
      </c>
      <c r="E47">
        <v>0</v>
      </c>
      <c r="F47" t="str">
        <f>D1_OCTUBRE[[#This Row],[SUPER]]</f>
        <v>JORGE</v>
      </c>
      <c r="L47">
        <v>9</v>
      </c>
      <c r="M47" s="1">
        <f t="shared" si="0"/>
        <v>0</v>
      </c>
      <c r="N47" t="str" cm="1">
        <f t="array" ref="N47">IFERROR(_xlfn.IFS(M47&gt;100%,"&gt;100%",AND(M47&lt;100%,M47&gt;70%),"&gt;70%",AND(M47&lt;70%,M47&gt;40%),"&gt;40%",AND(M47&lt;40%,M47&gt;0%),"&gt;0%"),"")</f>
        <v/>
      </c>
      <c r="O47" t="str">
        <f t="shared" si="1"/>
        <v/>
      </c>
      <c r="P47" t="str">
        <f>IF(DATA_OCTUBRE_2025[[#This Row],[ASER_]]="","",F41)</f>
        <v/>
      </c>
      <c r="Q47" t="str">
        <f>IF(DATA_OCTUBRE_2025[[#This Row],[SUPERVISOR]]="","",D41)</f>
        <v/>
      </c>
      <c r="R47" t="str">
        <f>IF(DATA_OCTUBRE_2025[[#This Row],[RECUPERO]]="","",VLOOKUP(DATA_OCTUBRE_2025[[#This Row],[SUPERVISOR]],$H:$I,2,0))</f>
        <v/>
      </c>
      <c r="S47" s="19" t="s">
        <v>189</v>
      </c>
      <c r="T47" s="19" t="s">
        <v>189</v>
      </c>
      <c r="U47" s="19" t="s">
        <v>189</v>
      </c>
      <c r="V47" s="19" t="s">
        <v>189</v>
      </c>
      <c r="W47" s="19" t="s">
        <v>189</v>
      </c>
      <c r="X47" s="19" t="s">
        <v>189</v>
      </c>
      <c r="Y47" s="19" t="s">
        <v>189</v>
      </c>
      <c r="Z47" s="19" t="s">
        <v>189</v>
      </c>
      <c r="AA47" s="19" t="s">
        <v>189</v>
      </c>
      <c r="AB47" s="19" t="s">
        <v>189</v>
      </c>
      <c r="AC47" s="19" t="s">
        <v>189</v>
      </c>
      <c r="AD47" s="19" t="s">
        <v>189</v>
      </c>
      <c r="AE47" s="19" t="s">
        <v>189</v>
      </c>
      <c r="AF47" s="19" t="s">
        <v>189</v>
      </c>
      <c r="AG47" s="19" t="s">
        <v>189</v>
      </c>
      <c r="AH47" s="19" t="s">
        <v>189</v>
      </c>
      <c r="AI47" s="19" t="s">
        <v>189</v>
      </c>
      <c r="AJ47" s="19" t="s">
        <v>189</v>
      </c>
      <c r="AK47" s="19" t="s">
        <v>189</v>
      </c>
      <c r="AL47" s="19" t="s">
        <v>189</v>
      </c>
      <c r="AM47" s="19" t="s">
        <v>189</v>
      </c>
      <c r="AN47" s="19" t="s">
        <v>189</v>
      </c>
    </row>
    <row r="48" spans="1:40" x14ac:dyDescent="0.25">
      <c r="A48" t="s">
        <v>5</v>
      </c>
      <c r="B48" t="str">
        <f>TRIM(D1_OCTUBRE[[#This Row],[ASESOR]])</f>
        <v>ERIKA VILLAR</v>
      </c>
      <c r="C48" t="s">
        <v>72</v>
      </c>
      <c r="D48">
        <v>49725.3</v>
      </c>
      <c r="E48">
        <v>1.5539156250000001</v>
      </c>
      <c r="F48" t="str">
        <f>D1_OCTUBRE[[#This Row],[SUPER]]</f>
        <v>JORDAN</v>
      </c>
      <c r="L48">
        <v>10</v>
      </c>
      <c r="M48" s="1">
        <f t="shared" si="0"/>
        <v>0</v>
      </c>
      <c r="N48" t="str" cm="1">
        <f t="array" ref="N48">IFERROR(_xlfn.IFS(M48&gt;100%,"&gt;100%",AND(M48&lt;100%,M48&gt;70%),"&gt;70%",AND(M48&lt;70%,M48&gt;40%),"&gt;40%",AND(M48&lt;40%,M48&gt;0%),"&gt;0%"),"")</f>
        <v/>
      </c>
      <c r="O48" t="str">
        <f t="shared" si="1"/>
        <v/>
      </c>
      <c r="P48" t="str">
        <f>IF(DATA_OCTUBRE_2025[[#This Row],[ASER_]]="","",F42)</f>
        <v/>
      </c>
      <c r="Q48" t="str">
        <f>IF(DATA_OCTUBRE_2025[[#This Row],[SUPERVISOR]]="","",D42)</f>
        <v/>
      </c>
      <c r="R48" t="str">
        <f>IF(DATA_OCTUBRE_2025[[#This Row],[RECUPERO]]="","",VLOOKUP(DATA_OCTUBRE_2025[[#This Row],[SUPERVISOR]],$H:$I,2,0))</f>
        <v/>
      </c>
      <c r="S48" s="19" t="s">
        <v>189</v>
      </c>
      <c r="T48" s="19" t="s">
        <v>189</v>
      </c>
      <c r="U48" s="19" t="s">
        <v>189</v>
      </c>
      <c r="V48" s="19" t="s">
        <v>189</v>
      </c>
      <c r="W48" s="19" t="s">
        <v>189</v>
      </c>
      <c r="X48" s="19" t="s">
        <v>189</v>
      </c>
      <c r="Y48" s="19" t="s">
        <v>189</v>
      </c>
      <c r="Z48" s="19" t="s">
        <v>189</v>
      </c>
      <c r="AA48" s="19" t="s">
        <v>189</v>
      </c>
      <c r="AB48" s="19" t="s">
        <v>189</v>
      </c>
      <c r="AC48" s="19" t="s">
        <v>189</v>
      </c>
      <c r="AD48" s="19" t="s">
        <v>189</v>
      </c>
      <c r="AE48" s="19" t="s">
        <v>189</v>
      </c>
      <c r="AF48" s="19" t="s">
        <v>189</v>
      </c>
      <c r="AG48" s="19" t="s">
        <v>189</v>
      </c>
      <c r="AH48" s="19" t="s">
        <v>189</v>
      </c>
      <c r="AI48" s="19" t="s">
        <v>189</v>
      </c>
      <c r="AJ48" s="19" t="s">
        <v>189</v>
      </c>
      <c r="AK48" s="19" t="s">
        <v>189</v>
      </c>
      <c r="AL48" s="19" t="s">
        <v>189</v>
      </c>
      <c r="AM48" s="19" t="s">
        <v>189</v>
      </c>
      <c r="AN48" s="19" t="s">
        <v>189</v>
      </c>
    </row>
    <row r="49" spans="1:40" x14ac:dyDescent="0.25">
      <c r="A49" t="s">
        <v>5</v>
      </c>
      <c r="B49" t="str">
        <f>TRIM(D1_OCTUBRE[[#This Row],[ASESOR]])</f>
        <v>LUCERO JORDAN</v>
      </c>
      <c r="C49" t="s">
        <v>68</v>
      </c>
      <c r="D49">
        <v>30222</v>
      </c>
      <c r="E49">
        <v>0.94443750000000004</v>
      </c>
      <c r="F49" t="str">
        <f>D1_OCTUBRE[[#This Row],[SUPER]]</f>
        <v>JORDAN</v>
      </c>
      <c r="L49">
        <v>11</v>
      </c>
      <c r="M49" s="1">
        <f t="shared" si="0"/>
        <v>0</v>
      </c>
      <c r="N49" t="str" cm="1">
        <f t="array" ref="N49">IFERROR(_xlfn.IFS(M49&gt;100%,"&gt;100%",AND(M49&lt;100%,M49&gt;70%),"&gt;70%",AND(M49&lt;70%,M49&gt;40%),"&gt;40%",AND(M49&lt;40%,M49&gt;0%),"&gt;0%"),"")</f>
        <v/>
      </c>
      <c r="O49" t="str">
        <f t="shared" si="1"/>
        <v/>
      </c>
      <c r="P49" t="str">
        <f>IF(DATA_OCTUBRE_2025[[#This Row],[ASER_]]="","",F43)</f>
        <v/>
      </c>
      <c r="Q49" t="str">
        <f>IF(DATA_OCTUBRE_2025[[#This Row],[SUPERVISOR]]="","",D43)</f>
        <v/>
      </c>
      <c r="R49" t="str">
        <f>IF(DATA_OCTUBRE_2025[[#This Row],[RECUPERO]]="","",VLOOKUP(DATA_OCTUBRE_2025[[#This Row],[SUPERVISOR]],$H:$I,2,0))</f>
        <v/>
      </c>
      <c r="S49" s="19" t="s">
        <v>189</v>
      </c>
      <c r="T49" s="19" t="s">
        <v>189</v>
      </c>
      <c r="U49" s="19" t="s">
        <v>189</v>
      </c>
      <c r="V49" s="19" t="s">
        <v>189</v>
      </c>
      <c r="W49" s="19" t="s">
        <v>189</v>
      </c>
      <c r="X49" s="19" t="s">
        <v>189</v>
      </c>
      <c r="Y49" s="19" t="s">
        <v>189</v>
      </c>
      <c r="Z49" s="19" t="s">
        <v>189</v>
      </c>
      <c r="AA49" s="19" t="s">
        <v>189</v>
      </c>
      <c r="AB49" s="19" t="s">
        <v>189</v>
      </c>
      <c r="AC49" s="19" t="s">
        <v>189</v>
      </c>
      <c r="AD49" s="19" t="s">
        <v>189</v>
      </c>
      <c r="AE49" s="19" t="s">
        <v>189</v>
      </c>
      <c r="AF49" s="19" t="s">
        <v>189</v>
      </c>
      <c r="AG49" s="19" t="s">
        <v>189</v>
      </c>
      <c r="AH49" s="19" t="s">
        <v>189</v>
      </c>
      <c r="AI49" s="19" t="s">
        <v>189</v>
      </c>
      <c r="AJ49" s="19" t="s">
        <v>189</v>
      </c>
      <c r="AK49" s="19" t="s">
        <v>189</v>
      </c>
      <c r="AL49" s="19" t="s">
        <v>189</v>
      </c>
      <c r="AM49" s="19" t="s">
        <v>189</v>
      </c>
      <c r="AN49" s="19" t="s">
        <v>189</v>
      </c>
    </row>
    <row r="50" spans="1:40" x14ac:dyDescent="0.25">
      <c r="A50" t="s">
        <v>5</v>
      </c>
      <c r="B50" t="str">
        <f>TRIM(D1_OCTUBRE[[#This Row],[ASESOR]])</f>
        <v>NATALIA MARIN</v>
      </c>
      <c r="C50" t="s">
        <v>79</v>
      </c>
      <c r="D50">
        <v>28700</v>
      </c>
      <c r="E50">
        <v>0.89687499999999998</v>
      </c>
      <c r="F50" t="str">
        <f>D1_OCTUBRE[[#This Row],[SUPER]]</f>
        <v>JORDAN</v>
      </c>
      <c r="L50">
        <v>12</v>
      </c>
      <c r="M50" s="1">
        <f t="shared" si="0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1"/>
        <v/>
      </c>
      <c r="P50" t="str">
        <f>IF(DATA_OCTUBRE_2025[[#This Row],[ASER_]]="","",F44)</f>
        <v/>
      </c>
      <c r="Q50" t="str">
        <f>IF(DATA_OCTUBRE_2025[[#This Row],[SUPERVISOR]]="","",D44)</f>
        <v/>
      </c>
      <c r="R50" t="str">
        <f>IF(DATA_OCTUBRE_2025[[#This Row],[RECUPERO]]="","",VLOOKUP(DATA_OCTUBRE_2025[[#This Row],[SUPERVISOR]],$H:$I,2,0))</f>
        <v/>
      </c>
      <c r="S50" s="19" t="s">
        <v>189</v>
      </c>
      <c r="T50" s="19" t="s">
        <v>189</v>
      </c>
      <c r="U50" s="19" t="s">
        <v>189</v>
      </c>
      <c r="V50" s="19" t="s">
        <v>189</v>
      </c>
      <c r="W50" s="19" t="s">
        <v>189</v>
      </c>
      <c r="X50" s="19" t="s">
        <v>189</v>
      </c>
      <c r="Y50" s="19" t="s">
        <v>189</v>
      </c>
      <c r="Z50" s="19" t="s">
        <v>189</v>
      </c>
      <c r="AA50" s="19" t="s">
        <v>189</v>
      </c>
      <c r="AB50" s="19" t="s">
        <v>189</v>
      </c>
      <c r="AC50" s="19" t="s">
        <v>189</v>
      </c>
      <c r="AD50" s="19" t="s">
        <v>189</v>
      </c>
      <c r="AE50" s="19" t="s">
        <v>189</v>
      </c>
      <c r="AF50" s="19" t="s">
        <v>189</v>
      </c>
      <c r="AG50" s="19" t="s">
        <v>189</v>
      </c>
      <c r="AH50" s="19" t="s">
        <v>189</v>
      </c>
      <c r="AI50" s="19" t="s">
        <v>189</v>
      </c>
      <c r="AJ50" s="19" t="s">
        <v>189</v>
      </c>
      <c r="AK50" s="19" t="s">
        <v>189</v>
      </c>
      <c r="AL50" s="19" t="s">
        <v>189</v>
      </c>
      <c r="AM50" s="19" t="s">
        <v>189</v>
      </c>
      <c r="AN50" s="19" t="s">
        <v>189</v>
      </c>
    </row>
    <row r="51" spans="1:40" x14ac:dyDescent="0.25">
      <c r="A51" t="s">
        <v>5</v>
      </c>
      <c r="B51" t="str">
        <f>TRIM(D1_OCTUBRE[[#This Row],[ASESOR]])</f>
        <v>JESSICA MELGAREJO</v>
      </c>
      <c r="C51" t="s">
        <v>99</v>
      </c>
      <c r="D51">
        <v>28363</v>
      </c>
      <c r="E51">
        <v>0.88634374999999999</v>
      </c>
      <c r="F51" t="str">
        <f>D1_OCTUBRE[[#This Row],[SUPER]]</f>
        <v>JORDAN</v>
      </c>
      <c r="L51">
        <v>13</v>
      </c>
      <c r="M51" s="1">
        <f t="shared" si="0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1"/>
        <v/>
      </c>
      <c r="P51" t="str">
        <f>IF(DATA_OCTUBRE_2025[[#This Row],[ASER_]]="","",F45)</f>
        <v/>
      </c>
      <c r="Q51" t="str">
        <f>IF(DATA_OCTUBRE_2025[[#This Row],[SUPERVISOR]]="","",D45)</f>
        <v/>
      </c>
      <c r="R51" t="str">
        <f>IF(DATA_OCTUBRE_2025[[#This Row],[RECUPERO]]="","",VLOOKUP(DATA_OCTUBRE_2025[[#This Row],[SUPERVISOR]],$H:$I,2,0))</f>
        <v/>
      </c>
      <c r="S51" s="19" t="s">
        <v>189</v>
      </c>
      <c r="T51" s="19" t="s">
        <v>189</v>
      </c>
      <c r="U51" s="19" t="s">
        <v>189</v>
      </c>
      <c r="V51" s="19" t="s">
        <v>189</v>
      </c>
      <c r="W51" s="19" t="s">
        <v>189</v>
      </c>
      <c r="X51" s="19" t="s">
        <v>189</v>
      </c>
      <c r="Y51" s="19" t="s">
        <v>189</v>
      </c>
      <c r="Z51" s="19" t="s">
        <v>189</v>
      </c>
      <c r="AA51" s="19" t="s">
        <v>189</v>
      </c>
      <c r="AB51" s="19" t="s">
        <v>189</v>
      </c>
      <c r="AC51" s="19" t="s">
        <v>189</v>
      </c>
      <c r="AD51" s="19" t="s">
        <v>189</v>
      </c>
      <c r="AE51" s="19" t="s">
        <v>189</v>
      </c>
      <c r="AF51" s="19" t="s">
        <v>189</v>
      </c>
      <c r="AG51" s="19" t="s">
        <v>189</v>
      </c>
      <c r="AH51" s="19" t="s">
        <v>189</v>
      </c>
      <c r="AI51" s="19" t="s">
        <v>189</v>
      </c>
      <c r="AJ51" s="19" t="s">
        <v>189</v>
      </c>
      <c r="AK51" s="19" t="s">
        <v>189</v>
      </c>
      <c r="AL51" s="19" t="s">
        <v>189</v>
      </c>
      <c r="AM51" s="19" t="s">
        <v>189</v>
      </c>
      <c r="AN51" s="19" t="s">
        <v>189</v>
      </c>
    </row>
    <row r="52" spans="1:40" x14ac:dyDescent="0.25">
      <c r="A52" t="s">
        <v>5</v>
      </c>
      <c r="B52" t="str">
        <f>TRIM(D1_OCTUBRE[[#This Row],[ASESOR]])</f>
        <v>JENY LAZARO</v>
      </c>
      <c r="C52" t="s">
        <v>26</v>
      </c>
      <c r="D52">
        <v>25797</v>
      </c>
      <c r="E52">
        <v>0.80615625000000002</v>
      </c>
      <c r="F52" t="str">
        <f>D1_OCTUBRE[[#This Row],[SUPER]]</f>
        <v>JORDAN</v>
      </c>
      <c r="L52">
        <v>14</v>
      </c>
      <c r="M52" s="1">
        <f t="shared" si="0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1"/>
        <v/>
      </c>
      <c r="P52" t="str">
        <f>IF(DATA_OCTUBRE_2025[[#This Row],[ASER_]]="","",F46)</f>
        <v/>
      </c>
      <c r="Q52" t="str">
        <f>IF(DATA_OCTUBRE_2025[[#This Row],[SUPERVISOR]]="","",D46)</f>
        <v/>
      </c>
      <c r="R52" t="str">
        <f>IF(DATA_OCTUBRE_2025[[#This Row],[RECUPERO]]="","",VLOOKUP(DATA_OCTUBRE_2025[[#This Row],[SUPERVISOR]],$H:$I,2,0))</f>
        <v/>
      </c>
      <c r="S52" s="19" t="s">
        <v>189</v>
      </c>
      <c r="T52" s="19" t="s">
        <v>189</v>
      </c>
      <c r="U52" s="19" t="s">
        <v>189</v>
      </c>
      <c r="V52" s="19" t="s">
        <v>189</v>
      </c>
      <c r="W52" s="19" t="s">
        <v>189</v>
      </c>
      <c r="X52" s="19" t="s">
        <v>189</v>
      </c>
      <c r="Y52" s="19" t="s">
        <v>189</v>
      </c>
      <c r="Z52" s="19" t="s">
        <v>189</v>
      </c>
      <c r="AA52" s="19" t="s">
        <v>189</v>
      </c>
      <c r="AB52" s="19" t="s">
        <v>189</v>
      </c>
      <c r="AC52" s="19" t="s">
        <v>189</v>
      </c>
      <c r="AD52" s="19" t="s">
        <v>189</v>
      </c>
      <c r="AE52" s="19" t="s">
        <v>189</v>
      </c>
      <c r="AF52" s="19" t="s">
        <v>189</v>
      </c>
      <c r="AG52" s="19" t="s">
        <v>189</v>
      </c>
      <c r="AH52" s="19" t="s">
        <v>189</v>
      </c>
      <c r="AI52" s="19" t="s">
        <v>189</v>
      </c>
      <c r="AJ52" s="19" t="s">
        <v>189</v>
      </c>
      <c r="AK52" s="19" t="s">
        <v>189</v>
      </c>
      <c r="AL52" s="19" t="s">
        <v>189</v>
      </c>
      <c r="AM52" s="19" t="s">
        <v>189</v>
      </c>
      <c r="AN52" s="19" t="s">
        <v>189</v>
      </c>
    </row>
    <row r="53" spans="1:40" x14ac:dyDescent="0.25">
      <c r="A53" t="s">
        <v>5</v>
      </c>
      <c r="B53" t="str">
        <f>TRIM(D1_OCTUBRE[[#This Row],[ASESOR]])</f>
        <v>ROCIO TERRONES</v>
      </c>
      <c r="C53" t="s">
        <v>107</v>
      </c>
      <c r="D53">
        <v>19299</v>
      </c>
      <c r="E53">
        <v>0.60309374999999998</v>
      </c>
      <c r="F53" t="str">
        <f>D1_OCTUBRE[[#This Row],[SUPER]]</f>
        <v>JORDAN</v>
      </c>
      <c r="L53">
        <v>15</v>
      </c>
      <c r="M53" s="1">
        <f t="shared" si="0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1"/>
        <v/>
      </c>
      <c r="P53" t="str">
        <f>IF(DATA_OCTUBRE_2025[[#This Row],[ASER_]]="","",F47)</f>
        <v/>
      </c>
      <c r="Q53" t="str">
        <f>IF(DATA_OCTUBRE_2025[[#This Row],[SUPERVISOR]]="","",D47)</f>
        <v/>
      </c>
      <c r="R53" t="str">
        <f>IF(DATA_OCTUBRE_2025[[#This Row],[RECUPERO]]="","",VLOOKUP(DATA_OCTUBRE_2025[[#This Row],[SUPERVISOR]],$H:$I,2,0))</f>
        <v/>
      </c>
      <c r="S53" s="19" t="s">
        <v>189</v>
      </c>
      <c r="T53" s="19" t="s">
        <v>189</v>
      </c>
      <c r="U53" s="19" t="s">
        <v>189</v>
      </c>
      <c r="V53" s="19" t="s">
        <v>189</v>
      </c>
      <c r="W53" s="19" t="s">
        <v>189</v>
      </c>
      <c r="X53" s="19" t="s">
        <v>189</v>
      </c>
      <c r="Y53" s="19" t="s">
        <v>189</v>
      </c>
      <c r="Z53" s="19" t="s">
        <v>189</v>
      </c>
      <c r="AA53" s="19" t="s">
        <v>189</v>
      </c>
      <c r="AB53" s="19" t="s">
        <v>189</v>
      </c>
      <c r="AC53" s="19" t="s">
        <v>189</v>
      </c>
      <c r="AD53" s="19" t="s">
        <v>189</v>
      </c>
      <c r="AE53" s="19" t="s">
        <v>189</v>
      </c>
      <c r="AF53" s="19" t="s">
        <v>189</v>
      </c>
      <c r="AG53" s="19" t="s">
        <v>189</v>
      </c>
      <c r="AH53" s="19" t="s">
        <v>189</v>
      </c>
      <c r="AI53" s="19" t="s">
        <v>189</v>
      </c>
      <c r="AJ53" s="19" t="s">
        <v>189</v>
      </c>
      <c r="AK53" s="19" t="s">
        <v>189</v>
      </c>
      <c r="AL53" s="19" t="s">
        <v>189</v>
      </c>
      <c r="AM53" s="19" t="s">
        <v>189</v>
      </c>
      <c r="AN53" s="19" t="s">
        <v>189</v>
      </c>
    </row>
    <row r="54" spans="1:40" x14ac:dyDescent="0.25">
      <c r="A54" t="s">
        <v>5</v>
      </c>
      <c r="B54" t="str">
        <f>TRIM(D1_OCTUBRE[[#This Row],[ASESOR]])</f>
        <v>ERICK PORTILLA</v>
      </c>
      <c r="C54" t="s">
        <v>28</v>
      </c>
      <c r="D54">
        <v>11671</v>
      </c>
      <c r="E54">
        <v>0.36471874999999998</v>
      </c>
      <c r="F54" t="str">
        <f>D1_OCTUBRE[[#This Row],[SUPER]]</f>
        <v>JORDAN</v>
      </c>
      <c r="L54">
        <v>1</v>
      </c>
      <c r="M54" s="1">
        <f t="shared" si="0"/>
        <v>1.5539156250000001</v>
      </c>
      <c r="N54" t="str" cm="1">
        <f t="array" ref="N54">IFERROR(_xlfn.IFS(M54&gt;100%,"&gt;100%",AND(M54&lt;100%,M54&gt;70%),"&gt;70%",AND(M54&lt;70%,M54&gt;40%),"&gt;40%",AND(M54&lt;40%,M54&gt;0%),"&gt;0%"),"")</f>
        <v>&gt;100%</v>
      </c>
      <c r="O54" t="str">
        <f t="shared" si="1"/>
        <v>ERIKA VILLAR</v>
      </c>
      <c r="P54" t="str">
        <f>IF(DATA_OCTUBRE_2025[[#This Row],[ASER_]]="","",F48)</f>
        <v>JORDAN</v>
      </c>
      <c r="Q54">
        <f>IF(DATA_OCTUBRE_2025[[#This Row],[SUPERVISOR]]="","",D48)</f>
        <v>49725.3</v>
      </c>
      <c r="R54">
        <f>IF(DATA_OCTUBRE_2025[[#This Row],[RECUPERO]]="","",VLOOKUP(DATA_OCTUBRE_2025[[#This Row],[SUPERVISOR]],$H:$I,2,0))</f>
        <v>32000</v>
      </c>
      <c r="S54" s="19">
        <v>0</v>
      </c>
      <c r="T54" s="19">
        <v>0</v>
      </c>
      <c r="U54" s="19">
        <v>0</v>
      </c>
      <c r="V54" s="19">
        <v>0</v>
      </c>
      <c r="W54" s="19">
        <v>850</v>
      </c>
      <c r="X54" s="19">
        <v>0</v>
      </c>
      <c r="Y54" s="19">
        <v>0</v>
      </c>
      <c r="Z54" s="19">
        <v>650</v>
      </c>
      <c r="AA54" s="19">
        <v>950</v>
      </c>
      <c r="AB54" s="19">
        <v>1041</v>
      </c>
      <c r="AC54" s="19">
        <v>2200</v>
      </c>
      <c r="AD54" s="19">
        <v>0</v>
      </c>
      <c r="AE54" s="19">
        <v>0</v>
      </c>
      <c r="AF54" s="19">
        <v>0</v>
      </c>
      <c r="AG54" s="19">
        <v>0</v>
      </c>
      <c r="AH54" s="19">
        <v>2000</v>
      </c>
      <c r="AI54" s="19">
        <v>4684</v>
      </c>
      <c r="AJ54" s="19">
        <v>1100</v>
      </c>
      <c r="AK54" s="19">
        <v>9500</v>
      </c>
      <c r="AL54" s="19">
        <v>0</v>
      </c>
      <c r="AM54" s="19">
        <v>25550.3</v>
      </c>
      <c r="AN54" s="19">
        <v>1200</v>
      </c>
    </row>
    <row r="55" spans="1:40" x14ac:dyDescent="0.25">
      <c r="A55" t="s">
        <v>5</v>
      </c>
      <c r="B55" t="str">
        <f>TRIM(D1_OCTUBRE[[#This Row],[ASESOR]])</f>
        <v>MERLY CORONEL</v>
      </c>
      <c r="C55" t="s">
        <v>70</v>
      </c>
      <c r="D55">
        <v>4399</v>
      </c>
      <c r="E55">
        <v>0.13746875</v>
      </c>
      <c r="F55" t="str">
        <f>D1_OCTUBRE[[#This Row],[SUPER]]</f>
        <v>JORDAN</v>
      </c>
      <c r="L55">
        <v>2</v>
      </c>
      <c r="M55" s="1">
        <f t="shared" si="0"/>
        <v>0.94443750000000004</v>
      </c>
      <c r="N55" t="str" cm="1">
        <f t="array" ref="N55">IFERROR(_xlfn.IFS(M55&gt;100%,"&gt;100%",AND(M55&lt;100%,M55&gt;70%),"&gt;70%",AND(M55&lt;70%,M55&gt;40%),"&gt;40%",AND(M55&lt;40%,M55&gt;0%),"&gt;0%"),"")</f>
        <v>&gt;70%</v>
      </c>
      <c r="O55" t="str">
        <f t="shared" si="1"/>
        <v>LUCERO JORDAN</v>
      </c>
      <c r="P55" t="str">
        <f>IF(DATA_OCTUBRE_2025[[#This Row],[ASER_]]="","",F49)</f>
        <v>JORDAN</v>
      </c>
      <c r="Q55">
        <f>IF(DATA_OCTUBRE_2025[[#This Row],[SUPERVISOR]]="","",D49)</f>
        <v>30222</v>
      </c>
      <c r="R55">
        <f>IF(DATA_OCTUBRE_2025[[#This Row],[RECUPERO]]="","",VLOOKUP(DATA_OCTUBRE_2025[[#This Row],[SUPERVISOR]],$H:$I,2,0))</f>
        <v>32000</v>
      </c>
      <c r="S55" s="19">
        <v>1000</v>
      </c>
      <c r="T55" s="19">
        <v>0</v>
      </c>
      <c r="U55" s="19">
        <v>0</v>
      </c>
      <c r="V55" s="19">
        <v>0</v>
      </c>
      <c r="W55" s="19">
        <v>300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2100</v>
      </c>
      <c r="AE55" s="19">
        <v>0</v>
      </c>
      <c r="AF55" s="19">
        <v>0</v>
      </c>
      <c r="AG55" s="19">
        <v>2000</v>
      </c>
      <c r="AH55" s="19">
        <v>269</v>
      </c>
      <c r="AI55" s="19">
        <v>10545</v>
      </c>
      <c r="AJ55" s="19">
        <v>8000</v>
      </c>
      <c r="AK55" s="19">
        <v>0</v>
      </c>
      <c r="AL55" s="19">
        <v>261</v>
      </c>
      <c r="AM55" s="19">
        <v>4920</v>
      </c>
      <c r="AN55" s="19">
        <v>4000</v>
      </c>
    </row>
    <row r="56" spans="1:40" x14ac:dyDescent="0.25">
      <c r="A56" t="s">
        <v>5</v>
      </c>
      <c r="B56" t="str">
        <f>TRIM(D1_OCTUBRE[[#This Row],[ASESOR]])</f>
        <v/>
      </c>
      <c r="E56">
        <v>0</v>
      </c>
      <c r="F56" t="str">
        <f>D1_OCTUBRE[[#This Row],[SUPER]]</f>
        <v>JORDAN</v>
      </c>
      <c r="L56">
        <v>3</v>
      </c>
      <c r="M56" s="1">
        <f t="shared" si="0"/>
        <v>0.89687499999999998</v>
      </c>
      <c r="N56" t="str" cm="1">
        <f t="array" ref="N56">IFERROR(_xlfn.IFS(M56&gt;100%,"&gt;100%",AND(M56&lt;100%,M56&gt;70%),"&gt;70%",AND(M56&lt;70%,M56&gt;40%),"&gt;40%",AND(M56&lt;40%,M56&gt;0%),"&gt;0%"),"")</f>
        <v>&gt;70%</v>
      </c>
      <c r="O56" t="str">
        <f t="shared" si="1"/>
        <v>NATALIA MARIN</v>
      </c>
      <c r="P56" t="str">
        <f>IF(DATA_OCTUBRE_2025[[#This Row],[ASER_]]="","",F50)</f>
        <v>JORDAN</v>
      </c>
      <c r="Q56">
        <f>IF(DATA_OCTUBRE_2025[[#This Row],[SUPERVISOR]]="","",D50)</f>
        <v>28700</v>
      </c>
      <c r="R56">
        <f>IF(DATA_OCTUBRE_2025[[#This Row],[RECUPERO]]="","",VLOOKUP(DATA_OCTUBRE_2025[[#This Row],[SUPERVISOR]],$H:$I,2,0))</f>
        <v>32000</v>
      </c>
      <c r="S56" s="19">
        <v>0</v>
      </c>
      <c r="T56" s="19">
        <v>0</v>
      </c>
      <c r="U56" s="19">
        <v>0</v>
      </c>
      <c r="V56" s="19">
        <v>0</v>
      </c>
      <c r="W56" s="19">
        <v>2200</v>
      </c>
      <c r="X56" s="19">
        <v>9000</v>
      </c>
      <c r="Y56" s="19">
        <v>0</v>
      </c>
      <c r="Z56" s="19">
        <v>0</v>
      </c>
      <c r="AA56" s="19">
        <v>3600</v>
      </c>
      <c r="AB56" s="19">
        <v>0</v>
      </c>
      <c r="AC56" s="19">
        <v>0</v>
      </c>
      <c r="AD56" s="19">
        <v>1500</v>
      </c>
      <c r="AE56" s="19">
        <v>0</v>
      </c>
      <c r="AF56" s="19">
        <v>0</v>
      </c>
      <c r="AG56" s="19">
        <v>6600</v>
      </c>
      <c r="AH56" s="19">
        <v>0</v>
      </c>
      <c r="AI56" s="19">
        <v>1600</v>
      </c>
      <c r="AJ56" s="19">
        <v>0</v>
      </c>
      <c r="AK56" s="19">
        <v>0</v>
      </c>
      <c r="AL56" s="19">
        <v>0</v>
      </c>
      <c r="AM56" s="19">
        <v>3800</v>
      </c>
      <c r="AN56" s="19">
        <v>400</v>
      </c>
    </row>
    <row r="57" spans="1:40" x14ac:dyDescent="0.25">
      <c r="A57" t="s">
        <v>5</v>
      </c>
      <c r="B57" t="str">
        <f>TRIM(D1_OCTUBRE[[#This Row],[ASESOR]])</f>
        <v/>
      </c>
      <c r="E57">
        <v>0</v>
      </c>
      <c r="F57" t="str">
        <f>D1_OCTUBRE[[#This Row],[SUPER]]</f>
        <v>JORDAN</v>
      </c>
      <c r="L57">
        <v>4</v>
      </c>
      <c r="M57" s="1">
        <f t="shared" si="0"/>
        <v>0.88634374999999999</v>
      </c>
      <c r="N57" t="str" cm="1">
        <f t="array" ref="N57">IFERROR(_xlfn.IFS(M57&gt;100%,"&gt;100%",AND(M57&lt;100%,M57&gt;70%),"&gt;70%",AND(M57&lt;70%,M57&gt;40%),"&gt;40%",AND(M57&lt;40%,M57&gt;0%),"&gt;0%"),"")</f>
        <v>&gt;70%</v>
      </c>
      <c r="O57" t="str">
        <f t="shared" si="1"/>
        <v>JESSICA MELGAREJO</v>
      </c>
      <c r="P57" t="str">
        <f>IF(DATA_OCTUBRE_2025[[#This Row],[ASER_]]="","",F51)</f>
        <v>JORDAN</v>
      </c>
      <c r="Q57">
        <f>IF(DATA_OCTUBRE_2025[[#This Row],[SUPERVISOR]]="","",D51)</f>
        <v>28363</v>
      </c>
      <c r="R57">
        <f>IF(DATA_OCTUBRE_2025[[#This Row],[RECUPERO]]="","",VLOOKUP(DATA_OCTUBRE_2025[[#This Row],[SUPERVISOR]],$H:$I,2,0))</f>
        <v>32000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1200</v>
      </c>
      <c r="AB57" s="19">
        <v>0</v>
      </c>
      <c r="AC57" s="19">
        <v>600</v>
      </c>
      <c r="AD57" s="19">
        <v>0</v>
      </c>
      <c r="AE57" s="19">
        <v>0</v>
      </c>
      <c r="AF57" s="19">
        <v>5000</v>
      </c>
      <c r="AG57" s="19">
        <v>0</v>
      </c>
      <c r="AH57" s="19">
        <v>300</v>
      </c>
      <c r="AI57" s="19">
        <v>5800</v>
      </c>
      <c r="AJ57" s="19">
        <v>0</v>
      </c>
      <c r="AK57" s="19">
        <v>160</v>
      </c>
      <c r="AL57" s="19">
        <v>4383</v>
      </c>
      <c r="AM57" s="19">
        <v>4520</v>
      </c>
      <c r="AN57" s="19">
        <v>0</v>
      </c>
    </row>
    <row r="58" spans="1:40" x14ac:dyDescent="0.25">
      <c r="A58" t="s">
        <v>5</v>
      </c>
      <c r="B58" t="str">
        <f>TRIM(D1_OCTUBRE[[#This Row],[ASESOR]])</f>
        <v/>
      </c>
      <c r="E58">
        <v>0</v>
      </c>
      <c r="F58" t="str">
        <f>D1_OCTUBRE[[#This Row],[SUPER]]</f>
        <v>JORDAN</v>
      </c>
      <c r="L58">
        <v>5</v>
      </c>
      <c r="M58" s="1">
        <f t="shared" si="0"/>
        <v>0.80615625000000002</v>
      </c>
      <c r="N58" t="str" cm="1">
        <f t="array" ref="N58">IFERROR(_xlfn.IFS(M58&gt;100%,"&gt;100%",AND(M58&lt;100%,M58&gt;70%),"&gt;70%",AND(M58&lt;70%,M58&gt;40%),"&gt;40%",AND(M58&lt;40%,M58&gt;0%),"&gt;0%"),"")</f>
        <v>&gt;70%</v>
      </c>
      <c r="O58" t="str">
        <f t="shared" si="1"/>
        <v>JENY LAZARO</v>
      </c>
      <c r="P58" t="str">
        <f>IF(DATA_OCTUBRE_2025[[#This Row],[ASER_]]="","",F52)</f>
        <v>JORDAN</v>
      </c>
      <c r="Q58">
        <f>IF(DATA_OCTUBRE_2025[[#This Row],[SUPERVISOR]]="","",D52)</f>
        <v>25797</v>
      </c>
      <c r="R58">
        <f>IF(DATA_OCTUBRE_2025[[#This Row],[RECUPERO]]="","",VLOOKUP(DATA_OCTUBRE_2025[[#This Row],[SUPERVISOR]],$H:$I,2,0))</f>
        <v>32000</v>
      </c>
      <c r="S58" s="19">
        <v>0</v>
      </c>
      <c r="T58" s="19">
        <v>0</v>
      </c>
      <c r="U58" s="19">
        <v>400</v>
      </c>
      <c r="V58" s="19">
        <v>1262</v>
      </c>
      <c r="W58" s="19">
        <v>0</v>
      </c>
      <c r="X58" s="19">
        <v>800</v>
      </c>
      <c r="Y58" s="19">
        <v>3000</v>
      </c>
      <c r="Z58" s="19">
        <v>0</v>
      </c>
      <c r="AA58" s="19">
        <v>3500</v>
      </c>
      <c r="AB58" s="19">
        <v>0</v>
      </c>
      <c r="AC58" s="19">
        <v>800</v>
      </c>
      <c r="AD58" s="19">
        <v>3500</v>
      </c>
      <c r="AE58" s="19">
        <v>510</v>
      </c>
      <c r="AF58" s="19">
        <v>775</v>
      </c>
      <c r="AG58" s="19">
        <v>0</v>
      </c>
      <c r="AH58" s="19">
        <v>0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  <c r="AN58" s="19">
        <v>11250</v>
      </c>
    </row>
    <row r="59" spans="1:40" x14ac:dyDescent="0.25">
      <c r="A59" t="s">
        <v>5</v>
      </c>
      <c r="B59" t="str">
        <f>TRIM(D1_OCTUBRE[[#This Row],[ASESOR]])</f>
        <v/>
      </c>
      <c r="E59">
        <v>0</v>
      </c>
      <c r="F59" t="str">
        <f>D1_OCTUBRE[[#This Row],[SUPER]]</f>
        <v>JORDAN</v>
      </c>
      <c r="L59">
        <v>6</v>
      </c>
      <c r="M59" s="1">
        <f t="shared" si="0"/>
        <v>0.60309374999999998</v>
      </c>
      <c r="N59" t="str" cm="1">
        <f t="array" ref="N59">IFERROR(_xlfn.IFS(M59&gt;100%,"&gt;100%",AND(M59&lt;100%,M59&gt;70%),"&gt;70%",AND(M59&lt;70%,M59&gt;40%),"&gt;40%",AND(M59&lt;40%,M59&gt;0%),"&gt;0%"),"")</f>
        <v>&gt;40%</v>
      </c>
      <c r="O59" t="str">
        <f t="shared" si="1"/>
        <v>ROCIO TERRONES</v>
      </c>
      <c r="P59" t="str">
        <f>IF(DATA_OCTUBRE_2025[[#This Row],[ASER_]]="","",F53)</f>
        <v>JORDAN</v>
      </c>
      <c r="Q59">
        <f>IF(DATA_OCTUBRE_2025[[#This Row],[SUPERVISOR]]="","",D53)</f>
        <v>19299</v>
      </c>
      <c r="R59">
        <f>IF(DATA_OCTUBRE_2025[[#This Row],[RECUPERO]]="","",VLOOKUP(DATA_OCTUBRE_2025[[#This Row],[SUPERVISOR]],$H:$I,2,0))</f>
        <v>32000</v>
      </c>
      <c r="S59" s="19">
        <v>0</v>
      </c>
      <c r="T59" s="19">
        <v>0</v>
      </c>
      <c r="U59" s="19">
        <v>1900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0</v>
      </c>
      <c r="AD59" s="19">
        <v>0</v>
      </c>
      <c r="AE59" s="19">
        <v>5899</v>
      </c>
      <c r="AF59" s="19">
        <v>0</v>
      </c>
      <c r="AG59" s="19">
        <v>0</v>
      </c>
      <c r="AH59" s="19">
        <v>0</v>
      </c>
      <c r="AI59" s="19">
        <v>0</v>
      </c>
      <c r="AJ59" s="19">
        <v>1500</v>
      </c>
      <c r="AK59" s="19">
        <v>0</v>
      </c>
      <c r="AL59" s="19">
        <v>2000</v>
      </c>
      <c r="AM59" s="19">
        <v>6500</v>
      </c>
      <c r="AN59" s="19">
        <v>1500</v>
      </c>
    </row>
    <row r="60" spans="1:40" x14ac:dyDescent="0.25">
      <c r="A60" t="s">
        <v>5</v>
      </c>
      <c r="B60" t="str">
        <f>TRIM(D1_OCTUBRE[[#This Row],[ASESOR]])</f>
        <v/>
      </c>
      <c r="E60">
        <v>0</v>
      </c>
      <c r="F60" t="str">
        <f>D1_OCTUBRE[[#This Row],[SUPER]]</f>
        <v>JORDAN</v>
      </c>
      <c r="L60">
        <v>7</v>
      </c>
      <c r="M60" s="1">
        <f t="shared" si="0"/>
        <v>0.36471874999999998</v>
      </c>
      <c r="N60" t="str" cm="1">
        <f t="array" ref="N60">IFERROR(_xlfn.IFS(M60&gt;100%,"&gt;100%",AND(M60&lt;100%,M60&gt;70%),"&gt;70%",AND(M60&lt;70%,M60&gt;40%),"&gt;40%",AND(M60&lt;40%,M60&gt;0%),"&gt;0%"),"")</f>
        <v>&gt;0%</v>
      </c>
      <c r="O60" t="str">
        <f t="shared" si="1"/>
        <v>ERICK PORTILLA</v>
      </c>
      <c r="P60" t="str">
        <f>IF(DATA_OCTUBRE_2025[[#This Row],[ASER_]]="","",F54)</f>
        <v>JORDAN</v>
      </c>
      <c r="Q60">
        <f>IF(DATA_OCTUBRE_2025[[#This Row],[SUPERVISOR]]="","",D54)</f>
        <v>11671</v>
      </c>
      <c r="R60">
        <f>IF(DATA_OCTUBRE_2025[[#This Row],[RECUPERO]]="","",VLOOKUP(DATA_OCTUBRE_2025[[#This Row],[SUPERVISOR]],$H:$I,2,0))</f>
        <v>32000</v>
      </c>
      <c r="S60" s="19">
        <v>0</v>
      </c>
      <c r="T60" s="19">
        <v>0</v>
      </c>
      <c r="U60" s="19">
        <v>207</v>
      </c>
      <c r="V60" s="19">
        <v>0</v>
      </c>
      <c r="W60" s="19">
        <v>2000</v>
      </c>
      <c r="X60" s="19">
        <v>0</v>
      </c>
      <c r="Y60" s="19">
        <v>800</v>
      </c>
      <c r="Z60" s="19">
        <v>0</v>
      </c>
      <c r="AA60" s="19">
        <v>0</v>
      </c>
      <c r="AB60" s="19">
        <v>0</v>
      </c>
      <c r="AC60" s="19">
        <v>0</v>
      </c>
      <c r="AD60" s="19">
        <v>0</v>
      </c>
      <c r="AE60" s="19">
        <v>0</v>
      </c>
      <c r="AF60" s="19">
        <v>400</v>
      </c>
      <c r="AG60" s="19">
        <v>0</v>
      </c>
      <c r="AH60" s="19">
        <v>2700</v>
      </c>
      <c r="AI60" s="19">
        <v>0</v>
      </c>
      <c r="AJ60" s="19">
        <v>314</v>
      </c>
      <c r="AK60" s="19">
        <v>850</v>
      </c>
      <c r="AL60" s="19">
        <v>0</v>
      </c>
      <c r="AM60" s="19">
        <v>400</v>
      </c>
      <c r="AN60" s="19">
        <v>6400</v>
      </c>
    </row>
    <row r="61" spans="1:40" x14ac:dyDescent="0.25">
      <c r="A61" t="s">
        <v>5</v>
      </c>
      <c r="B61" t="str">
        <f>TRIM(D1_OCTUBRE[[#This Row],[ASESOR]])</f>
        <v/>
      </c>
      <c r="E61">
        <v>0</v>
      </c>
      <c r="F61" t="str">
        <f>D1_OCTUBRE[[#This Row],[SUPER]]</f>
        <v>JORDAN</v>
      </c>
      <c r="L61">
        <v>8</v>
      </c>
      <c r="M61" s="1">
        <f t="shared" si="0"/>
        <v>0.13746875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1"/>
        <v>MERLY CORONEL</v>
      </c>
      <c r="P61" t="str">
        <f>IF(DATA_OCTUBRE_2025[[#This Row],[ASER_]]="","",F55)</f>
        <v>JORDAN</v>
      </c>
      <c r="Q61">
        <f>IF(DATA_OCTUBRE_2025[[#This Row],[SUPERVISOR]]="","",D55)</f>
        <v>4399</v>
      </c>
      <c r="R61">
        <f>IF(DATA_OCTUBRE_2025[[#This Row],[RECUPERO]]="","",VLOOKUP(DATA_OCTUBRE_2025[[#This Row],[SUPERVISOR]],$H:$I,2,0))</f>
        <v>32000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851</v>
      </c>
      <c r="Y61" s="19">
        <v>0</v>
      </c>
      <c r="Z61" s="19">
        <v>1289</v>
      </c>
      <c r="AA61" s="19">
        <v>0</v>
      </c>
      <c r="AB61" s="19">
        <v>0</v>
      </c>
      <c r="AC61" s="19">
        <v>359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  <c r="AI61" s="19">
        <v>0</v>
      </c>
      <c r="AJ61" s="19">
        <v>700</v>
      </c>
      <c r="AK61" s="19">
        <v>0</v>
      </c>
      <c r="AL61" s="19">
        <v>200</v>
      </c>
      <c r="AM61" s="19">
        <v>1000</v>
      </c>
      <c r="AN61" s="19">
        <v>11250</v>
      </c>
    </row>
    <row r="62" spans="1:40" x14ac:dyDescent="0.25">
      <c r="A62" t="s">
        <v>5</v>
      </c>
      <c r="B62" t="str">
        <f>TRIM(D1_OCTUBRE[[#This Row],[ASESOR]])</f>
        <v/>
      </c>
      <c r="E62">
        <v>0</v>
      </c>
      <c r="F62" t="str">
        <f>D1_OCTUBRE[[#This Row],[SUPER]]</f>
        <v>JORDAN</v>
      </c>
      <c r="L62">
        <v>9</v>
      </c>
      <c r="M62" s="1">
        <f t="shared" si="0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1"/>
        <v/>
      </c>
      <c r="P62" t="str">
        <f>IF(DATA_OCTUBRE_2025[[#This Row],[ASER_]]="","",F56)</f>
        <v/>
      </c>
      <c r="Q62" t="str">
        <f>IF(DATA_OCTUBRE_2025[[#This Row],[SUPERVISOR]]="","",D56)</f>
        <v/>
      </c>
      <c r="R62" t="str">
        <f>IF(DATA_OCTUBRE_2025[[#This Row],[RECUPERO]]="","",VLOOKUP(DATA_OCTUBRE_2025[[#This Row],[SUPERVISOR]],$H:$I,2,0))</f>
        <v/>
      </c>
      <c r="S62" s="19" t="s">
        <v>189</v>
      </c>
      <c r="T62" s="19" t="s">
        <v>189</v>
      </c>
      <c r="U62" s="19" t="s">
        <v>189</v>
      </c>
      <c r="V62" s="19" t="s">
        <v>189</v>
      </c>
      <c r="W62" s="19" t="s">
        <v>189</v>
      </c>
      <c r="X62" s="19" t="s">
        <v>189</v>
      </c>
      <c r="Y62" s="19" t="s">
        <v>189</v>
      </c>
      <c r="Z62" s="19" t="s">
        <v>189</v>
      </c>
      <c r="AA62" s="19" t="s">
        <v>189</v>
      </c>
      <c r="AB62" s="19" t="s">
        <v>189</v>
      </c>
      <c r="AC62" s="19" t="s">
        <v>189</v>
      </c>
      <c r="AD62" s="19" t="s">
        <v>189</v>
      </c>
      <c r="AE62" s="19" t="s">
        <v>189</v>
      </c>
      <c r="AF62" s="19" t="s">
        <v>189</v>
      </c>
      <c r="AG62" s="19" t="s">
        <v>189</v>
      </c>
      <c r="AH62" s="19" t="s">
        <v>189</v>
      </c>
      <c r="AI62" s="19" t="s">
        <v>189</v>
      </c>
      <c r="AJ62" s="19" t="s">
        <v>189</v>
      </c>
      <c r="AK62" s="19" t="s">
        <v>189</v>
      </c>
      <c r="AL62" s="19" t="s">
        <v>189</v>
      </c>
      <c r="AM62" s="19" t="s">
        <v>189</v>
      </c>
      <c r="AN62" s="19" t="s">
        <v>189</v>
      </c>
    </row>
    <row r="63" spans="1:40" x14ac:dyDescent="0.25">
      <c r="A63" t="s">
        <v>6</v>
      </c>
      <c r="B63" t="str">
        <f>TRIM(D1_OCTUBRE[[#This Row],[ASESOR]])</f>
        <v>MARIA TINTAYA</v>
      </c>
      <c r="C63" t="s">
        <v>75</v>
      </c>
      <c r="D63">
        <v>103773</v>
      </c>
      <c r="E63">
        <v>1.9579811320754716</v>
      </c>
      <c r="F63" t="str">
        <f>D1_OCTUBRE[[#This Row],[SUPER]]</f>
        <v>KENNETH</v>
      </c>
      <c r="L63">
        <v>10</v>
      </c>
      <c r="M63" s="1">
        <f t="shared" si="0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1"/>
        <v/>
      </c>
      <c r="P63" t="str">
        <f>IF(DATA_OCTUBRE_2025[[#This Row],[ASER_]]="","",F57)</f>
        <v/>
      </c>
      <c r="Q63" t="str">
        <f>IF(DATA_OCTUBRE_2025[[#This Row],[SUPERVISOR]]="","",D57)</f>
        <v/>
      </c>
      <c r="R63" t="str">
        <f>IF(DATA_OCTUBRE_2025[[#This Row],[RECUPERO]]="","",VLOOKUP(DATA_OCTUBRE_2025[[#This Row],[SUPERVISOR]],$H:$I,2,0))</f>
        <v/>
      </c>
      <c r="S63" s="19" t="s">
        <v>189</v>
      </c>
      <c r="T63" s="19" t="s">
        <v>189</v>
      </c>
      <c r="U63" s="19" t="s">
        <v>189</v>
      </c>
      <c r="V63" s="19" t="s">
        <v>189</v>
      </c>
      <c r="W63" s="19" t="s">
        <v>189</v>
      </c>
      <c r="X63" s="19" t="s">
        <v>189</v>
      </c>
      <c r="Y63" s="19" t="s">
        <v>189</v>
      </c>
      <c r="Z63" s="19" t="s">
        <v>189</v>
      </c>
      <c r="AA63" s="19" t="s">
        <v>189</v>
      </c>
      <c r="AB63" s="19" t="s">
        <v>189</v>
      </c>
      <c r="AC63" s="19" t="s">
        <v>189</v>
      </c>
      <c r="AD63" s="19" t="s">
        <v>189</v>
      </c>
      <c r="AE63" s="19" t="s">
        <v>189</v>
      </c>
      <c r="AF63" s="19" t="s">
        <v>189</v>
      </c>
      <c r="AG63" s="19" t="s">
        <v>189</v>
      </c>
      <c r="AH63" s="19" t="s">
        <v>189</v>
      </c>
      <c r="AI63" s="19" t="s">
        <v>189</v>
      </c>
      <c r="AJ63" s="19" t="s">
        <v>189</v>
      </c>
      <c r="AK63" s="19" t="s">
        <v>189</v>
      </c>
      <c r="AL63" s="19" t="s">
        <v>189</v>
      </c>
      <c r="AM63" s="19" t="s">
        <v>189</v>
      </c>
      <c r="AN63" s="19" t="s">
        <v>189</v>
      </c>
    </row>
    <row r="64" spans="1:40" x14ac:dyDescent="0.25">
      <c r="A64" t="s">
        <v>6</v>
      </c>
      <c r="B64" t="str">
        <f>TRIM(D1_OCTUBRE[[#This Row],[ASESOR]])</f>
        <v>EVELY TENORIO</v>
      </c>
      <c r="C64" t="s">
        <v>22</v>
      </c>
      <c r="D64">
        <v>59800</v>
      </c>
      <c r="E64">
        <v>1.1283018867924528</v>
      </c>
      <c r="F64" t="str">
        <f>D1_OCTUBRE[[#This Row],[SUPER]]</f>
        <v>KENNETH</v>
      </c>
      <c r="L64">
        <v>11</v>
      </c>
      <c r="M64" s="1">
        <f t="shared" si="0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1"/>
        <v/>
      </c>
      <c r="P64" t="str">
        <f>IF(DATA_OCTUBRE_2025[[#This Row],[ASER_]]="","",F58)</f>
        <v/>
      </c>
      <c r="Q64" t="str">
        <f>IF(DATA_OCTUBRE_2025[[#This Row],[SUPERVISOR]]="","",D58)</f>
        <v/>
      </c>
      <c r="R64" t="str">
        <f>IF(DATA_OCTUBRE_2025[[#This Row],[RECUPERO]]="","",VLOOKUP(DATA_OCTUBRE_2025[[#This Row],[SUPERVISOR]],$H:$I,2,0))</f>
        <v/>
      </c>
      <c r="S64" s="19" t="s">
        <v>189</v>
      </c>
      <c r="T64" s="19" t="s">
        <v>189</v>
      </c>
      <c r="U64" s="19" t="s">
        <v>189</v>
      </c>
      <c r="V64" s="19" t="s">
        <v>189</v>
      </c>
      <c r="W64" s="19" t="s">
        <v>189</v>
      </c>
      <c r="X64" s="19" t="s">
        <v>189</v>
      </c>
      <c r="Y64" s="19" t="s">
        <v>189</v>
      </c>
      <c r="Z64" s="19" t="s">
        <v>189</v>
      </c>
      <c r="AA64" s="19" t="s">
        <v>189</v>
      </c>
      <c r="AB64" s="19" t="s">
        <v>189</v>
      </c>
      <c r="AC64" s="19" t="s">
        <v>189</v>
      </c>
      <c r="AD64" s="19" t="s">
        <v>189</v>
      </c>
      <c r="AE64" s="19" t="s">
        <v>189</v>
      </c>
      <c r="AF64" s="19" t="s">
        <v>189</v>
      </c>
      <c r="AG64" s="19" t="s">
        <v>189</v>
      </c>
      <c r="AH64" s="19" t="s">
        <v>189</v>
      </c>
      <c r="AI64" s="19" t="s">
        <v>189</v>
      </c>
      <c r="AJ64" s="19" t="s">
        <v>189</v>
      </c>
      <c r="AK64" s="19" t="s">
        <v>189</v>
      </c>
      <c r="AL64" s="19" t="s">
        <v>189</v>
      </c>
      <c r="AM64" s="19" t="s">
        <v>189</v>
      </c>
      <c r="AN64" s="19" t="s">
        <v>189</v>
      </c>
    </row>
    <row r="65" spans="1:40" x14ac:dyDescent="0.25">
      <c r="A65" t="s">
        <v>6</v>
      </c>
      <c r="B65" t="str">
        <f>TRIM(D1_OCTUBRE[[#This Row],[ASESOR]])</f>
        <v>URSULA CENTENO</v>
      </c>
      <c r="C65" t="s">
        <v>78</v>
      </c>
      <c r="D65">
        <v>50759</v>
      </c>
      <c r="E65">
        <v>0.95771698113207548</v>
      </c>
      <c r="F65" t="str">
        <f>D1_OCTUBRE[[#This Row],[SUPER]]</f>
        <v>KENNETH</v>
      </c>
      <c r="L65">
        <v>12</v>
      </c>
      <c r="M65" s="1">
        <f t="shared" si="0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1"/>
        <v/>
      </c>
      <c r="P65" t="str">
        <f>IF(DATA_OCTUBRE_2025[[#This Row],[ASER_]]="","",F59)</f>
        <v/>
      </c>
      <c r="Q65" t="str">
        <f>IF(DATA_OCTUBRE_2025[[#This Row],[SUPERVISOR]]="","",D59)</f>
        <v/>
      </c>
      <c r="R65" t="str">
        <f>IF(DATA_OCTUBRE_2025[[#This Row],[RECUPERO]]="","",VLOOKUP(DATA_OCTUBRE_2025[[#This Row],[SUPERVISOR]],$H:$I,2,0))</f>
        <v/>
      </c>
      <c r="S65" s="19" t="s">
        <v>189</v>
      </c>
      <c r="T65" s="19" t="s">
        <v>189</v>
      </c>
      <c r="U65" s="19" t="s">
        <v>189</v>
      </c>
      <c r="V65" s="19" t="s">
        <v>189</v>
      </c>
      <c r="W65" s="19" t="s">
        <v>189</v>
      </c>
      <c r="X65" s="19" t="s">
        <v>189</v>
      </c>
      <c r="Y65" s="19" t="s">
        <v>189</v>
      </c>
      <c r="Z65" s="19" t="s">
        <v>189</v>
      </c>
      <c r="AA65" s="19" t="s">
        <v>189</v>
      </c>
      <c r="AB65" s="19" t="s">
        <v>189</v>
      </c>
      <c r="AC65" s="19" t="s">
        <v>189</v>
      </c>
      <c r="AD65" s="19" t="s">
        <v>189</v>
      </c>
      <c r="AE65" s="19" t="s">
        <v>189</v>
      </c>
      <c r="AF65" s="19" t="s">
        <v>189</v>
      </c>
      <c r="AG65" s="19" t="s">
        <v>189</v>
      </c>
      <c r="AH65" s="19" t="s">
        <v>189</v>
      </c>
      <c r="AI65" s="19" t="s">
        <v>189</v>
      </c>
      <c r="AJ65" s="19" t="s">
        <v>189</v>
      </c>
      <c r="AK65" s="19" t="s">
        <v>189</v>
      </c>
      <c r="AL65" s="19" t="s">
        <v>189</v>
      </c>
      <c r="AM65" s="19" t="s">
        <v>189</v>
      </c>
      <c r="AN65" s="19" t="s">
        <v>189</v>
      </c>
    </row>
    <row r="66" spans="1:40" x14ac:dyDescent="0.25">
      <c r="A66" t="s">
        <v>6</v>
      </c>
      <c r="B66" t="str">
        <f>TRIM(D1_OCTUBRE[[#This Row],[ASESOR]])</f>
        <v>AURORA FAUSTOR</v>
      </c>
      <c r="C66" t="s">
        <v>67</v>
      </c>
      <c r="D66">
        <v>44785</v>
      </c>
      <c r="E66">
        <v>0.84499999999999997</v>
      </c>
      <c r="F66" t="str">
        <f>D1_OCTUBRE[[#This Row],[SUPER]]</f>
        <v>KENNETH</v>
      </c>
      <c r="L66">
        <v>13</v>
      </c>
      <c r="M66" s="1">
        <f t="shared" si="0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1"/>
        <v/>
      </c>
      <c r="P66" t="str">
        <f>IF(DATA_OCTUBRE_2025[[#This Row],[ASER_]]="","",F60)</f>
        <v/>
      </c>
      <c r="Q66" t="str">
        <f>IF(DATA_OCTUBRE_2025[[#This Row],[SUPERVISOR]]="","",D60)</f>
        <v/>
      </c>
      <c r="R66" t="str">
        <f>IF(DATA_OCTUBRE_2025[[#This Row],[RECUPERO]]="","",VLOOKUP(DATA_OCTUBRE_2025[[#This Row],[SUPERVISOR]],$H:$I,2,0))</f>
        <v/>
      </c>
      <c r="S66" s="19" t="s">
        <v>189</v>
      </c>
      <c r="T66" s="19" t="s">
        <v>189</v>
      </c>
      <c r="U66" s="19" t="s">
        <v>189</v>
      </c>
      <c r="V66" s="19" t="s">
        <v>189</v>
      </c>
      <c r="W66" s="19" t="s">
        <v>189</v>
      </c>
      <c r="X66" s="19" t="s">
        <v>189</v>
      </c>
      <c r="Y66" s="19" t="s">
        <v>189</v>
      </c>
      <c r="Z66" s="19" t="s">
        <v>189</v>
      </c>
      <c r="AA66" s="19" t="s">
        <v>189</v>
      </c>
      <c r="AB66" s="19" t="s">
        <v>189</v>
      </c>
      <c r="AC66" s="19" t="s">
        <v>189</v>
      </c>
      <c r="AD66" s="19" t="s">
        <v>189</v>
      </c>
      <c r="AE66" s="19" t="s">
        <v>189</v>
      </c>
      <c r="AF66" s="19" t="s">
        <v>189</v>
      </c>
      <c r="AG66" s="19" t="s">
        <v>189</v>
      </c>
      <c r="AH66" s="19" t="s">
        <v>189</v>
      </c>
      <c r="AI66" s="19" t="s">
        <v>189</v>
      </c>
      <c r="AJ66" s="19" t="s">
        <v>189</v>
      </c>
      <c r="AK66" s="19" t="s">
        <v>189</v>
      </c>
      <c r="AL66" s="19" t="s">
        <v>189</v>
      </c>
      <c r="AM66" s="19" t="s">
        <v>189</v>
      </c>
      <c r="AN66" s="19" t="s">
        <v>189</v>
      </c>
    </row>
    <row r="67" spans="1:40" x14ac:dyDescent="0.25">
      <c r="A67" t="s">
        <v>6</v>
      </c>
      <c r="B67" t="str">
        <f>TRIM(D1_OCTUBRE[[#This Row],[ASESOR]])</f>
        <v>LUPITA HIDALGO</v>
      </c>
      <c r="C67" t="s">
        <v>102</v>
      </c>
      <c r="D67">
        <v>38960</v>
      </c>
      <c r="E67">
        <v>0.73509433962264148</v>
      </c>
      <c r="F67" t="str">
        <f>D1_OCTUBRE[[#This Row],[SUPER]]</f>
        <v>KENNETH</v>
      </c>
      <c r="L67">
        <v>14</v>
      </c>
      <c r="M67" s="1">
        <f t="shared" si="0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1"/>
        <v/>
      </c>
      <c r="P67" t="str">
        <f>IF(DATA_OCTUBRE_2025[[#This Row],[ASER_]]="","",F61)</f>
        <v/>
      </c>
      <c r="Q67" t="str">
        <f>IF(DATA_OCTUBRE_2025[[#This Row],[SUPERVISOR]]="","",D61)</f>
        <v/>
      </c>
      <c r="R67" t="str">
        <f>IF(DATA_OCTUBRE_2025[[#This Row],[RECUPERO]]="","",VLOOKUP(DATA_OCTUBRE_2025[[#This Row],[SUPERVISOR]],$H:$I,2,0))</f>
        <v/>
      </c>
      <c r="S67" s="19" t="s">
        <v>189</v>
      </c>
      <c r="T67" s="19" t="s">
        <v>189</v>
      </c>
      <c r="U67" s="19" t="s">
        <v>189</v>
      </c>
      <c r="V67" s="19" t="s">
        <v>189</v>
      </c>
      <c r="W67" s="19" t="s">
        <v>189</v>
      </c>
      <c r="X67" s="19" t="s">
        <v>189</v>
      </c>
      <c r="Y67" s="19" t="s">
        <v>189</v>
      </c>
      <c r="Z67" s="19" t="s">
        <v>189</v>
      </c>
      <c r="AA67" s="19" t="s">
        <v>189</v>
      </c>
      <c r="AB67" s="19" t="s">
        <v>189</v>
      </c>
      <c r="AC67" s="19" t="s">
        <v>189</v>
      </c>
      <c r="AD67" s="19" t="s">
        <v>189</v>
      </c>
      <c r="AE67" s="19" t="s">
        <v>189</v>
      </c>
      <c r="AF67" s="19" t="s">
        <v>189</v>
      </c>
      <c r="AG67" s="19" t="s">
        <v>189</v>
      </c>
      <c r="AH67" s="19" t="s">
        <v>189</v>
      </c>
      <c r="AI67" s="19" t="s">
        <v>189</v>
      </c>
      <c r="AJ67" s="19" t="s">
        <v>189</v>
      </c>
      <c r="AK67" s="19" t="s">
        <v>189</v>
      </c>
      <c r="AL67" s="19" t="s">
        <v>189</v>
      </c>
      <c r="AM67" s="19" t="s">
        <v>189</v>
      </c>
      <c r="AN67" s="19" t="s">
        <v>189</v>
      </c>
    </row>
    <row r="68" spans="1:40" x14ac:dyDescent="0.25">
      <c r="A68" t="s">
        <v>6</v>
      </c>
      <c r="B68" t="str">
        <f>TRIM(D1_OCTUBRE[[#This Row],[ASESOR]])</f>
        <v>MEDALITH NESTARES</v>
      </c>
      <c r="C68" t="s">
        <v>36</v>
      </c>
      <c r="D68">
        <v>14534</v>
      </c>
      <c r="E68">
        <v>0.27422641509433965</v>
      </c>
      <c r="F68" t="str">
        <f>D1_OCTUBRE[[#This Row],[SUPER]]</f>
        <v>KENNETH</v>
      </c>
      <c r="L68">
        <v>15</v>
      </c>
      <c r="M68" s="1">
        <f t="shared" si="0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1"/>
        <v/>
      </c>
      <c r="P68" t="str">
        <f>IF(DATA_OCTUBRE_2025[[#This Row],[ASER_]]="","",F62)</f>
        <v/>
      </c>
      <c r="Q68" t="str">
        <f>IF(DATA_OCTUBRE_2025[[#This Row],[SUPERVISOR]]="","",D62)</f>
        <v/>
      </c>
      <c r="R68" t="str">
        <f>IF(DATA_OCTUBRE_2025[[#This Row],[RECUPERO]]="","",VLOOKUP(DATA_OCTUBRE_2025[[#This Row],[SUPERVISOR]],$H:$I,2,0))</f>
        <v/>
      </c>
      <c r="S68" s="19" t="s">
        <v>189</v>
      </c>
      <c r="T68" s="19" t="s">
        <v>189</v>
      </c>
      <c r="U68" s="19" t="s">
        <v>189</v>
      </c>
      <c r="V68" s="19" t="s">
        <v>189</v>
      </c>
      <c r="W68" s="19" t="s">
        <v>189</v>
      </c>
      <c r="X68" s="19" t="s">
        <v>189</v>
      </c>
      <c r="Y68" s="19" t="s">
        <v>189</v>
      </c>
      <c r="Z68" s="19" t="s">
        <v>189</v>
      </c>
      <c r="AA68" s="19" t="s">
        <v>189</v>
      </c>
      <c r="AB68" s="19" t="s">
        <v>189</v>
      </c>
      <c r="AC68" s="19" t="s">
        <v>189</v>
      </c>
      <c r="AD68" s="19" t="s">
        <v>189</v>
      </c>
      <c r="AE68" s="19" t="s">
        <v>189</v>
      </c>
      <c r="AF68" s="19" t="s">
        <v>189</v>
      </c>
      <c r="AG68" s="19" t="s">
        <v>189</v>
      </c>
      <c r="AH68" s="19" t="s">
        <v>189</v>
      </c>
      <c r="AI68" s="19" t="s">
        <v>189</v>
      </c>
      <c r="AJ68" s="19" t="s">
        <v>189</v>
      </c>
      <c r="AK68" s="19" t="s">
        <v>189</v>
      </c>
      <c r="AL68" s="19" t="s">
        <v>189</v>
      </c>
      <c r="AM68" s="19" t="s">
        <v>189</v>
      </c>
      <c r="AN68" s="19" t="s">
        <v>189</v>
      </c>
    </row>
    <row r="69" spans="1:40" x14ac:dyDescent="0.25">
      <c r="A69" t="s">
        <v>6</v>
      </c>
      <c r="B69" t="str">
        <f>TRIM(D1_OCTUBRE[[#This Row],[ASESOR]])</f>
        <v>LUIS VALLADARES</v>
      </c>
      <c r="C69" t="s">
        <v>29</v>
      </c>
      <c r="D69">
        <v>10361</v>
      </c>
      <c r="E69">
        <v>0.19549056603773585</v>
      </c>
      <c r="F69" t="str">
        <f>D1_OCTUBRE[[#This Row],[SUPER]]</f>
        <v>KENNETH</v>
      </c>
      <c r="L69">
        <v>1</v>
      </c>
      <c r="M69" s="1">
        <f t="shared" si="0"/>
        <v>1.9579811320754716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1"/>
        <v>MARIA TINTAYA</v>
      </c>
      <c r="P69" t="str">
        <f>IF(DATA_OCTUBRE_2025[[#This Row],[ASER_]]="","",F63)</f>
        <v>KENNETH</v>
      </c>
      <c r="Q69">
        <f>IF(DATA_OCTUBRE_2025[[#This Row],[SUPERVISOR]]="","",D63)</f>
        <v>103773</v>
      </c>
      <c r="R69">
        <f>IF(DATA_OCTUBRE_2025[[#This Row],[RECUPERO]]="","",VLOOKUP(DATA_OCTUBRE_2025[[#This Row],[SUPERVISOR]],$H:$I,2,0))</f>
        <v>53000</v>
      </c>
      <c r="S69" s="19">
        <v>1500</v>
      </c>
      <c r="T69" s="19">
        <v>0</v>
      </c>
      <c r="U69" s="19">
        <v>600</v>
      </c>
      <c r="V69" s="19">
        <v>0</v>
      </c>
      <c r="W69" s="19">
        <v>0</v>
      </c>
      <c r="X69" s="19">
        <v>0</v>
      </c>
      <c r="Y69" s="19">
        <v>0</v>
      </c>
      <c r="Z69" s="19">
        <v>28500</v>
      </c>
      <c r="AA69" s="19">
        <v>15000</v>
      </c>
      <c r="AB69" s="19">
        <v>0</v>
      </c>
      <c r="AC69" s="19">
        <v>0</v>
      </c>
      <c r="AD69" s="19">
        <v>7000</v>
      </c>
      <c r="AE69" s="19">
        <v>0</v>
      </c>
      <c r="AF69" s="19">
        <v>0</v>
      </c>
      <c r="AG69" s="19">
        <v>0</v>
      </c>
      <c r="AH69" s="19">
        <v>0</v>
      </c>
      <c r="AI69" s="19">
        <v>2000</v>
      </c>
      <c r="AJ69" s="19">
        <v>10000</v>
      </c>
      <c r="AK69" s="19">
        <v>1600</v>
      </c>
      <c r="AL69" s="19">
        <v>420</v>
      </c>
      <c r="AM69" s="19">
        <v>1049</v>
      </c>
      <c r="AN69" s="19">
        <v>36104</v>
      </c>
    </row>
    <row r="70" spans="1:40" x14ac:dyDescent="0.25">
      <c r="A70" t="s">
        <v>6</v>
      </c>
      <c r="B70" t="str">
        <f>TRIM(D1_OCTUBRE[[#This Row],[ASESOR]])</f>
        <v>LUIS CENTENO</v>
      </c>
      <c r="C70" t="s">
        <v>31</v>
      </c>
      <c r="D70">
        <v>7500</v>
      </c>
      <c r="E70">
        <v>0.14150943396226415</v>
      </c>
      <c r="F70" t="str">
        <f>D1_OCTUBRE[[#This Row],[SUPER]]</f>
        <v>KENNETH</v>
      </c>
      <c r="L70">
        <v>2</v>
      </c>
      <c r="M70" s="1">
        <f t="shared" si="0"/>
        <v>1.1283018867924528</v>
      </c>
      <c r="N70" t="str" cm="1">
        <f t="array" ref="N70">IFERROR(_xlfn.IFS(M70&gt;100%,"&gt;100%",AND(M70&lt;100%,M70&gt;70%),"&gt;70%",AND(M70&lt;70%,M70&gt;40%),"&gt;40%",AND(M70&lt;40%,M70&gt;0%),"&gt;0%"),"")</f>
        <v>&gt;100%</v>
      </c>
      <c r="O70" t="str">
        <f t="shared" si="1"/>
        <v>EVELY TENORIO</v>
      </c>
      <c r="P70" t="str">
        <f>IF(DATA_OCTUBRE_2025[[#This Row],[ASER_]]="","",F64)</f>
        <v>KENNETH</v>
      </c>
      <c r="Q70">
        <f>IF(DATA_OCTUBRE_2025[[#This Row],[SUPERVISOR]]="","",D64)</f>
        <v>59800</v>
      </c>
      <c r="R70">
        <f>IF(DATA_OCTUBRE_2025[[#This Row],[RECUPERO]]="","",VLOOKUP(DATA_OCTUBRE_2025[[#This Row],[SUPERVISOR]],$H:$I,2,0))</f>
        <v>53000</v>
      </c>
      <c r="S70" s="19">
        <v>0</v>
      </c>
      <c r="T70" s="19">
        <v>1000</v>
      </c>
      <c r="U70" s="19">
        <v>0</v>
      </c>
      <c r="V70" s="19">
        <v>0</v>
      </c>
      <c r="W70" s="19">
        <v>145</v>
      </c>
      <c r="X70" s="19">
        <v>350</v>
      </c>
      <c r="Y70" s="19">
        <v>3000</v>
      </c>
      <c r="Z70" s="19">
        <v>17830</v>
      </c>
      <c r="AA70" s="19">
        <v>0</v>
      </c>
      <c r="AB70" s="19">
        <v>0</v>
      </c>
      <c r="AC70" s="19">
        <v>19283</v>
      </c>
      <c r="AD70" s="19">
        <v>2300</v>
      </c>
      <c r="AE70" s="19">
        <v>0</v>
      </c>
      <c r="AF70" s="19">
        <v>0</v>
      </c>
      <c r="AG70" s="19">
        <v>800</v>
      </c>
      <c r="AH70" s="19">
        <v>687</v>
      </c>
      <c r="AI70" s="19">
        <v>4000</v>
      </c>
      <c r="AJ70" s="19">
        <v>0</v>
      </c>
      <c r="AK70" s="19">
        <v>0</v>
      </c>
      <c r="AL70" s="19">
        <v>5000</v>
      </c>
      <c r="AM70" s="19">
        <v>0</v>
      </c>
      <c r="AN70" s="19">
        <v>5405</v>
      </c>
    </row>
    <row r="71" spans="1:40" x14ac:dyDescent="0.25">
      <c r="A71" t="s">
        <v>6</v>
      </c>
      <c r="B71" t="str">
        <f>TRIM(D1_OCTUBRE[[#This Row],[ASESOR]])</f>
        <v/>
      </c>
      <c r="E71">
        <v>0</v>
      </c>
      <c r="F71" t="str">
        <f>D1_OCTUBRE[[#This Row],[SUPER]]</f>
        <v>KENNETH</v>
      </c>
      <c r="L71">
        <v>3</v>
      </c>
      <c r="M71" s="1">
        <f t="shared" si="0"/>
        <v>0.95771698113207548</v>
      </c>
      <c r="N71" t="str" cm="1">
        <f t="array" ref="N71">IFERROR(_xlfn.IFS(M71&gt;100%,"&gt;100%",AND(M71&lt;100%,M71&gt;70%),"&gt;70%",AND(M71&lt;70%,M71&gt;40%),"&gt;40%",AND(M71&lt;40%,M71&gt;0%),"&gt;0%"),"")</f>
        <v>&gt;70%</v>
      </c>
      <c r="O71" t="str">
        <f t="shared" si="1"/>
        <v>URSULA CENTENO</v>
      </c>
      <c r="P71" t="str">
        <f>IF(DATA_OCTUBRE_2025[[#This Row],[ASER_]]="","",F65)</f>
        <v>KENNETH</v>
      </c>
      <c r="Q71">
        <f>IF(DATA_OCTUBRE_2025[[#This Row],[SUPERVISOR]]="","",D65)</f>
        <v>50759</v>
      </c>
      <c r="R71">
        <f>IF(DATA_OCTUBRE_2025[[#This Row],[RECUPERO]]="","",VLOOKUP(DATA_OCTUBRE_2025[[#This Row],[SUPERVISOR]],$H:$I,2,0))</f>
        <v>53000</v>
      </c>
      <c r="S71" s="19">
        <v>0</v>
      </c>
      <c r="T71" s="19">
        <v>0</v>
      </c>
      <c r="U71" s="19">
        <v>1000</v>
      </c>
      <c r="V71" s="19">
        <v>500</v>
      </c>
      <c r="W71" s="19">
        <v>0</v>
      </c>
      <c r="X71" s="19">
        <v>400</v>
      </c>
      <c r="Y71" s="19">
        <v>0</v>
      </c>
      <c r="Z71" s="19">
        <v>2150</v>
      </c>
      <c r="AA71" s="19">
        <v>20000</v>
      </c>
      <c r="AB71" s="19">
        <v>3600</v>
      </c>
      <c r="AC71" s="19">
        <v>0</v>
      </c>
      <c r="AD71" s="19">
        <v>0</v>
      </c>
      <c r="AE71" s="19">
        <v>1057</v>
      </c>
      <c r="AF71" s="19">
        <v>1219</v>
      </c>
      <c r="AG71" s="19">
        <v>300</v>
      </c>
      <c r="AH71" s="19">
        <v>420</v>
      </c>
      <c r="AI71" s="19">
        <v>1847</v>
      </c>
      <c r="AJ71" s="19">
        <v>88</v>
      </c>
      <c r="AK71" s="19">
        <v>4000</v>
      </c>
      <c r="AL71" s="19">
        <v>1000</v>
      </c>
      <c r="AM71" s="19">
        <v>8600</v>
      </c>
      <c r="AN71" s="19">
        <v>4578</v>
      </c>
    </row>
    <row r="72" spans="1:40" x14ac:dyDescent="0.25">
      <c r="A72" t="s">
        <v>6</v>
      </c>
      <c r="B72" t="str">
        <f>TRIM(D1_OCTUBRE[[#This Row],[ASESOR]])</f>
        <v/>
      </c>
      <c r="E72">
        <v>0</v>
      </c>
      <c r="F72" t="str">
        <f>D1_OCTUBRE[[#This Row],[SUPER]]</f>
        <v>KENNETH</v>
      </c>
      <c r="L72">
        <v>4</v>
      </c>
      <c r="M72" s="1">
        <f t="shared" si="0"/>
        <v>0.84499999999999997</v>
      </c>
      <c r="N72" t="str" cm="1">
        <f t="array" ref="N72">IFERROR(_xlfn.IFS(M72&gt;100%,"&gt;100%",AND(M72&lt;100%,M72&gt;70%),"&gt;70%",AND(M72&lt;70%,M72&gt;40%),"&gt;40%",AND(M72&lt;40%,M72&gt;0%),"&gt;0%"),"")</f>
        <v>&gt;70%</v>
      </c>
      <c r="O72" t="str">
        <f t="shared" si="1"/>
        <v>AURORA FAUSTOR</v>
      </c>
      <c r="P72" t="str">
        <f>IF(DATA_OCTUBRE_2025[[#This Row],[ASER_]]="","",F66)</f>
        <v>KENNETH</v>
      </c>
      <c r="Q72">
        <f>IF(DATA_OCTUBRE_2025[[#This Row],[SUPERVISOR]]="","",D66)</f>
        <v>44785</v>
      </c>
      <c r="R72">
        <f>IF(DATA_OCTUBRE_2025[[#This Row],[RECUPERO]]="","",VLOOKUP(DATA_OCTUBRE_2025[[#This Row],[SUPERVISOR]],$H:$I,2,0))</f>
        <v>53000</v>
      </c>
      <c r="S72" s="19">
        <v>200</v>
      </c>
      <c r="T72" s="19">
        <v>830</v>
      </c>
      <c r="U72" s="19">
        <v>0</v>
      </c>
      <c r="V72" s="19">
        <v>331</v>
      </c>
      <c r="W72" s="19">
        <v>0</v>
      </c>
      <c r="X72" s="19">
        <v>250</v>
      </c>
      <c r="Y72" s="19">
        <v>1650</v>
      </c>
      <c r="Z72" s="19">
        <v>7000</v>
      </c>
      <c r="AA72" s="19">
        <v>0</v>
      </c>
      <c r="AB72" s="19">
        <v>4000</v>
      </c>
      <c r="AC72" s="19">
        <v>0</v>
      </c>
      <c r="AD72" s="19">
        <v>0</v>
      </c>
      <c r="AE72" s="19">
        <v>0</v>
      </c>
      <c r="AF72" s="19">
        <v>1000</v>
      </c>
      <c r="AG72" s="19">
        <v>1000</v>
      </c>
      <c r="AH72" s="19">
        <v>0</v>
      </c>
      <c r="AI72" s="19">
        <v>5000</v>
      </c>
      <c r="AJ72" s="19">
        <v>700</v>
      </c>
      <c r="AK72" s="19">
        <v>12700</v>
      </c>
      <c r="AL72" s="19">
        <v>1315</v>
      </c>
      <c r="AM72" s="19">
        <v>2505</v>
      </c>
      <c r="AN72" s="19">
        <v>6304</v>
      </c>
    </row>
    <row r="73" spans="1:40" x14ac:dyDescent="0.25">
      <c r="A73" t="s">
        <v>6</v>
      </c>
      <c r="B73" t="str">
        <f>TRIM(D1_OCTUBRE[[#This Row],[ASESOR]])</f>
        <v/>
      </c>
      <c r="E73">
        <v>0</v>
      </c>
      <c r="F73" t="str">
        <f>D1_OCTUBRE[[#This Row],[SUPER]]</f>
        <v>KENNETH</v>
      </c>
      <c r="L73">
        <v>5</v>
      </c>
      <c r="M73" s="1">
        <f t="shared" ref="M73:M128" si="2">E67</f>
        <v>0.73509433962264148</v>
      </c>
      <c r="N73" t="str" cm="1">
        <f t="array" ref="N73">IFERROR(_xlfn.IFS(M73&gt;100%,"&gt;100%",AND(M73&lt;100%,M73&gt;70%),"&gt;70%",AND(M73&lt;70%,M73&gt;40%),"&gt;40%",AND(M73&lt;40%,M73&gt;0%),"&gt;0%"),"")</f>
        <v>&gt;70%</v>
      </c>
      <c r="O73" t="str">
        <f t="shared" ref="O73:O128" si="3">B67</f>
        <v>LUPITA HIDALGO</v>
      </c>
      <c r="P73" t="str">
        <f>IF(DATA_OCTUBRE_2025[[#This Row],[ASER_]]="","",F67)</f>
        <v>KENNETH</v>
      </c>
      <c r="Q73">
        <f>IF(DATA_OCTUBRE_2025[[#This Row],[SUPERVISOR]]="","",D67)</f>
        <v>38960</v>
      </c>
      <c r="R73">
        <f>IF(DATA_OCTUBRE_2025[[#This Row],[RECUPERO]]="","",VLOOKUP(DATA_OCTUBRE_2025[[#This Row],[SUPERVISOR]],$H:$I,2,0))</f>
        <v>53000</v>
      </c>
      <c r="S73" s="19">
        <v>0</v>
      </c>
      <c r="T73" s="19">
        <v>0</v>
      </c>
      <c r="U73" s="19">
        <v>5000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</v>
      </c>
      <c r="AB73" s="19">
        <v>4000</v>
      </c>
      <c r="AC73" s="19">
        <v>2900</v>
      </c>
      <c r="AD73" s="19">
        <v>0</v>
      </c>
      <c r="AE73" s="19">
        <v>0</v>
      </c>
      <c r="AF73" s="19">
        <v>150</v>
      </c>
      <c r="AG73" s="19">
        <v>0</v>
      </c>
      <c r="AH73" s="19">
        <v>0</v>
      </c>
      <c r="AI73" s="19">
        <v>1580</v>
      </c>
      <c r="AJ73" s="19">
        <v>2000</v>
      </c>
      <c r="AK73" s="19">
        <v>0</v>
      </c>
      <c r="AL73" s="19">
        <v>0</v>
      </c>
      <c r="AM73" s="19">
        <v>4000</v>
      </c>
      <c r="AN73" s="19">
        <v>19330</v>
      </c>
    </row>
    <row r="74" spans="1:40" x14ac:dyDescent="0.25">
      <c r="A74" t="s">
        <v>6</v>
      </c>
      <c r="B74" t="str">
        <f>TRIM(D1_OCTUBRE[[#This Row],[ASESOR]])</f>
        <v/>
      </c>
      <c r="E74">
        <v>0</v>
      </c>
      <c r="F74" t="str">
        <f>D1_OCTUBRE[[#This Row],[SUPER]]</f>
        <v>KENNETH</v>
      </c>
      <c r="L74">
        <v>6</v>
      </c>
      <c r="M74" s="1">
        <f t="shared" si="2"/>
        <v>0.27422641509433965</v>
      </c>
      <c r="N74" t="str" cm="1">
        <f t="array" ref="N74">IFERROR(_xlfn.IFS(M74&gt;100%,"&gt;100%",AND(M74&lt;100%,M74&gt;70%),"&gt;70%",AND(M74&lt;70%,M74&gt;40%),"&gt;40%",AND(M74&lt;40%,M74&gt;0%),"&gt;0%"),"")</f>
        <v>&gt;0%</v>
      </c>
      <c r="O74" t="str">
        <f t="shared" si="3"/>
        <v>MEDALITH NESTARES</v>
      </c>
      <c r="P74" t="str">
        <f>IF(DATA_OCTUBRE_2025[[#This Row],[ASER_]]="","",F68)</f>
        <v>KENNETH</v>
      </c>
      <c r="Q74">
        <f>IF(DATA_OCTUBRE_2025[[#This Row],[SUPERVISOR]]="","",D68)</f>
        <v>14534</v>
      </c>
      <c r="R74">
        <f>IF(DATA_OCTUBRE_2025[[#This Row],[RECUPERO]]="","",VLOOKUP(DATA_OCTUBRE_2025[[#This Row],[SUPERVISOR]],$H:$I,2,0))</f>
        <v>53000</v>
      </c>
      <c r="S74" s="19">
        <v>0</v>
      </c>
      <c r="T74" s="19">
        <v>0</v>
      </c>
      <c r="U74" s="19">
        <v>600</v>
      </c>
      <c r="V74" s="19">
        <v>0</v>
      </c>
      <c r="W74" s="19">
        <v>1164</v>
      </c>
      <c r="X74" s="19">
        <v>0</v>
      </c>
      <c r="Y74" s="19">
        <v>0</v>
      </c>
      <c r="Z74" s="19">
        <v>0</v>
      </c>
      <c r="AA74" s="19">
        <v>900</v>
      </c>
      <c r="AB74" s="19">
        <v>0</v>
      </c>
      <c r="AC74" s="19">
        <v>0</v>
      </c>
      <c r="AD74" s="19">
        <v>0</v>
      </c>
      <c r="AE74" s="19">
        <v>600</v>
      </c>
      <c r="AF74" s="19">
        <v>930</v>
      </c>
      <c r="AG74" s="19">
        <v>600</v>
      </c>
      <c r="AH74" s="19">
        <v>0</v>
      </c>
      <c r="AI74" s="19">
        <v>0</v>
      </c>
      <c r="AJ74" s="19">
        <v>3000</v>
      </c>
      <c r="AK74" s="19">
        <v>300</v>
      </c>
      <c r="AL74" s="19">
        <v>0</v>
      </c>
      <c r="AM74" s="19">
        <v>600</v>
      </c>
      <c r="AN74" s="19">
        <v>6000</v>
      </c>
    </row>
    <row r="75" spans="1:40" x14ac:dyDescent="0.25">
      <c r="A75" t="s">
        <v>6</v>
      </c>
      <c r="B75" t="str">
        <f>TRIM(D1_OCTUBRE[[#This Row],[ASESOR]])</f>
        <v/>
      </c>
      <c r="E75">
        <v>0</v>
      </c>
      <c r="F75" t="str">
        <f>D1_OCTUBRE[[#This Row],[SUPER]]</f>
        <v>KENNETH</v>
      </c>
      <c r="L75">
        <v>7</v>
      </c>
      <c r="M75" s="1">
        <f t="shared" si="2"/>
        <v>0.19549056603773585</v>
      </c>
      <c r="N75" t="str" cm="1">
        <f t="array" ref="N75">IFERROR(_xlfn.IFS(M75&gt;100%,"&gt;100%",AND(M75&lt;100%,M75&gt;70%),"&gt;70%",AND(M75&lt;70%,M75&gt;40%),"&gt;40%",AND(M75&lt;40%,M75&gt;0%),"&gt;0%"),"")</f>
        <v>&gt;0%</v>
      </c>
      <c r="O75" t="str">
        <f t="shared" si="3"/>
        <v>LUIS VALLADARES</v>
      </c>
      <c r="P75" t="str">
        <f>IF(DATA_OCTUBRE_2025[[#This Row],[ASER_]]="","",F69)</f>
        <v>KENNETH</v>
      </c>
      <c r="Q75">
        <f>IF(DATA_OCTUBRE_2025[[#This Row],[SUPERVISOR]]="","",D69)</f>
        <v>10361</v>
      </c>
      <c r="R75">
        <f>IF(DATA_OCTUBRE_2025[[#This Row],[RECUPERO]]="","",VLOOKUP(DATA_OCTUBRE_2025[[#This Row],[SUPERVISOR]],$H:$I,2,0))</f>
        <v>53000</v>
      </c>
      <c r="S75" s="19">
        <v>600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292</v>
      </c>
      <c r="Z75" s="19">
        <v>569</v>
      </c>
      <c r="AA75" s="19">
        <v>0</v>
      </c>
      <c r="AB75" s="19">
        <v>0</v>
      </c>
      <c r="AC75" s="19">
        <v>0</v>
      </c>
      <c r="AD75" s="19">
        <v>0</v>
      </c>
      <c r="AE75" s="19">
        <v>2600</v>
      </c>
      <c r="AF75" s="19">
        <v>0</v>
      </c>
      <c r="AG75" s="19">
        <v>0</v>
      </c>
      <c r="AH75" s="19">
        <v>500</v>
      </c>
      <c r="AI75" s="19">
        <v>0</v>
      </c>
      <c r="AJ75" s="19">
        <v>0</v>
      </c>
      <c r="AK75" s="19">
        <v>2000</v>
      </c>
      <c r="AL75" s="19">
        <v>0</v>
      </c>
      <c r="AM75" s="19">
        <v>3000</v>
      </c>
      <c r="AN75" s="19">
        <v>800</v>
      </c>
    </row>
    <row r="76" spans="1:40" x14ac:dyDescent="0.25">
      <c r="A76" t="s">
        <v>6</v>
      </c>
      <c r="B76" t="str">
        <f>TRIM(D1_OCTUBRE[[#This Row],[ASESOR]])</f>
        <v/>
      </c>
      <c r="E76">
        <v>0</v>
      </c>
      <c r="F76" t="str">
        <f>D1_OCTUBRE[[#This Row],[SUPER]]</f>
        <v>KENNETH</v>
      </c>
      <c r="L76">
        <v>8</v>
      </c>
      <c r="M76" s="1">
        <f t="shared" si="2"/>
        <v>0.14150943396226415</v>
      </c>
      <c r="N76" t="str" cm="1">
        <f t="array" ref="N76">IFERROR(_xlfn.IFS(M76&gt;100%,"&gt;100%",AND(M76&lt;100%,M76&gt;70%),"&gt;70%",AND(M76&lt;70%,M76&gt;40%),"&gt;40%",AND(M76&lt;40%,M76&gt;0%),"&gt;0%"),"")</f>
        <v>&gt;0%</v>
      </c>
      <c r="O76" t="str">
        <f t="shared" si="3"/>
        <v>LUIS CENTENO</v>
      </c>
      <c r="P76" t="str">
        <f>IF(DATA_OCTUBRE_2025[[#This Row],[ASER_]]="","",F70)</f>
        <v>KENNETH</v>
      </c>
      <c r="Q76">
        <f>IF(DATA_OCTUBRE_2025[[#This Row],[SUPERVISOR]]="","",D70)</f>
        <v>7500</v>
      </c>
      <c r="R76">
        <f>IF(DATA_OCTUBRE_2025[[#This Row],[RECUPERO]]="","",VLOOKUP(DATA_OCTUBRE_2025[[#This Row],[SUPERVISOR]],$H:$I,2,0))</f>
        <v>53000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1000</v>
      </c>
      <c r="AJ76" s="19">
        <v>4000</v>
      </c>
      <c r="AK76" s="19">
        <v>0</v>
      </c>
      <c r="AL76" s="19">
        <v>0</v>
      </c>
      <c r="AM76" s="19">
        <v>2500</v>
      </c>
      <c r="AN76" s="19">
        <v>0</v>
      </c>
    </row>
    <row r="77" spans="1:40" x14ac:dyDescent="0.25">
      <c r="A77" t="s">
        <v>6</v>
      </c>
      <c r="B77" t="str">
        <f>TRIM(D1_OCTUBRE[[#This Row],[ASESOR]])</f>
        <v/>
      </c>
      <c r="E77">
        <v>0</v>
      </c>
      <c r="F77" t="str">
        <f>D1_OCTUBRE[[#This Row],[SUPER]]</f>
        <v>KENNETH</v>
      </c>
      <c r="L77">
        <v>9</v>
      </c>
      <c r="M77" s="1">
        <f t="shared" si="2"/>
        <v>0</v>
      </c>
      <c r="N77" t="str" cm="1">
        <f t="array" ref="N77">IFERROR(_xlfn.IFS(M77&gt;100%,"&gt;100%",AND(M77&lt;100%,M77&gt;70%),"&gt;70%",AND(M77&lt;70%,M77&gt;40%),"&gt;40%",AND(M77&lt;40%,M77&gt;0%),"&gt;0%"),"")</f>
        <v/>
      </c>
      <c r="O77" t="str">
        <f t="shared" si="3"/>
        <v/>
      </c>
      <c r="P77" t="str">
        <f>IF(DATA_OCTUBRE_2025[[#This Row],[ASER_]]="","",F71)</f>
        <v/>
      </c>
      <c r="Q77" t="str">
        <f>IF(DATA_OCTUBRE_2025[[#This Row],[SUPERVISOR]]="","",D71)</f>
        <v/>
      </c>
      <c r="R77" t="str">
        <f>IF(DATA_OCTUBRE_2025[[#This Row],[RECUPERO]]="","",VLOOKUP(DATA_OCTUBRE_2025[[#This Row],[SUPERVISOR]],$H:$I,2,0))</f>
        <v/>
      </c>
      <c r="S77" s="19" t="s">
        <v>189</v>
      </c>
      <c r="T77" s="19" t="s">
        <v>189</v>
      </c>
      <c r="U77" s="19" t="s">
        <v>189</v>
      </c>
      <c r="V77" s="19" t="s">
        <v>189</v>
      </c>
      <c r="W77" s="19" t="s">
        <v>189</v>
      </c>
      <c r="X77" s="19" t="s">
        <v>189</v>
      </c>
      <c r="Y77" s="19" t="s">
        <v>189</v>
      </c>
      <c r="Z77" s="19" t="s">
        <v>189</v>
      </c>
      <c r="AA77" s="19" t="s">
        <v>189</v>
      </c>
      <c r="AB77" s="19" t="s">
        <v>189</v>
      </c>
      <c r="AC77" s="19" t="s">
        <v>189</v>
      </c>
      <c r="AD77" s="19" t="s">
        <v>189</v>
      </c>
      <c r="AE77" s="19" t="s">
        <v>189</v>
      </c>
      <c r="AF77" s="19" t="s">
        <v>189</v>
      </c>
      <c r="AG77" s="19" t="s">
        <v>189</v>
      </c>
      <c r="AH77" s="19" t="s">
        <v>189</v>
      </c>
      <c r="AI77" s="19" t="s">
        <v>189</v>
      </c>
      <c r="AJ77" s="19" t="s">
        <v>189</v>
      </c>
      <c r="AK77" s="19" t="s">
        <v>189</v>
      </c>
      <c r="AL77" s="19" t="s">
        <v>189</v>
      </c>
      <c r="AM77" s="19" t="s">
        <v>189</v>
      </c>
      <c r="AN77" s="19" t="s">
        <v>189</v>
      </c>
    </row>
    <row r="78" spans="1:40" x14ac:dyDescent="0.25">
      <c r="A78" t="s">
        <v>7</v>
      </c>
      <c r="B78" t="str">
        <f>TRIM(D1_OCTUBRE[[#This Row],[ASESOR]])</f>
        <v>ANTHONY TORRES</v>
      </c>
      <c r="C78" t="s">
        <v>69</v>
      </c>
      <c r="D78">
        <v>73820</v>
      </c>
      <c r="E78">
        <v>1.3928301886792454</v>
      </c>
      <c r="F78" t="str">
        <f>D1_OCTUBRE[[#This Row],[SUPER]]</f>
        <v>LEONOR</v>
      </c>
      <c r="L78">
        <v>10</v>
      </c>
      <c r="M78" s="1">
        <f t="shared" si="2"/>
        <v>0</v>
      </c>
      <c r="N78" t="str" cm="1">
        <f t="array" ref="N78">IFERROR(_xlfn.IFS(M78&gt;100%,"&gt;100%",AND(M78&lt;100%,M78&gt;70%),"&gt;70%",AND(M78&lt;70%,M78&gt;40%),"&gt;40%",AND(M78&lt;40%,M78&gt;0%),"&gt;0%"),"")</f>
        <v/>
      </c>
      <c r="O78" t="str">
        <f t="shared" si="3"/>
        <v/>
      </c>
      <c r="P78" t="str">
        <f>IF(DATA_OCTUBRE_2025[[#This Row],[ASER_]]="","",F72)</f>
        <v/>
      </c>
      <c r="Q78" t="str">
        <f>IF(DATA_OCTUBRE_2025[[#This Row],[SUPERVISOR]]="","",D72)</f>
        <v/>
      </c>
      <c r="R78" t="str">
        <f>IF(DATA_OCTUBRE_2025[[#This Row],[RECUPERO]]="","",VLOOKUP(DATA_OCTUBRE_2025[[#This Row],[SUPERVISOR]],$H:$I,2,0))</f>
        <v/>
      </c>
      <c r="S78" s="19" t="s">
        <v>189</v>
      </c>
      <c r="T78" s="19" t="s">
        <v>189</v>
      </c>
      <c r="U78" s="19" t="s">
        <v>189</v>
      </c>
      <c r="V78" s="19" t="s">
        <v>189</v>
      </c>
      <c r="W78" s="19" t="s">
        <v>189</v>
      </c>
      <c r="X78" s="19" t="s">
        <v>189</v>
      </c>
      <c r="Y78" s="19" t="s">
        <v>189</v>
      </c>
      <c r="Z78" s="19" t="s">
        <v>189</v>
      </c>
      <c r="AA78" s="19" t="s">
        <v>189</v>
      </c>
      <c r="AB78" s="19" t="s">
        <v>189</v>
      </c>
      <c r="AC78" s="19" t="s">
        <v>189</v>
      </c>
      <c r="AD78" s="19" t="s">
        <v>189</v>
      </c>
      <c r="AE78" s="19" t="s">
        <v>189</v>
      </c>
      <c r="AF78" s="19" t="s">
        <v>189</v>
      </c>
      <c r="AG78" s="19" t="s">
        <v>189</v>
      </c>
      <c r="AH78" s="19" t="s">
        <v>189</v>
      </c>
      <c r="AI78" s="19" t="s">
        <v>189</v>
      </c>
      <c r="AJ78" s="19" t="s">
        <v>189</v>
      </c>
      <c r="AK78" s="19" t="s">
        <v>189</v>
      </c>
      <c r="AL78" s="19" t="s">
        <v>189</v>
      </c>
      <c r="AM78" s="19" t="s">
        <v>189</v>
      </c>
      <c r="AN78" s="19" t="s">
        <v>189</v>
      </c>
    </row>
    <row r="79" spans="1:40" x14ac:dyDescent="0.25">
      <c r="A79" t="s">
        <v>7</v>
      </c>
      <c r="B79" t="str">
        <f>TRIM(D1_OCTUBRE[[#This Row],[ASESOR]])</f>
        <v>ANALUCIA PONCE</v>
      </c>
      <c r="C79" t="s">
        <v>60</v>
      </c>
      <c r="D79">
        <v>29240</v>
      </c>
      <c r="E79">
        <v>0.55169811320754714</v>
      </c>
      <c r="F79" t="str">
        <f>D1_OCTUBRE[[#This Row],[SUPER]]</f>
        <v>LEONOR</v>
      </c>
      <c r="L79">
        <v>11</v>
      </c>
      <c r="M79" s="1">
        <f t="shared" si="2"/>
        <v>0</v>
      </c>
      <c r="N79" t="str" cm="1">
        <f t="array" ref="N79">IFERROR(_xlfn.IFS(M79&gt;100%,"&gt;100%",AND(M79&lt;100%,M79&gt;70%),"&gt;70%",AND(M79&lt;70%,M79&gt;40%),"&gt;40%",AND(M79&lt;40%,M79&gt;0%),"&gt;0%"),"")</f>
        <v/>
      </c>
      <c r="O79" t="str">
        <f t="shared" si="3"/>
        <v/>
      </c>
      <c r="P79" t="str">
        <f>IF(DATA_OCTUBRE_2025[[#This Row],[ASER_]]="","",F73)</f>
        <v/>
      </c>
      <c r="Q79" t="str">
        <f>IF(DATA_OCTUBRE_2025[[#This Row],[SUPERVISOR]]="","",D73)</f>
        <v/>
      </c>
      <c r="R79" t="str">
        <f>IF(DATA_OCTUBRE_2025[[#This Row],[RECUPERO]]="","",VLOOKUP(DATA_OCTUBRE_2025[[#This Row],[SUPERVISOR]],$H:$I,2,0))</f>
        <v/>
      </c>
      <c r="S79" s="19" t="s">
        <v>189</v>
      </c>
      <c r="T79" s="19" t="s">
        <v>189</v>
      </c>
      <c r="U79" s="19" t="s">
        <v>189</v>
      </c>
      <c r="V79" s="19" t="s">
        <v>189</v>
      </c>
      <c r="W79" s="19" t="s">
        <v>189</v>
      </c>
      <c r="X79" s="19" t="s">
        <v>189</v>
      </c>
      <c r="Y79" s="19" t="s">
        <v>189</v>
      </c>
      <c r="Z79" s="19" t="s">
        <v>189</v>
      </c>
      <c r="AA79" s="19" t="s">
        <v>189</v>
      </c>
      <c r="AB79" s="19" t="s">
        <v>189</v>
      </c>
      <c r="AC79" s="19" t="s">
        <v>189</v>
      </c>
      <c r="AD79" s="19" t="s">
        <v>189</v>
      </c>
      <c r="AE79" s="19" t="s">
        <v>189</v>
      </c>
      <c r="AF79" s="19" t="s">
        <v>189</v>
      </c>
      <c r="AG79" s="19" t="s">
        <v>189</v>
      </c>
      <c r="AH79" s="19" t="s">
        <v>189</v>
      </c>
      <c r="AI79" s="19" t="s">
        <v>189</v>
      </c>
      <c r="AJ79" s="19" t="s">
        <v>189</v>
      </c>
      <c r="AK79" s="19" t="s">
        <v>189</v>
      </c>
      <c r="AL79" s="19" t="s">
        <v>189</v>
      </c>
      <c r="AM79" s="19" t="s">
        <v>189</v>
      </c>
      <c r="AN79" s="19" t="s">
        <v>189</v>
      </c>
    </row>
    <row r="80" spans="1:40" x14ac:dyDescent="0.25">
      <c r="A80" t="s">
        <v>7</v>
      </c>
      <c r="B80" t="str">
        <f>TRIM(D1_OCTUBRE[[#This Row],[ASESOR]])</f>
        <v>ALEJANDRA AVILA</v>
      </c>
      <c r="C80" t="s">
        <v>21</v>
      </c>
      <c r="D80">
        <v>28185</v>
      </c>
      <c r="E80">
        <v>0.53179245283018872</v>
      </c>
      <c r="F80" t="str">
        <f>D1_OCTUBRE[[#This Row],[SUPER]]</f>
        <v>LEONOR</v>
      </c>
      <c r="L80">
        <v>12</v>
      </c>
      <c r="M80" s="1">
        <f t="shared" si="2"/>
        <v>0</v>
      </c>
      <c r="N80" t="str" cm="1">
        <f t="array" ref="N80">IFERROR(_xlfn.IFS(M80&gt;100%,"&gt;100%",AND(M80&lt;100%,M80&gt;70%),"&gt;70%",AND(M80&lt;70%,M80&gt;40%),"&gt;40%",AND(M80&lt;40%,M80&gt;0%),"&gt;0%"),"")</f>
        <v/>
      </c>
      <c r="O80" t="str">
        <f t="shared" si="3"/>
        <v/>
      </c>
      <c r="P80" t="str">
        <f>IF(DATA_OCTUBRE_2025[[#This Row],[ASER_]]="","",F74)</f>
        <v/>
      </c>
      <c r="Q80" t="str">
        <f>IF(DATA_OCTUBRE_2025[[#This Row],[SUPERVISOR]]="","",D74)</f>
        <v/>
      </c>
      <c r="R80" t="str">
        <f>IF(DATA_OCTUBRE_2025[[#This Row],[RECUPERO]]="","",VLOOKUP(DATA_OCTUBRE_2025[[#This Row],[SUPERVISOR]],$H:$I,2,0))</f>
        <v/>
      </c>
      <c r="S80" s="19" t="s">
        <v>189</v>
      </c>
      <c r="T80" s="19" t="s">
        <v>189</v>
      </c>
      <c r="U80" s="19" t="s">
        <v>189</v>
      </c>
      <c r="V80" s="19" t="s">
        <v>189</v>
      </c>
      <c r="W80" s="19" t="s">
        <v>189</v>
      </c>
      <c r="X80" s="19" t="s">
        <v>189</v>
      </c>
      <c r="Y80" s="19" t="s">
        <v>189</v>
      </c>
      <c r="Z80" s="19" t="s">
        <v>189</v>
      </c>
      <c r="AA80" s="19" t="s">
        <v>189</v>
      </c>
      <c r="AB80" s="19" t="s">
        <v>189</v>
      </c>
      <c r="AC80" s="19" t="s">
        <v>189</v>
      </c>
      <c r="AD80" s="19" t="s">
        <v>189</v>
      </c>
      <c r="AE80" s="19" t="s">
        <v>189</v>
      </c>
      <c r="AF80" s="19" t="s">
        <v>189</v>
      </c>
      <c r="AG80" s="19" t="s">
        <v>189</v>
      </c>
      <c r="AH80" s="19" t="s">
        <v>189</v>
      </c>
      <c r="AI80" s="19" t="s">
        <v>189</v>
      </c>
      <c r="AJ80" s="19" t="s">
        <v>189</v>
      </c>
      <c r="AK80" s="19" t="s">
        <v>189</v>
      </c>
      <c r="AL80" s="19" t="s">
        <v>189</v>
      </c>
      <c r="AM80" s="19" t="s">
        <v>189</v>
      </c>
      <c r="AN80" s="19" t="s">
        <v>189</v>
      </c>
    </row>
    <row r="81" spans="1:40" x14ac:dyDescent="0.25">
      <c r="A81" t="s">
        <v>7</v>
      </c>
      <c r="B81" t="str">
        <f>TRIM(D1_OCTUBRE[[#This Row],[ASESOR]])</f>
        <v>MILAGROS QUIO</v>
      </c>
      <c r="C81" t="s">
        <v>11</v>
      </c>
      <c r="D81">
        <v>24962</v>
      </c>
      <c r="E81">
        <v>0.47098113207547171</v>
      </c>
      <c r="F81" t="str">
        <f>D1_OCTUBRE[[#This Row],[SUPER]]</f>
        <v>LEONOR</v>
      </c>
      <c r="L81">
        <v>13</v>
      </c>
      <c r="M81" s="1">
        <f t="shared" si="2"/>
        <v>0</v>
      </c>
      <c r="N81" t="str" cm="1">
        <f t="array" ref="N81">IFERROR(_xlfn.IFS(M81&gt;100%,"&gt;100%",AND(M81&lt;100%,M81&gt;70%),"&gt;70%",AND(M81&lt;70%,M81&gt;40%),"&gt;40%",AND(M81&lt;40%,M81&gt;0%),"&gt;0%"),"")</f>
        <v/>
      </c>
      <c r="O81" t="str">
        <f t="shared" si="3"/>
        <v/>
      </c>
      <c r="P81" t="str">
        <f>IF(DATA_OCTUBRE_2025[[#This Row],[ASER_]]="","",F75)</f>
        <v/>
      </c>
      <c r="Q81" t="str">
        <f>IF(DATA_OCTUBRE_2025[[#This Row],[SUPERVISOR]]="","",D75)</f>
        <v/>
      </c>
      <c r="R81" t="str">
        <f>IF(DATA_OCTUBRE_2025[[#This Row],[RECUPERO]]="","",VLOOKUP(DATA_OCTUBRE_2025[[#This Row],[SUPERVISOR]],$H:$I,2,0))</f>
        <v/>
      </c>
      <c r="S81" s="19" t="s">
        <v>189</v>
      </c>
      <c r="T81" s="19" t="s">
        <v>189</v>
      </c>
      <c r="U81" s="19" t="s">
        <v>189</v>
      </c>
      <c r="V81" s="19" t="s">
        <v>189</v>
      </c>
      <c r="W81" s="19" t="s">
        <v>189</v>
      </c>
      <c r="X81" s="19" t="s">
        <v>189</v>
      </c>
      <c r="Y81" s="19" t="s">
        <v>189</v>
      </c>
      <c r="Z81" s="19" t="s">
        <v>189</v>
      </c>
      <c r="AA81" s="19" t="s">
        <v>189</v>
      </c>
      <c r="AB81" s="19" t="s">
        <v>189</v>
      </c>
      <c r="AC81" s="19" t="s">
        <v>189</v>
      </c>
      <c r="AD81" s="19" t="s">
        <v>189</v>
      </c>
      <c r="AE81" s="19" t="s">
        <v>189</v>
      </c>
      <c r="AF81" s="19" t="s">
        <v>189</v>
      </c>
      <c r="AG81" s="19" t="s">
        <v>189</v>
      </c>
      <c r="AH81" s="19" t="s">
        <v>189</v>
      </c>
      <c r="AI81" s="19" t="s">
        <v>189</v>
      </c>
      <c r="AJ81" s="19" t="s">
        <v>189</v>
      </c>
      <c r="AK81" s="19" t="s">
        <v>189</v>
      </c>
      <c r="AL81" s="19" t="s">
        <v>189</v>
      </c>
      <c r="AM81" s="19" t="s">
        <v>189</v>
      </c>
      <c r="AN81" s="19" t="s">
        <v>189</v>
      </c>
    </row>
    <row r="82" spans="1:40" x14ac:dyDescent="0.25">
      <c r="A82" t="s">
        <v>7</v>
      </c>
      <c r="B82" t="str">
        <f>TRIM(D1_OCTUBRE[[#This Row],[ASESOR]])</f>
        <v>ALEJANDRA QUISPE</v>
      </c>
      <c r="C82" t="s">
        <v>58</v>
      </c>
      <c r="D82">
        <v>23946.5</v>
      </c>
      <c r="E82">
        <v>0.45182075471698113</v>
      </c>
      <c r="F82" t="str">
        <f>D1_OCTUBRE[[#This Row],[SUPER]]</f>
        <v>LEONOR</v>
      </c>
      <c r="L82">
        <v>14</v>
      </c>
      <c r="M82" s="1">
        <f t="shared" si="2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3"/>
        <v/>
      </c>
      <c r="P82" t="str">
        <f>IF(DATA_OCTUBRE_2025[[#This Row],[ASER_]]="","",F76)</f>
        <v/>
      </c>
      <c r="Q82" t="str">
        <f>IF(DATA_OCTUBRE_2025[[#This Row],[SUPERVISOR]]="","",D76)</f>
        <v/>
      </c>
      <c r="R82" t="str">
        <f>IF(DATA_OCTUBRE_2025[[#This Row],[RECUPERO]]="","",VLOOKUP(DATA_OCTUBRE_2025[[#This Row],[SUPERVISOR]],$H:$I,2,0))</f>
        <v/>
      </c>
      <c r="S82" s="19" t="s">
        <v>189</v>
      </c>
      <c r="T82" s="19" t="s">
        <v>189</v>
      </c>
      <c r="U82" s="19" t="s">
        <v>189</v>
      </c>
      <c r="V82" s="19" t="s">
        <v>189</v>
      </c>
      <c r="W82" s="19" t="s">
        <v>189</v>
      </c>
      <c r="X82" s="19" t="s">
        <v>189</v>
      </c>
      <c r="Y82" s="19" t="s">
        <v>189</v>
      </c>
      <c r="Z82" s="19" t="s">
        <v>189</v>
      </c>
      <c r="AA82" s="19" t="s">
        <v>189</v>
      </c>
      <c r="AB82" s="19" t="s">
        <v>189</v>
      </c>
      <c r="AC82" s="19" t="s">
        <v>189</v>
      </c>
      <c r="AD82" s="19" t="s">
        <v>189</v>
      </c>
      <c r="AE82" s="19" t="s">
        <v>189</v>
      </c>
      <c r="AF82" s="19" t="s">
        <v>189</v>
      </c>
      <c r="AG82" s="19" t="s">
        <v>189</v>
      </c>
      <c r="AH82" s="19" t="s">
        <v>189</v>
      </c>
      <c r="AI82" s="19" t="s">
        <v>189</v>
      </c>
      <c r="AJ82" s="19" t="s">
        <v>189</v>
      </c>
      <c r="AK82" s="19" t="s">
        <v>189</v>
      </c>
      <c r="AL82" s="19" t="s">
        <v>189</v>
      </c>
      <c r="AM82" s="19" t="s">
        <v>189</v>
      </c>
      <c r="AN82" s="19" t="s">
        <v>189</v>
      </c>
    </row>
    <row r="83" spans="1:40" x14ac:dyDescent="0.25">
      <c r="A83" t="s">
        <v>7</v>
      </c>
      <c r="B83" t="str">
        <f>TRIM(D1_OCTUBRE[[#This Row],[ASESOR]])</f>
        <v>FRANK PACORA</v>
      </c>
      <c r="C83" t="s">
        <v>110</v>
      </c>
      <c r="D83">
        <v>18112</v>
      </c>
      <c r="E83">
        <v>0.34173584905660376</v>
      </c>
      <c r="F83" t="str">
        <f>D1_OCTUBRE[[#This Row],[SUPER]]</f>
        <v>LEONOR</v>
      </c>
      <c r="L83">
        <v>15</v>
      </c>
      <c r="M83" s="1">
        <f t="shared" si="2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3"/>
        <v/>
      </c>
      <c r="P83" t="str">
        <f>IF(DATA_OCTUBRE_2025[[#This Row],[ASER_]]="","",F77)</f>
        <v/>
      </c>
      <c r="Q83" t="str">
        <f>IF(DATA_OCTUBRE_2025[[#This Row],[SUPERVISOR]]="","",D77)</f>
        <v/>
      </c>
      <c r="R83" t="str">
        <f>IF(DATA_OCTUBRE_2025[[#This Row],[RECUPERO]]="","",VLOOKUP(DATA_OCTUBRE_2025[[#This Row],[SUPERVISOR]],$H:$I,2,0))</f>
        <v/>
      </c>
      <c r="S83" s="19" t="s">
        <v>189</v>
      </c>
      <c r="T83" s="19" t="s">
        <v>189</v>
      </c>
      <c r="U83" s="19" t="s">
        <v>189</v>
      </c>
      <c r="V83" s="19" t="s">
        <v>189</v>
      </c>
      <c r="W83" s="19" t="s">
        <v>189</v>
      </c>
      <c r="X83" s="19" t="s">
        <v>189</v>
      </c>
      <c r="Y83" s="19" t="s">
        <v>189</v>
      </c>
      <c r="Z83" s="19" t="s">
        <v>189</v>
      </c>
      <c r="AA83" s="19" t="s">
        <v>189</v>
      </c>
      <c r="AB83" s="19" t="s">
        <v>189</v>
      </c>
      <c r="AC83" s="19" t="s">
        <v>189</v>
      </c>
      <c r="AD83" s="19" t="s">
        <v>189</v>
      </c>
      <c r="AE83" s="19" t="s">
        <v>189</v>
      </c>
      <c r="AF83" s="19" t="s">
        <v>189</v>
      </c>
      <c r="AG83" s="19" t="s">
        <v>189</v>
      </c>
      <c r="AH83" s="19" t="s">
        <v>189</v>
      </c>
      <c r="AI83" s="19" t="s">
        <v>189</v>
      </c>
      <c r="AJ83" s="19" t="s">
        <v>189</v>
      </c>
      <c r="AK83" s="19" t="s">
        <v>189</v>
      </c>
      <c r="AL83" s="19" t="s">
        <v>189</v>
      </c>
      <c r="AM83" s="19" t="s">
        <v>189</v>
      </c>
      <c r="AN83" s="19" t="s">
        <v>189</v>
      </c>
    </row>
    <row r="84" spans="1:40" x14ac:dyDescent="0.25">
      <c r="A84" t="s">
        <v>7</v>
      </c>
      <c r="B84" t="str">
        <f>TRIM(D1_OCTUBRE[[#This Row],[ASESOR]])</f>
        <v>ALEIDITH GUEVARA</v>
      </c>
      <c r="C84" t="s">
        <v>18</v>
      </c>
      <c r="D84">
        <v>14200</v>
      </c>
      <c r="E84">
        <v>0.26792452830188679</v>
      </c>
      <c r="F84" t="str">
        <f>D1_OCTUBRE[[#This Row],[SUPER]]</f>
        <v>LEONOR</v>
      </c>
      <c r="L84">
        <v>1</v>
      </c>
      <c r="M84" s="1">
        <f t="shared" si="2"/>
        <v>1.3928301886792454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3"/>
        <v>ANTHONY TORRES</v>
      </c>
      <c r="P84" t="str">
        <f>IF(DATA_OCTUBRE_2025[[#This Row],[ASER_]]="","",F78)</f>
        <v>LEONOR</v>
      </c>
      <c r="Q84">
        <f>IF(DATA_OCTUBRE_2025[[#This Row],[SUPERVISOR]]="","",D78)</f>
        <v>73820</v>
      </c>
      <c r="R84">
        <f>IF(DATA_OCTUBRE_2025[[#This Row],[RECUPERO]]="","",VLOOKUP(DATA_OCTUBRE_2025[[#This Row],[SUPERVISOR]],$H:$I,2,0))</f>
        <v>53000</v>
      </c>
      <c r="S84" s="19">
        <v>20000</v>
      </c>
      <c r="T84" s="19">
        <v>0</v>
      </c>
      <c r="U84" s="19">
        <v>800</v>
      </c>
      <c r="V84" s="19">
        <v>0</v>
      </c>
      <c r="W84" s="19">
        <v>0</v>
      </c>
      <c r="X84" s="19">
        <v>2100</v>
      </c>
      <c r="Y84" s="19">
        <v>0</v>
      </c>
      <c r="Z84" s="19">
        <v>3000</v>
      </c>
      <c r="AA84" s="19">
        <v>0</v>
      </c>
      <c r="AB84" s="19">
        <v>10000</v>
      </c>
      <c r="AC84" s="19">
        <v>7500</v>
      </c>
      <c r="AD84" s="19">
        <v>5900</v>
      </c>
      <c r="AE84" s="19">
        <v>3000</v>
      </c>
      <c r="AF84" s="19">
        <v>0</v>
      </c>
      <c r="AG84" s="19">
        <v>0</v>
      </c>
      <c r="AH84" s="19">
        <v>170</v>
      </c>
      <c r="AI84" s="19">
        <v>3500</v>
      </c>
      <c r="AJ84" s="19">
        <v>0</v>
      </c>
      <c r="AK84" s="19">
        <v>10500</v>
      </c>
      <c r="AL84" s="19">
        <v>0</v>
      </c>
      <c r="AM84" s="19">
        <v>5600</v>
      </c>
      <c r="AN84" s="19">
        <v>1600</v>
      </c>
    </row>
    <row r="85" spans="1:40" x14ac:dyDescent="0.25">
      <c r="A85" t="s">
        <v>7</v>
      </c>
      <c r="B85" t="str">
        <f>TRIM(D1_OCTUBRE[[#This Row],[ASESOR]])</f>
        <v>JHOVANA TORRES</v>
      </c>
      <c r="C85" t="s">
        <v>20</v>
      </c>
      <c r="D85">
        <v>13839</v>
      </c>
      <c r="E85">
        <v>0.26111320754716982</v>
      </c>
      <c r="F85" t="str">
        <f>D1_OCTUBRE[[#This Row],[SUPER]]</f>
        <v>LEONOR</v>
      </c>
      <c r="L85">
        <v>2</v>
      </c>
      <c r="M85" s="1">
        <f t="shared" si="2"/>
        <v>0.55169811320754714</v>
      </c>
      <c r="N85" t="str" cm="1">
        <f t="array" ref="N85">IFERROR(_xlfn.IFS(M85&gt;100%,"&gt;100%",AND(M85&lt;100%,M85&gt;70%),"&gt;70%",AND(M85&lt;70%,M85&gt;40%),"&gt;40%",AND(M85&lt;40%,M85&gt;0%),"&gt;0%"),"")</f>
        <v>&gt;40%</v>
      </c>
      <c r="O85" t="str">
        <f t="shared" si="3"/>
        <v>ANALUCIA PONCE</v>
      </c>
      <c r="P85" t="str">
        <f>IF(DATA_OCTUBRE_2025[[#This Row],[ASER_]]="","",F79)</f>
        <v>LEONOR</v>
      </c>
      <c r="Q85">
        <f>IF(DATA_OCTUBRE_2025[[#This Row],[SUPERVISOR]]="","",D79)</f>
        <v>29240</v>
      </c>
      <c r="R85">
        <f>IF(DATA_OCTUBRE_2025[[#This Row],[RECUPERO]]="","",VLOOKUP(DATA_OCTUBRE_2025[[#This Row],[SUPERVISOR]],$H:$I,2,0))</f>
        <v>53000</v>
      </c>
      <c r="S85" s="19">
        <v>340</v>
      </c>
      <c r="T85" s="19">
        <v>0</v>
      </c>
      <c r="U85" s="19">
        <v>750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0</v>
      </c>
      <c r="AB85" s="19">
        <v>0</v>
      </c>
      <c r="AC85" s="19">
        <v>0</v>
      </c>
      <c r="AD85" s="19">
        <v>1200</v>
      </c>
      <c r="AE85" s="19">
        <v>0</v>
      </c>
      <c r="AF85" s="19">
        <v>0</v>
      </c>
      <c r="AG85" s="19">
        <v>5000</v>
      </c>
      <c r="AH85" s="19">
        <v>0</v>
      </c>
      <c r="AI85" s="19">
        <v>3000</v>
      </c>
      <c r="AJ85" s="19">
        <v>1700</v>
      </c>
      <c r="AK85" s="19">
        <v>1500</v>
      </c>
      <c r="AL85" s="19">
        <v>0</v>
      </c>
      <c r="AM85" s="19">
        <v>700</v>
      </c>
      <c r="AN85" s="19">
        <v>15050</v>
      </c>
    </row>
    <row r="86" spans="1:40" x14ac:dyDescent="0.25">
      <c r="A86" t="s">
        <v>7</v>
      </c>
      <c r="B86" t="str">
        <f>TRIM(D1_OCTUBRE[[#This Row],[ASESOR]])</f>
        <v/>
      </c>
      <c r="E86">
        <v>0</v>
      </c>
      <c r="F86" t="str">
        <f>D1_OCTUBRE[[#This Row],[SUPER]]</f>
        <v>LEONOR</v>
      </c>
      <c r="L86">
        <v>3</v>
      </c>
      <c r="M86" s="1">
        <f t="shared" si="2"/>
        <v>0.53179245283018872</v>
      </c>
      <c r="N86" t="str" cm="1">
        <f t="array" ref="N86">IFERROR(_xlfn.IFS(M86&gt;100%,"&gt;100%",AND(M86&lt;100%,M86&gt;70%),"&gt;70%",AND(M86&lt;70%,M86&gt;40%),"&gt;40%",AND(M86&lt;40%,M86&gt;0%),"&gt;0%"),"")</f>
        <v>&gt;40%</v>
      </c>
      <c r="O86" t="str">
        <f t="shared" si="3"/>
        <v>ALEJANDRA AVILA</v>
      </c>
      <c r="P86" t="str">
        <f>IF(DATA_OCTUBRE_2025[[#This Row],[ASER_]]="","",F80)</f>
        <v>LEONOR</v>
      </c>
      <c r="Q86">
        <f>IF(DATA_OCTUBRE_2025[[#This Row],[SUPERVISOR]]="","",D80)</f>
        <v>28185</v>
      </c>
      <c r="R86">
        <f>IF(DATA_OCTUBRE_2025[[#This Row],[RECUPERO]]="","",VLOOKUP(DATA_OCTUBRE_2025[[#This Row],[SUPERVISOR]],$H:$I,2,0))</f>
        <v>53000</v>
      </c>
      <c r="S86" s="19">
        <v>0</v>
      </c>
      <c r="T86" s="19">
        <v>0</v>
      </c>
      <c r="U86" s="19">
        <v>0</v>
      </c>
      <c r="V86" s="19">
        <v>0</v>
      </c>
      <c r="W86" s="19">
        <v>400</v>
      </c>
      <c r="X86" s="19">
        <v>0</v>
      </c>
      <c r="Y86" s="19">
        <v>0</v>
      </c>
      <c r="Z86" s="19">
        <v>0</v>
      </c>
      <c r="AA86" s="19">
        <v>0</v>
      </c>
      <c r="AB86" s="19">
        <v>600</v>
      </c>
      <c r="AC86" s="19">
        <v>0</v>
      </c>
      <c r="AD86" s="19">
        <v>0</v>
      </c>
      <c r="AE86" s="19">
        <v>600</v>
      </c>
      <c r="AF86" s="19">
        <v>15800</v>
      </c>
      <c r="AG86" s="19">
        <v>2300</v>
      </c>
      <c r="AH86" s="19">
        <v>0</v>
      </c>
      <c r="AI86" s="19">
        <v>485</v>
      </c>
      <c r="AJ86" s="19">
        <v>1000</v>
      </c>
      <c r="AK86" s="19">
        <v>0</v>
      </c>
      <c r="AL86" s="19">
        <v>0</v>
      </c>
      <c r="AM86" s="19">
        <v>7000</v>
      </c>
      <c r="AN86" s="19">
        <v>0</v>
      </c>
    </row>
    <row r="87" spans="1:40" x14ac:dyDescent="0.25">
      <c r="A87" t="s">
        <v>7</v>
      </c>
      <c r="B87" t="str">
        <f>TRIM(D1_OCTUBRE[[#This Row],[ASESOR]])</f>
        <v/>
      </c>
      <c r="E87">
        <v>0</v>
      </c>
      <c r="F87" t="str">
        <f>D1_OCTUBRE[[#This Row],[SUPER]]</f>
        <v>LEONOR</v>
      </c>
      <c r="L87">
        <v>4</v>
      </c>
      <c r="M87" s="1">
        <f t="shared" si="2"/>
        <v>0.47098113207547171</v>
      </c>
      <c r="N87" t="str" cm="1">
        <f t="array" ref="N87">IFERROR(_xlfn.IFS(M87&gt;100%,"&gt;100%",AND(M87&lt;100%,M87&gt;70%),"&gt;70%",AND(M87&lt;70%,M87&gt;40%),"&gt;40%",AND(M87&lt;40%,M87&gt;0%),"&gt;0%"),"")</f>
        <v>&gt;40%</v>
      </c>
      <c r="O87" t="str">
        <f t="shared" si="3"/>
        <v>MILAGROS QUIO</v>
      </c>
      <c r="P87" t="str">
        <f>IF(DATA_OCTUBRE_2025[[#This Row],[ASER_]]="","",F81)</f>
        <v>LEONOR</v>
      </c>
      <c r="Q87">
        <f>IF(DATA_OCTUBRE_2025[[#This Row],[SUPERVISOR]]="","",D81)</f>
        <v>24962</v>
      </c>
      <c r="R87">
        <f>IF(DATA_OCTUBRE_2025[[#This Row],[RECUPERO]]="","",VLOOKUP(DATA_OCTUBRE_2025[[#This Row],[SUPERVISOR]],$H:$I,2,0))</f>
        <v>53000</v>
      </c>
      <c r="S87" s="19">
        <v>0</v>
      </c>
      <c r="T87" s="19">
        <v>0</v>
      </c>
      <c r="U87" s="19">
        <v>0</v>
      </c>
      <c r="V87" s="19">
        <v>1200</v>
      </c>
      <c r="W87" s="19">
        <v>0</v>
      </c>
      <c r="X87" s="19">
        <v>0</v>
      </c>
      <c r="Y87" s="19">
        <v>392</v>
      </c>
      <c r="Z87" s="19">
        <v>0</v>
      </c>
      <c r="AA87" s="19">
        <v>0</v>
      </c>
      <c r="AB87" s="19">
        <v>3000</v>
      </c>
      <c r="AC87" s="19">
        <v>0</v>
      </c>
      <c r="AD87" s="19">
        <v>4000</v>
      </c>
      <c r="AE87" s="19">
        <v>0</v>
      </c>
      <c r="AF87" s="19">
        <v>5000</v>
      </c>
      <c r="AG87" s="19">
        <v>250</v>
      </c>
      <c r="AH87" s="19">
        <v>0</v>
      </c>
      <c r="AI87" s="19">
        <v>0</v>
      </c>
      <c r="AJ87" s="19">
        <v>4000</v>
      </c>
      <c r="AK87" s="19">
        <v>5000</v>
      </c>
      <c r="AL87" s="19">
        <v>1000</v>
      </c>
      <c r="AM87" s="19">
        <v>0</v>
      </c>
      <c r="AN87" s="19">
        <v>1120</v>
      </c>
    </row>
    <row r="88" spans="1:40" x14ac:dyDescent="0.25">
      <c r="A88" t="s">
        <v>7</v>
      </c>
      <c r="B88" t="str">
        <f>TRIM(D1_OCTUBRE[[#This Row],[ASESOR]])</f>
        <v/>
      </c>
      <c r="E88">
        <v>0</v>
      </c>
      <c r="F88" t="str">
        <f>D1_OCTUBRE[[#This Row],[SUPER]]</f>
        <v>LEONOR</v>
      </c>
      <c r="L88">
        <v>5</v>
      </c>
      <c r="M88" s="1">
        <f t="shared" si="2"/>
        <v>0.45182075471698113</v>
      </c>
      <c r="N88" t="str" cm="1">
        <f t="array" ref="N88">IFERROR(_xlfn.IFS(M88&gt;100%,"&gt;100%",AND(M88&lt;100%,M88&gt;70%),"&gt;70%",AND(M88&lt;70%,M88&gt;40%),"&gt;40%",AND(M88&lt;40%,M88&gt;0%),"&gt;0%"),"")</f>
        <v>&gt;40%</v>
      </c>
      <c r="O88" t="str">
        <f t="shared" si="3"/>
        <v>ALEJANDRA QUISPE</v>
      </c>
      <c r="P88" t="str">
        <f>IF(DATA_OCTUBRE_2025[[#This Row],[ASER_]]="","",F82)</f>
        <v>LEONOR</v>
      </c>
      <c r="Q88">
        <f>IF(DATA_OCTUBRE_2025[[#This Row],[SUPERVISOR]]="","",D82)</f>
        <v>23946.5</v>
      </c>
      <c r="R88">
        <f>IF(DATA_OCTUBRE_2025[[#This Row],[RECUPERO]]="","",VLOOKUP(DATA_OCTUBRE_2025[[#This Row],[SUPERVISOR]],$H:$I,2,0))</f>
        <v>53000</v>
      </c>
      <c r="S88" s="19">
        <v>0</v>
      </c>
      <c r="T88" s="19">
        <v>0</v>
      </c>
      <c r="U88" s="19">
        <v>4000</v>
      </c>
      <c r="V88" s="19">
        <v>2120</v>
      </c>
      <c r="W88" s="19">
        <v>700</v>
      </c>
      <c r="X88" s="19">
        <v>0</v>
      </c>
      <c r="Y88" s="19">
        <v>0</v>
      </c>
      <c r="Z88" s="19">
        <v>2300</v>
      </c>
      <c r="AA88" s="19">
        <v>0</v>
      </c>
      <c r="AB88" s="19">
        <v>600</v>
      </c>
      <c r="AC88" s="19">
        <v>0</v>
      </c>
      <c r="AD88" s="19">
        <v>0</v>
      </c>
      <c r="AE88" s="19">
        <v>0</v>
      </c>
      <c r="AF88" s="19">
        <v>3000</v>
      </c>
      <c r="AG88" s="19">
        <v>0</v>
      </c>
      <c r="AH88" s="19">
        <v>0</v>
      </c>
      <c r="AI88" s="19">
        <v>688</v>
      </c>
      <c r="AJ88" s="19">
        <v>400</v>
      </c>
      <c r="AK88" s="19">
        <v>0</v>
      </c>
      <c r="AL88" s="19">
        <v>0</v>
      </c>
      <c r="AM88" s="19">
        <v>700</v>
      </c>
      <c r="AN88" s="19">
        <v>9838</v>
      </c>
    </row>
    <row r="89" spans="1:40" x14ac:dyDescent="0.25">
      <c r="A89" t="s">
        <v>7</v>
      </c>
      <c r="B89" t="str">
        <f>TRIM(D1_OCTUBRE[[#This Row],[ASESOR]])</f>
        <v/>
      </c>
      <c r="E89">
        <v>0</v>
      </c>
      <c r="F89" t="str">
        <f>D1_OCTUBRE[[#This Row],[SUPER]]</f>
        <v>LEONOR</v>
      </c>
      <c r="L89">
        <v>6</v>
      </c>
      <c r="M89" s="1">
        <f t="shared" si="2"/>
        <v>0.34173584905660376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3"/>
        <v>FRANK PACORA</v>
      </c>
      <c r="P89" t="str">
        <f>IF(DATA_OCTUBRE_2025[[#This Row],[ASER_]]="","",F83)</f>
        <v>LEONOR</v>
      </c>
      <c r="Q89">
        <f>IF(DATA_OCTUBRE_2025[[#This Row],[SUPERVISOR]]="","",D83)</f>
        <v>18112</v>
      </c>
      <c r="R89">
        <f>IF(DATA_OCTUBRE_2025[[#This Row],[RECUPERO]]="","",VLOOKUP(DATA_OCTUBRE_2025[[#This Row],[SUPERVISOR]],$H:$I,2,0))</f>
        <v>53000</v>
      </c>
      <c r="S89" s="19">
        <v>0</v>
      </c>
      <c r="T89" s="19">
        <v>0</v>
      </c>
      <c r="U89" s="19">
        <v>0</v>
      </c>
      <c r="V89" s="19">
        <v>0</v>
      </c>
      <c r="W89" s="19">
        <v>1862</v>
      </c>
      <c r="X89" s="19">
        <v>0</v>
      </c>
      <c r="Y89" s="19">
        <v>0</v>
      </c>
      <c r="Z89" s="19">
        <v>0</v>
      </c>
      <c r="AA89" s="19">
        <v>0</v>
      </c>
      <c r="AB89" s="19">
        <v>4000</v>
      </c>
      <c r="AC89" s="19">
        <v>4000</v>
      </c>
      <c r="AD89" s="19">
        <v>0</v>
      </c>
      <c r="AE89" s="19">
        <v>0</v>
      </c>
      <c r="AF89" s="19">
        <v>0</v>
      </c>
      <c r="AG89" s="19">
        <v>0</v>
      </c>
      <c r="AH89" s="19">
        <v>4200</v>
      </c>
      <c r="AI89" s="19">
        <v>700</v>
      </c>
      <c r="AJ89" s="19">
        <v>0</v>
      </c>
      <c r="AK89" s="19">
        <v>1800</v>
      </c>
      <c r="AL89" s="19">
        <v>0</v>
      </c>
      <c r="AM89" s="19">
        <v>0</v>
      </c>
      <c r="AN89" s="19">
        <v>1550</v>
      </c>
    </row>
    <row r="90" spans="1:40" x14ac:dyDescent="0.25">
      <c r="A90" t="s">
        <v>7</v>
      </c>
      <c r="B90" t="str">
        <f>TRIM(D1_OCTUBRE[[#This Row],[ASESOR]])</f>
        <v/>
      </c>
      <c r="E90">
        <v>0</v>
      </c>
      <c r="F90" t="str">
        <f>D1_OCTUBRE[[#This Row],[SUPER]]</f>
        <v>LEONOR</v>
      </c>
      <c r="L90">
        <v>7</v>
      </c>
      <c r="M90" s="1">
        <f t="shared" si="2"/>
        <v>0.26792452830188679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3"/>
        <v>ALEIDITH GUEVARA</v>
      </c>
      <c r="P90" t="str">
        <f>IF(DATA_OCTUBRE_2025[[#This Row],[ASER_]]="","",F84)</f>
        <v>LEONOR</v>
      </c>
      <c r="Q90">
        <f>IF(DATA_OCTUBRE_2025[[#This Row],[SUPERVISOR]]="","",D84)</f>
        <v>14200</v>
      </c>
      <c r="R90">
        <f>IF(DATA_OCTUBRE_2025[[#This Row],[RECUPERO]]="","",VLOOKUP(DATA_OCTUBRE_2025[[#This Row],[SUPERVISOR]],$H:$I,2,0))</f>
        <v>53000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600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2100</v>
      </c>
      <c r="AJ90" s="19">
        <v>0</v>
      </c>
      <c r="AK90" s="19">
        <v>5000</v>
      </c>
      <c r="AL90" s="19">
        <v>0</v>
      </c>
      <c r="AM90" s="19">
        <v>1500</v>
      </c>
      <c r="AN90" s="19">
        <v>5000</v>
      </c>
    </row>
    <row r="91" spans="1:40" x14ac:dyDescent="0.25">
      <c r="A91" t="s">
        <v>7</v>
      </c>
      <c r="B91" t="str">
        <f>TRIM(D1_OCTUBRE[[#This Row],[ASESOR]])</f>
        <v/>
      </c>
      <c r="E91">
        <v>0</v>
      </c>
      <c r="F91" t="str">
        <f>D1_OCTUBRE[[#This Row],[SUPER]]</f>
        <v>LEONOR</v>
      </c>
      <c r="L91">
        <v>8</v>
      </c>
      <c r="M91" s="1">
        <f t="shared" si="2"/>
        <v>0.26111320754716982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3"/>
        <v>JHOVANA TORRES</v>
      </c>
      <c r="P91" t="str">
        <f>IF(DATA_OCTUBRE_2025[[#This Row],[ASER_]]="","",F85)</f>
        <v>LEONOR</v>
      </c>
      <c r="Q91">
        <f>IF(DATA_OCTUBRE_2025[[#This Row],[SUPERVISOR]]="","",D85)</f>
        <v>13839</v>
      </c>
      <c r="R91">
        <f>IF(DATA_OCTUBRE_2025[[#This Row],[RECUPERO]]="","",VLOOKUP(DATA_OCTUBRE_2025[[#This Row],[SUPERVISOR]],$H:$I,2,0))</f>
        <v>53000</v>
      </c>
      <c r="S91" s="19">
        <v>0</v>
      </c>
      <c r="T91" s="19">
        <v>700</v>
      </c>
      <c r="U91" s="19">
        <v>0</v>
      </c>
      <c r="V91" s="19">
        <v>0</v>
      </c>
      <c r="W91" s="19">
        <v>800</v>
      </c>
      <c r="X91" s="19">
        <v>0</v>
      </c>
      <c r="Y91" s="19">
        <v>0</v>
      </c>
      <c r="Z91" s="19">
        <v>0</v>
      </c>
      <c r="AA91" s="19">
        <v>2350</v>
      </c>
      <c r="AB91" s="19">
        <v>0</v>
      </c>
      <c r="AC91" s="19">
        <v>2277</v>
      </c>
      <c r="AD91" s="19">
        <v>0</v>
      </c>
      <c r="AE91" s="19">
        <v>650</v>
      </c>
      <c r="AF91" s="19">
        <v>0</v>
      </c>
      <c r="AG91" s="19">
        <v>0</v>
      </c>
      <c r="AH91" s="19">
        <v>0</v>
      </c>
      <c r="AI91" s="19">
        <v>4362</v>
      </c>
      <c r="AJ91" s="19">
        <v>0</v>
      </c>
      <c r="AK91" s="19">
        <v>400</v>
      </c>
      <c r="AL91" s="19">
        <v>0</v>
      </c>
      <c r="AM91" s="19">
        <v>2300</v>
      </c>
      <c r="AN91" s="19">
        <v>0</v>
      </c>
    </row>
    <row r="92" spans="1:40" x14ac:dyDescent="0.25">
      <c r="A92" t="s">
        <v>7</v>
      </c>
      <c r="B92" t="str">
        <f>TRIM(D1_OCTUBRE[[#This Row],[ASESOR]])</f>
        <v/>
      </c>
      <c r="E92">
        <v>0</v>
      </c>
      <c r="F92" t="str">
        <f>D1_OCTUBRE[[#This Row],[SUPER]]</f>
        <v>LEONOR</v>
      </c>
      <c r="L92">
        <v>9</v>
      </c>
      <c r="M92" s="1">
        <f t="shared" si="2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3"/>
        <v/>
      </c>
      <c r="P92" t="str">
        <f>IF(DATA_OCTUBRE_2025[[#This Row],[ASER_]]="","",F86)</f>
        <v/>
      </c>
      <c r="Q92" t="str">
        <f>IF(DATA_OCTUBRE_2025[[#This Row],[SUPERVISOR]]="","",D86)</f>
        <v/>
      </c>
      <c r="R92" t="str">
        <f>IF(DATA_OCTUBRE_2025[[#This Row],[RECUPERO]]="","",VLOOKUP(DATA_OCTUBRE_2025[[#This Row],[SUPERVISOR]],$H:$I,2,0))</f>
        <v/>
      </c>
      <c r="S92" s="19" t="s">
        <v>189</v>
      </c>
      <c r="T92" s="19" t="s">
        <v>189</v>
      </c>
      <c r="U92" s="19" t="s">
        <v>189</v>
      </c>
      <c r="V92" s="19" t="s">
        <v>189</v>
      </c>
      <c r="W92" s="19" t="s">
        <v>189</v>
      </c>
      <c r="X92" s="19" t="s">
        <v>189</v>
      </c>
      <c r="Y92" s="19" t="s">
        <v>189</v>
      </c>
      <c r="Z92" s="19" t="s">
        <v>189</v>
      </c>
      <c r="AA92" s="19" t="s">
        <v>189</v>
      </c>
      <c r="AB92" s="19" t="s">
        <v>189</v>
      </c>
      <c r="AC92" s="19" t="s">
        <v>189</v>
      </c>
      <c r="AD92" s="19" t="s">
        <v>189</v>
      </c>
      <c r="AE92" s="19" t="s">
        <v>189</v>
      </c>
      <c r="AF92" s="19" t="s">
        <v>189</v>
      </c>
      <c r="AG92" s="19" t="s">
        <v>189</v>
      </c>
      <c r="AH92" s="19" t="s">
        <v>189</v>
      </c>
      <c r="AI92" s="19" t="s">
        <v>189</v>
      </c>
      <c r="AJ92" s="19" t="s">
        <v>189</v>
      </c>
      <c r="AK92" s="19" t="s">
        <v>189</v>
      </c>
      <c r="AL92" s="19" t="s">
        <v>189</v>
      </c>
      <c r="AM92" s="19" t="s">
        <v>189</v>
      </c>
      <c r="AN92" s="19" t="s">
        <v>189</v>
      </c>
    </row>
    <row r="93" spans="1:40" x14ac:dyDescent="0.25">
      <c r="A93" t="s">
        <v>8</v>
      </c>
      <c r="B93" t="str">
        <f>TRIM(D1_OCTUBRE[[#This Row],[ASESOR]])</f>
        <v>CRISTINA TICONA</v>
      </c>
      <c r="C93" t="s">
        <v>61</v>
      </c>
      <c r="D93">
        <v>117692</v>
      </c>
      <c r="E93">
        <v>1.6813142857142858</v>
      </c>
      <c r="F93" t="str">
        <f>D1_OCTUBRE[[#This Row],[SUPER]]</f>
        <v>BRYAN</v>
      </c>
      <c r="L93">
        <v>10</v>
      </c>
      <c r="M93" s="1">
        <f t="shared" si="2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3"/>
        <v/>
      </c>
      <c r="P93" t="str">
        <f>IF(DATA_OCTUBRE_2025[[#This Row],[ASER_]]="","",F87)</f>
        <v/>
      </c>
      <c r="Q93" t="str">
        <f>IF(DATA_OCTUBRE_2025[[#This Row],[SUPERVISOR]]="","",D87)</f>
        <v/>
      </c>
      <c r="R93" t="str">
        <f>IF(DATA_OCTUBRE_2025[[#This Row],[RECUPERO]]="","",VLOOKUP(DATA_OCTUBRE_2025[[#This Row],[SUPERVISOR]],$H:$I,2,0))</f>
        <v/>
      </c>
      <c r="S93" s="19" t="s">
        <v>189</v>
      </c>
      <c r="T93" s="19" t="s">
        <v>189</v>
      </c>
      <c r="U93" s="19" t="s">
        <v>189</v>
      </c>
      <c r="V93" s="19" t="s">
        <v>189</v>
      </c>
      <c r="W93" s="19" t="s">
        <v>189</v>
      </c>
      <c r="X93" s="19" t="s">
        <v>189</v>
      </c>
      <c r="Y93" s="19" t="s">
        <v>189</v>
      </c>
      <c r="Z93" s="19" t="s">
        <v>189</v>
      </c>
      <c r="AA93" s="19" t="s">
        <v>189</v>
      </c>
      <c r="AB93" s="19" t="s">
        <v>189</v>
      </c>
      <c r="AC93" s="19" t="s">
        <v>189</v>
      </c>
      <c r="AD93" s="19" t="s">
        <v>189</v>
      </c>
      <c r="AE93" s="19" t="s">
        <v>189</v>
      </c>
      <c r="AF93" s="19" t="s">
        <v>189</v>
      </c>
      <c r="AG93" s="19" t="s">
        <v>189</v>
      </c>
      <c r="AH93" s="19" t="s">
        <v>189</v>
      </c>
      <c r="AI93" s="19" t="s">
        <v>189</v>
      </c>
      <c r="AJ93" s="19" t="s">
        <v>189</v>
      </c>
      <c r="AK93" s="19" t="s">
        <v>189</v>
      </c>
      <c r="AL93" s="19" t="s">
        <v>189</v>
      </c>
      <c r="AM93" s="19" t="s">
        <v>189</v>
      </c>
      <c r="AN93" s="19" t="s">
        <v>189</v>
      </c>
    </row>
    <row r="94" spans="1:40" x14ac:dyDescent="0.25">
      <c r="A94" t="s">
        <v>8</v>
      </c>
      <c r="B94" t="str">
        <f>TRIM(D1_OCTUBRE[[#This Row],[ASESOR]])</f>
        <v>DAVID SANCHEZ</v>
      </c>
      <c r="C94" t="s">
        <v>81</v>
      </c>
      <c r="D94">
        <v>93850.05</v>
      </c>
      <c r="E94">
        <v>1.3407150000000001</v>
      </c>
      <c r="F94" t="str">
        <f>D1_OCTUBRE[[#This Row],[SUPER]]</f>
        <v>BRYAN</v>
      </c>
      <c r="L94">
        <v>11</v>
      </c>
      <c r="M94" s="1">
        <f t="shared" si="2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3"/>
        <v/>
      </c>
      <c r="P94" t="str">
        <f>IF(DATA_OCTUBRE_2025[[#This Row],[ASER_]]="","",F88)</f>
        <v/>
      </c>
      <c r="Q94" t="str">
        <f>IF(DATA_OCTUBRE_2025[[#This Row],[SUPERVISOR]]="","",D88)</f>
        <v/>
      </c>
      <c r="R94" t="str">
        <f>IF(DATA_OCTUBRE_2025[[#This Row],[RECUPERO]]="","",VLOOKUP(DATA_OCTUBRE_2025[[#This Row],[SUPERVISOR]],$H:$I,2,0))</f>
        <v/>
      </c>
      <c r="S94" s="19" t="s">
        <v>189</v>
      </c>
      <c r="T94" s="19" t="s">
        <v>189</v>
      </c>
      <c r="U94" s="19" t="s">
        <v>189</v>
      </c>
      <c r="V94" s="19" t="s">
        <v>189</v>
      </c>
      <c r="W94" s="19" t="s">
        <v>189</v>
      </c>
      <c r="X94" s="19" t="s">
        <v>189</v>
      </c>
      <c r="Y94" s="19" t="s">
        <v>189</v>
      </c>
      <c r="Z94" s="19" t="s">
        <v>189</v>
      </c>
      <c r="AA94" s="19" t="s">
        <v>189</v>
      </c>
      <c r="AB94" s="19" t="s">
        <v>189</v>
      </c>
      <c r="AC94" s="19" t="s">
        <v>189</v>
      </c>
      <c r="AD94" s="19" t="s">
        <v>189</v>
      </c>
      <c r="AE94" s="19" t="s">
        <v>189</v>
      </c>
      <c r="AF94" s="19" t="s">
        <v>189</v>
      </c>
      <c r="AG94" s="19" t="s">
        <v>189</v>
      </c>
      <c r="AH94" s="19" t="s">
        <v>189</v>
      </c>
      <c r="AI94" s="19" t="s">
        <v>189</v>
      </c>
      <c r="AJ94" s="19" t="s">
        <v>189</v>
      </c>
      <c r="AK94" s="19" t="s">
        <v>189</v>
      </c>
      <c r="AL94" s="19" t="s">
        <v>189</v>
      </c>
      <c r="AM94" s="19" t="s">
        <v>189</v>
      </c>
      <c r="AN94" s="19" t="s">
        <v>189</v>
      </c>
    </row>
    <row r="95" spans="1:40" x14ac:dyDescent="0.25">
      <c r="A95" t="s">
        <v>8</v>
      </c>
      <c r="B95" t="str">
        <f>TRIM(D1_OCTUBRE[[#This Row],[ASESOR]])</f>
        <v>VICTOR RAMIREZ</v>
      </c>
      <c r="C95" t="s">
        <v>76</v>
      </c>
      <c r="D95">
        <v>64085.41</v>
      </c>
      <c r="E95">
        <v>0.91550585714285715</v>
      </c>
      <c r="F95" t="str">
        <f>D1_OCTUBRE[[#This Row],[SUPER]]</f>
        <v>BRYAN</v>
      </c>
      <c r="L95">
        <v>12</v>
      </c>
      <c r="M95" s="1">
        <f t="shared" si="2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3"/>
        <v/>
      </c>
      <c r="P95" t="str">
        <f>IF(DATA_OCTUBRE_2025[[#This Row],[ASER_]]="","",F89)</f>
        <v/>
      </c>
      <c r="Q95" t="str">
        <f>IF(DATA_OCTUBRE_2025[[#This Row],[SUPERVISOR]]="","",D89)</f>
        <v/>
      </c>
      <c r="R95" t="str">
        <f>IF(DATA_OCTUBRE_2025[[#This Row],[RECUPERO]]="","",VLOOKUP(DATA_OCTUBRE_2025[[#This Row],[SUPERVISOR]],$H:$I,2,0))</f>
        <v/>
      </c>
      <c r="S95" s="19" t="s">
        <v>189</v>
      </c>
      <c r="T95" s="19" t="s">
        <v>189</v>
      </c>
      <c r="U95" s="19" t="s">
        <v>189</v>
      </c>
      <c r="V95" s="19" t="s">
        <v>189</v>
      </c>
      <c r="W95" s="19" t="s">
        <v>189</v>
      </c>
      <c r="X95" s="19" t="s">
        <v>189</v>
      </c>
      <c r="Y95" s="19" t="s">
        <v>189</v>
      </c>
      <c r="Z95" s="19" t="s">
        <v>189</v>
      </c>
      <c r="AA95" s="19" t="s">
        <v>189</v>
      </c>
      <c r="AB95" s="19" t="s">
        <v>189</v>
      </c>
      <c r="AC95" s="19" t="s">
        <v>189</v>
      </c>
      <c r="AD95" s="19" t="s">
        <v>189</v>
      </c>
      <c r="AE95" s="19" t="s">
        <v>189</v>
      </c>
      <c r="AF95" s="19" t="s">
        <v>189</v>
      </c>
      <c r="AG95" s="19" t="s">
        <v>189</v>
      </c>
      <c r="AH95" s="19" t="s">
        <v>189</v>
      </c>
      <c r="AI95" s="19" t="s">
        <v>189</v>
      </c>
      <c r="AJ95" s="19" t="s">
        <v>189</v>
      </c>
      <c r="AK95" s="19" t="s">
        <v>189</v>
      </c>
      <c r="AL95" s="19" t="s">
        <v>189</v>
      </c>
      <c r="AM95" s="19" t="s">
        <v>189</v>
      </c>
      <c r="AN95" s="19" t="s">
        <v>189</v>
      </c>
    </row>
    <row r="96" spans="1:40" x14ac:dyDescent="0.25">
      <c r="A96" t="s">
        <v>8</v>
      </c>
      <c r="B96" t="str">
        <f>TRIM(D1_OCTUBRE[[#This Row],[ASESOR]])</f>
        <v>VERONICA TASAYCO</v>
      </c>
      <c r="C96" t="s">
        <v>10</v>
      </c>
      <c r="D96">
        <v>60760</v>
      </c>
      <c r="E96">
        <v>0.86799999999999999</v>
      </c>
      <c r="F96" t="str">
        <f>D1_OCTUBRE[[#This Row],[SUPER]]</f>
        <v>BRYAN</v>
      </c>
      <c r="L96">
        <v>13</v>
      </c>
      <c r="M96" s="1">
        <f t="shared" si="2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3"/>
        <v/>
      </c>
      <c r="P96" t="str">
        <f>IF(DATA_OCTUBRE_2025[[#This Row],[ASER_]]="","",F90)</f>
        <v/>
      </c>
      <c r="Q96" t="str">
        <f>IF(DATA_OCTUBRE_2025[[#This Row],[SUPERVISOR]]="","",D90)</f>
        <v/>
      </c>
      <c r="R96" t="str">
        <f>IF(DATA_OCTUBRE_2025[[#This Row],[RECUPERO]]="","",VLOOKUP(DATA_OCTUBRE_2025[[#This Row],[SUPERVISOR]],$H:$I,2,0))</f>
        <v/>
      </c>
      <c r="S96" s="19" t="s">
        <v>189</v>
      </c>
      <c r="T96" s="19" t="s">
        <v>189</v>
      </c>
      <c r="U96" s="19" t="s">
        <v>189</v>
      </c>
      <c r="V96" s="19" t="s">
        <v>189</v>
      </c>
      <c r="W96" s="19" t="s">
        <v>189</v>
      </c>
      <c r="X96" s="19" t="s">
        <v>189</v>
      </c>
      <c r="Y96" s="19" t="s">
        <v>189</v>
      </c>
      <c r="Z96" s="19" t="s">
        <v>189</v>
      </c>
      <c r="AA96" s="19" t="s">
        <v>189</v>
      </c>
      <c r="AB96" s="19" t="s">
        <v>189</v>
      </c>
      <c r="AC96" s="19" t="s">
        <v>189</v>
      </c>
      <c r="AD96" s="19" t="s">
        <v>189</v>
      </c>
      <c r="AE96" s="19" t="s">
        <v>189</v>
      </c>
      <c r="AF96" s="19" t="s">
        <v>189</v>
      </c>
      <c r="AG96" s="19" t="s">
        <v>189</v>
      </c>
      <c r="AH96" s="19" t="s">
        <v>189</v>
      </c>
      <c r="AI96" s="19" t="s">
        <v>189</v>
      </c>
      <c r="AJ96" s="19" t="s">
        <v>189</v>
      </c>
      <c r="AK96" s="19" t="s">
        <v>189</v>
      </c>
      <c r="AL96" s="19" t="s">
        <v>189</v>
      </c>
      <c r="AM96" s="19" t="s">
        <v>189</v>
      </c>
      <c r="AN96" s="19" t="s">
        <v>189</v>
      </c>
    </row>
    <row r="97" spans="1:40" x14ac:dyDescent="0.25">
      <c r="A97" t="s">
        <v>8</v>
      </c>
      <c r="B97" t="str">
        <f>TRIM(D1_OCTUBRE[[#This Row],[ASESOR]])</f>
        <v>GABRIELA APONTE</v>
      </c>
      <c r="C97" t="s">
        <v>27</v>
      </c>
      <c r="D97">
        <v>53610</v>
      </c>
      <c r="E97">
        <v>0.7658571428571429</v>
      </c>
      <c r="F97" t="str">
        <f>D1_OCTUBRE[[#This Row],[SUPER]]</f>
        <v>BRYAN</v>
      </c>
      <c r="L97">
        <v>14</v>
      </c>
      <c r="M97" s="1">
        <f t="shared" si="2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3"/>
        <v/>
      </c>
      <c r="P97" t="str">
        <f>IF(DATA_OCTUBRE_2025[[#This Row],[ASER_]]="","",F91)</f>
        <v/>
      </c>
      <c r="Q97" t="str">
        <f>IF(DATA_OCTUBRE_2025[[#This Row],[SUPERVISOR]]="","",D91)</f>
        <v/>
      </c>
      <c r="R97" t="str">
        <f>IF(DATA_OCTUBRE_2025[[#This Row],[RECUPERO]]="","",VLOOKUP(DATA_OCTUBRE_2025[[#This Row],[SUPERVISOR]],$H:$I,2,0))</f>
        <v/>
      </c>
      <c r="S97" s="19" t="s">
        <v>189</v>
      </c>
      <c r="T97" s="19" t="s">
        <v>189</v>
      </c>
      <c r="U97" s="19" t="s">
        <v>189</v>
      </c>
      <c r="V97" s="19" t="s">
        <v>189</v>
      </c>
      <c r="W97" s="19" t="s">
        <v>189</v>
      </c>
      <c r="X97" s="19" t="s">
        <v>189</v>
      </c>
      <c r="Y97" s="19" t="s">
        <v>189</v>
      </c>
      <c r="Z97" s="19" t="s">
        <v>189</v>
      </c>
      <c r="AA97" s="19" t="s">
        <v>189</v>
      </c>
      <c r="AB97" s="19" t="s">
        <v>189</v>
      </c>
      <c r="AC97" s="19" t="s">
        <v>189</v>
      </c>
      <c r="AD97" s="19" t="s">
        <v>189</v>
      </c>
      <c r="AE97" s="19" t="s">
        <v>189</v>
      </c>
      <c r="AF97" s="19" t="s">
        <v>189</v>
      </c>
      <c r="AG97" s="19" t="s">
        <v>189</v>
      </c>
      <c r="AH97" s="19" t="s">
        <v>189</v>
      </c>
      <c r="AI97" s="19" t="s">
        <v>189</v>
      </c>
      <c r="AJ97" s="19" t="s">
        <v>189</v>
      </c>
      <c r="AK97" s="19" t="s">
        <v>189</v>
      </c>
      <c r="AL97" s="19" t="s">
        <v>189</v>
      </c>
      <c r="AM97" s="19" t="s">
        <v>189</v>
      </c>
      <c r="AN97" s="19" t="s">
        <v>189</v>
      </c>
    </row>
    <row r="98" spans="1:40" x14ac:dyDescent="0.25">
      <c r="A98" t="s">
        <v>8</v>
      </c>
      <c r="B98" t="str">
        <f>TRIM(D1_OCTUBRE[[#This Row],[ASESOR]])</f>
        <v>HAROLD FLORES</v>
      </c>
      <c r="C98" t="s">
        <v>42</v>
      </c>
      <c r="D98">
        <v>45450</v>
      </c>
      <c r="E98">
        <v>0.64928571428571424</v>
      </c>
      <c r="F98" t="str">
        <f>D1_OCTUBRE[[#This Row],[SUPER]]</f>
        <v>BRYAN</v>
      </c>
      <c r="L98">
        <v>15</v>
      </c>
      <c r="M98" s="1">
        <f t="shared" si="2"/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si="3"/>
        <v/>
      </c>
      <c r="P98" t="str">
        <f>IF(DATA_OCTUBRE_2025[[#This Row],[ASER_]]="","",F92)</f>
        <v/>
      </c>
      <c r="Q98" t="str">
        <f>IF(DATA_OCTUBRE_2025[[#This Row],[SUPERVISOR]]="","",D92)</f>
        <v/>
      </c>
      <c r="R98" t="str">
        <f>IF(DATA_OCTUBRE_2025[[#This Row],[RECUPERO]]="","",VLOOKUP(DATA_OCTUBRE_2025[[#This Row],[SUPERVISOR]],$H:$I,2,0))</f>
        <v/>
      </c>
      <c r="S98" s="19" t="s">
        <v>189</v>
      </c>
      <c r="T98" s="19" t="s">
        <v>189</v>
      </c>
      <c r="U98" s="19" t="s">
        <v>189</v>
      </c>
      <c r="V98" s="19" t="s">
        <v>189</v>
      </c>
      <c r="W98" s="19" t="s">
        <v>189</v>
      </c>
      <c r="X98" s="19" t="s">
        <v>189</v>
      </c>
      <c r="Y98" s="19" t="s">
        <v>189</v>
      </c>
      <c r="Z98" s="19" t="s">
        <v>189</v>
      </c>
      <c r="AA98" s="19" t="s">
        <v>189</v>
      </c>
      <c r="AB98" s="19" t="s">
        <v>189</v>
      </c>
      <c r="AC98" s="19" t="s">
        <v>189</v>
      </c>
      <c r="AD98" s="19" t="s">
        <v>189</v>
      </c>
      <c r="AE98" s="19" t="s">
        <v>189</v>
      </c>
      <c r="AF98" s="19" t="s">
        <v>189</v>
      </c>
      <c r="AG98" s="19" t="s">
        <v>189</v>
      </c>
      <c r="AH98" s="19" t="s">
        <v>189</v>
      </c>
      <c r="AI98" s="19" t="s">
        <v>189</v>
      </c>
      <c r="AJ98" s="19" t="s">
        <v>189</v>
      </c>
      <c r="AK98" s="19" t="s">
        <v>189</v>
      </c>
      <c r="AL98" s="19" t="s">
        <v>189</v>
      </c>
      <c r="AM98" s="19" t="s">
        <v>189</v>
      </c>
      <c r="AN98" s="19" t="s">
        <v>189</v>
      </c>
    </row>
    <row r="99" spans="1:40" x14ac:dyDescent="0.25">
      <c r="A99" t="s">
        <v>8</v>
      </c>
      <c r="B99" t="str">
        <f>TRIM(D1_OCTUBRE[[#This Row],[ASESOR]])</f>
        <v>MALORY MONTEBLANCO</v>
      </c>
      <c r="C99" t="s">
        <v>25</v>
      </c>
      <c r="D99">
        <v>36071</v>
      </c>
      <c r="E99">
        <v>0.51529999999999998</v>
      </c>
      <c r="F99" t="str">
        <f>D1_OCTUBRE[[#This Row],[SUPER]]</f>
        <v>BRYAN</v>
      </c>
      <c r="L99">
        <v>1</v>
      </c>
      <c r="M99" s="1">
        <f t="shared" si="2"/>
        <v>1.6813142857142858</v>
      </c>
      <c r="N99" t="str" cm="1">
        <f t="array" ref="N99">IFERROR(_xlfn.IFS(M99&gt;100%,"&gt;100%",AND(M99&lt;100%,M99&gt;70%),"&gt;70%",AND(M99&lt;70%,M99&gt;40%),"&gt;40%",AND(M99&lt;40%,M99&gt;0%),"&gt;0%"),"")</f>
        <v>&gt;100%</v>
      </c>
      <c r="O99" t="str">
        <f t="shared" si="3"/>
        <v>CRISTINA TICONA</v>
      </c>
      <c r="P99" t="str">
        <f>IF(DATA_OCTUBRE_2025[[#This Row],[ASER_]]="","",F93)</f>
        <v>BRYAN</v>
      </c>
      <c r="Q99">
        <f>IF(DATA_OCTUBRE_2025[[#This Row],[SUPERVISOR]]="","",D93)</f>
        <v>117692</v>
      </c>
      <c r="R99">
        <f>IF(DATA_OCTUBRE_2025[[#This Row],[RECUPERO]]="","",VLOOKUP(DATA_OCTUBRE_2025[[#This Row],[SUPERVISOR]],$H:$I,2,0))</f>
        <v>70000</v>
      </c>
      <c r="S99" s="19">
        <v>1000</v>
      </c>
      <c r="T99" s="19">
        <v>0</v>
      </c>
      <c r="U99" s="19">
        <v>700</v>
      </c>
      <c r="V99" s="19">
        <v>0</v>
      </c>
      <c r="W99" s="19">
        <v>0</v>
      </c>
      <c r="X99" s="19">
        <v>0</v>
      </c>
      <c r="Y99" s="19">
        <v>21000</v>
      </c>
      <c r="Z99" s="19">
        <v>0</v>
      </c>
      <c r="AA99" s="19">
        <v>0</v>
      </c>
      <c r="AB99" s="19">
        <v>10855</v>
      </c>
      <c r="AC99" s="19">
        <v>11500</v>
      </c>
      <c r="AD99" s="19">
        <v>6690</v>
      </c>
      <c r="AE99" s="19">
        <v>0</v>
      </c>
      <c r="AF99" s="19">
        <v>20000</v>
      </c>
      <c r="AG99" s="19">
        <v>8200</v>
      </c>
      <c r="AH99" s="19">
        <v>7300</v>
      </c>
      <c r="AI99" s="19">
        <v>6132</v>
      </c>
      <c r="AJ99" s="19">
        <v>900</v>
      </c>
      <c r="AK99" s="19">
        <v>0</v>
      </c>
      <c r="AL99" s="19">
        <v>3600</v>
      </c>
      <c r="AM99" s="19">
        <v>6315</v>
      </c>
      <c r="AN99" s="19">
        <v>13500</v>
      </c>
    </row>
    <row r="100" spans="1:40" x14ac:dyDescent="0.25">
      <c r="A100" t="s">
        <v>8</v>
      </c>
      <c r="B100" t="str">
        <f>TRIM(D1_OCTUBRE[[#This Row],[ASESOR]])</f>
        <v>JAIR MARTINEZ</v>
      </c>
      <c r="C100" t="s">
        <v>57</v>
      </c>
      <c r="D100">
        <v>19823</v>
      </c>
      <c r="E100">
        <v>0.28318571428571426</v>
      </c>
      <c r="F100" t="str">
        <f>D1_OCTUBRE[[#This Row],[SUPER]]</f>
        <v>BRYAN</v>
      </c>
      <c r="L100">
        <v>2</v>
      </c>
      <c r="M100" s="1">
        <f t="shared" si="2"/>
        <v>1.3407150000000001</v>
      </c>
      <c r="N100" t="str" cm="1">
        <f t="array" ref="N100">IFERROR(_xlfn.IFS(M100&gt;100%,"&gt;100%",AND(M100&lt;100%,M100&gt;70%),"&gt;70%",AND(M100&lt;70%,M100&gt;40%),"&gt;40%",AND(M100&lt;40%,M100&gt;0%),"&gt;0%"),"")</f>
        <v>&gt;100%</v>
      </c>
      <c r="O100" t="str">
        <f t="shared" si="3"/>
        <v>DAVID SANCHEZ</v>
      </c>
      <c r="P100" t="str">
        <f>IF(DATA_OCTUBRE_2025[[#This Row],[ASER_]]="","",F94)</f>
        <v>BRYAN</v>
      </c>
      <c r="Q100">
        <f>IF(DATA_OCTUBRE_2025[[#This Row],[SUPERVISOR]]="","",D94)</f>
        <v>93850.05</v>
      </c>
      <c r="R100">
        <f>IF(DATA_OCTUBRE_2025[[#This Row],[RECUPERO]]="","",VLOOKUP(DATA_OCTUBRE_2025[[#This Row],[SUPERVISOR]],$H:$I,2,0))</f>
        <v>70000</v>
      </c>
      <c r="S100" s="19">
        <v>400</v>
      </c>
      <c r="T100" s="19">
        <v>0</v>
      </c>
      <c r="U100" s="19">
        <v>1000</v>
      </c>
      <c r="V100" s="19">
        <v>0</v>
      </c>
      <c r="W100" s="19">
        <v>18882</v>
      </c>
      <c r="X100" s="19">
        <v>0</v>
      </c>
      <c r="Y100" s="19">
        <v>2000</v>
      </c>
      <c r="Z100" s="19">
        <v>223</v>
      </c>
      <c r="AA100" s="19">
        <v>36128.050000000003</v>
      </c>
      <c r="AB100" s="19">
        <v>3959</v>
      </c>
      <c r="AC100" s="19">
        <v>220</v>
      </c>
      <c r="AD100" s="19">
        <v>355</v>
      </c>
      <c r="AE100" s="19">
        <v>3020</v>
      </c>
      <c r="AF100" s="19">
        <v>6260</v>
      </c>
      <c r="AG100" s="19">
        <v>1741</v>
      </c>
      <c r="AH100" s="19">
        <v>0</v>
      </c>
      <c r="AI100" s="19">
        <v>5900</v>
      </c>
      <c r="AJ100" s="19">
        <v>400</v>
      </c>
      <c r="AK100" s="19">
        <v>600</v>
      </c>
      <c r="AL100" s="19">
        <v>6000</v>
      </c>
      <c r="AM100" s="19">
        <v>6430</v>
      </c>
      <c r="AN100" s="19">
        <v>332</v>
      </c>
    </row>
    <row r="101" spans="1:40" x14ac:dyDescent="0.25">
      <c r="A101" t="s">
        <v>8</v>
      </c>
      <c r="B101" t="str">
        <f>TRIM(D1_OCTUBRE[[#This Row],[ASESOR]])</f>
        <v/>
      </c>
      <c r="E101">
        <v>0</v>
      </c>
      <c r="F101" t="str">
        <f>D1_OCTUBRE[[#This Row],[SUPER]]</f>
        <v>BRYAN</v>
      </c>
      <c r="L101">
        <v>3</v>
      </c>
      <c r="M101" s="1">
        <f t="shared" si="2"/>
        <v>0.91550585714285715</v>
      </c>
      <c r="N101" t="str" cm="1">
        <f t="array" ref="N101">IFERROR(_xlfn.IFS(M101&gt;100%,"&gt;100%",AND(M101&lt;100%,M101&gt;70%),"&gt;70%",AND(M101&lt;70%,M101&gt;40%),"&gt;40%",AND(M101&lt;40%,M101&gt;0%),"&gt;0%"),"")</f>
        <v>&gt;70%</v>
      </c>
      <c r="O101" t="str">
        <f t="shared" si="3"/>
        <v>VICTOR RAMIREZ</v>
      </c>
      <c r="P101" t="str">
        <f>IF(DATA_OCTUBRE_2025[[#This Row],[ASER_]]="","",F95)</f>
        <v>BRYAN</v>
      </c>
      <c r="Q101">
        <f>IF(DATA_OCTUBRE_2025[[#This Row],[SUPERVISOR]]="","",D95)</f>
        <v>64085.41</v>
      </c>
      <c r="R101">
        <f>IF(DATA_OCTUBRE_2025[[#This Row],[RECUPERO]]="","",VLOOKUP(DATA_OCTUBRE_2025[[#This Row],[SUPERVISOR]],$H:$I,2,0))</f>
        <v>70000</v>
      </c>
      <c r="S101" s="19">
        <v>1000</v>
      </c>
      <c r="T101" s="19">
        <v>0</v>
      </c>
      <c r="U101" s="19">
        <v>0</v>
      </c>
      <c r="V101" s="19">
        <v>10000</v>
      </c>
      <c r="W101" s="19">
        <v>4775</v>
      </c>
      <c r="X101" s="19">
        <v>600</v>
      </c>
      <c r="Y101" s="19">
        <v>0</v>
      </c>
      <c r="Z101" s="19">
        <v>20500</v>
      </c>
      <c r="AA101" s="19">
        <v>0</v>
      </c>
      <c r="AB101" s="19">
        <v>2500</v>
      </c>
      <c r="AC101" s="19">
        <v>3875</v>
      </c>
      <c r="AD101" s="19">
        <v>0</v>
      </c>
      <c r="AE101" s="19">
        <v>0</v>
      </c>
      <c r="AF101" s="19">
        <v>0</v>
      </c>
      <c r="AG101" s="19">
        <v>9780</v>
      </c>
      <c r="AH101" s="19">
        <v>900</v>
      </c>
      <c r="AI101" s="19">
        <v>0</v>
      </c>
      <c r="AJ101" s="19">
        <v>0</v>
      </c>
      <c r="AK101" s="19">
        <v>900</v>
      </c>
      <c r="AL101" s="19">
        <v>815.41</v>
      </c>
      <c r="AM101" s="19">
        <v>7150</v>
      </c>
      <c r="AN101" s="19">
        <v>1290</v>
      </c>
    </row>
    <row r="102" spans="1:40" x14ac:dyDescent="0.25">
      <c r="A102" t="s">
        <v>8</v>
      </c>
      <c r="B102" t="str">
        <f>TRIM(D1_OCTUBRE[[#This Row],[ASESOR]])</f>
        <v/>
      </c>
      <c r="E102">
        <v>0</v>
      </c>
      <c r="F102" t="str">
        <f>D1_OCTUBRE[[#This Row],[SUPER]]</f>
        <v>BRYAN</v>
      </c>
      <c r="L102">
        <v>4</v>
      </c>
      <c r="M102" s="1">
        <f t="shared" si="2"/>
        <v>0.86799999999999999</v>
      </c>
      <c r="N102" t="str" cm="1">
        <f t="array" ref="N102">IFERROR(_xlfn.IFS(M102&gt;100%,"&gt;100%",AND(M102&lt;100%,M102&gt;70%),"&gt;70%",AND(M102&lt;70%,M102&gt;40%),"&gt;40%",AND(M102&lt;40%,M102&gt;0%),"&gt;0%"),"")</f>
        <v>&gt;70%</v>
      </c>
      <c r="O102" t="str">
        <f t="shared" si="3"/>
        <v>VERONICA TASAYCO</v>
      </c>
      <c r="P102" t="str">
        <f>IF(DATA_OCTUBRE_2025[[#This Row],[ASER_]]="","",F96)</f>
        <v>BRYAN</v>
      </c>
      <c r="Q102">
        <f>IF(DATA_OCTUBRE_2025[[#This Row],[SUPERVISOR]]="","",D96)</f>
        <v>60760</v>
      </c>
      <c r="R102">
        <f>IF(DATA_OCTUBRE_2025[[#This Row],[RECUPERO]]="","",VLOOKUP(DATA_OCTUBRE_2025[[#This Row],[SUPERVISOR]],$H:$I,2,0))</f>
        <v>70000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3700</v>
      </c>
      <c r="Y102" s="19">
        <v>0</v>
      </c>
      <c r="Z102" s="19">
        <v>3250</v>
      </c>
      <c r="AA102" s="19">
        <v>0</v>
      </c>
      <c r="AB102" s="19">
        <v>1405</v>
      </c>
      <c r="AC102" s="19">
        <v>2000</v>
      </c>
      <c r="AD102" s="19">
        <v>500</v>
      </c>
      <c r="AE102" s="19">
        <v>4300</v>
      </c>
      <c r="AF102" s="19">
        <v>8000</v>
      </c>
      <c r="AG102" s="19">
        <v>775</v>
      </c>
      <c r="AH102" s="19">
        <v>9900</v>
      </c>
      <c r="AI102" s="19">
        <v>4380</v>
      </c>
      <c r="AJ102" s="19">
        <v>0</v>
      </c>
      <c r="AK102" s="19">
        <v>1000</v>
      </c>
      <c r="AL102" s="19">
        <v>0</v>
      </c>
      <c r="AM102" s="19">
        <v>8550</v>
      </c>
      <c r="AN102" s="19">
        <v>13000</v>
      </c>
    </row>
    <row r="103" spans="1:40" x14ac:dyDescent="0.25">
      <c r="A103" t="s">
        <v>8</v>
      </c>
      <c r="B103" t="str">
        <f>TRIM(D1_OCTUBRE[[#This Row],[ASESOR]])</f>
        <v/>
      </c>
      <c r="E103">
        <v>0</v>
      </c>
      <c r="F103" t="str">
        <f>D1_OCTUBRE[[#This Row],[SUPER]]</f>
        <v>BRYAN</v>
      </c>
      <c r="L103">
        <v>5</v>
      </c>
      <c r="M103" s="1">
        <f t="shared" si="2"/>
        <v>0.7658571428571429</v>
      </c>
      <c r="N103" t="str" cm="1">
        <f t="array" ref="N103">IFERROR(_xlfn.IFS(M103&gt;100%,"&gt;100%",AND(M103&lt;100%,M103&gt;70%),"&gt;70%",AND(M103&lt;70%,M103&gt;40%),"&gt;40%",AND(M103&lt;40%,M103&gt;0%),"&gt;0%"),"")</f>
        <v>&gt;70%</v>
      </c>
      <c r="O103" t="str">
        <f t="shared" si="3"/>
        <v>GABRIELA APONTE</v>
      </c>
      <c r="P103" t="str">
        <f>IF(DATA_OCTUBRE_2025[[#This Row],[ASER_]]="","",F97)</f>
        <v>BRYAN</v>
      </c>
      <c r="Q103">
        <f>IF(DATA_OCTUBRE_2025[[#This Row],[SUPERVISOR]]="","",D97)</f>
        <v>53610</v>
      </c>
      <c r="R103">
        <f>IF(DATA_OCTUBRE_2025[[#This Row],[RECUPERO]]="","",VLOOKUP(DATA_OCTUBRE_2025[[#This Row],[SUPERVISOR]],$H:$I,2,0))</f>
        <v>70000</v>
      </c>
      <c r="S103" s="19">
        <v>0</v>
      </c>
      <c r="T103" s="19">
        <v>0</v>
      </c>
      <c r="U103" s="19">
        <v>576</v>
      </c>
      <c r="V103" s="19">
        <v>5000</v>
      </c>
      <c r="W103" s="19">
        <v>0</v>
      </c>
      <c r="X103" s="19">
        <v>0</v>
      </c>
      <c r="Y103" s="19">
        <v>0</v>
      </c>
      <c r="Z103" s="19">
        <v>0</v>
      </c>
      <c r="AA103" s="19">
        <v>1000</v>
      </c>
      <c r="AB103" s="19">
        <v>0</v>
      </c>
      <c r="AC103" s="19">
        <v>0</v>
      </c>
      <c r="AD103" s="19">
        <v>1000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25600</v>
      </c>
      <c r="AM103" s="19">
        <v>2034</v>
      </c>
      <c r="AN103" s="19">
        <v>18400</v>
      </c>
    </row>
    <row r="104" spans="1:40" x14ac:dyDescent="0.25">
      <c r="A104" t="s">
        <v>8</v>
      </c>
      <c r="B104" t="str">
        <f>TRIM(D1_OCTUBRE[[#This Row],[ASESOR]])</f>
        <v/>
      </c>
      <c r="E104">
        <v>0</v>
      </c>
      <c r="F104" t="str">
        <f>D1_OCTUBRE[[#This Row],[SUPER]]</f>
        <v>BRYAN</v>
      </c>
      <c r="L104">
        <v>6</v>
      </c>
      <c r="M104" s="1">
        <f t="shared" si="2"/>
        <v>0.64928571428571424</v>
      </c>
      <c r="N104" t="str" cm="1">
        <f t="array" ref="N104">IFERROR(_xlfn.IFS(M104&gt;100%,"&gt;100%",AND(M104&lt;100%,M104&gt;70%),"&gt;70%",AND(M104&lt;70%,M104&gt;40%),"&gt;40%",AND(M104&lt;40%,M104&gt;0%),"&gt;0%"),"")</f>
        <v>&gt;40%</v>
      </c>
      <c r="O104" t="str">
        <f t="shared" si="3"/>
        <v>HAROLD FLORES</v>
      </c>
      <c r="P104" t="str">
        <f>IF(DATA_OCTUBRE_2025[[#This Row],[ASER_]]="","",F98)</f>
        <v>BRYAN</v>
      </c>
      <c r="Q104">
        <f>IF(DATA_OCTUBRE_2025[[#This Row],[SUPERVISOR]]="","",D98)</f>
        <v>45450</v>
      </c>
      <c r="R104">
        <f>IF(DATA_OCTUBRE_2025[[#This Row],[RECUPERO]]="","",VLOOKUP(DATA_OCTUBRE_2025[[#This Row],[SUPERVISOR]],$H:$I,2,0))</f>
        <v>70000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8700</v>
      </c>
      <c r="Y104" s="19">
        <v>3500</v>
      </c>
      <c r="Z104" s="19">
        <v>0</v>
      </c>
      <c r="AA104" s="19">
        <v>2900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5000</v>
      </c>
      <c r="AI104" s="19">
        <v>650</v>
      </c>
      <c r="AJ104" s="19">
        <v>0</v>
      </c>
      <c r="AK104" s="19">
        <v>5000</v>
      </c>
      <c r="AL104" s="19">
        <v>3200</v>
      </c>
      <c r="AM104" s="19">
        <v>5500</v>
      </c>
      <c r="AN104" s="19">
        <v>11000</v>
      </c>
    </row>
    <row r="105" spans="1:40" x14ac:dyDescent="0.25">
      <c r="A105" t="s">
        <v>8</v>
      </c>
      <c r="B105" t="str">
        <f>TRIM(D1_OCTUBRE[[#This Row],[ASESOR]])</f>
        <v/>
      </c>
      <c r="E105">
        <v>0</v>
      </c>
      <c r="F105" t="str">
        <f>D1_OCTUBRE[[#This Row],[SUPER]]</f>
        <v>BRYAN</v>
      </c>
      <c r="L105">
        <v>7</v>
      </c>
      <c r="M105" s="1">
        <f t="shared" si="2"/>
        <v>0.51529999999999998</v>
      </c>
      <c r="N105" t="str" cm="1">
        <f t="array" ref="N105">IFERROR(_xlfn.IFS(M105&gt;100%,"&gt;100%",AND(M105&lt;100%,M105&gt;70%),"&gt;70%",AND(M105&lt;70%,M105&gt;40%),"&gt;40%",AND(M105&lt;40%,M105&gt;0%),"&gt;0%"),"")</f>
        <v>&gt;40%</v>
      </c>
      <c r="O105" t="str">
        <f t="shared" si="3"/>
        <v>MALORY MONTEBLANCO</v>
      </c>
      <c r="P105" t="str">
        <f>IF(DATA_OCTUBRE_2025[[#This Row],[ASER_]]="","",F99)</f>
        <v>BRYAN</v>
      </c>
      <c r="Q105">
        <f>IF(DATA_OCTUBRE_2025[[#This Row],[SUPERVISOR]]="","",D99)</f>
        <v>36071</v>
      </c>
      <c r="R105">
        <f>IF(DATA_OCTUBRE_2025[[#This Row],[RECUPERO]]="","",VLOOKUP(DATA_OCTUBRE_2025[[#This Row],[SUPERVISOR]],$H:$I,2,0))</f>
        <v>70000</v>
      </c>
      <c r="S105" s="19">
        <v>3000</v>
      </c>
      <c r="T105" s="19">
        <v>0</v>
      </c>
      <c r="U105" s="19">
        <v>0</v>
      </c>
      <c r="V105" s="19">
        <v>0</v>
      </c>
      <c r="W105" s="19">
        <v>5000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1598</v>
      </c>
      <c r="AD105" s="19">
        <v>6500</v>
      </c>
      <c r="AE105" s="19">
        <v>506</v>
      </c>
      <c r="AF105" s="19">
        <v>0</v>
      </c>
      <c r="AG105" s="19">
        <v>0</v>
      </c>
      <c r="AH105" s="19">
        <v>2925</v>
      </c>
      <c r="AI105" s="19">
        <v>2925</v>
      </c>
      <c r="AJ105" s="19">
        <v>5000</v>
      </c>
      <c r="AK105" s="19">
        <v>0</v>
      </c>
      <c r="AL105" s="19">
        <v>6500</v>
      </c>
      <c r="AM105" s="19">
        <v>0</v>
      </c>
      <c r="AN105" s="19">
        <v>2117</v>
      </c>
    </row>
    <row r="106" spans="1:40" x14ac:dyDescent="0.25">
      <c r="A106" t="s">
        <v>8</v>
      </c>
      <c r="B106" t="str">
        <f>TRIM(D1_OCTUBRE[[#This Row],[ASESOR]])</f>
        <v/>
      </c>
      <c r="E106">
        <v>0</v>
      </c>
      <c r="F106" t="str">
        <f>D1_OCTUBRE[[#This Row],[SUPER]]</f>
        <v>BRYAN</v>
      </c>
      <c r="L106">
        <v>8</v>
      </c>
      <c r="M106" s="1">
        <f t="shared" si="2"/>
        <v>0.28318571428571426</v>
      </c>
      <c r="N106" t="str" cm="1">
        <f t="array" ref="N106">IFERROR(_xlfn.IFS(M106&gt;100%,"&gt;100%",AND(M106&lt;100%,M106&gt;70%),"&gt;70%",AND(M106&lt;70%,M106&gt;40%),"&gt;40%",AND(M106&lt;40%,M106&gt;0%),"&gt;0%"),"")</f>
        <v>&gt;0%</v>
      </c>
      <c r="O106" t="str">
        <f t="shared" si="3"/>
        <v>JAIR MARTINEZ</v>
      </c>
      <c r="P106" t="str">
        <f>IF(DATA_OCTUBRE_2025[[#This Row],[ASER_]]="","",F100)</f>
        <v>BRYAN</v>
      </c>
      <c r="Q106">
        <f>IF(DATA_OCTUBRE_2025[[#This Row],[SUPERVISOR]]="","",D100)</f>
        <v>19823</v>
      </c>
      <c r="R106">
        <f>IF(DATA_OCTUBRE_2025[[#This Row],[RECUPERO]]="","",VLOOKUP(DATA_OCTUBRE_2025[[#This Row],[SUPERVISOR]],$H:$I,2,0))</f>
        <v>70000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5000</v>
      </c>
      <c r="AB106" s="19">
        <v>9000</v>
      </c>
      <c r="AC106" s="19">
        <v>0</v>
      </c>
      <c r="AD106" s="19">
        <v>0</v>
      </c>
      <c r="AE106" s="19">
        <v>0</v>
      </c>
      <c r="AF106" s="19">
        <v>823</v>
      </c>
      <c r="AG106" s="19">
        <v>0</v>
      </c>
      <c r="AH106" s="19">
        <v>0</v>
      </c>
      <c r="AI106" s="19">
        <v>0</v>
      </c>
      <c r="AJ106" s="19">
        <v>0</v>
      </c>
      <c r="AK106" s="19">
        <v>5000</v>
      </c>
      <c r="AL106" s="19">
        <v>0</v>
      </c>
      <c r="AM106" s="19">
        <v>0</v>
      </c>
      <c r="AN106" s="19">
        <v>0</v>
      </c>
    </row>
    <row r="107" spans="1:40" x14ac:dyDescent="0.25">
      <c r="A107" t="s">
        <v>8</v>
      </c>
      <c r="B107" t="str">
        <f>TRIM(D1_OCTUBRE[[#This Row],[ASESOR]])</f>
        <v/>
      </c>
      <c r="E107">
        <v>0</v>
      </c>
      <c r="F107" t="str">
        <f>D1_OCTUBRE[[#This Row],[SUPER]]</f>
        <v>BRYAN</v>
      </c>
      <c r="L107">
        <v>9</v>
      </c>
      <c r="M107" s="1">
        <f t="shared" si="2"/>
        <v>0</v>
      </c>
      <c r="N107" t="str" cm="1">
        <f t="array" ref="N107">IFERROR(_xlfn.IFS(M107&gt;100%,"&gt;100%",AND(M107&lt;100%,M107&gt;70%),"&gt;70%",AND(M107&lt;70%,M107&gt;40%),"&gt;40%",AND(M107&lt;40%,M107&gt;0%),"&gt;0%"),"")</f>
        <v/>
      </c>
      <c r="O107" t="str">
        <f t="shared" si="3"/>
        <v/>
      </c>
      <c r="P107" t="str">
        <f>IF(DATA_OCTUBRE_2025[[#This Row],[ASER_]]="","",F101)</f>
        <v/>
      </c>
      <c r="Q107" t="str">
        <f>IF(DATA_OCTUBRE_2025[[#This Row],[SUPERVISOR]]="","",D101)</f>
        <v/>
      </c>
      <c r="R107" t="str">
        <f>IF(DATA_OCTUBRE_2025[[#This Row],[RECUPERO]]="","",VLOOKUP(DATA_OCTUBRE_2025[[#This Row],[SUPERVISOR]],$H:$I,2,0))</f>
        <v/>
      </c>
      <c r="S107" s="19" t="s">
        <v>189</v>
      </c>
      <c r="T107" s="19" t="s">
        <v>189</v>
      </c>
      <c r="U107" s="19" t="s">
        <v>189</v>
      </c>
      <c r="V107" s="19" t="s">
        <v>189</v>
      </c>
      <c r="W107" s="19" t="s">
        <v>189</v>
      </c>
      <c r="X107" s="19" t="s">
        <v>189</v>
      </c>
      <c r="Y107" s="19" t="s">
        <v>189</v>
      </c>
      <c r="Z107" s="19" t="s">
        <v>189</v>
      </c>
      <c r="AA107" s="19" t="s">
        <v>189</v>
      </c>
      <c r="AB107" s="19" t="s">
        <v>189</v>
      </c>
      <c r="AC107" s="19" t="s">
        <v>189</v>
      </c>
      <c r="AD107" s="19" t="s">
        <v>189</v>
      </c>
      <c r="AE107" s="19" t="s">
        <v>189</v>
      </c>
      <c r="AF107" s="19" t="s">
        <v>189</v>
      </c>
      <c r="AG107" s="19" t="s">
        <v>189</v>
      </c>
      <c r="AH107" s="19" t="s">
        <v>189</v>
      </c>
      <c r="AI107" s="19" t="s">
        <v>189</v>
      </c>
      <c r="AJ107" s="19" t="s">
        <v>189</v>
      </c>
      <c r="AK107" s="19" t="s">
        <v>189</v>
      </c>
      <c r="AL107" s="19" t="s">
        <v>189</v>
      </c>
      <c r="AM107" s="19" t="s">
        <v>189</v>
      </c>
      <c r="AN107" s="19" t="s">
        <v>189</v>
      </c>
    </row>
    <row r="108" spans="1:40" x14ac:dyDescent="0.25">
      <c r="A108" t="s">
        <v>9</v>
      </c>
      <c r="B108" t="str">
        <f>TRIM(D1_OCTUBRE[[#This Row],[ASESOR]])</f>
        <v>DANIEL ZAPATA</v>
      </c>
      <c r="C108" t="s">
        <v>80</v>
      </c>
      <c r="D108">
        <v>40750</v>
      </c>
      <c r="E108">
        <v>1.7717391304347827</v>
      </c>
      <c r="F108" t="str">
        <f>D1_OCTUBRE[[#This Row],[SUPER]]</f>
        <v>LUIS</v>
      </c>
      <c r="L108">
        <v>10</v>
      </c>
      <c r="M108" s="1">
        <f t="shared" si="2"/>
        <v>0</v>
      </c>
      <c r="N108" t="str" cm="1">
        <f t="array" ref="N108">IFERROR(_xlfn.IFS(M108&gt;100%,"&gt;100%",AND(M108&lt;100%,M108&gt;70%),"&gt;70%",AND(M108&lt;70%,M108&gt;40%),"&gt;40%",AND(M108&lt;40%,M108&gt;0%),"&gt;0%"),"")</f>
        <v/>
      </c>
      <c r="O108" t="str">
        <f t="shared" si="3"/>
        <v/>
      </c>
      <c r="P108" t="str">
        <f>IF(DATA_OCTUBRE_2025[[#This Row],[ASER_]]="","",F102)</f>
        <v/>
      </c>
      <c r="Q108" t="str">
        <f>IF(DATA_OCTUBRE_2025[[#This Row],[SUPERVISOR]]="","",D102)</f>
        <v/>
      </c>
      <c r="R108" t="str">
        <f>IF(DATA_OCTUBRE_2025[[#This Row],[RECUPERO]]="","",VLOOKUP(DATA_OCTUBRE_2025[[#This Row],[SUPERVISOR]],$H:$I,2,0))</f>
        <v/>
      </c>
      <c r="S108" s="19" t="s">
        <v>189</v>
      </c>
      <c r="T108" s="19" t="s">
        <v>189</v>
      </c>
      <c r="U108" s="19" t="s">
        <v>189</v>
      </c>
      <c r="V108" s="19" t="s">
        <v>189</v>
      </c>
      <c r="W108" s="19" t="s">
        <v>189</v>
      </c>
      <c r="X108" s="19" t="s">
        <v>189</v>
      </c>
      <c r="Y108" s="19" t="s">
        <v>189</v>
      </c>
      <c r="Z108" s="19" t="s">
        <v>189</v>
      </c>
      <c r="AA108" s="19" t="s">
        <v>189</v>
      </c>
      <c r="AB108" s="19" t="s">
        <v>189</v>
      </c>
      <c r="AC108" s="19" t="s">
        <v>189</v>
      </c>
      <c r="AD108" s="19" t="s">
        <v>189</v>
      </c>
      <c r="AE108" s="19" t="s">
        <v>189</v>
      </c>
      <c r="AF108" s="19" t="s">
        <v>189</v>
      </c>
      <c r="AG108" s="19" t="s">
        <v>189</v>
      </c>
      <c r="AH108" s="19" t="s">
        <v>189</v>
      </c>
      <c r="AI108" s="19" t="s">
        <v>189</v>
      </c>
      <c r="AJ108" s="19" t="s">
        <v>189</v>
      </c>
      <c r="AK108" s="19" t="s">
        <v>189</v>
      </c>
      <c r="AL108" s="19" t="s">
        <v>189</v>
      </c>
      <c r="AM108" s="19" t="s">
        <v>189</v>
      </c>
      <c r="AN108" s="19" t="s">
        <v>189</v>
      </c>
    </row>
    <row r="109" spans="1:40" x14ac:dyDescent="0.25">
      <c r="A109" t="s">
        <v>9</v>
      </c>
      <c r="B109" t="str">
        <f>TRIM(D1_OCTUBRE[[#This Row],[ASESOR]])</f>
        <v>CARMEN PUMA</v>
      </c>
      <c r="C109" t="s">
        <v>19</v>
      </c>
      <c r="D109">
        <v>33193</v>
      </c>
      <c r="E109">
        <v>1.4431739130434782</v>
      </c>
      <c r="F109" t="str">
        <f>D1_OCTUBRE[[#This Row],[SUPER]]</f>
        <v>LUIS</v>
      </c>
      <c r="L109">
        <v>11</v>
      </c>
      <c r="M109" s="1">
        <f t="shared" si="2"/>
        <v>0</v>
      </c>
      <c r="N109" t="str" cm="1">
        <f t="array" ref="N109">IFERROR(_xlfn.IFS(M109&gt;100%,"&gt;100%",AND(M109&lt;100%,M109&gt;70%),"&gt;70%",AND(M109&lt;70%,M109&gt;40%),"&gt;40%",AND(M109&lt;40%,M109&gt;0%),"&gt;0%"),"")</f>
        <v/>
      </c>
      <c r="O109" t="str">
        <f t="shared" si="3"/>
        <v/>
      </c>
      <c r="P109" t="str">
        <f>IF(DATA_OCTUBRE_2025[[#This Row],[ASER_]]="","",F103)</f>
        <v/>
      </c>
      <c r="Q109" t="str">
        <f>IF(DATA_OCTUBRE_2025[[#This Row],[SUPERVISOR]]="","",D103)</f>
        <v/>
      </c>
      <c r="R109" t="str">
        <f>IF(DATA_OCTUBRE_2025[[#This Row],[RECUPERO]]="","",VLOOKUP(DATA_OCTUBRE_2025[[#This Row],[SUPERVISOR]],$H:$I,2,0))</f>
        <v/>
      </c>
      <c r="S109" s="19" t="s">
        <v>189</v>
      </c>
      <c r="T109" s="19" t="s">
        <v>189</v>
      </c>
      <c r="U109" s="19" t="s">
        <v>189</v>
      </c>
      <c r="V109" s="19" t="s">
        <v>189</v>
      </c>
      <c r="W109" s="19" t="s">
        <v>189</v>
      </c>
      <c r="X109" s="19" t="s">
        <v>189</v>
      </c>
      <c r="Y109" s="19" t="s">
        <v>189</v>
      </c>
      <c r="Z109" s="19" t="s">
        <v>189</v>
      </c>
      <c r="AA109" s="19" t="s">
        <v>189</v>
      </c>
      <c r="AB109" s="19" t="s">
        <v>189</v>
      </c>
      <c r="AC109" s="19" t="s">
        <v>189</v>
      </c>
      <c r="AD109" s="19" t="s">
        <v>189</v>
      </c>
      <c r="AE109" s="19" t="s">
        <v>189</v>
      </c>
      <c r="AF109" s="19" t="s">
        <v>189</v>
      </c>
      <c r="AG109" s="19" t="s">
        <v>189</v>
      </c>
      <c r="AH109" s="19" t="s">
        <v>189</v>
      </c>
      <c r="AI109" s="19" t="s">
        <v>189</v>
      </c>
      <c r="AJ109" s="19" t="s">
        <v>189</v>
      </c>
      <c r="AK109" s="19" t="s">
        <v>189</v>
      </c>
      <c r="AL109" s="19" t="s">
        <v>189</v>
      </c>
      <c r="AM109" s="19" t="s">
        <v>189</v>
      </c>
      <c r="AN109" s="19" t="s">
        <v>189</v>
      </c>
    </row>
    <row r="110" spans="1:40" x14ac:dyDescent="0.25">
      <c r="A110" t="s">
        <v>9</v>
      </c>
      <c r="B110" t="str">
        <f>TRIM(D1_OCTUBRE[[#This Row],[ASESOR]])</f>
        <v>STWUAR MACURI</v>
      </c>
      <c r="C110" t="s">
        <v>34</v>
      </c>
      <c r="D110">
        <v>29725</v>
      </c>
      <c r="E110">
        <v>1.2923913043478261</v>
      </c>
      <c r="F110" t="str">
        <f>D1_OCTUBRE[[#This Row],[SUPER]]</f>
        <v>LUIS</v>
      </c>
      <c r="L110">
        <v>12</v>
      </c>
      <c r="M110" s="1">
        <f t="shared" si="2"/>
        <v>0</v>
      </c>
      <c r="N110" t="str" cm="1">
        <f t="array" ref="N110">IFERROR(_xlfn.IFS(M110&gt;100%,"&gt;100%",AND(M110&lt;100%,M110&gt;70%),"&gt;70%",AND(M110&lt;70%,M110&gt;40%),"&gt;40%",AND(M110&lt;40%,M110&gt;0%),"&gt;0%"),"")</f>
        <v/>
      </c>
      <c r="O110" t="str">
        <f t="shared" si="3"/>
        <v/>
      </c>
      <c r="P110" t="str">
        <f>IF(DATA_OCTUBRE_2025[[#This Row],[ASER_]]="","",F104)</f>
        <v/>
      </c>
      <c r="Q110" t="str">
        <f>IF(DATA_OCTUBRE_2025[[#This Row],[SUPERVISOR]]="","",D104)</f>
        <v/>
      </c>
      <c r="R110" t="str">
        <f>IF(DATA_OCTUBRE_2025[[#This Row],[RECUPERO]]="","",VLOOKUP(DATA_OCTUBRE_2025[[#This Row],[SUPERVISOR]],$H:$I,2,0))</f>
        <v/>
      </c>
      <c r="S110" s="19" t="s">
        <v>189</v>
      </c>
      <c r="T110" s="19" t="s">
        <v>189</v>
      </c>
      <c r="U110" s="19" t="s">
        <v>189</v>
      </c>
      <c r="V110" s="19" t="s">
        <v>189</v>
      </c>
      <c r="W110" s="19" t="s">
        <v>189</v>
      </c>
      <c r="X110" s="19" t="s">
        <v>189</v>
      </c>
      <c r="Y110" s="19" t="s">
        <v>189</v>
      </c>
      <c r="Z110" s="19" t="s">
        <v>189</v>
      </c>
      <c r="AA110" s="19" t="s">
        <v>189</v>
      </c>
      <c r="AB110" s="19" t="s">
        <v>189</v>
      </c>
      <c r="AC110" s="19" t="s">
        <v>189</v>
      </c>
      <c r="AD110" s="19" t="s">
        <v>189</v>
      </c>
      <c r="AE110" s="19" t="s">
        <v>189</v>
      </c>
      <c r="AF110" s="19" t="s">
        <v>189</v>
      </c>
      <c r="AG110" s="19" t="s">
        <v>189</v>
      </c>
      <c r="AH110" s="19" t="s">
        <v>189</v>
      </c>
      <c r="AI110" s="19" t="s">
        <v>189</v>
      </c>
      <c r="AJ110" s="19" t="s">
        <v>189</v>
      </c>
      <c r="AK110" s="19" t="s">
        <v>189</v>
      </c>
      <c r="AL110" s="19" t="s">
        <v>189</v>
      </c>
      <c r="AM110" s="19" t="s">
        <v>189</v>
      </c>
      <c r="AN110" s="19" t="s">
        <v>189</v>
      </c>
    </row>
    <row r="111" spans="1:40" x14ac:dyDescent="0.25">
      <c r="A111" t="s">
        <v>9</v>
      </c>
      <c r="B111" t="str">
        <f>TRIM(D1_OCTUBRE[[#This Row],[ASESOR]])</f>
        <v>GIANFRANCO PINEDO</v>
      </c>
      <c r="C111" t="s">
        <v>13</v>
      </c>
      <c r="D111">
        <v>26341</v>
      </c>
      <c r="E111">
        <v>1.1452608695652173</v>
      </c>
      <c r="F111" t="str">
        <f>D1_OCTUBRE[[#This Row],[SUPER]]</f>
        <v>LUIS</v>
      </c>
      <c r="L111">
        <v>13</v>
      </c>
      <c r="M111" s="1">
        <f t="shared" si="2"/>
        <v>0</v>
      </c>
      <c r="N111" t="str" cm="1">
        <f t="array" ref="N111">IFERROR(_xlfn.IFS(M111&gt;100%,"&gt;100%",AND(M111&lt;100%,M111&gt;70%),"&gt;70%",AND(M111&lt;70%,M111&gt;40%),"&gt;40%",AND(M111&lt;40%,M111&gt;0%),"&gt;0%"),"")</f>
        <v/>
      </c>
      <c r="O111" t="str">
        <f t="shared" si="3"/>
        <v/>
      </c>
      <c r="P111" t="str">
        <f>IF(DATA_OCTUBRE_2025[[#This Row],[ASER_]]="","",F105)</f>
        <v/>
      </c>
      <c r="Q111" t="str">
        <f>IF(DATA_OCTUBRE_2025[[#This Row],[SUPERVISOR]]="","",D105)</f>
        <v/>
      </c>
      <c r="R111" t="str">
        <f>IF(DATA_OCTUBRE_2025[[#This Row],[RECUPERO]]="","",VLOOKUP(DATA_OCTUBRE_2025[[#This Row],[SUPERVISOR]],$H:$I,2,0))</f>
        <v/>
      </c>
      <c r="S111" s="19" t="s">
        <v>189</v>
      </c>
      <c r="T111" s="19" t="s">
        <v>189</v>
      </c>
      <c r="U111" s="19" t="s">
        <v>189</v>
      </c>
      <c r="V111" s="19" t="s">
        <v>189</v>
      </c>
      <c r="W111" s="19" t="s">
        <v>189</v>
      </c>
      <c r="X111" s="19" t="s">
        <v>189</v>
      </c>
      <c r="Y111" s="19" t="s">
        <v>189</v>
      </c>
      <c r="Z111" s="19" t="s">
        <v>189</v>
      </c>
      <c r="AA111" s="19" t="s">
        <v>189</v>
      </c>
      <c r="AB111" s="19" t="s">
        <v>189</v>
      </c>
      <c r="AC111" s="19" t="s">
        <v>189</v>
      </c>
      <c r="AD111" s="19" t="s">
        <v>189</v>
      </c>
      <c r="AE111" s="19" t="s">
        <v>189</v>
      </c>
      <c r="AF111" s="19" t="s">
        <v>189</v>
      </c>
      <c r="AG111" s="19" t="s">
        <v>189</v>
      </c>
      <c r="AH111" s="19" t="s">
        <v>189</v>
      </c>
      <c r="AI111" s="19" t="s">
        <v>189</v>
      </c>
      <c r="AJ111" s="19" t="s">
        <v>189</v>
      </c>
      <c r="AK111" s="19" t="s">
        <v>189</v>
      </c>
      <c r="AL111" s="19" t="s">
        <v>189</v>
      </c>
      <c r="AM111" s="19" t="s">
        <v>189</v>
      </c>
      <c r="AN111" s="19" t="s">
        <v>189</v>
      </c>
    </row>
    <row r="112" spans="1:40" x14ac:dyDescent="0.25">
      <c r="A112" t="s">
        <v>9</v>
      </c>
      <c r="B112" t="str">
        <f>TRIM(D1_OCTUBRE[[#This Row],[ASESOR]])</f>
        <v>FRANCO HUAMANI</v>
      </c>
      <c r="C112" t="s">
        <v>24</v>
      </c>
      <c r="D112">
        <v>24620</v>
      </c>
      <c r="E112">
        <v>1.0704347826086957</v>
      </c>
      <c r="F112" t="str">
        <f>D1_OCTUBRE[[#This Row],[SUPER]]</f>
        <v>LUIS</v>
      </c>
      <c r="L112">
        <v>14</v>
      </c>
      <c r="M112" s="1">
        <f t="shared" si="2"/>
        <v>0</v>
      </c>
      <c r="N112" t="str" cm="1">
        <f t="array" ref="N112">IFERROR(_xlfn.IFS(M112&gt;100%,"&gt;100%",AND(M112&lt;100%,M112&gt;70%),"&gt;70%",AND(M112&lt;70%,M112&gt;40%),"&gt;40%",AND(M112&lt;40%,M112&gt;0%),"&gt;0%"),"")</f>
        <v/>
      </c>
      <c r="O112" t="str">
        <f t="shared" si="3"/>
        <v/>
      </c>
      <c r="P112" t="str">
        <f>IF(DATA_OCTUBRE_2025[[#This Row],[ASER_]]="","",F106)</f>
        <v/>
      </c>
      <c r="Q112" t="str">
        <f>IF(DATA_OCTUBRE_2025[[#This Row],[SUPERVISOR]]="","",D106)</f>
        <v/>
      </c>
      <c r="R112" t="str">
        <f>IF(DATA_OCTUBRE_2025[[#This Row],[RECUPERO]]="","",VLOOKUP(DATA_OCTUBRE_2025[[#This Row],[SUPERVISOR]],$H:$I,2,0))</f>
        <v/>
      </c>
      <c r="S112" s="19" t="s">
        <v>189</v>
      </c>
      <c r="T112" s="19" t="s">
        <v>189</v>
      </c>
      <c r="U112" s="19" t="s">
        <v>189</v>
      </c>
      <c r="V112" s="19" t="s">
        <v>189</v>
      </c>
      <c r="W112" s="19" t="s">
        <v>189</v>
      </c>
      <c r="X112" s="19" t="s">
        <v>189</v>
      </c>
      <c r="Y112" s="19" t="s">
        <v>189</v>
      </c>
      <c r="Z112" s="19" t="s">
        <v>189</v>
      </c>
      <c r="AA112" s="19" t="s">
        <v>189</v>
      </c>
      <c r="AB112" s="19" t="s">
        <v>189</v>
      </c>
      <c r="AC112" s="19" t="s">
        <v>189</v>
      </c>
      <c r="AD112" s="19" t="s">
        <v>189</v>
      </c>
      <c r="AE112" s="19" t="s">
        <v>189</v>
      </c>
      <c r="AF112" s="19" t="s">
        <v>189</v>
      </c>
      <c r="AG112" s="19" t="s">
        <v>189</v>
      </c>
      <c r="AH112" s="19" t="s">
        <v>189</v>
      </c>
      <c r="AI112" s="19" t="s">
        <v>189</v>
      </c>
      <c r="AJ112" s="19" t="s">
        <v>189</v>
      </c>
      <c r="AK112" s="19" t="s">
        <v>189</v>
      </c>
      <c r="AL112" s="19" t="s">
        <v>189</v>
      </c>
      <c r="AM112" s="19" t="s">
        <v>189</v>
      </c>
      <c r="AN112" s="19" t="s">
        <v>189</v>
      </c>
    </row>
    <row r="113" spans="1:40" x14ac:dyDescent="0.25">
      <c r="A113" t="s">
        <v>9</v>
      </c>
      <c r="B113" t="str">
        <f>TRIM(D1_OCTUBRE[[#This Row],[ASESOR]])</f>
        <v>GERALDINE ARROYO</v>
      </c>
      <c r="C113" t="s">
        <v>51</v>
      </c>
      <c r="D113">
        <v>16965</v>
      </c>
      <c r="E113">
        <v>0.73760869565217391</v>
      </c>
      <c r="F113" t="str">
        <f>D1_OCTUBRE[[#This Row],[SUPER]]</f>
        <v>LUIS</v>
      </c>
      <c r="L113">
        <v>15</v>
      </c>
      <c r="M113" s="1">
        <f t="shared" si="2"/>
        <v>0</v>
      </c>
      <c r="N113" t="str" cm="1">
        <f t="array" ref="N113">IFERROR(_xlfn.IFS(M113&gt;100%,"&gt;100%",AND(M113&lt;100%,M113&gt;70%),"&gt;70%",AND(M113&lt;70%,M113&gt;40%),"&gt;40%",AND(M113&lt;40%,M113&gt;0%),"&gt;0%"),"")</f>
        <v/>
      </c>
      <c r="O113" t="str">
        <f t="shared" si="3"/>
        <v/>
      </c>
      <c r="P113" t="str">
        <f>IF(DATA_OCTUBRE_2025[[#This Row],[ASER_]]="","",F107)</f>
        <v/>
      </c>
      <c r="Q113" t="str">
        <f>IF(DATA_OCTUBRE_2025[[#This Row],[SUPERVISOR]]="","",D107)</f>
        <v/>
      </c>
      <c r="R113" t="str">
        <f>IF(DATA_OCTUBRE_2025[[#This Row],[RECUPERO]]="","",VLOOKUP(DATA_OCTUBRE_2025[[#This Row],[SUPERVISOR]],$H:$I,2,0))</f>
        <v/>
      </c>
      <c r="S113" s="19" t="s">
        <v>189</v>
      </c>
      <c r="T113" s="19" t="s">
        <v>189</v>
      </c>
      <c r="U113" s="19" t="s">
        <v>189</v>
      </c>
      <c r="V113" s="19" t="s">
        <v>189</v>
      </c>
      <c r="W113" s="19" t="s">
        <v>189</v>
      </c>
      <c r="X113" s="19" t="s">
        <v>189</v>
      </c>
      <c r="Y113" s="19" t="s">
        <v>189</v>
      </c>
      <c r="Z113" s="19" t="s">
        <v>189</v>
      </c>
      <c r="AA113" s="19" t="s">
        <v>189</v>
      </c>
      <c r="AB113" s="19" t="s">
        <v>189</v>
      </c>
      <c r="AC113" s="19" t="s">
        <v>189</v>
      </c>
      <c r="AD113" s="19" t="s">
        <v>189</v>
      </c>
      <c r="AE113" s="19" t="s">
        <v>189</v>
      </c>
      <c r="AF113" s="19" t="s">
        <v>189</v>
      </c>
      <c r="AG113" s="19" t="s">
        <v>189</v>
      </c>
      <c r="AH113" s="19" t="s">
        <v>189</v>
      </c>
      <c r="AI113" s="19" t="s">
        <v>189</v>
      </c>
      <c r="AJ113" s="19" t="s">
        <v>189</v>
      </c>
      <c r="AK113" s="19" t="s">
        <v>189</v>
      </c>
      <c r="AL113" s="19" t="s">
        <v>189</v>
      </c>
      <c r="AM113" s="19" t="s">
        <v>189</v>
      </c>
      <c r="AN113" s="19" t="s">
        <v>189</v>
      </c>
    </row>
    <row r="114" spans="1:40" x14ac:dyDescent="0.25">
      <c r="A114" t="s">
        <v>9</v>
      </c>
      <c r="B114" t="str">
        <f>TRIM(D1_OCTUBRE[[#This Row],[ASESOR]])</f>
        <v>JUAN ALANOCCA</v>
      </c>
      <c r="C114" t="s">
        <v>77</v>
      </c>
      <c r="D114">
        <v>15001</v>
      </c>
      <c r="E114">
        <v>0.65221739130434786</v>
      </c>
      <c r="F114" t="str">
        <f>D1_OCTUBRE[[#This Row],[SUPER]]</f>
        <v>LUIS</v>
      </c>
      <c r="L114">
        <v>1</v>
      </c>
      <c r="M114" s="1">
        <f t="shared" si="2"/>
        <v>1.7717391304347827</v>
      </c>
      <c r="N114" t="str" cm="1">
        <f t="array" ref="N114">IFERROR(_xlfn.IFS(M114&gt;100%,"&gt;100%",AND(M114&lt;100%,M114&gt;70%),"&gt;70%",AND(M114&lt;70%,M114&gt;40%),"&gt;40%",AND(M114&lt;40%,M114&gt;0%),"&gt;0%"),"")</f>
        <v>&gt;100%</v>
      </c>
      <c r="O114" t="str">
        <f t="shared" si="3"/>
        <v>DANIEL ZAPATA</v>
      </c>
      <c r="P114" t="str">
        <f>IF(DATA_OCTUBRE_2025[[#This Row],[ASER_]]="","",F108)</f>
        <v>LUIS</v>
      </c>
      <c r="Q114">
        <f>IF(DATA_OCTUBRE_2025[[#This Row],[SUPERVISOR]]="","",D108)</f>
        <v>40750</v>
      </c>
      <c r="R114">
        <f>IF(DATA_OCTUBRE_2025[[#This Row],[RECUPERO]]="","",VLOOKUP(DATA_OCTUBRE_2025[[#This Row],[SUPERVISOR]],$H:$I,2,0))</f>
        <v>23000</v>
      </c>
      <c r="S114" s="19">
        <v>235</v>
      </c>
      <c r="T114" s="19">
        <v>0</v>
      </c>
      <c r="U114" s="19">
        <v>0</v>
      </c>
      <c r="V114" s="19">
        <v>0</v>
      </c>
      <c r="W114" s="19">
        <v>0</v>
      </c>
      <c r="X114" s="19">
        <v>800</v>
      </c>
      <c r="Y114" s="19">
        <v>365</v>
      </c>
      <c r="Z114" s="19">
        <v>0</v>
      </c>
      <c r="AA114" s="19">
        <v>800</v>
      </c>
      <c r="AB114" s="19">
        <v>0</v>
      </c>
      <c r="AC114" s="19">
        <v>38000</v>
      </c>
      <c r="AD114" s="19">
        <v>0</v>
      </c>
      <c r="AE114" s="19">
        <v>400</v>
      </c>
      <c r="AF114" s="19">
        <v>150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</row>
    <row r="115" spans="1:40" x14ac:dyDescent="0.25">
      <c r="A115" t="s">
        <v>9</v>
      </c>
      <c r="B115" t="str">
        <f>TRIM(D1_OCTUBRE[[#This Row],[ASESOR]])</f>
        <v>ANABEL SIHUE</v>
      </c>
      <c r="C115" t="s">
        <v>54</v>
      </c>
      <c r="D115">
        <v>8861</v>
      </c>
      <c r="E115">
        <v>0.38526086956521738</v>
      </c>
      <c r="F115" t="str">
        <f>D1_OCTUBRE[[#This Row],[SUPER]]</f>
        <v>LUIS</v>
      </c>
      <c r="L115">
        <v>2</v>
      </c>
      <c r="M115" s="1">
        <f t="shared" si="2"/>
        <v>1.4431739130434782</v>
      </c>
      <c r="N115" t="str" cm="1">
        <f t="array" ref="N115">IFERROR(_xlfn.IFS(M115&gt;100%,"&gt;100%",AND(M115&lt;100%,M115&gt;70%),"&gt;70%",AND(M115&lt;70%,M115&gt;40%),"&gt;40%",AND(M115&lt;40%,M115&gt;0%),"&gt;0%"),"")</f>
        <v>&gt;100%</v>
      </c>
      <c r="O115" t="str">
        <f t="shared" si="3"/>
        <v>CARMEN PUMA</v>
      </c>
      <c r="P115" t="str">
        <f>IF(DATA_OCTUBRE_2025[[#This Row],[ASER_]]="","",F109)</f>
        <v>LUIS</v>
      </c>
      <c r="Q115">
        <f>IF(DATA_OCTUBRE_2025[[#This Row],[SUPERVISOR]]="","",D109)</f>
        <v>33193</v>
      </c>
      <c r="R115">
        <f>IF(DATA_OCTUBRE_2025[[#This Row],[RECUPERO]]="","",VLOOKUP(DATA_OCTUBRE_2025[[#This Row],[SUPERVISOR]],$H:$I,2,0))</f>
        <v>23000</v>
      </c>
      <c r="S115" s="19">
        <v>0</v>
      </c>
      <c r="T115" s="19">
        <v>500</v>
      </c>
      <c r="U115" s="19">
        <v>2255</v>
      </c>
      <c r="V115" s="19">
        <v>0</v>
      </c>
      <c r="W115" s="19">
        <v>1750</v>
      </c>
      <c r="X115" s="19">
        <v>258</v>
      </c>
      <c r="Y115" s="19">
        <v>0</v>
      </c>
      <c r="Z115" s="19">
        <v>130</v>
      </c>
      <c r="AA115" s="19">
        <v>0</v>
      </c>
      <c r="AB115" s="19">
        <v>0</v>
      </c>
      <c r="AC115" s="19">
        <v>0</v>
      </c>
      <c r="AD115" s="19">
        <v>700</v>
      </c>
      <c r="AE115" s="19">
        <v>1000</v>
      </c>
      <c r="AF115" s="19">
        <v>0</v>
      </c>
      <c r="AG115" s="19">
        <v>6700</v>
      </c>
      <c r="AH115" s="19">
        <v>1000</v>
      </c>
      <c r="AI115" s="19">
        <v>0</v>
      </c>
      <c r="AJ115" s="19">
        <v>2000</v>
      </c>
      <c r="AK115" s="19">
        <v>0</v>
      </c>
      <c r="AL115" s="19">
        <v>1300</v>
      </c>
      <c r="AM115" s="19">
        <v>14000</v>
      </c>
      <c r="AN115" s="19">
        <v>1600</v>
      </c>
    </row>
    <row r="116" spans="1:40" x14ac:dyDescent="0.25">
      <c r="A116" t="s">
        <v>9</v>
      </c>
      <c r="B116" t="str">
        <f>TRIM(D1_OCTUBRE[[#This Row],[ASESOR]])</f>
        <v>JAIME TUMIALAN</v>
      </c>
      <c r="C116" t="s">
        <v>103</v>
      </c>
      <c r="D116">
        <v>6242</v>
      </c>
      <c r="E116">
        <v>0.2713913043478261</v>
      </c>
      <c r="F116" t="str">
        <f>D1_OCTUBRE[[#This Row],[SUPER]]</f>
        <v>LUIS</v>
      </c>
      <c r="L116">
        <v>3</v>
      </c>
      <c r="M116" s="1">
        <f t="shared" si="2"/>
        <v>1.2923913043478261</v>
      </c>
      <c r="N116" t="str" cm="1">
        <f t="array" ref="N116">IFERROR(_xlfn.IFS(M116&gt;100%,"&gt;100%",AND(M116&lt;100%,M116&gt;70%),"&gt;70%",AND(M116&lt;70%,M116&gt;40%),"&gt;40%",AND(M116&lt;40%,M116&gt;0%),"&gt;0%"),"")</f>
        <v>&gt;100%</v>
      </c>
      <c r="O116" t="str">
        <f t="shared" si="3"/>
        <v>STWUAR MACURI</v>
      </c>
      <c r="P116" t="str">
        <f>IF(DATA_OCTUBRE_2025[[#This Row],[ASER_]]="","",F110)</f>
        <v>LUIS</v>
      </c>
      <c r="Q116">
        <f>IF(DATA_OCTUBRE_2025[[#This Row],[SUPERVISOR]]="","",D110)</f>
        <v>29725</v>
      </c>
      <c r="R116">
        <f>IF(DATA_OCTUBRE_2025[[#This Row],[RECUPERO]]="","",VLOOKUP(DATA_OCTUBRE_2025[[#This Row],[SUPERVISOR]],$H:$I,2,0))</f>
        <v>23000</v>
      </c>
      <c r="S116" s="19">
        <v>430</v>
      </c>
      <c r="T116" s="19">
        <v>1700</v>
      </c>
      <c r="U116" s="19">
        <v>310</v>
      </c>
      <c r="V116" s="19">
        <v>450</v>
      </c>
      <c r="W116" s="19">
        <v>400</v>
      </c>
      <c r="X116" s="19">
        <v>5000</v>
      </c>
      <c r="Y116" s="19">
        <v>0</v>
      </c>
      <c r="Z116" s="19">
        <v>0</v>
      </c>
      <c r="AA116" s="19">
        <v>13500</v>
      </c>
      <c r="AB116" s="19">
        <v>1025</v>
      </c>
      <c r="AC116" s="19">
        <v>800</v>
      </c>
      <c r="AD116" s="19">
        <v>0</v>
      </c>
      <c r="AE116" s="19">
        <v>210</v>
      </c>
      <c r="AF116" s="19">
        <v>250</v>
      </c>
      <c r="AG116" s="19">
        <v>0</v>
      </c>
      <c r="AH116" s="19">
        <v>0</v>
      </c>
      <c r="AI116" s="19">
        <v>0</v>
      </c>
      <c r="AJ116" s="19">
        <v>2150</v>
      </c>
      <c r="AK116" s="19">
        <v>1500</v>
      </c>
      <c r="AL116" s="19">
        <v>2000</v>
      </c>
      <c r="AM116" s="19">
        <v>0</v>
      </c>
      <c r="AN116" s="19">
        <v>0</v>
      </c>
    </row>
    <row r="117" spans="1:40" x14ac:dyDescent="0.25">
      <c r="A117" t="s">
        <v>9</v>
      </c>
      <c r="B117" t="str">
        <f>TRIM(D1_OCTUBRE[[#This Row],[ASESOR]])</f>
        <v>KIARA CANEPA</v>
      </c>
      <c r="C117" t="s">
        <v>50</v>
      </c>
      <c r="D117">
        <v>3760</v>
      </c>
      <c r="E117">
        <v>0.16347826086956521</v>
      </c>
      <c r="F117" t="str">
        <f>D1_OCTUBRE[[#This Row],[SUPER]]</f>
        <v>LUIS</v>
      </c>
      <c r="L117">
        <v>4</v>
      </c>
      <c r="M117" s="1">
        <f t="shared" si="2"/>
        <v>1.1452608695652173</v>
      </c>
      <c r="N117" t="str" cm="1">
        <f t="array" ref="N117">IFERROR(_xlfn.IFS(M117&gt;100%,"&gt;100%",AND(M117&lt;100%,M117&gt;70%),"&gt;70%",AND(M117&lt;70%,M117&gt;40%),"&gt;40%",AND(M117&lt;40%,M117&gt;0%),"&gt;0%"),"")</f>
        <v>&gt;100%</v>
      </c>
      <c r="O117" t="str">
        <f t="shared" si="3"/>
        <v>GIANFRANCO PINEDO</v>
      </c>
      <c r="P117" t="str">
        <f>IF(DATA_OCTUBRE_2025[[#This Row],[ASER_]]="","",F111)</f>
        <v>LUIS</v>
      </c>
      <c r="Q117">
        <f>IF(DATA_OCTUBRE_2025[[#This Row],[SUPERVISOR]]="","",D111)</f>
        <v>26341</v>
      </c>
      <c r="R117">
        <f>IF(DATA_OCTUBRE_2025[[#This Row],[RECUPERO]]="","",VLOOKUP(DATA_OCTUBRE_2025[[#This Row],[SUPERVISOR]],$H:$I,2,0))</f>
        <v>23000</v>
      </c>
      <c r="S117" s="19">
        <v>1800</v>
      </c>
      <c r="T117" s="19">
        <v>266</v>
      </c>
      <c r="U117" s="19">
        <v>0</v>
      </c>
      <c r="V117" s="19">
        <v>4200</v>
      </c>
      <c r="W117" s="19">
        <v>2000</v>
      </c>
      <c r="X117" s="19">
        <v>350</v>
      </c>
      <c r="Y117" s="19">
        <v>1400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360</v>
      </c>
      <c r="AG117" s="19">
        <v>0</v>
      </c>
      <c r="AH117" s="19">
        <v>16000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</row>
    <row r="118" spans="1:40" x14ac:dyDescent="0.25">
      <c r="A118" t="s">
        <v>9</v>
      </c>
      <c r="B118" t="str">
        <f>TRIM(D1_OCTUBRE[[#This Row],[ASESOR]])</f>
        <v/>
      </c>
      <c r="E118">
        <v>0</v>
      </c>
      <c r="F118" t="str">
        <f>D1_OCTUBRE[[#This Row],[SUPER]]</f>
        <v>LUIS</v>
      </c>
      <c r="L118">
        <v>5</v>
      </c>
      <c r="M118" s="1">
        <f t="shared" si="2"/>
        <v>1.0704347826086957</v>
      </c>
      <c r="N118" t="str" cm="1">
        <f t="array" ref="N118">IFERROR(_xlfn.IFS(M118&gt;100%,"&gt;100%",AND(M118&lt;100%,M118&gt;70%),"&gt;70%",AND(M118&lt;70%,M118&gt;40%),"&gt;40%",AND(M118&lt;40%,M118&gt;0%),"&gt;0%"),"")</f>
        <v>&gt;100%</v>
      </c>
      <c r="O118" t="str">
        <f t="shared" si="3"/>
        <v>FRANCO HUAMANI</v>
      </c>
      <c r="P118" t="str">
        <f>IF(DATA_OCTUBRE_2025[[#This Row],[ASER_]]="","",F112)</f>
        <v>LUIS</v>
      </c>
      <c r="Q118">
        <f>IF(DATA_OCTUBRE_2025[[#This Row],[SUPERVISOR]]="","",D112)</f>
        <v>24620</v>
      </c>
      <c r="R118">
        <f>IF(DATA_OCTUBRE_2025[[#This Row],[RECUPERO]]="","",VLOOKUP(DATA_OCTUBRE_2025[[#This Row],[SUPERVISOR]],$H:$I,2,0))</f>
        <v>23000</v>
      </c>
      <c r="S118" s="19">
        <v>0</v>
      </c>
      <c r="T118" s="19">
        <v>0</v>
      </c>
      <c r="U118" s="19">
        <v>0</v>
      </c>
      <c r="V118" s="19">
        <v>250</v>
      </c>
      <c r="W118" s="19">
        <v>210</v>
      </c>
      <c r="X118" s="19">
        <v>500</v>
      </c>
      <c r="Y118" s="19">
        <v>0</v>
      </c>
      <c r="Z118" s="19">
        <v>0</v>
      </c>
      <c r="AA118" s="19">
        <v>0</v>
      </c>
      <c r="AB118" s="19">
        <v>0</v>
      </c>
      <c r="AC118" s="19">
        <v>160</v>
      </c>
      <c r="AD118" s="19">
        <v>6000</v>
      </c>
      <c r="AE118" s="19">
        <v>5544</v>
      </c>
      <c r="AF118" s="19">
        <v>800</v>
      </c>
      <c r="AG118" s="19">
        <v>0</v>
      </c>
      <c r="AH118" s="19">
        <v>2000</v>
      </c>
      <c r="AI118" s="19">
        <v>250</v>
      </c>
      <c r="AJ118" s="19">
        <v>0</v>
      </c>
      <c r="AK118" s="19">
        <v>500</v>
      </c>
      <c r="AL118" s="19">
        <v>1300</v>
      </c>
      <c r="AM118" s="19">
        <v>5906</v>
      </c>
      <c r="AN118" s="19">
        <v>1200</v>
      </c>
    </row>
    <row r="119" spans="1:40" x14ac:dyDescent="0.25">
      <c r="A119" t="s">
        <v>9</v>
      </c>
      <c r="B119" t="str">
        <f>TRIM(D1_OCTUBRE[[#This Row],[ASESOR]])</f>
        <v/>
      </c>
      <c r="E119">
        <v>0</v>
      </c>
      <c r="F119" t="str">
        <f>D1_OCTUBRE[[#This Row],[SUPER]]</f>
        <v>LUIS</v>
      </c>
      <c r="L119">
        <v>6</v>
      </c>
      <c r="M119" s="1">
        <f t="shared" si="2"/>
        <v>0.73760869565217391</v>
      </c>
      <c r="N119" t="str" cm="1">
        <f t="array" ref="N119">IFERROR(_xlfn.IFS(M119&gt;100%,"&gt;100%",AND(M119&lt;100%,M119&gt;70%),"&gt;70%",AND(M119&lt;70%,M119&gt;40%),"&gt;40%",AND(M119&lt;40%,M119&gt;0%),"&gt;0%"),"")</f>
        <v>&gt;70%</v>
      </c>
      <c r="O119" t="str">
        <f t="shared" si="3"/>
        <v>GERALDINE ARROYO</v>
      </c>
      <c r="P119" t="str">
        <f>IF(DATA_OCTUBRE_2025[[#This Row],[ASER_]]="","",F113)</f>
        <v>LUIS</v>
      </c>
      <c r="Q119">
        <f>IF(DATA_OCTUBRE_2025[[#This Row],[SUPERVISOR]]="","",D113)</f>
        <v>16965</v>
      </c>
      <c r="R119">
        <f>IF(DATA_OCTUBRE_2025[[#This Row],[RECUPERO]]="","",VLOOKUP(DATA_OCTUBRE_2025[[#This Row],[SUPERVISOR]],$H:$I,2,0))</f>
        <v>23000</v>
      </c>
      <c r="S119" s="19">
        <v>0</v>
      </c>
      <c r="T119" s="19">
        <v>0</v>
      </c>
      <c r="U119" s="19">
        <v>0</v>
      </c>
      <c r="V119" s="19">
        <v>1795</v>
      </c>
      <c r="W119" s="19">
        <v>0</v>
      </c>
      <c r="X119" s="19">
        <v>0</v>
      </c>
      <c r="Y119" s="19">
        <v>0</v>
      </c>
      <c r="Z119" s="19">
        <v>500</v>
      </c>
      <c r="AA119" s="19">
        <v>0</v>
      </c>
      <c r="AB119" s="19">
        <v>160</v>
      </c>
      <c r="AC119" s="19">
        <v>720</v>
      </c>
      <c r="AD119" s="19">
        <v>380</v>
      </c>
      <c r="AE119" s="19">
        <v>650</v>
      </c>
      <c r="AF119" s="19">
        <v>0</v>
      </c>
      <c r="AG119" s="19">
        <v>0</v>
      </c>
      <c r="AH119" s="19">
        <v>0</v>
      </c>
      <c r="AI119" s="19">
        <v>400</v>
      </c>
      <c r="AJ119" s="19">
        <v>400</v>
      </c>
      <c r="AK119" s="19">
        <v>0</v>
      </c>
      <c r="AL119" s="19">
        <v>4800</v>
      </c>
      <c r="AM119" s="19">
        <v>7000</v>
      </c>
      <c r="AN119" s="19">
        <v>160</v>
      </c>
    </row>
    <row r="120" spans="1:40" x14ac:dyDescent="0.25">
      <c r="A120" t="s">
        <v>9</v>
      </c>
      <c r="B120" t="str">
        <f>TRIM(D1_OCTUBRE[[#This Row],[ASESOR]])</f>
        <v/>
      </c>
      <c r="E120">
        <v>0</v>
      </c>
      <c r="F120" t="str">
        <f>D1_OCTUBRE[[#This Row],[SUPER]]</f>
        <v>LUIS</v>
      </c>
      <c r="L120">
        <v>7</v>
      </c>
      <c r="M120" s="1">
        <f t="shared" si="2"/>
        <v>0.65221739130434786</v>
      </c>
      <c r="N120" t="str" cm="1">
        <f t="array" ref="N120">IFERROR(_xlfn.IFS(M120&gt;100%,"&gt;100%",AND(M120&lt;100%,M120&gt;70%),"&gt;70%",AND(M120&lt;70%,M120&gt;40%),"&gt;40%",AND(M120&lt;40%,M120&gt;0%),"&gt;0%"),"")</f>
        <v>&gt;40%</v>
      </c>
      <c r="O120" t="str">
        <f t="shared" si="3"/>
        <v>JUAN ALANOCCA</v>
      </c>
      <c r="P120" t="str">
        <f>IF(DATA_OCTUBRE_2025[[#This Row],[ASER_]]="","",F114)</f>
        <v>LUIS</v>
      </c>
      <c r="Q120">
        <f>IF(DATA_OCTUBRE_2025[[#This Row],[SUPERVISOR]]="","",D114)</f>
        <v>15001</v>
      </c>
      <c r="R120">
        <f>IF(DATA_OCTUBRE_2025[[#This Row],[RECUPERO]]="","",VLOOKUP(DATA_OCTUBRE_2025[[#This Row],[SUPERVISOR]],$H:$I,2,0))</f>
        <v>23000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160</v>
      </c>
      <c r="Z120" s="19">
        <v>0</v>
      </c>
      <c r="AA120" s="19">
        <v>130</v>
      </c>
      <c r="AB120" s="19">
        <v>113</v>
      </c>
      <c r="AC120" s="19">
        <v>0</v>
      </c>
      <c r="AD120" s="19">
        <v>1054</v>
      </c>
      <c r="AE120" s="19">
        <v>330</v>
      </c>
      <c r="AF120" s="19">
        <v>258</v>
      </c>
      <c r="AG120" s="19">
        <v>0</v>
      </c>
      <c r="AH120" s="19">
        <v>0</v>
      </c>
      <c r="AI120" s="19">
        <v>0</v>
      </c>
      <c r="AJ120" s="19">
        <v>400</v>
      </c>
      <c r="AK120" s="19">
        <v>4000</v>
      </c>
      <c r="AL120" s="19">
        <v>250</v>
      </c>
      <c r="AM120" s="19">
        <v>0</v>
      </c>
      <c r="AN120" s="19">
        <v>8306</v>
      </c>
    </row>
    <row r="121" spans="1:40" x14ac:dyDescent="0.25">
      <c r="A121" t="s">
        <v>9</v>
      </c>
      <c r="B121" t="str">
        <f>TRIM(D1_OCTUBRE[[#This Row],[ASESOR]])</f>
        <v/>
      </c>
      <c r="E121">
        <v>0</v>
      </c>
      <c r="F121" t="str">
        <f>D1_OCTUBRE[[#This Row],[SUPER]]</f>
        <v>LUIS</v>
      </c>
      <c r="L121">
        <v>8</v>
      </c>
      <c r="M121" s="1">
        <f t="shared" si="2"/>
        <v>0.38526086956521738</v>
      </c>
      <c r="N121" t="str" cm="1">
        <f t="array" ref="N121">IFERROR(_xlfn.IFS(M121&gt;100%,"&gt;100%",AND(M121&lt;100%,M121&gt;70%),"&gt;70%",AND(M121&lt;70%,M121&gt;40%),"&gt;40%",AND(M121&lt;40%,M121&gt;0%),"&gt;0%"),"")</f>
        <v>&gt;0%</v>
      </c>
      <c r="O121" t="str">
        <f t="shared" si="3"/>
        <v>ANABEL SIHUE</v>
      </c>
      <c r="P121" t="str">
        <f>IF(DATA_OCTUBRE_2025[[#This Row],[ASER_]]="","",F115)</f>
        <v>LUIS</v>
      </c>
      <c r="Q121">
        <f>IF(DATA_OCTUBRE_2025[[#This Row],[SUPERVISOR]]="","",D115)</f>
        <v>8861</v>
      </c>
      <c r="R121">
        <f>IF(DATA_OCTUBRE_2025[[#This Row],[RECUPERO]]="","",VLOOKUP(DATA_OCTUBRE_2025[[#This Row],[SUPERVISOR]],$H:$I,2,0))</f>
        <v>23000</v>
      </c>
      <c r="S121" s="19">
        <v>0</v>
      </c>
      <c r="T121" s="19">
        <v>0</v>
      </c>
      <c r="U121" s="19">
        <v>130</v>
      </c>
      <c r="V121" s="19">
        <v>0</v>
      </c>
      <c r="W121" s="19">
        <v>300</v>
      </c>
      <c r="X121" s="19">
        <v>0</v>
      </c>
      <c r="Y121" s="19">
        <v>0</v>
      </c>
      <c r="Z121" s="19">
        <v>200</v>
      </c>
      <c r="AA121" s="19">
        <v>0</v>
      </c>
      <c r="AB121" s="19">
        <v>83</v>
      </c>
      <c r="AC121" s="19">
        <v>0</v>
      </c>
      <c r="AD121" s="19">
        <v>0</v>
      </c>
      <c r="AE121" s="19">
        <v>0</v>
      </c>
      <c r="AF121" s="19">
        <v>2800</v>
      </c>
      <c r="AG121" s="19">
        <v>3500</v>
      </c>
      <c r="AH121" s="19">
        <v>0</v>
      </c>
      <c r="AI121" s="19">
        <v>0</v>
      </c>
      <c r="AJ121" s="19">
        <v>0</v>
      </c>
      <c r="AK121" s="19">
        <v>0</v>
      </c>
      <c r="AL121" s="19">
        <v>848</v>
      </c>
      <c r="AM121" s="19">
        <v>0</v>
      </c>
      <c r="AN121" s="19">
        <v>1000</v>
      </c>
    </row>
    <row r="122" spans="1:40" x14ac:dyDescent="0.25">
      <c r="A122" t="s">
        <v>9</v>
      </c>
      <c r="B122" t="str">
        <f>TRIM(D1_OCTUBRE[[#This Row],[ASESOR]])</f>
        <v/>
      </c>
      <c r="E122">
        <v>0</v>
      </c>
      <c r="F122" t="str">
        <f>D1_OCTUBRE[[#This Row],[SUPER]]</f>
        <v>LUIS</v>
      </c>
      <c r="L122">
        <v>9</v>
      </c>
      <c r="M122" s="1">
        <f t="shared" si="2"/>
        <v>0.2713913043478261</v>
      </c>
      <c r="N122" t="str" cm="1">
        <f t="array" ref="N122">IFERROR(_xlfn.IFS(M122&gt;100%,"&gt;100%",AND(M122&lt;100%,M122&gt;70%),"&gt;70%",AND(M122&lt;70%,M122&gt;40%),"&gt;40%",AND(M122&lt;40%,M122&gt;0%),"&gt;0%"),"")</f>
        <v>&gt;0%</v>
      </c>
      <c r="O122" t="str">
        <f t="shared" si="3"/>
        <v>JAIME TUMIALAN</v>
      </c>
      <c r="P122" t="str">
        <f>IF(DATA_OCTUBRE_2025[[#This Row],[ASER_]]="","",F116)</f>
        <v>LUIS</v>
      </c>
      <c r="Q122">
        <f>IF(DATA_OCTUBRE_2025[[#This Row],[SUPERVISOR]]="","",D116)</f>
        <v>6242</v>
      </c>
      <c r="R122">
        <f>IF(DATA_OCTUBRE_2025[[#This Row],[RECUPERO]]="","",VLOOKUP(DATA_OCTUBRE_2025[[#This Row],[SUPERVISOR]],$H:$I,2,0))</f>
        <v>23000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475</v>
      </c>
      <c r="Z122" s="19">
        <v>0</v>
      </c>
      <c r="AA122" s="19">
        <v>0</v>
      </c>
      <c r="AB122" s="19">
        <v>252</v>
      </c>
      <c r="AC122" s="19">
        <v>1500</v>
      </c>
      <c r="AD122" s="19">
        <v>100</v>
      </c>
      <c r="AE122" s="19">
        <v>0</v>
      </c>
      <c r="AF122" s="19">
        <v>0</v>
      </c>
      <c r="AG122" s="19">
        <v>2000</v>
      </c>
      <c r="AH122" s="19">
        <v>3000</v>
      </c>
      <c r="AI122" s="19">
        <v>650</v>
      </c>
      <c r="AJ122" s="19">
        <v>0</v>
      </c>
      <c r="AK122" s="19">
        <v>230</v>
      </c>
      <c r="AL122" s="19">
        <v>705</v>
      </c>
      <c r="AM122" s="19">
        <v>300</v>
      </c>
      <c r="AN122" s="19">
        <v>30</v>
      </c>
    </row>
    <row r="123" spans="1:40" x14ac:dyDescent="0.25">
      <c r="L123">
        <v>10</v>
      </c>
      <c r="M123" s="1">
        <f t="shared" si="2"/>
        <v>0.16347826086956521</v>
      </c>
      <c r="N123" t="str" cm="1">
        <f t="array" ref="N123">IFERROR(_xlfn.IFS(M123&gt;100%,"&gt;100%",AND(M123&lt;100%,M123&gt;70%),"&gt;70%",AND(M123&lt;70%,M123&gt;40%),"&gt;40%",AND(M123&lt;40%,M123&gt;0%),"&gt;0%"),"")</f>
        <v>&gt;0%</v>
      </c>
      <c r="O123" t="str">
        <f t="shared" si="3"/>
        <v>KIARA CANEPA</v>
      </c>
      <c r="P123" t="str">
        <f>IF(DATA_OCTUBRE_2025[[#This Row],[ASER_]]="","",F117)</f>
        <v>LUIS</v>
      </c>
      <c r="Q123">
        <f>IF(DATA_OCTUBRE_2025[[#This Row],[SUPERVISOR]]="","",D117)</f>
        <v>3760</v>
      </c>
      <c r="R123">
        <f>IF(DATA_OCTUBRE_2025[[#This Row],[RECUPERO]]="","",VLOOKUP(DATA_OCTUBRE_2025[[#This Row],[SUPERVISOR]],$H:$I,2,0))</f>
        <v>23000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685</v>
      </c>
      <c r="Z123" s="19">
        <v>0</v>
      </c>
      <c r="AA123" s="19">
        <v>0</v>
      </c>
      <c r="AB123" s="19">
        <v>0</v>
      </c>
      <c r="AC123" s="19">
        <v>0</v>
      </c>
      <c r="AD123" s="19">
        <v>0</v>
      </c>
      <c r="AE123" s="19">
        <v>0</v>
      </c>
      <c r="AF123" s="19">
        <v>0</v>
      </c>
      <c r="AG123" s="19">
        <v>2500</v>
      </c>
      <c r="AH123" s="19">
        <v>0</v>
      </c>
      <c r="AI123" s="19">
        <v>0</v>
      </c>
      <c r="AJ123" s="19">
        <v>0</v>
      </c>
      <c r="AK123" s="19">
        <v>0</v>
      </c>
      <c r="AL123" s="19">
        <v>575</v>
      </c>
      <c r="AM123" s="19">
        <v>0</v>
      </c>
      <c r="AN123" s="19">
        <v>0</v>
      </c>
    </row>
    <row r="124" spans="1:40" x14ac:dyDescent="0.25">
      <c r="L124">
        <v>11</v>
      </c>
      <c r="M124" s="1">
        <f t="shared" si="2"/>
        <v>0</v>
      </c>
      <c r="N124" t="str" cm="1">
        <f t="array" ref="N124">IFERROR(_xlfn.IFS(M124&gt;100%,"&gt;100%",AND(M124&lt;100%,M124&gt;70%),"&gt;70%",AND(M124&lt;70%,M124&gt;40%),"&gt;40%",AND(M124&lt;40%,M124&gt;0%),"&gt;0%"),"")</f>
        <v/>
      </c>
      <c r="O124" t="str">
        <f t="shared" si="3"/>
        <v/>
      </c>
      <c r="P124" t="str">
        <f>IF(DATA_OCTUBRE_2025[[#This Row],[ASER_]]="","",F118)</f>
        <v/>
      </c>
      <c r="Q124" t="str">
        <f>IF(DATA_OCTUBRE_2025[[#This Row],[SUPERVISOR]]="","",D118)</f>
        <v/>
      </c>
      <c r="R124" t="str">
        <f>IF(DATA_OCTUBRE_2025[[#This Row],[RECUPERO]]="","",VLOOKUP(DATA_OCTUBRE_2025[[#This Row],[SUPERVISOR]],$H:$I,2,0))</f>
        <v/>
      </c>
      <c r="S124" s="19" t="s">
        <v>189</v>
      </c>
      <c r="T124" s="19" t="s">
        <v>189</v>
      </c>
      <c r="U124" s="19" t="s">
        <v>189</v>
      </c>
      <c r="V124" s="19" t="s">
        <v>189</v>
      </c>
      <c r="W124" s="19" t="s">
        <v>189</v>
      </c>
      <c r="X124" s="19" t="s">
        <v>189</v>
      </c>
      <c r="Y124" s="19" t="s">
        <v>189</v>
      </c>
      <c r="Z124" s="19" t="s">
        <v>189</v>
      </c>
      <c r="AA124" s="19" t="s">
        <v>189</v>
      </c>
      <c r="AB124" s="19" t="s">
        <v>189</v>
      </c>
      <c r="AC124" s="19" t="s">
        <v>189</v>
      </c>
      <c r="AD124" s="19" t="s">
        <v>189</v>
      </c>
      <c r="AE124" s="19" t="s">
        <v>189</v>
      </c>
      <c r="AF124" s="19" t="s">
        <v>189</v>
      </c>
      <c r="AG124" s="19" t="s">
        <v>189</v>
      </c>
      <c r="AH124" s="19" t="s">
        <v>189</v>
      </c>
      <c r="AI124" s="19" t="s">
        <v>189</v>
      </c>
      <c r="AJ124" s="19" t="s">
        <v>189</v>
      </c>
      <c r="AK124" s="19" t="s">
        <v>189</v>
      </c>
      <c r="AL124" s="19" t="s">
        <v>189</v>
      </c>
      <c r="AM124" s="19" t="s">
        <v>189</v>
      </c>
      <c r="AN124" s="19" t="s">
        <v>189</v>
      </c>
    </row>
    <row r="125" spans="1:40" x14ac:dyDescent="0.25">
      <c r="L125">
        <v>12</v>
      </c>
      <c r="M125" s="1">
        <f t="shared" si="2"/>
        <v>0</v>
      </c>
      <c r="N125" t="str" cm="1">
        <f t="array" ref="N125">IFERROR(_xlfn.IFS(M125&gt;100%,"&gt;100%",AND(M125&lt;100%,M125&gt;70%),"&gt;70%",AND(M125&lt;70%,M125&gt;40%),"&gt;40%",AND(M125&lt;40%,M125&gt;0%),"&gt;0%"),"")</f>
        <v/>
      </c>
      <c r="O125" t="str">
        <f t="shared" si="3"/>
        <v/>
      </c>
      <c r="P125" t="str">
        <f>IF(DATA_OCTUBRE_2025[[#This Row],[ASER_]]="","",F119)</f>
        <v/>
      </c>
      <c r="Q125" t="str">
        <f>IF(DATA_OCTUBRE_2025[[#This Row],[SUPERVISOR]]="","",D119)</f>
        <v/>
      </c>
      <c r="R125" t="str">
        <f>IF(DATA_OCTUBRE_2025[[#This Row],[RECUPERO]]="","",VLOOKUP(DATA_OCTUBRE_2025[[#This Row],[SUPERVISOR]],$H:$I,2,0))</f>
        <v/>
      </c>
      <c r="S125" s="19" t="s">
        <v>189</v>
      </c>
      <c r="T125" s="19" t="s">
        <v>189</v>
      </c>
      <c r="U125" s="19" t="s">
        <v>189</v>
      </c>
      <c r="V125" s="19" t="s">
        <v>189</v>
      </c>
      <c r="W125" s="19" t="s">
        <v>189</v>
      </c>
      <c r="X125" s="19" t="s">
        <v>189</v>
      </c>
      <c r="Y125" s="19" t="s">
        <v>189</v>
      </c>
      <c r="Z125" s="19" t="s">
        <v>189</v>
      </c>
      <c r="AA125" s="19" t="s">
        <v>189</v>
      </c>
      <c r="AB125" s="19" t="s">
        <v>189</v>
      </c>
      <c r="AC125" s="19" t="s">
        <v>189</v>
      </c>
      <c r="AD125" s="19" t="s">
        <v>189</v>
      </c>
      <c r="AE125" s="19" t="s">
        <v>189</v>
      </c>
      <c r="AF125" s="19" t="s">
        <v>189</v>
      </c>
      <c r="AG125" s="19" t="s">
        <v>189</v>
      </c>
      <c r="AH125" s="19" t="s">
        <v>189</v>
      </c>
      <c r="AI125" s="19" t="s">
        <v>189</v>
      </c>
      <c r="AJ125" s="19" t="s">
        <v>189</v>
      </c>
      <c r="AK125" s="19" t="s">
        <v>189</v>
      </c>
      <c r="AL125" s="19" t="s">
        <v>189</v>
      </c>
      <c r="AM125" s="19" t="s">
        <v>189</v>
      </c>
      <c r="AN125" s="19" t="s">
        <v>189</v>
      </c>
    </row>
    <row r="126" spans="1:40" x14ac:dyDescent="0.25">
      <c r="L126">
        <v>13</v>
      </c>
      <c r="M126" s="1">
        <f t="shared" si="2"/>
        <v>0</v>
      </c>
      <c r="N126" t="str" cm="1">
        <f t="array" ref="N126">IFERROR(_xlfn.IFS(M126&gt;100%,"&gt;100%",AND(M126&lt;100%,M126&gt;70%),"&gt;70%",AND(M126&lt;70%,M126&gt;40%),"&gt;40%",AND(M126&lt;40%,M126&gt;0%),"&gt;0%"),"")</f>
        <v/>
      </c>
      <c r="O126" t="str">
        <f t="shared" si="3"/>
        <v/>
      </c>
      <c r="P126" t="str">
        <f>IF(DATA_OCTUBRE_2025[[#This Row],[ASER_]]="","",F120)</f>
        <v/>
      </c>
      <c r="Q126" t="str">
        <f>IF(DATA_OCTUBRE_2025[[#This Row],[SUPERVISOR]]="","",D120)</f>
        <v/>
      </c>
      <c r="R126" t="str">
        <f>IF(DATA_OCTUBRE_2025[[#This Row],[RECUPERO]]="","",VLOOKUP(DATA_OCTUBRE_2025[[#This Row],[SUPERVISOR]],$H:$I,2,0))</f>
        <v/>
      </c>
      <c r="S126" s="19" t="s">
        <v>189</v>
      </c>
      <c r="T126" s="19" t="s">
        <v>189</v>
      </c>
      <c r="U126" s="19" t="s">
        <v>189</v>
      </c>
      <c r="V126" s="19" t="s">
        <v>189</v>
      </c>
      <c r="W126" s="19" t="s">
        <v>189</v>
      </c>
      <c r="X126" s="19" t="s">
        <v>189</v>
      </c>
      <c r="Y126" s="19" t="s">
        <v>189</v>
      </c>
      <c r="Z126" s="19" t="s">
        <v>189</v>
      </c>
      <c r="AA126" s="19" t="s">
        <v>189</v>
      </c>
      <c r="AB126" s="19" t="s">
        <v>189</v>
      </c>
      <c r="AC126" s="19" t="s">
        <v>189</v>
      </c>
      <c r="AD126" s="19" t="s">
        <v>189</v>
      </c>
      <c r="AE126" s="19" t="s">
        <v>189</v>
      </c>
      <c r="AF126" s="19" t="s">
        <v>189</v>
      </c>
      <c r="AG126" s="19" t="s">
        <v>189</v>
      </c>
      <c r="AH126" s="19" t="s">
        <v>189</v>
      </c>
      <c r="AI126" s="19" t="s">
        <v>189</v>
      </c>
      <c r="AJ126" s="19" t="s">
        <v>189</v>
      </c>
      <c r="AK126" s="19" t="s">
        <v>189</v>
      </c>
      <c r="AL126" s="19" t="s">
        <v>189</v>
      </c>
      <c r="AM126" s="19" t="s">
        <v>189</v>
      </c>
      <c r="AN126" s="19" t="s">
        <v>189</v>
      </c>
    </row>
    <row r="127" spans="1:40" x14ac:dyDescent="0.25">
      <c r="L127">
        <v>14</v>
      </c>
      <c r="M127" s="1">
        <f t="shared" si="2"/>
        <v>0</v>
      </c>
      <c r="N127" t="str" cm="1">
        <f t="array" ref="N127">IFERROR(_xlfn.IFS(M127&gt;100%,"&gt;100%",AND(M127&lt;100%,M127&gt;70%),"&gt;70%",AND(M127&lt;70%,M127&gt;40%),"&gt;40%",AND(M127&lt;40%,M127&gt;0%),"&gt;0%"),"")</f>
        <v/>
      </c>
      <c r="O127" t="str">
        <f t="shared" si="3"/>
        <v/>
      </c>
      <c r="P127" t="str">
        <f>IF(DATA_OCTUBRE_2025[[#This Row],[ASER_]]="","",F121)</f>
        <v/>
      </c>
      <c r="Q127" t="str">
        <f>IF(DATA_OCTUBRE_2025[[#This Row],[SUPERVISOR]]="","",D121)</f>
        <v/>
      </c>
      <c r="R127" t="str">
        <f>IF(DATA_OCTUBRE_2025[[#This Row],[RECUPERO]]="","",VLOOKUP(DATA_OCTUBRE_2025[[#This Row],[SUPERVISOR]],$H:$I,2,0))</f>
        <v/>
      </c>
      <c r="S127" s="19" t="s">
        <v>189</v>
      </c>
      <c r="T127" s="19" t="s">
        <v>189</v>
      </c>
      <c r="U127" s="19" t="s">
        <v>189</v>
      </c>
      <c r="V127" s="19" t="s">
        <v>189</v>
      </c>
      <c r="W127" s="19" t="s">
        <v>189</v>
      </c>
      <c r="X127" s="19" t="s">
        <v>189</v>
      </c>
      <c r="Y127" s="19" t="s">
        <v>189</v>
      </c>
      <c r="Z127" s="19" t="s">
        <v>189</v>
      </c>
      <c r="AA127" s="19" t="s">
        <v>189</v>
      </c>
      <c r="AB127" s="19" t="s">
        <v>189</v>
      </c>
      <c r="AC127" s="19" t="s">
        <v>189</v>
      </c>
      <c r="AD127" s="19" t="s">
        <v>189</v>
      </c>
      <c r="AE127" s="19" t="s">
        <v>189</v>
      </c>
      <c r="AF127" s="19" t="s">
        <v>189</v>
      </c>
      <c r="AG127" s="19" t="s">
        <v>189</v>
      </c>
      <c r="AH127" s="19" t="s">
        <v>189</v>
      </c>
      <c r="AI127" s="19" t="s">
        <v>189</v>
      </c>
      <c r="AJ127" s="19" t="s">
        <v>189</v>
      </c>
      <c r="AK127" s="19" t="s">
        <v>189</v>
      </c>
      <c r="AL127" s="19" t="s">
        <v>189</v>
      </c>
      <c r="AM127" s="19" t="s">
        <v>189</v>
      </c>
      <c r="AN127" s="19" t="s">
        <v>189</v>
      </c>
    </row>
    <row r="128" spans="1:40" x14ac:dyDescent="0.25">
      <c r="L128">
        <v>15</v>
      </c>
      <c r="M128" s="1">
        <f t="shared" si="2"/>
        <v>0</v>
      </c>
      <c r="N128" t="str" cm="1">
        <f t="array" ref="N128">IFERROR(_xlfn.IFS(M128&gt;100%,"&gt;100%",AND(M128&lt;100%,M128&gt;70%),"&gt;70%",AND(M128&lt;70%,M128&gt;40%),"&gt;40%",AND(M128&lt;40%,M128&gt;0%),"&gt;0%"),"")</f>
        <v/>
      </c>
      <c r="O128" t="str">
        <f t="shared" si="3"/>
        <v/>
      </c>
      <c r="P128" t="str">
        <f>IF(DATA_OCTUBRE_2025[[#This Row],[ASER_]]="","",F122)</f>
        <v/>
      </c>
      <c r="Q128" t="str">
        <f>IF(DATA_OCTUBRE_2025[[#This Row],[SUPERVISOR]]="","",D122)</f>
        <v/>
      </c>
      <c r="R128" t="str">
        <f>IF(DATA_OCTUBRE_2025[[#This Row],[RECUPERO]]="","",VLOOKUP(DATA_OCTUBRE_2025[[#This Row],[SUPERVISOR]],$H:$I,2,0))</f>
        <v/>
      </c>
      <c r="S128" s="19" t="s">
        <v>189</v>
      </c>
      <c r="T128" s="19" t="s">
        <v>189</v>
      </c>
      <c r="U128" s="19" t="s">
        <v>189</v>
      </c>
      <c r="V128" s="19" t="s">
        <v>189</v>
      </c>
      <c r="W128" s="19" t="s">
        <v>189</v>
      </c>
      <c r="X128" s="19" t="s">
        <v>189</v>
      </c>
      <c r="Y128" s="19" t="s">
        <v>189</v>
      </c>
      <c r="Z128" s="19" t="s">
        <v>189</v>
      </c>
      <c r="AA128" s="19" t="s">
        <v>189</v>
      </c>
      <c r="AB128" s="19" t="s">
        <v>189</v>
      </c>
      <c r="AC128" s="19" t="s">
        <v>189</v>
      </c>
      <c r="AD128" s="19" t="s">
        <v>189</v>
      </c>
      <c r="AE128" s="19" t="s">
        <v>189</v>
      </c>
      <c r="AF128" s="19" t="s">
        <v>189</v>
      </c>
      <c r="AG128" s="19" t="s">
        <v>189</v>
      </c>
      <c r="AH128" s="19" t="s">
        <v>189</v>
      </c>
      <c r="AI128" s="19" t="s">
        <v>189</v>
      </c>
      <c r="AJ128" s="19" t="s">
        <v>189</v>
      </c>
      <c r="AK128" s="19" t="s">
        <v>189</v>
      </c>
      <c r="AL128" s="19" t="s">
        <v>189</v>
      </c>
      <c r="AM128" s="19" t="s">
        <v>189</v>
      </c>
      <c r="AN128" s="19" t="s">
        <v>189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2:AR174"/>
  <sheetViews>
    <sheetView tabSelected="1" topLeftCell="E1" zoomScale="55" zoomScaleNormal="55" workbookViewId="0">
      <selection activeCell="N3" sqref="N3"/>
    </sheetView>
  </sheetViews>
  <sheetFormatPr baseColWidth="10" defaultRowHeight="15" x14ac:dyDescent="0.25"/>
  <cols>
    <col min="1" max="1" width="14.5703125" customWidth="1"/>
    <col min="2" max="3" width="30.28515625" customWidth="1"/>
    <col min="4" max="4" width="15" customWidth="1"/>
    <col min="5" max="5" width="14.85546875" customWidth="1"/>
    <col min="6" max="6" width="15" customWidth="1"/>
    <col min="7" max="7" width="11.42578125" customWidth="1"/>
    <col min="8" max="8" width="16.7109375" customWidth="1"/>
    <col min="9" max="9" width="15" customWidth="1"/>
    <col min="10" max="10" width="14.42578125" customWidth="1"/>
    <col min="11" max="11" width="11.42578125" customWidth="1"/>
    <col min="12" max="12" width="13.140625" bestFit="1" customWidth="1"/>
    <col min="13" max="13" width="16" bestFit="1" customWidth="1"/>
    <col min="14" max="14" width="26" bestFit="1" customWidth="1"/>
    <col min="15" max="15" width="30.28515625" bestFit="1" customWidth="1"/>
    <col min="16" max="16" width="22.42578125" bestFit="1" customWidth="1"/>
    <col min="17" max="19" width="11.42578125" customWidth="1"/>
    <col min="21" max="21" width="30.28515625" bestFit="1" customWidth="1"/>
    <col min="22" max="24" width="12" bestFit="1" customWidth="1"/>
    <col min="25" max="25" width="13.140625" bestFit="1" customWidth="1"/>
    <col min="26" max="26" width="12" bestFit="1" customWidth="1"/>
    <col min="27" max="27" width="13" bestFit="1" customWidth="1"/>
    <col min="28" max="28" width="12.5703125" bestFit="1" customWidth="1"/>
    <col min="29" max="34" width="13" bestFit="1" customWidth="1"/>
    <col min="35" max="35" width="13.42578125" bestFit="1" customWidth="1"/>
    <col min="36" max="36" width="13" bestFit="1" customWidth="1"/>
    <col min="37" max="42" width="13.42578125" bestFit="1" customWidth="1"/>
    <col min="43" max="43" width="20" bestFit="1" customWidth="1"/>
    <col min="44" max="44" width="20" customWidth="1"/>
    <col min="45" max="45" width="16" bestFit="1" customWidth="1"/>
  </cols>
  <sheetData>
    <row r="2" spans="1:39" x14ac:dyDescent="0.25">
      <c r="A2" t="s">
        <v>97</v>
      </c>
      <c r="B2" t="s">
        <v>113</v>
      </c>
      <c r="C2" t="s">
        <v>0</v>
      </c>
      <c r="D2" t="s">
        <v>98</v>
      </c>
      <c r="E2" t="s">
        <v>1</v>
      </c>
      <c r="F2" t="s">
        <v>106</v>
      </c>
      <c r="H2" t="s">
        <v>92</v>
      </c>
      <c r="I2" t="s">
        <v>93</v>
      </c>
    </row>
    <row r="3" spans="1:39" x14ac:dyDescent="0.25">
      <c r="A3" t="s">
        <v>3</v>
      </c>
      <c r="B3" t="str">
        <f>TRIM(D1_NOVIEMBRE[[#This Row],[ASESOR]])</f>
        <v>LISELY MERA</v>
      </c>
      <c r="C3" t="s">
        <v>23</v>
      </c>
      <c r="D3">
        <v>25727</v>
      </c>
      <c r="E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0.46776363636363638</v>
      </c>
      <c r="F3" t="str">
        <f>IFERROR(VLOOKUP(D1_NOVIEMBRE[[#This Row],[ASESOR_CRR]],Tabla1[],2,0),D1_NOVIEMBRE[[#This Row],[SUPER]])</f>
        <v>SANDY</v>
      </c>
      <c r="H3" t="s">
        <v>3</v>
      </c>
      <c r="I3">
        <v>55000</v>
      </c>
    </row>
    <row r="4" spans="1:39" x14ac:dyDescent="0.25">
      <c r="A4" t="s">
        <v>3</v>
      </c>
      <c r="B4" t="str">
        <f>TRIM(D1_NOVIEMBRE[[#This Row],[ASESOR]])</f>
        <v>LUIS CENTENO</v>
      </c>
      <c r="C4" t="s">
        <v>31</v>
      </c>
      <c r="D4">
        <v>24500</v>
      </c>
      <c r="E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0.44545454545454544</v>
      </c>
      <c r="F4" t="str">
        <f>IFERROR(VLOOKUP(D1_NOVIEMBRE[[#This Row],[ASESOR_CRR]],Tabla1[],2,0),D1_NOVIEMBRE[[#This Row],[SUPER]])</f>
        <v>SANDY</v>
      </c>
      <c r="H4" t="s">
        <v>4</v>
      </c>
      <c r="I4">
        <v>55000</v>
      </c>
    </row>
    <row r="5" spans="1:39" x14ac:dyDescent="0.25">
      <c r="A5" t="s">
        <v>3</v>
      </c>
      <c r="B5" t="str">
        <f>TRIM(D1_NOVIEMBRE[[#This Row],[ASESOR]])</f>
        <v>GIANNINA AGUILAR</v>
      </c>
      <c r="C5" t="s">
        <v>32</v>
      </c>
      <c r="D5">
        <v>21230</v>
      </c>
      <c r="E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0.38600000000000001</v>
      </c>
      <c r="F5" t="str">
        <f>IFERROR(VLOOKUP(D1_NOVIEMBRE[[#This Row],[ASESOR_CRR]],Tabla1[],2,0),D1_NOVIEMBRE[[#This Row],[SUPER]])</f>
        <v>SANDY</v>
      </c>
      <c r="H5" t="s">
        <v>5</v>
      </c>
      <c r="I5">
        <v>14000</v>
      </c>
    </row>
    <row r="6" spans="1:39" x14ac:dyDescent="0.25">
      <c r="A6" t="s">
        <v>3</v>
      </c>
      <c r="B6" t="str">
        <f>TRIM(D1_NOVIEMBRE[[#This Row],[ASESOR]])</f>
        <v>GINA HUAMANI</v>
      </c>
      <c r="C6" t="s">
        <v>44</v>
      </c>
      <c r="D6">
        <v>11157</v>
      </c>
      <c r="E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0.20285454545454545</v>
      </c>
      <c r="F6" t="str">
        <f>IFERROR(VLOOKUP(D1_NOVIEMBRE[[#This Row],[ASESOR_CRR]],Tabla1[],2,0),D1_NOVIEMBRE[[#This Row],[SUPER]])</f>
        <v>SANDY</v>
      </c>
      <c r="H6" t="s">
        <v>2</v>
      </c>
      <c r="I6">
        <v>15000</v>
      </c>
    </row>
    <row r="7" spans="1:39" x14ac:dyDescent="0.25">
      <c r="A7" t="s">
        <v>3</v>
      </c>
      <c r="B7" t="str">
        <f>TRIM(D1_NOVIEMBRE[[#This Row],[ASESOR]])</f>
        <v>ANTHONY TORRES</v>
      </c>
      <c r="C7" t="s">
        <v>69</v>
      </c>
      <c r="D7">
        <v>9312</v>
      </c>
      <c r="E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0.16930909090909091</v>
      </c>
      <c r="F7" t="str">
        <f>IFERROR(VLOOKUP(D1_NOVIEMBRE[[#This Row],[ASESOR_CRR]],Tabla1[],2,0),D1_NOVIEMBRE[[#This Row],[SUPER]])</f>
        <v>SANDY</v>
      </c>
      <c r="H7" t="s">
        <v>145</v>
      </c>
      <c r="I7">
        <v>20000</v>
      </c>
      <c r="M7" s="1"/>
    </row>
    <row r="8" spans="1:39" x14ac:dyDescent="0.25">
      <c r="A8" t="s">
        <v>3</v>
      </c>
      <c r="B8" t="str">
        <f>TRIM(D1_NOVIEMBRE[[#This Row],[ASESOR]])</f>
        <v>GIANFRANCO PINEDO</v>
      </c>
      <c r="C8" t="s">
        <v>13</v>
      </c>
      <c r="D8">
        <v>8900</v>
      </c>
      <c r="E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0.16181818181818181</v>
      </c>
      <c r="F8" t="str">
        <f>IFERROR(VLOOKUP(D1_NOVIEMBRE[[#This Row],[ASESOR_CRR]],Tabla1[],2,0),D1_NOVIEMBRE[[#This Row],[SUPER]])</f>
        <v>SANDY</v>
      </c>
      <c r="H8" t="s">
        <v>144</v>
      </c>
      <c r="I8">
        <v>43000</v>
      </c>
      <c r="L8" s="4" t="s">
        <v>91</v>
      </c>
      <c r="M8" s="2" t="s">
        <v>87</v>
      </c>
      <c r="N8" s="3" t="s">
        <v>90</v>
      </c>
      <c r="O8" s="3" t="s">
        <v>88</v>
      </c>
      <c r="P8" s="4" t="s">
        <v>141</v>
      </c>
      <c r="Q8" s="4" t="s">
        <v>98</v>
      </c>
      <c r="R8" s="4" t="s">
        <v>93</v>
      </c>
      <c r="S8" s="4" t="s">
        <v>146</v>
      </c>
      <c r="T8" s="4" t="s">
        <v>147</v>
      </c>
      <c r="U8" s="4" t="s">
        <v>148</v>
      </c>
      <c r="V8" s="4" t="s">
        <v>149</v>
      </c>
      <c r="W8" s="4" t="s">
        <v>150</v>
      </c>
      <c r="X8" s="4" t="s">
        <v>151</v>
      </c>
      <c r="Y8" s="4" t="s">
        <v>152</v>
      </c>
      <c r="Z8" s="4" t="s">
        <v>153</v>
      </c>
      <c r="AA8" s="4" t="s">
        <v>154</v>
      </c>
      <c r="AB8" s="4" t="s">
        <v>155</v>
      </c>
      <c r="AC8" s="4" t="s">
        <v>156</v>
      </c>
      <c r="AD8" s="4" t="s">
        <v>157</v>
      </c>
      <c r="AE8" s="4" t="s">
        <v>158</v>
      </c>
      <c r="AF8" s="4" t="s">
        <v>159</v>
      </c>
      <c r="AG8" s="4" t="s">
        <v>160</v>
      </c>
      <c r="AH8" s="4" t="s">
        <v>161</v>
      </c>
      <c r="AI8" s="4" t="s">
        <v>162</v>
      </c>
      <c r="AJ8" s="4" t="s">
        <v>163</v>
      </c>
      <c r="AK8" s="4" t="s">
        <v>164</v>
      </c>
      <c r="AL8" s="4" t="s">
        <v>165</v>
      </c>
      <c r="AM8" s="4" t="s">
        <v>166</v>
      </c>
    </row>
    <row r="9" spans="1:39" x14ac:dyDescent="0.25">
      <c r="A9" t="s">
        <v>3</v>
      </c>
      <c r="B9" t="str">
        <f>TRIM(D1_NOVIEMBRE[[#This Row],[ASESOR]])</f>
        <v>NOEMI CHUQUILIN</v>
      </c>
      <c r="C9" t="s">
        <v>100</v>
      </c>
      <c r="D9">
        <v>8715</v>
      </c>
      <c r="E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0.15845454545454546</v>
      </c>
      <c r="F9" t="str">
        <f>IFERROR(VLOOKUP(D1_NOVIEMBRE[[#This Row],[ASESOR_CRR]],Tabla1[],2,0),D1_NOVIEMBRE[[#This Row],[SUPER]])</f>
        <v>SANDY</v>
      </c>
      <c r="H9" t="s">
        <v>7</v>
      </c>
      <c r="I9">
        <v>14000</v>
      </c>
      <c r="L9">
        <v>1</v>
      </c>
      <c r="M9" s="1">
        <f t="shared" ref="M9:M40" si="0">E3</f>
        <v>0.46776363636363638</v>
      </c>
      <c r="N9" t="str" cm="1">
        <f t="array" ref="N9">IFERROR(_xlfn.IFS(M9&gt;100%,"&gt;100%",AND(M9&lt;100%,M9&gt;70%),"&gt;70%",AND(M9&lt;70%,M9&gt;40%),"&gt;40%",AND(M9&lt;40%,M9&gt;0%),"&gt;0%"),"")</f>
        <v>&gt;40%</v>
      </c>
      <c r="O9" t="str">
        <f t="shared" ref="O9:O40" si="1">B3</f>
        <v>LISELY MERA</v>
      </c>
      <c r="P9" t="str">
        <f>IF(DATA_NOVIEMBRE_2025[[#This Row],[ASER_]]="","",F3)</f>
        <v>SANDY</v>
      </c>
      <c r="Q9">
        <f>IF(DATA_NOVIEMBRE_2025[[#This Row],[SUPERVISOR]]="","",D3)</f>
        <v>25727</v>
      </c>
      <c r="R9">
        <f>IF(DATA_NOVIEMBRE_2025[[#This Row],[RECUPERO]]="","",VLOOKUP(DATA_NOVIEMBRE_2025[[#This Row],[SUPERVISOR]],$H:$I,2,0))</f>
        <v>55000</v>
      </c>
      <c r="S9" s="19">
        <v>0</v>
      </c>
      <c r="T9" s="19">
        <v>2005</v>
      </c>
      <c r="U9" s="19">
        <v>0</v>
      </c>
      <c r="V9" s="19">
        <v>4000</v>
      </c>
      <c r="W9" s="19">
        <v>10948</v>
      </c>
      <c r="X9" s="19">
        <v>500</v>
      </c>
      <c r="Y9" s="19">
        <v>0</v>
      </c>
      <c r="Z9" s="19">
        <v>2900</v>
      </c>
      <c r="AA9" s="19">
        <v>0</v>
      </c>
      <c r="AB9" s="19">
        <v>2033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</row>
    <row r="10" spans="1:39" x14ac:dyDescent="0.25">
      <c r="A10" t="s">
        <v>3</v>
      </c>
      <c r="B10" t="str">
        <f>TRIM(D1_NOVIEMBRE[[#This Row],[ASESOR]])</f>
        <v>VICTOR RAMIREZ</v>
      </c>
      <c r="C10" t="s">
        <v>76</v>
      </c>
      <c r="D10">
        <v>8350</v>
      </c>
      <c r="E1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0.15181818181818182</v>
      </c>
      <c r="F10" t="str">
        <f>IFERROR(VLOOKUP(D1_NOVIEMBRE[[#This Row],[ASESOR_CRR]],Tabla1[],2,0),D1_NOVIEMBRE[[#This Row],[SUPER]])</f>
        <v>SANDY</v>
      </c>
      <c r="L10">
        <v>2</v>
      </c>
      <c r="M10" s="1">
        <f t="shared" si="0"/>
        <v>0.44545454545454544</v>
      </c>
      <c r="N10" t="str" cm="1">
        <f t="array" ref="N10">IFERROR(_xlfn.IFS(M10&gt;100%,"&gt;100%",AND(M10&lt;100%,M10&gt;70%),"&gt;70%",AND(M10&lt;70%,M10&gt;40%),"&gt;40%",AND(M10&lt;40%,M10&gt;0%),"&gt;0%"),"")</f>
        <v>&gt;40%</v>
      </c>
      <c r="O10" t="str">
        <f t="shared" si="1"/>
        <v>LUIS CENTENO</v>
      </c>
      <c r="P10" t="str">
        <f>IF(DATA_NOVIEMBRE_2025[[#This Row],[ASER_]]="","",F4)</f>
        <v>SANDY</v>
      </c>
      <c r="Q10">
        <f>IF(DATA_NOVIEMBRE_2025[[#This Row],[SUPERVISOR]]="","",D4)</f>
        <v>24500</v>
      </c>
      <c r="R10">
        <f>IF(DATA_NOVIEMBRE_2025[[#This Row],[RECUPERO]]="","",VLOOKUP(DATA_NOVIEMBRE_2025[[#This Row],[SUPERVISOR]],$H:$I,2,0))</f>
        <v>55000</v>
      </c>
      <c r="S10" s="19">
        <v>0</v>
      </c>
      <c r="T10" s="19">
        <v>5800</v>
      </c>
      <c r="U10" s="19">
        <v>3000</v>
      </c>
      <c r="V10" s="19">
        <v>1200</v>
      </c>
      <c r="W10" s="19">
        <v>1500</v>
      </c>
      <c r="X10" s="19">
        <v>0</v>
      </c>
      <c r="Y10" s="19">
        <v>0</v>
      </c>
      <c r="Z10" s="19">
        <v>0</v>
      </c>
      <c r="AA10" s="19">
        <v>0</v>
      </c>
      <c r="AB10" s="19">
        <v>13000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</row>
    <row r="11" spans="1:39" x14ac:dyDescent="0.25">
      <c r="A11" t="s">
        <v>3</v>
      </c>
      <c r="B11" t="str">
        <f>TRIM(D1_NOVIEMBRE[[#This Row],[ASESOR]])</f>
        <v>EVELY TENORIO</v>
      </c>
      <c r="C11" t="s">
        <v>22</v>
      </c>
      <c r="D11">
        <v>3081</v>
      </c>
      <c r="E1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5.6018181818181821E-2</v>
      </c>
      <c r="F11" t="str">
        <f>IFERROR(VLOOKUP(D1_NOVIEMBRE[[#This Row],[ASESOR_CRR]],Tabla1[],2,0),D1_NOVIEMBRE[[#This Row],[SUPER]])</f>
        <v>SANDY</v>
      </c>
      <c r="L11">
        <v>3</v>
      </c>
      <c r="M11" s="1">
        <f t="shared" si="0"/>
        <v>0.38600000000000001</v>
      </c>
      <c r="N11" t="str" cm="1">
        <f t="array" ref="N11">IFERROR(_xlfn.IFS(M11&gt;100%,"&gt;100%",AND(M11&lt;100%,M11&gt;70%),"&gt;70%",AND(M11&lt;70%,M11&gt;40%),"&gt;40%",AND(M11&lt;40%,M11&gt;0%),"&gt;0%"),"")</f>
        <v>&gt;0%</v>
      </c>
      <c r="O11" t="str">
        <f t="shared" si="1"/>
        <v>GIANNINA AGUILAR</v>
      </c>
      <c r="P11" t="str">
        <f>IF(DATA_NOVIEMBRE_2025[[#This Row],[ASER_]]="","",F5)</f>
        <v>SANDY</v>
      </c>
      <c r="Q11">
        <f>IF(DATA_NOVIEMBRE_2025[[#This Row],[SUPERVISOR]]="","",D5)</f>
        <v>21230</v>
      </c>
      <c r="R11">
        <f>IF(DATA_NOVIEMBRE_2025[[#This Row],[RECUPERO]]="","",VLOOKUP(DATA_NOVIEMBRE_2025[[#This Row],[SUPERVISOR]],$H:$I,2,0))</f>
        <v>55000</v>
      </c>
      <c r="S11" s="19">
        <v>15000</v>
      </c>
      <c r="T11" s="19">
        <v>0</v>
      </c>
      <c r="U11" s="19">
        <v>250</v>
      </c>
      <c r="V11" s="19">
        <v>250</v>
      </c>
      <c r="W11" s="19">
        <v>0</v>
      </c>
      <c r="X11" s="19">
        <v>500</v>
      </c>
      <c r="Y11" s="19">
        <v>5000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</row>
    <row r="12" spans="1:39" x14ac:dyDescent="0.25">
      <c r="A12" t="s">
        <v>3</v>
      </c>
      <c r="B12" t="str">
        <f>TRIM(D1_NOVIEMBRE[[#This Row],[ASESOR]])</f>
        <v>MARGARITA PIANCHACHI</v>
      </c>
      <c r="C12" t="s">
        <v>17</v>
      </c>
      <c r="D12">
        <v>2000</v>
      </c>
      <c r="E1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3.6363636363636362E-2</v>
      </c>
      <c r="F12" t="str">
        <f>IFERROR(VLOOKUP(D1_NOVIEMBRE[[#This Row],[ASESOR_CRR]],Tabla1[],2,0),D1_NOVIEMBRE[[#This Row],[SUPER]])</f>
        <v>SANDY</v>
      </c>
      <c r="L12">
        <v>4</v>
      </c>
      <c r="M12" s="1">
        <f t="shared" si="0"/>
        <v>0.20285454545454545</v>
      </c>
      <c r="N12" t="str" cm="1">
        <f t="array" ref="N12">IFERROR(_xlfn.IFS(M12&gt;100%,"&gt;100%",AND(M12&lt;100%,M12&gt;70%),"&gt;70%",AND(M12&lt;70%,M12&gt;40%),"&gt;40%",AND(M12&lt;40%,M12&gt;0%),"&gt;0%"),"")</f>
        <v>&gt;0%</v>
      </c>
      <c r="O12" t="str">
        <f t="shared" si="1"/>
        <v>GINA HUAMANI</v>
      </c>
      <c r="P12" t="str">
        <f>IF(DATA_NOVIEMBRE_2025[[#This Row],[ASER_]]="","",F6)</f>
        <v>SANDY</v>
      </c>
      <c r="Q12">
        <f>IF(DATA_NOVIEMBRE_2025[[#This Row],[SUPERVISOR]]="","",D6)</f>
        <v>11157</v>
      </c>
      <c r="R12">
        <f>IF(DATA_NOVIEMBRE_2025[[#This Row],[RECUPERO]]="","",VLOOKUP(DATA_NOVIEMBRE_2025[[#This Row],[SUPERVISOR]],$H:$I,2,0))</f>
        <v>55000</v>
      </c>
      <c r="S12" s="19">
        <v>0</v>
      </c>
      <c r="T12" s="19">
        <v>0</v>
      </c>
      <c r="U12" s="19">
        <v>0</v>
      </c>
      <c r="V12" s="19">
        <v>0</v>
      </c>
      <c r="W12" s="19">
        <v>5800</v>
      </c>
      <c r="X12" s="19">
        <v>0</v>
      </c>
      <c r="Y12" s="19">
        <v>3000</v>
      </c>
      <c r="Z12" s="19">
        <v>0</v>
      </c>
      <c r="AA12" s="19">
        <v>257</v>
      </c>
      <c r="AB12" s="19">
        <v>2100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</row>
    <row r="13" spans="1:39" x14ac:dyDescent="0.25">
      <c r="A13" t="s">
        <v>3</v>
      </c>
      <c r="B13" t="str">
        <f>TRIM(D1_NOVIEMBRE[[#This Row],[ASESOR]])</f>
        <v>FRANS RACSI</v>
      </c>
      <c r="C13" t="s">
        <v>140</v>
      </c>
      <c r="D13">
        <v>975</v>
      </c>
      <c r="E1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1.7727272727272727E-2</v>
      </c>
      <c r="F13" t="str">
        <f>IFERROR(VLOOKUP(D1_NOVIEMBRE[[#This Row],[ASESOR_CRR]],Tabla1[],2,0),D1_NOVIEMBRE[[#This Row],[SUPER]])</f>
        <v>SANDY</v>
      </c>
      <c r="J13" s="7"/>
      <c r="L13">
        <v>5</v>
      </c>
      <c r="M13" s="1">
        <f t="shared" si="0"/>
        <v>0.16930909090909091</v>
      </c>
      <c r="N13" t="str" cm="1">
        <f t="array" ref="N13">IFERROR(_xlfn.IFS(M13&gt;100%,"&gt;100%",AND(M13&lt;100%,M13&gt;70%),"&gt;70%",AND(M13&lt;70%,M13&gt;40%),"&gt;40%",AND(M13&lt;40%,M13&gt;0%),"&gt;0%"),"")</f>
        <v>&gt;0%</v>
      </c>
      <c r="O13" t="str">
        <f t="shared" si="1"/>
        <v>ANTHONY TORRES</v>
      </c>
      <c r="P13" t="str">
        <f>IF(DATA_NOVIEMBRE_2025[[#This Row],[ASER_]]="","",F7)</f>
        <v>SANDY</v>
      </c>
      <c r="Q13">
        <f>IF(DATA_NOVIEMBRE_2025[[#This Row],[SUPERVISOR]]="","",D7)</f>
        <v>9312</v>
      </c>
      <c r="R13">
        <f>IF(DATA_NOVIEMBRE_2025[[#This Row],[RECUPERO]]="","",VLOOKUP(DATA_NOVIEMBRE_2025[[#This Row],[SUPERVISOR]],$H:$I,2,0))</f>
        <v>55000</v>
      </c>
      <c r="S13" s="19">
        <v>0</v>
      </c>
      <c r="T13" s="19">
        <v>0</v>
      </c>
      <c r="U13" s="19">
        <v>2500</v>
      </c>
      <c r="V13" s="19">
        <v>100</v>
      </c>
      <c r="W13" s="19">
        <v>0</v>
      </c>
      <c r="X13" s="19">
        <v>0</v>
      </c>
      <c r="Y13" s="19">
        <v>0</v>
      </c>
      <c r="Z13" s="19">
        <v>0</v>
      </c>
      <c r="AA13" s="19">
        <v>512</v>
      </c>
      <c r="AB13" s="19">
        <v>1200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</row>
    <row r="14" spans="1:39" x14ac:dyDescent="0.25">
      <c r="A14" t="s">
        <v>3</v>
      </c>
      <c r="B14" t="str">
        <f>TRIM(D1_NOVIEMBRE[[#This Row],[ASESOR]])</f>
        <v/>
      </c>
      <c r="E1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14" t="str">
        <f>IFERROR(VLOOKUP(D1_NOVIEMBRE[[#This Row],[ASESOR_CRR]],Tabla1[],2,0),D1_NOVIEMBRE[[#This Row],[SUPER]])</f>
        <v>SANDY</v>
      </c>
      <c r="L14">
        <v>6</v>
      </c>
      <c r="M14" s="1">
        <f t="shared" si="0"/>
        <v>0.16181818181818181</v>
      </c>
      <c r="N14" t="str" cm="1">
        <f t="array" ref="N14">IFERROR(_xlfn.IFS(M14&gt;100%,"&gt;100%",AND(M14&lt;100%,M14&gt;70%),"&gt;70%",AND(M14&lt;70%,M14&gt;40%),"&gt;40%",AND(M14&lt;40%,M14&gt;0%),"&gt;0%"),"")</f>
        <v>&gt;0%</v>
      </c>
      <c r="O14" t="str">
        <f t="shared" si="1"/>
        <v>GIANFRANCO PINEDO</v>
      </c>
      <c r="P14" t="str">
        <f>IF(DATA_NOVIEMBRE_2025[[#This Row],[ASER_]]="","",F8)</f>
        <v>SANDY</v>
      </c>
      <c r="Q14">
        <f>IF(DATA_NOVIEMBRE_2025[[#This Row],[SUPERVISOR]]="","",D8)</f>
        <v>8900</v>
      </c>
      <c r="R14">
        <f>IF(DATA_NOVIEMBRE_2025[[#This Row],[RECUPERO]]="","",VLOOKUP(DATA_NOVIEMBRE_2025[[#This Row],[SUPERVISOR]],$H:$I,2,0))</f>
        <v>55000</v>
      </c>
      <c r="S14" s="19">
        <v>400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3000</v>
      </c>
      <c r="Z14" s="19">
        <v>0</v>
      </c>
      <c r="AA14" s="19">
        <v>1000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</row>
    <row r="15" spans="1:39" x14ac:dyDescent="0.25">
      <c r="A15" t="s">
        <v>3</v>
      </c>
      <c r="B15" t="str">
        <f>TRIM(D1_NOVIEMBRE[[#This Row],[ASESOR]])</f>
        <v/>
      </c>
      <c r="E1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15" t="str">
        <f>IFERROR(VLOOKUP(D1_NOVIEMBRE[[#This Row],[ASESOR_CRR]],Tabla1[],2,0),D1_NOVIEMBRE[[#This Row],[SUPER]])</f>
        <v>SANDY</v>
      </c>
      <c r="L15">
        <v>7</v>
      </c>
      <c r="M15" s="1">
        <f t="shared" si="0"/>
        <v>0.15845454545454546</v>
      </c>
      <c r="N15" t="str" cm="1">
        <f t="array" ref="N15">IFERROR(_xlfn.IFS(M15&gt;100%,"&gt;100%",AND(M15&lt;100%,M15&gt;70%),"&gt;70%",AND(M15&lt;70%,M15&gt;40%),"&gt;40%",AND(M15&lt;40%,M15&gt;0%),"&gt;0%"),"")</f>
        <v>&gt;0%</v>
      </c>
      <c r="O15" t="str">
        <f t="shared" si="1"/>
        <v>NOEMI CHUQUILIN</v>
      </c>
      <c r="P15" t="str">
        <f>IF(DATA_NOVIEMBRE_2025[[#This Row],[ASER_]]="","",F9)</f>
        <v>SANDY</v>
      </c>
      <c r="Q15">
        <f>IF(DATA_NOVIEMBRE_2025[[#This Row],[SUPERVISOR]]="","",D9)</f>
        <v>8715</v>
      </c>
      <c r="R15">
        <f>IF(DATA_NOVIEMBRE_2025[[#This Row],[RECUPERO]]="","",VLOOKUP(DATA_NOVIEMBRE_2025[[#This Row],[SUPERVISOR]],$H:$I,2,0))</f>
        <v>55000</v>
      </c>
      <c r="S15" s="19">
        <v>0</v>
      </c>
      <c r="T15" s="19">
        <v>0</v>
      </c>
      <c r="U15" s="19">
        <v>115</v>
      </c>
      <c r="V15" s="19">
        <v>0</v>
      </c>
      <c r="W15" s="19">
        <v>100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</row>
    <row r="16" spans="1:39" x14ac:dyDescent="0.25">
      <c r="A16" t="s">
        <v>3</v>
      </c>
      <c r="B16" t="str">
        <f>TRIM(D1_NOVIEMBRE[[#This Row],[ASESOR]])</f>
        <v/>
      </c>
      <c r="E1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16" t="str">
        <f>IFERROR(VLOOKUP(D1_NOVIEMBRE[[#This Row],[ASESOR_CRR]],Tabla1[],2,0),D1_NOVIEMBRE[[#This Row],[SUPER]])</f>
        <v>SANDY</v>
      </c>
      <c r="L16">
        <v>8</v>
      </c>
      <c r="M16" s="1">
        <f t="shared" si="0"/>
        <v>0.15181818181818182</v>
      </c>
      <c r="N16" t="str" cm="1">
        <f t="array" ref="N16">IFERROR(_xlfn.IFS(M16&gt;100%,"&gt;100%",AND(M16&lt;100%,M16&gt;70%),"&gt;70%",AND(M16&lt;70%,M16&gt;40%),"&gt;40%",AND(M16&lt;40%,M16&gt;0%),"&gt;0%"),"")</f>
        <v>&gt;0%</v>
      </c>
      <c r="O16" t="str">
        <f t="shared" si="1"/>
        <v>VICTOR RAMIREZ</v>
      </c>
      <c r="P16" t="str">
        <f>IF(DATA_NOVIEMBRE_2025[[#This Row],[ASER_]]="","",F10)</f>
        <v>SANDY</v>
      </c>
      <c r="Q16">
        <f>IF(DATA_NOVIEMBRE_2025[[#This Row],[SUPERVISOR]]="","",D10)</f>
        <v>8350</v>
      </c>
      <c r="R16">
        <f>IF(DATA_NOVIEMBRE_2025[[#This Row],[RECUPERO]]="","",VLOOKUP(DATA_NOVIEMBRE_2025[[#This Row],[SUPERVISOR]],$H:$I,2,0))</f>
        <v>55000</v>
      </c>
      <c r="S16" s="19">
        <v>0</v>
      </c>
      <c r="T16" s="19">
        <v>0</v>
      </c>
      <c r="U16" s="19">
        <v>5100</v>
      </c>
      <c r="V16" s="19">
        <v>0</v>
      </c>
      <c r="W16" s="19">
        <v>0</v>
      </c>
      <c r="X16" s="19">
        <v>0</v>
      </c>
      <c r="Y16" s="19">
        <v>0</v>
      </c>
      <c r="Z16" s="19">
        <v>250</v>
      </c>
      <c r="AA16" s="19">
        <v>3000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</row>
    <row r="17" spans="1:39" x14ac:dyDescent="0.25">
      <c r="A17" t="s">
        <v>3</v>
      </c>
      <c r="B17" t="str">
        <f>TRIM(D1_NOVIEMBRE[[#This Row],[ASESOR]])</f>
        <v/>
      </c>
      <c r="E1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17" t="str">
        <f>IFERROR(VLOOKUP(D1_NOVIEMBRE[[#This Row],[ASESOR_CRR]],Tabla1[],2,0),D1_NOVIEMBRE[[#This Row],[SUPER]])</f>
        <v>SANDY</v>
      </c>
      <c r="H17" t="s">
        <v>0</v>
      </c>
      <c r="I17" t="s">
        <v>143</v>
      </c>
      <c r="L17">
        <v>9</v>
      </c>
      <c r="M17" s="1">
        <f t="shared" si="0"/>
        <v>5.6018181818181821E-2</v>
      </c>
      <c r="N17" t="str" cm="1">
        <f t="array" ref="N17">IFERROR(_xlfn.IFS(M17&gt;100%,"&gt;100%",AND(M17&lt;100%,M17&gt;70%),"&gt;70%",AND(M17&lt;70%,M17&gt;40%),"&gt;40%",AND(M17&lt;40%,M17&gt;0%),"&gt;0%"),"")</f>
        <v>&gt;0%</v>
      </c>
      <c r="O17" t="str">
        <f t="shared" si="1"/>
        <v>EVELY TENORIO</v>
      </c>
      <c r="P17" t="str">
        <f>IF(DATA_NOVIEMBRE_2025[[#This Row],[ASER_]]="","",F11)</f>
        <v>SANDY</v>
      </c>
      <c r="Q17">
        <f>IF(DATA_NOVIEMBRE_2025[[#This Row],[SUPERVISOR]]="","",D11)</f>
        <v>3081</v>
      </c>
      <c r="R17">
        <f>IF(DATA_NOVIEMBRE_2025[[#This Row],[RECUPERO]]="","",VLOOKUP(DATA_NOVIEMBRE_2025[[#This Row],[SUPERVISOR]],$H:$I,2,0))</f>
        <v>55000</v>
      </c>
      <c r="S17" s="19">
        <v>0</v>
      </c>
      <c r="T17" s="19">
        <v>1600</v>
      </c>
      <c r="U17" s="19">
        <v>0</v>
      </c>
      <c r="V17" s="19">
        <v>0</v>
      </c>
      <c r="W17" s="19">
        <v>145</v>
      </c>
      <c r="X17" s="19">
        <v>636</v>
      </c>
      <c r="Y17" s="19">
        <v>0</v>
      </c>
      <c r="Z17" s="19">
        <v>0</v>
      </c>
      <c r="AA17" s="19">
        <v>0</v>
      </c>
      <c r="AB17" s="19">
        <v>700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</row>
    <row r="18" spans="1:39" x14ac:dyDescent="0.25">
      <c r="A18" t="s">
        <v>4</v>
      </c>
      <c r="B18" t="str">
        <f>TRIM(D1_NOVIEMBRE[[#This Row],[ASESOR]])</f>
        <v>JAIR MARTINEZ</v>
      </c>
      <c r="C18" t="s">
        <v>57</v>
      </c>
      <c r="D18">
        <v>15300</v>
      </c>
      <c r="E1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0.2781818181818182</v>
      </c>
      <c r="F18" t="str">
        <f>IFERROR(VLOOKUP(D1_NOVIEMBRE[[#This Row],[ASESOR_CRR]],Tabla1[],2,0),D1_NOVIEMBRE[[#This Row],[SUPER]])</f>
        <v>MELINA</v>
      </c>
      <c r="H18" t="s">
        <v>18</v>
      </c>
      <c r="I18" t="s">
        <v>144</v>
      </c>
      <c r="L18">
        <v>10</v>
      </c>
      <c r="M18" s="1">
        <f t="shared" si="0"/>
        <v>3.6363636363636362E-2</v>
      </c>
      <c r="N18" t="str" cm="1">
        <f t="array" ref="N18">IFERROR(_xlfn.IFS(M18&gt;100%,"&gt;100%",AND(M18&lt;100%,M18&gt;70%),"&gt;70%",AND(M18&lt;70%,M18&gt;40%),"&gt;40%",AND(M18&lt;40%,M18&gt;0%),"&gt;0%"),"")</f>
        <v>&gt;0%</v>
      </c>
      <c r="O18" t="str">
        <f t="shared" si="1"/>
        <v>MARGARITA PIANCHACHI</v>
      </c>
      <c r="P18" t="str">
        <f>IF(DATA_NOVIEMBRE_2025[[#This Row],[ASER_]]="","",F12)</f>
        <v>SANDY</v>
      </c>
      <c r="Q18">
        <f>IF(DATA_NOVIEMBRE_2025[[#This Row],[SUPERVISOR]]="","",D12)</f>
        <v>2000</v>
      </c>
      <c r="R18">
        <f>IF(DATA_NOVIEMBRE_2025[[#This Row],[RECUPERO]]="","",VLOOKUP(DATA_NOVIEMBRE_2025[[#This Row],[SUPERVISOR]],$H:$I,2,0))</f>
        <v>55000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2000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</row>
    <row r="19" spans="1:39" x14ac:dyDescent="0.25">
      <c r="A19" t="s">
        <v>4</v>
      </c>
      <c r="B19" t="str">
        <f>TRIM(D1_NOVIEMBRE[[#This Row],[ASESOR]])</f>
        <v>FRANK PACORA</v>
      </c>
      <c r="C19" t="s">
        <v>110</v>
      </c>
      <c r="D19">
        <v>14400</v>
      </c>
      <c r="E1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0.26181818181818184</v>
      </c>
      <c r="F19" t="str">
        <f>IFERROR(VLOOKUP(D1_NOVIEMBRE[[#This Row],[ASESOR_CRR]],Tabla1[],2,0),D1_NOVIEMBRE[[#This Row],[SUPER]])</f>
        <v>MELINA</v>
      </c>
      <c r="H19" t="s">
        <v>24</v>
      </c>
      <c r="I19" t="s">
        <v>144</v>
      </c>
      <c r="L19">
        <v>11</v>
      </c>
      <c r="M19" s="1">
        <f t="shared" si="0"/>
        <v>1.7727272727272727E-2</v>
      </c>
      <c r="N19" t="str" cm="1">
        <f t="array" ref="N19">IFERROR(_xlfn.IFS(M19&gt;100%,"&gt;100%",AND(M19&lt;100%,M19&gt;70%),"&gt;70%",AND(M19&lt;70%,M19&gt;40%),"&gt;40%",AND(M19&lt;40%,M19&gt;0%),"&gt;0%"),"")</f>
        <v>&gt;0%</v>
      </c>
      <c r="O19" t="str">
        <f t="shared" si="1"/>
        <v>FRANS RACSI</v>
      </c>
      <c r="P19" t="str">
        <f>IF(DATA_NOVIEMBRE_2025[[#This Row],[ASER_]]="","",F13)</f>
        <v>SANDY</v>
      </c>
      <c r="Q19">
        <f>IF(DATA_NOVIEMBRE_2025[[#This Row],[SUPERVISOR]]="","",D13)</f>
        <v>975</v>
      </c>
      <c r="R19">
        <f>IF(DATA_NOVIEMBRE_2025[[#This Row],[RECUPERO]]="","",VLOOKUP(DATA_NOVIEMBRE_2025[[#This Row],[SUPERVISOR]],$H:$I,2,0))</f>
        <v>55000</v>
      </c>
      <c r="S19" s="19">
        <v>275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700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</row>
    <row r="20" spans="1:39" x14ac:dyDescent="0.25">
      <c r="A20" t="s">
        <v>4</v>
      </c>
      <c r="B20" t="str">
        <f>TRIM(D1_NOVIEMBRE[[#This Row],[ASESOR]])</f>
        <v>DANIEL ZAPATA</v>
      </c>
      <c r="C20" t="s">
        <v>80</v>
      </c>
      <c r="D20">
        <v>14100</v>
      </c>
      <c r="E2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0.25636363636363635</v>
      </c>
      <c r="F20" t="str">
        <f>IFERROR(VLOOKUP(D1_NOVIEMBRE[[#This Row],[ASESOR_CRR]],Tabla1[],2,0),D1_NOVIEMBRE[[#This Row],[SUPER]])</f>
        <v>MELINA</v>
      </c>
      <c r="H20" t="s">
        <v>61</v>
      </c>
      <c r="I20" t="s">
        <v>144</v>
      </c>
      <c r="L20">
        <v>12</v>
      </c>
      <c r="M20" s="1">
        <f t="shared" si="0"/>
        <v>0</v>
      </c>
      <c r="N20" t="str" cm="1">
        <f t="array" ref="N20">IFERROR(_xlfn.IFS(M20&gt;100%,"&gt;100%",AND(M20&lt;100%,M20&gt;70%),"&gt;70%",AND(M20&lt;70%,M20&gt;40%),"&gt;40%",AND(M20&lt;40%,M20&gt;0%),"&gt;0%"),"")</f>
        <v/>
      </c>
      <c r="O20" t="str">
        <f t="shared" si="1"/>
        <v/>
      </c>
      <c r="P20" t="str">
        <f>IF(DATA_NOVIEMBRE_2025[[#This Row],[ASER_]]="","",F14)</f>
        <v/>
      </c>
      <c r="Q20" t="str">
        <f>IF(DATA_NOVIEMBRE_2025[[#This Row],[SUPERVISOR]]="","",D14)</f>
        <v/>
      </c>
      <c r="R20" t="str">
        <f>IF(DATA_NOVIEMBRE_2025[[#This Row],[RECUPERO]]="","",VLOOKUP(DATA_NOVIEMBRE_2025[[#This Row],[SUPERVISOR]],$H:$I,2,0))</f>
        <v/>
      </c>
      <c r="S20" s="19" t="s">
        <v>189</v>
      </c>
      <c r="T20" s="19" t="s">
        <v>189</v>
      </c>
      <c r="U20" s="19" t="s">
        <v>189</v>
      </c>
      <c r="V20" s="19" t="s">
        <v>189</v>
      </c>
      <c r="W20" s="19" t="s">
        <v>189</v>
      </c>
      <c r="X20" s="19" t="s">
        <v>189</v>
      </c>
      <c r="Y20" s="19" t="s">
        <v>189</v>
      </c>
      <c r="Z20" s="19" t="s">
        <v>189</v>
      </c>
      <c r="AA20" s="19" t="s">
        <v>189</v>
      </c>
      <c r="AB20" s="19" t="s">
        <v>189</v>
      </c>
      <c r="AC20" s="19" t="s">
        <v>189</v>
      </c>
      <c r="AD20" s="19" t="s">
        <v>189</v>
      </c>
      <c r="AE20" s="19" t="s">
        <v>189</v>
      </c>
      <c r="AF20" s="19" t="s">
        <v>189</v>
      </c>
      <c r="AG20" s="19" t="s">
        <v>189</v>
      </c>
      <c r="AH20" s="19" t="s">
        <v>189</v>
      </c>
      <c r="AI20" s="19" t="s">
        <v>189</v>
      </c>
      <c r="AJ20" s="19" t="s">
        <v>189</v>
      </c>
      <c r="AK20" s="19" t="s">
        <v>189</v>
      </c>
      <c r="AL20" s="19" t="s">
        <v>189</v>
      </c>
      <c r="AM20" s="19" t="s">
        <v>189</v>
      </c>
    </row>
    <row r="21" spans="1:39" x14ac:dyDescent="0.25">
      <c r="A21" t="s">
        <v>4</v>
      </c>
      <c r="B21" t="str">
        <f>TRIM(D1_NOVIEMBRE[[#This Row],[ASESOR]])</f>
        <v>MARIA TINTAYA</v>
      </c>
      <c r="C21" t="s">
        <v>75</v>
      </c>
      <c r="D21">
        <v>12100</v>
      </c>
      <c r="E2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0.22</v>
      </c>
      <c r="F21" t="str">
        <f>IFERROR(VLOOKUP(D1_NOVIEMBRE[[#This Row],[ASESOR_CRR]],Tabla1[],2,0),D1_NOVIEMBRE[[#This Row],[SUPER]])</f>
        <v>MELINA</v>
      </c>
      <c r="H21" t="s">
        <v>78</v>
      </c>
      <c r="I21" t="s">
        <v>144</v>
      </c>
      <c r="L21">
        <v>13</v>
      </c>
      <c r="M21" s="1">
        <f t="shared" si="0"/>
        <v>0</v>
      </c>
      <c r="N21" t="str" cm="1">
        <f t="array" ref="N21">IFERROR(_xlfn.IFS(M21&gt;100%,"&gt;100%",AND(M21&lt;100%,M21&gt;70%),"&gt;70%",AND(M21&lt;70%,M21&gt;40%),"&gt;40%",AND(M21&lt;40%,M21&gt;0%),"&gt;0%"),"")</f>
        <v/>
      </c>
      <c r="O21" t="str">
        <f t="shared" si="1"/>
        <v/>
      </c>
      <c r="P21" t="str">
        <f>IF(DATA_NOVIEMBRE_2025[[#This Row],[ASER_]]="","",F15)</f>
        <v/>
      </c>
      <c r="Q21" t="str">
        <f>IF(DATA_NOVIEMBRE_2025[[#This Row],[SUPERVISOR]]="","",D15)</f>
        <v/>
      </c>
      <c r="R21" t="str">
        <f>IF(DATA_NOVIEMBRE_2025[[#This Row],[RECUPERO]]="","",VLOOKUP(DATA_NOVIEMBRE_2025[[#This Row],[SUPERVISOR]],$H:$I,2,0))</f>
        <v/>
      </c>
      <c r="S21" s="19" t="s">
        <v>189</v>
      </c>
      <c r="T21" s="19" t="s">
        <v>189</v>
      </c>
      <c r="U21" s="19" t="s">
        <v>189</v>
      </c>
      <c r="V21" s="19" t="s">
        <v>189</v>
      </c>
      <c r="W21" s="19" t="s">
        <v>189</v>
      </c>
      <c r="X21" s="19" t="s">
        <v>189</v>
      </c>
      <c r="Y21" s="19" t="s">
        <v>189</v>
      </c>
      <c r="Z21" s="19" t="s">
        <v>189</v>
      </c>
      <c r="AA21" s="19" t="s">
        <v>189</v>
      </c>
      <c r="AB21" s="19" t="s">
        <v>189</v>
      </c>
      <c r="AC21" s="19" t="s">
        <v>189</v>
      </c>
      <c r="AD21" s="19" t="s">
        <v>189</v>
      </c>
      <c r="AE21" s="19" t="s">
        <v>189</v>
      </c>
      <c r="AF21" s="19" t="s">
        <v>189</v>
      </c>
      <c r="AG21" s="19" t="s">
        <v>189</v>
      </c>
      <c r="AH21" s="19" t="s">
        <v>189</v>
      </c>
      <c r="AI21" s="19" t="s">
        <v>189</v>
      </c>
      <c r="AJ21" s="19" t="s">
        <v>189</v>
      </c>
      <c r="AK21" s="19" t="s">
        <v>189</v>
      </c>
      <c r="AL21" s="19" t="s">
        <v>189</v>
      </c>
      <c r="AM21" s="19" t="s">
        <v>189</v>
      </c>
    </row>
    <row r="22" spans="1:39" x14ac:dyDescent="0.25">
      <c r="A22" t="s">
        <v>4</v>
      </c>
      <c r="B22" t="str">
        <f>TRIM(D1_NOVIEMBRE[[#This Row],[ASESOR]])</f>
        <v>ANALUCIA PONCE</v>
      </c>
      <c r="C22" t="s">
        <v>60</v>
      </c>
      <c r="D22">
        <v>9966</v>
      </c>
      <c r="E2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0.1812</v>
      </c>
      <c r="F22" t="str">
        <f>IFERROR(VLOOKUP(D1_NOVIEMBRE[[#This Row],[ASESOR_CRR]],Tabla1[],2,0),D1_NOVIEMBRE[[#This Row],[SUPER]])</f>
        <v>MELINA</v>
      </c>
      <c r="H22" t="s">
        <v>50</v>
      </c>
      <c r="I22" t="s">
        <v>145</v>
      </c>
      <c r="L22">
        <v>14</v>
      </c>
      <c r="M22" s="1">
        <f t="shared" si="0"/>
        <v>0</v>
      </c>
      <c r="N22" t="str" cm="1">
        <f t="array" ref="N22">IFERROR(_xlfn.IFS(M22&gt;100%,"&gt;100%",AND(M22&lt;100%,M22&gt;70%),"&gt;70%",AND(M22&lt;70%,M22&gt;40%),"&gt;40%",AND(M22&lt;40%,M22&gt;0%),"&gt;0%"),"")</f>
        <v/>
      </c>
      <c r="O22" t="str">
        <f t="shared" si="1"/>
        <v/>
      </c>
      <c r="P22" t="str">
        <f>IF(DATA_NOVIEMBRE_2025[[#This Row],[ASER_]]="","",F16)</f>
        <v/>
      </c>
      <c r="Q22" t="str">
        <f>IF(DATA_NOVIEMBRE_2025[[#This Row],[SUPERVISOR]]="","",D16)</f>
        <v/>
      </c>
      <c r="R22" t="str">
        <f>IF(DATA_NOVIEMBRE_2025[[#This Row],[RECUPERO]]="","",VLOOKUP(DATA_NOVIEMBRE_2025[[#This Row],[SUPERVISOR]],$H:$I,2,0))</f>
        <v/>
      </c>
      <c r="S22" s="19" t="s">
        <v>189</v>
      </c>
      <c r="T22" s="19" t="s">
        <v>189</v>
      </c>
      <c r="U22" s="19" t="s">
        <v>189</v>
      </c>
      <c r="V22" s="19" t="s">
        <v>189</v>
      </c>
      <c r="W22" s="19" t="s">
        <v>189</v>
      </c>
      <c r="X22" s="19" t="s">
        <v>189</v>
      </c>
      <c r="Y22" s="19" t="s">
        <v>189</v>
      </c>
      <c r="Z22" s="19" t="s">
        <v>189</v>
      </c>
      <c r="AA22" s="19" t="s">
        <v>189</v>
      </c>
      <c r="AB22" s="19" t="s">
        <v>189</v>
      </c>
      <c r="AC22" s="19" t="s">
        <v>189</v>
      </c>
      <c r="AD22" s="19" t="s">
        <v>189</v>
      </c>
      <c r="AE22" s="19" t="s">
        <v>189</v>
      </c>
      <c r="AF22" s="19" t="s">
        <v>189</v>
      </c>
      <c r="AG22" s="19" t="s">
        <v>189</v>
      </c>
      <c r="AH22" s="19" t="s">
        <v>189</v>
      </c>
      <c r="AI22" s="19" t="s">
        <v>189</v>
      </c>
      <c r="AJ22" s="19" t="s">
        <v>189</v>
      </c>
      <c r="AK22" s="19" t="s">
        <v>189</v>
      </c>
      <c r="AL22" s="19" t="s">
        <v>189</v>
      </c>
      <c r="AM22" s="19" t="s">
        <v>189</v>
      </c>
    </row>
    <row r="23" spans="1:39" x14ac:dyDescent="0.25">
      <c r="A23" t="s">
        <v>4</v>
      </c>
      <c r="B23" t="str">
        <f>TRIM(D1_NOVIEMBRE[[#This Row],[ASESOR]])</f>
        <v>GERSON LAZARO</v>
      </c>
      <c r="C23" t="s">
        <v>96</v>
      </c>
      <c r="D23">
        <v>8693</v>
      </c>
      <c r="E2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0.15805454545454545</v>
      </c>
      <c r="F23" t="str">
        <f>IFERROR(VLOOKUP(D1_NOVIEMBRE[[#This Row],[ASESOR_CRR]],Tabla1[],2,0),D1_NOVIEMBRE[[#This Row],[SUPER]])</f>
        <v>MELINA</v>
      </c>
      <c r="H23" t="s">
        <v>35</v>
      </c>
      <c r="I23" t="s">
        <v>145</v>
      </c>
      <c r="L23">
        <v>15</v>
      </c>
      <c r="M23" s="1">
        <f t="shared" si="0"/>
        <v>0</v>
      </c>
      <c r="N23" t="str" cm="1">
        <f t="array" ref="N23">IFERROR(_xlfn.IFS(M23&gt;100%,"&gt;100%",AND(M23&lt;100%,M23&gt;70%),"&gt;70%",AND(M23&lt;70%,M23&gt;40%),"&gt;40%",AND(M23&lt;40%,M23&gt;0%),"&gt;0%"),"")</f>
        <v/>
      </c>
      <c r="O23" t="str">
        <f t="shared" si="1"/>
        <v/>
      </c>
      <c r="P23" t="str">
        <f>IF(DATA_NOVIEMBRE_2025[[#This Row],[ASER_]]="","",F17)</f>
        <v/>
      </c>
      <c r="Q23" t="str">
        <f>IF(DATA_NOVIEMBRE_2025[[#This Row],[SUPERVISOR]]="","",D17)</f>
        <v/>
      </c>
      <c r="R23" t="str">
        <f>IF(DATA_NOVIEMBRE_2025[[#This Row],[RECUPERO]]="","",VLOOKUP(DATA_NOVIEMBRE_2025[[#This Row],[SUPERVISOR]],$H:$I,2,0))</f>
        <v/>
      </c>
      <c r="S23" s="19" t="s">
        <v>189</v>
      </c>
      <c r="T23" s="19" t="s">
        <v>189</v>
      </c>
      <c r="U23" s="19" t="s">
        <v>189</v>
      </c>
      <c r="V23" s="19" t="s">
        <v>189</v>
      </c>
      <c r="W23" s="19" t="s">
        <v>189</v>
      </c>
      <c r="X23" s="19" t="s">
        <v>189</v>
      </c>
      <c r="Y23" s="19" t="s">
        <v>189</v>
      </c>
      <c r="Z23" s="19" t="s">
        <v>189</v>
      </c>
      <c r="AA23" s="19" t="s">
        <v>189</v>
      </c>
      <c r="AB23" s="19" t="s">
        <v>189</v>
      </c>
      <c r="AC23" s="19" t="s">
        <v>189</v>
      </c>
      <c r="AD23" s="19" t="s">
        <v>189</v>
      </c>
      <c r="AE23" s="19" t="s">
        <v>189</v>
      </c>
      <c r="AF23" s="19" t="s">
        <v>189</v>
      </c>
      <c r="AG23" s="19" t="s">
        <v>189</v>
      </c>
      <c r="AH23" s="19" t="s">
        <v>189</v>
      </c>
      <c r="AI23" s="19" t="s">
        <v>189</v>
      </c>
      <c r="AJ23" s="19" t="s">
        <v>189</v>
      </c>
      <c r="AK23" s="19" t="s">
        <v>189</v>
      </c>
      <c r="AL23" s="19" t="s">
        <v>189</v>
      </c>
      <c r="AM23" s="19" t="s">
        <v>189</v>
      </c>
    </row>
    <row r="24" spans="1:39" x14ac:dyDescent="0.25">
      <c r="A24" t="s">
        <v>4</v>
      </c>
      <c r="B24" t="str">
        <f>TRIM(D1_NOVIEMBRE[[#This Row],[ASESOR]])</f>
        <v>JIMENA MEDINA</v>
      </c>
      <c r="C24" t="s">
        <v>37</v>
      </c>
      <c r="D24">
        <v>7700</v>
      </c>
      <c r="E2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0.14000000000000001</v>
      </c>
      <c r="F24" t="str">
        <f>IFERROR(VLOOKUP(D1_NOVIEMBRE[[#This Row],[ASESOR_CRR]],Tabla1[],2,0),D1_NOVIEMBRE[[#This Row],[SUPER]])</f>
        <v>MELINA</v>
      </c>
      <c r="H24" t="s">
        <v>11</v>
      </c>
      <c r="I24" t="s">
        <v>145</v>
      </c>
      <c r="L24">
        <v>1</v>
      </c>
      <c r="M24" s="1">
        <f t="shared" si="0"/>
        <v>0.2781818181818182</v>
      </c>
      <c r="N24" t="str" cm="1">
        <f t="array" ref="N24">IFERROR(_xlfn.IFS(M24&gt;100%,"&gt;100%",AND(M24&lt;100%,M24&gt;70%),"&gt;70%",AND(M24&lt;70%,M24&gt;40%),"&gt;40%",AND(M24&lt;40%,M24&gt;0%),"&gt;0%"),"")</f>
        <v>&gt;0%</v>
      </c>
      <c r="O24" t="str">
        <f t="shared" si="1"/>
        <v>JAIR MARTINEZ</v>
      </c>
      <c r="P24" t="str">
        <f>IF(DATA_NOVIEMBRE_2025[[#This Row],[ASER_]]="","",F18)</f>
        <v>MELINA</v>
      </c>
      <c r="Q24">
        <f>IF(DATA_NOVIEMBRE_2025[[#This Row],[SUPERVISOR]]="","",D18)</f>
        <v>15300</v>
      </c>
      <c r="R24">
        <f>IF(DATA_NOVIEMBRE_2025[[#This Row],[RECUPERO]]="","",VLOOKUP(DATA_NOVIEMBRE_2025[[#This Row],[SUPERVISOR]],$H:$I,2,0))</f>
        <v>55000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1300</v>
      </c>
      <c r="Z24" s="19">
        <v>0</v>
      </c>
      <c r="AA24" s="19">
        <v>4000</v>
      </c>
      <c r="AB24" s="19">
        <v>10000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</row>
    <row r="25" spans="1:39" x14ac:dyDescent="0.25">
      <c r="A25" t="s">
        <v>4</v>
      </c>
      <c r="B25" t="str">
        <f>TRIM(D1_NOVIEMBRE[[#This Row],[ASESOR]])</f>
        <v>PIERINA TESEN</v>
      </c>
      <c r="C25" t="s">
        <v>59</v>
      </c>
      <c r="D25">
        <v>7300</v>
      </c>
      <c r="E2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0.13272727272727272</v>
      </c>
      <c r="F25" t="str">
        <f>IFERROR(VLOOKUP(D1_NOVIEMBRE[[#This Row],[ASESOR_CRR]],Tabla1[],2,0),D1_NOVIEMBRE[[#This Row],[SUPER]])</f>
        <v>MELINA</v>
      </c>
      <c r="H25" t="s">
        <v>26</v>
      </c>
      <c r="I25" t="s">
        <v>145</v>
      </c>
      <c r="L25">
        <v>2</v>
      </c>
      <c r="M25" s="1">
        <f t="shared" si="0"/>
        <v>0.26181818181818184</v>
      </c>
      <c r="N25" t="str" cm="1">
        <f t="array" ref="N25">IFERROR(_xlfn.IFS(M25&gt;100%,"&gt;100%",AND(M25&lt;100%,M25&gt;70%),"&gt;70%",AND(M25&lt;70%,M25&gt;40%),"&gt;40%",AND(M25&lt;40%,M25&gt;0%),"&gt;0%"),"")</f>
        <v>&gt;0%</v>
      </c>
      <c r="O25" t="str">
        <f t="shared" si="1"/>
        <v>FRANK PACORA</v>
      </c>
      <c r="P25" t="str">
        <f>IF(DATA_NOVIEMBRE_2025[[#This Row],[ASER_]]="","",F19)</f>
        <v>MELINA</v>
      </c>
      <c r="Q25">
        <f>IF(DATA_NOVIEMBRE_2025[[#This Row],[SUPERVISOR]]="","",D19)</f>
        <v>14400</v>
      </c>
      <c r="R25">
        <f>IF(DATA_NOVIEMBRE_2025[[#This Row],[RECUPERO]]="","",VLOOKUP(DATA_NOVIEMBRE_2025[[#This Row],[SUPERVISOR]],$H:$I,2,0))</f>
        <v>55000</v>
      </c>
      <c r="S25" s="19">
        <v>0</v>
      </c>
      <c r="T25" s="19">
        <v>0</v>
      </c>
      <c r="U25" s="19">
        <v>0</v>
      </c>
      <c r="V25" s="19">
        <v>8000</v>
      </c>
      <c r="W25" s="19">
        <v>0</v>
      </c>
      <c r="X25" s="19">
        <v>400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</row>
    <row r="26" spans="1:39" x14ac:dyDescent="0.25">
      <c r="A26" t="s">
        <v>4</v>
      </c>
      <c r="B26" t="str">
        <f>TRIM(D1_NOVIEMBRE[[#This Row],[ASESOR]])</f>
        <v>VERONICA TASAYCO</v>
      </c>
      <c r="C26" t="s">
        <v>10</v>
      </c>
      <c r="D26">
        <v>6500</v>
      </c>
      <c r="E2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0.11818181818181818</v>
      </c>
      <c r="F26" t="str">
        <f>IFERROR(VLOOKUP(D1_NOVIEMBRE[[#This Row],[ASESOR_CRR]],Tabla1[],2,0),D1_NOVIEMBRE[[#This Row],[SUPER]])</f>
        <v>MELINA</v>
      </c>
      <c r="H26" t="s">
        <v>81</v>
      </c>
      <c r="I26" t="s">
        <v>145</v>
      </c>
      <c r="L26">
        <v>3</v>
      </c>
      <c r="M26" s="1">
        <f t="shared" si="0"/>
        <v>0.25636363636363635</v>
      </c>
      <c r="N26" t="str" cm="1">
        <f t="array" ref="N26">IFERROR(_xlfn.IFS(M26&gt;100%,"&gt;100%",AND(M26&lt;100%,M26&gt;70%),"&gt;70%",AND(M26&lt;70%,M26&gt;40%),"&gt;40%",AND(M26&lt;40%,M26&gt;0%),"&gt;0%"),"")</f>
        <v>&gt;0%</v>
      </c>
      <c r="O26" t="str">
        <f t="shared" si="1"/>
        <v>DANIEL ZAPATA</v>
      </c>
      <c r="P26" t="str">
        <f>IF(DATA_NOVIEMBRE_2025[[#This Row],[ASER_]]="","",F20)</f>
        <v>MELINA</v>
      </c>
      <c r="Q26">
        <f>IF(DATA_NOVIEMBRE_2025[[#This Row],[SUPERVISOR]]="","",D20)</f>
        <v>14100</v>
      </c>
      <c r="R26">
        <f>IF(DATA_NOVIEMBRE_2025[[#This Row],[RECUPERO]]="","",VLOOKUP(DATA_NOVIEMBRE_2025[[#This Row],[SUPERVISOR]],$H:$I,2,0))</f>
        <v>55000</v>
      </c>
      <c r="S26" s="19">
        <v>0</v>
      </c>
      <c r="T26" s="19">
        <v>0</v>
      </c>
      <c r="U26" s="19">
        <v>0</v>
      </c>
      <c r="V26" s="19">
        <v>0</v>
      </c>
      <c r="W26" s="19">
        <v>5000</v>
      </c>
      <c r="X26" s="19">
        <v>0</v>
      </c>
      <c r="Y26" s="19">
        <v>0</v>
      </c>
      <c r="Z26" s="19">
        <v>600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</row>
    <row r="27" spans="1:39" x14ac:dyDescent="0.25">
      <c r="A27" t="s">
        <v>4</v>
      </c>
      <c r="B27" t="str">
        <f>TRIM(D1_NOVIEMBRE[[#This Row],[ASESOR]])</f>
        <v>ALEJANDRA QUISPE</v>
      </c>
      <c r="C27" t="s">
        <v>58</v>
      </c>
      <c r="D27">
        <v>5243</v>
      </c>
      <c r="E2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9.5327272727272733E-2</v>
      </c>
      <c r="F27" t="str">
        <f>IFERROR(VLOOKUP(D1_NOVIEMBRE[[#This Row],[ASESOR_CRR]],Tabla1[],2,0),D1_NOVIEMBRE[[#This Row],[SUPER]])</f>
        <v>MELINA</v>
      </c>
      <c r="H27" t="s">
        <v>41</v>
      </c>
      <c r="I27" t="s">
        <v>145</v>
      </c>
      <c r="L27">
        <v>4</v>
      </c>
      <c r="M27" s="1">
        <f t="shared" si="0"/>
        <v>0.22</v>
      </c>
      <c r="N27" t="str" cm="1">
        <f t="array" ref="N27">IFERROR(_xlfn.IFS(M27&gt;100%,"&gt;100%",AND(M27&lt;100%,M27&gt;70%),"&gt;70%",AND(M27&lt;70%,M27&gt;40%),"&gt;40%",AND(M27&lt;40%,M27&gt;0%),"&gt;0%"),"")</f>
        <v>&gt;0%</v>
      </c>
      <c r="O27" t="str">
        <f t="shared" si="1"/>
        <v>MARIA TINTAYA</v>
      </c>
      <c r="P27" t="str">
        <f>IF(DATA_NOVIEMBRE_2025[[#This Row],[ASER_]]="","",F21)</f>
        <v>MELINA</v>
      </c>
      <c r="Q27">
        <f>IF(DATA_NOVIEMBRE_2025[[#This Row],[SUPERVISOR]]="","",D21)</f>
        <v>12100</v>
      </c>
      <c r="R27">
        <f>IF(DATA_NOVIEMBRE_2025[[#This Row],[RECUPERO]]="","",VLOOKUP(DATA_NOVIEMBRE_2025[[#This Row],[SUPERVISOR]],$H:$I,2,0))</f>
        <v>55000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10000</v>
      </c>
      <c r="Z27" s="19">
        <v>0</v>
      </c>
      <c r="AA27" s="19">
        <v>2100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</row>
    <row r="28" spans="1:39" x14ac:dyDescent="0.25">
      <c r="A28" t="s">
        <v>4</v>
      </c>
      <c r="B28" t="str">
        <f>TRIM(D1_NOVIEMBRE[[#This Row],[ASESOR]])</f>
        <v>DARYL FERREL</v>
      </c>
      <c r="C28" t="s">
        <v>40</v>
      </c>
      <c r="D28">
        <v>2750</v>
      </c>
      <c r="E2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0.05</v>
      </c>
      <c r="F28" t="str">
        <f>IFERROR(VLOOKUP(D1_NOVIEMBRE[[#This Row],[ASESOR_CRR]],Tabla1[],2,0),D1_NOVIEMBRE[[#This Row],[SUPER]])</f>
        <v>MELINA</v>
      </c>
      <c r="H28" t="s">
        <v>65</v>
      </c>
      <c r="I28" t="s">
        <v>145</v>
      </c>
      <c r="L28">
        <v>5</v>
      </c>
      <c r="M28" s="1">
        <f t="shared" si="0"/>
        <v>0.1812</v>
      </c>
      <c r="N28" t="str" cm="1">
        <f t="array" ref="N28">IFERROR(_xlfn.IFS(M28&gt;100%,"&gt;100%",AND(M28&lt;100%,M28&gt;70%),"&gt;70%",AND(M28&lt;70%,M28&gt;40%),"&gt;40%",AND(M28&lt;40%,M28&gt;0%),"&gt;0%"),"")</f>
        <v>&gt;0%</v>
      </c>
      <c r="O28" t="str">
        <f t="shared" si="1"/>
        <v>ANALUCIA PONCE</v>
      </c>
      <c r="P28" t="str">
        <f>IF(DATA_NOVIEMBRE_2025[[#This Row],[ASER_]]="","",F22)</f>
        <v>MELINA</v>
      </c>
      <c r="Q28">
        <f>IF(DATA_NOVIEMBRE_2025[[#This Row],[SUPERVISOR]]="","",D22)</f>
        <v>9966</v>
      </c>
      <c r="R28">
        <f>IF(DATA_NOVIEMBRE_2025[[#This Row],[RECUPERO]]="","",VLOOKUP(DATA_NOVIEMBRE_2025[[#This Row],[SUPERVISOR]],$H:$I,2,0))</f>
        <v>55000</v>
      </c>
      <c r="S28" s="19">
        <v>2740</v>
      </c>
      <c r="T28" s="19">
        <v>992</v>
      </c>
      <c r="U28" s="19">
        <v>0</v>
      </c>
      <c r="V28" s="19">
        <v>0</v>
      </c>
      <c r="W28" s="19">
        <v>0</v>
      </c>
      <c r="X28" s="19">
        <v>1500</v>
      </c>
      <c r="Y28" s="19">
        <v>0</v>
      </c>
      <c r="Z28" s="19">
        <v>0</v>
      </c>
      <c r="AA28" s="19">
        <v>600</v>
      </c>
      <c r="AB28" s="19">
        <v>1134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</row>
    <row r="29" spans="1:39" x14ac:dyDescent="0.25">
      <c r="A29" t="s">
        <v>4</v>
      </c>
      <c r="B29" t="str">
        <f>TRIM(D1_NOVIEMBRE[[#This Row],[ASESOR]])</f>
        <v/>
      </c>
      <c r="E2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29" t="str">
        <f>IFERROR(VLOOKUP(D1_NOVIEMBRE[[#This Row],[ASESOR_CRR]],Tabla1[],2,0),D1_NOVIEMBRE[[#This Row],[SUPER]])</f>
        <v>MELINA</v>
      </c>
      <c r="H29" t="s">
        <v>19</v>
      </c>
      <c r="I29" t="s">
        <v>145</v>
      </c>
      <c r="L29">
        <v>6</v>
      </c>
      <c r="M29" s="1">
        <f t="shared" si="0"/>
        <v>0.15805454545454545</v>
      </c>
      <c r="N29" t="str" cm="1">
        <f t="array" ref="N29">IFERROR(_xlfn.IFS(M29&gt;100%,"&gt;100%",AND(M29&lt;100%,M29&gt;70%),"&gt;70%",AND(M29&lt;70%,M29&gt;40%),"&gt;40%",AND(M29&lt;40%,M29&gt;0%),"&gt;0%"),"")</f>
        <v>&gt;0%</v>
      </c>
      <c r="O29" t="str">
        <f t="shared" si="1"/>
        <v>GERSON LAZARO</v>
      </c>
      <c r="P29" t="str">
        <f>IF(DATA_NOVIEMBRE_2025[[#This Row],[ASER_]]="","",F23)</f>
        <v>MELINA</v>
      </c>
      <c r="Q29">
        <f>IF(DATA_NOVIEMBRE_2025[[#This Row],[SUPERVISOR]]="","",D23)</f>
        <v>8693</v>
      </c>
      <c r="R29">
        <f>IF(DATA_NOVIEMBRE_2025[[#This Row],[RECUPERO]]="","",VLOOKUP(DATA_NOVIEMBRE_2025[[#This Row],[SUPERVISOR]],$H:$I,2,0))</f>
        <v>55000</v>
      </c>
      <c r="S29" s="19">
        <v>170</v>
      </c>
      <c r="T29" s="19">
        <v>0</v>
      </c>
      <c r="U29" s="19">
        <v>0</v>
      </c>
      <c r="V29" s="19">
        <v>0</v>
      </c>
      <c r="W29" s="19">
        <v>0</v>
      </c>
      <c r="X29" s="19">
        <v>7320</v>
      </c>
      <c r="Y29" s="19">
        <v>600</v>
      </c>
      <c r="Z29" s="19">
        <v>0</v>
      </c>
      <c r="AA29" s="19">
        <v>0</v>
      </c>
      <c r="AB29" s="19">
        <v>170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</row>
    <row r="30" spans="1:39" x14ac:dyDescent="0.25">
      <c r="A30" t="s">
        <v>4</v>
      </c>
      <c r="B30" t="str">
        <f>TRIM(D1_NOVIEMBRE[[#This Row],[ASESOR]])</f>
        <v/>
      </c>
      <c r="E3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30" t="str">
        <f>IFERROR(VLOOKUP(D1_NOVIEMBRE[[#This Row],[ASESOR_CRR]],Tabla1[],2,0),D1_NOVIEMBRE[[#This Row],[SUPER]])</f>
        <v>MELINA</v>
      </c>
      <c r="H30" t="s">
        <v>67</v>
      </c>
      <c r="I30" t="s">
        <v>145</v>
      </c>
      <c r="L30">
        <v>7</v>
      </c>
      <c r="M30" s="1">
        <f t="shared" si="0"/>
        <v>0.14000000000000001</v>
      </c>
      <c r="N30" t="str" cm="1">
        <f t="array" ref="N30">IFERROR(_xlfn.IFS(M30&gt;100%,"&gt;100%",AND(M30&lt;100%,M30&gt;70%),"&gt;70%",AND(M30&lt;70%,M30&gt;40%),"&gt;40%",AND(M30&lt;40%,M30&gt;0%),"&gt;0%"),"")</f>
        <v>&gt;0%</v>
      </c>
      <c r="O30" t="str">
        <f t="shared" si="1"/>
        <v>JIMENA MEDINA</v>
      </c>
      <c r="P30" t="str">
        <f>IF(DATA_NOVIEMBRE_2025[[#This Row],[ASER_]]="","",F24)</f>
        <v>MELINA</v>
      </c>
      <c r="Q30">
        <f>IF(DATA_NOVIEMBRE_2025[[#This Row],[SUPERVISOR]]="","",D24)</f>
        <v>7700</v>
      </c>
      <c r="R30">
        <f>IF(DATA_NOVIEMBRE_2025[[#This Row],[RECUPERO]]="","",VLOOKUP(DATA_NOVIEMBRE_2025[[#This Row],[SUPERVISOR]],$H:$I,2,0))</f>
        <v>55000</v>
      </c>
      <c r="S30" s="19">
        <v>0</v>
      </c>
      <c r="T30" s="19">
        <v>0</v>
      </c>
      <c r="U30" s="19">
        <v>0</v>
      </c>
      <c r="V30" s="19">
        <v>0</v>
      </c>
      <c r="W30" s="19">
        <v>2000</v>
      </c>
      <c r="X30" s="19">
        <v>0</v>
      </c>
      <c r="Y30" s="19">
        <v>0</v>
      </c>
      <c r="Z30" s="19">
        <v>0</v>
      </c>
      <c r="AA30" s="19">
        <v>0</v>
      </c>
      <c r="AB30" s="19">
        <v>700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</row>
    <row r="31" spans="1:39" x14ac:dyDescent="0.25">
      <c r="A31" t="s">
        <v>4</v>
      </c>
      <c r="B31" t="str">
        <f>TRIM(D1_NOVIEMBRE[[#This Row],[ASESOR]])</f>
        <v/>
      </c>
      <c r="E3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31" t="str">
        <f>IFERROR(VLOOKUP(D1_NOVIEMBRE[[#This Row],[ASESOR_CRR]],Tabla1[],2,0),D1_NOVIEMBRE[[#This Row],[SUPER]])</f>
        <v>MELINA</v>
      </c>
      <c r="L31">
        <v>8</v>
      </c>
      <c r="M31" s="1">
        <f t="shared" si="0"/>
        <v>0.13272727272727272</v>
      </c>
      <c r="N31" t="str" cm="1">
        <f t="array" ref="N31">IFERROR(_xlfn.IFS(M31&gt;100%,"&gt;100%",AND(M31&lt;100%,M31&gt;70%),"&gt;70%",AND(M31&lt;70%,M31&gt;40%),"&gt;40%",AND(M31&lt;40%,M31&gt;0%),"&gt;0%"),"")</f>
        <v>&gt;0%</v>
      </c>
      <c r="O31" t="str">
        <f t="shared" si="1"/>
        <v>PIERINA TESEN</v>
      </c>
      <c r="P31" t="str">
        <f>IF(DATA_NOVIEMBRE_2025[[#This Row],[ASER_]]="","",F25)</f>
        <v>MELINA</v>
      </c>
      <c r="Q31">
        <f>IF(DATA_NOVIEMBRE_2025[[#This Row],[SUPERVISOR]]="","",D25)</f>
        <v>7300</v>
      </c>
      <c r="R31">
        <f>IF(DATA_NOVIEMBRE_2025[[#This Row],[RECUPERO]]="","",VLOOKUP(DATA_NOVIEMBRE_2025[[#This Row],[SUPERVISOR]],$H:$I,2,0))</f>
        <v>55000</v>
      </c>
      <c r="S31" s="19">
        <v>0</v>
      </c>
      <c r="T31" s="19">
        <v>0</v>
      </c>
      <c r="U31" s="19">
        <v>2000</v>
      </c>
      <c r="V31" s="19">
        <v>0</v>
      </c>
      <c r="W31" s="19">
        <v>1000</v>
      </c>
      <c r="X31" s="19">
        <v>0</v>
      </c>
      <c r="Y31" s="19">
        <v>1200</v>
      </c>
      <c r="Z31" s="19">
        <v>1100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</row>
    <row r="32" spans="1:39" x14ac:dyDescent="0.25">
      <c r="A32" t="s">
        <v>4</v>
      </c>
      <c r="B32" t="str">
        <f>TRIM(D1_NOVIEMBRE[[#This Row],[ASESOR]])</f>
        <v/>
      </c>
      <c r="E3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32" t="str">
        <f>IFERROR(VLOOKUP(D1_NOVIEMBRE[[#This Row],[ASESOR_CRR]],Tabla1[],2,0),D1_NOVIEMBRE[[#This Row],[SUPER]])</f>
        <v>MELINA</v>
      </c>
      <c r="L32">
        <v>9</v>
      </c>
      <c r="M32" s="1">
        <f t="shared" si="0"/>
        <v>0.11818181818181818</v>
      </c>
      <c r="N32" t="str" cm="1">
        <f t="array" ref="N32">IFERROR(_xlfn.IFS(M32&gt;100%,"&gt;100%",AND(M32&lt;100%,M32&gt;70%),"&gt;70%",AND(M32&lt;70%,M32&gt;40%),"&gt;40%",AND(M32&lt;40%,M32&gt;0%),"&gt;0%"),"")</f>
        <v>&gt;0%</v>
      </c>
      <c r="O32" t="str">
        <f t="shared" si="1"/>
        <v>VERONICA TASAYCO</v>
      </c>
      <c r="P32" t="str">
        <f>IF(DATA_NOVIEMBRE_2025[[#This Row],[ASER_]]="","",F26)</f>
        <v>MELINA</v>
      </c>
      <c r="Q32">
        <f>IF(DATA_NOVIEMBRE_2025[[#This Row],[SUPERVISOR]]="","",D26)</f>
        <v>6500</v>
      </c>
      <c r="R32">
        <f>IF(DATA_NOVIEMBRE_2025[[#This Row],[RECUPERO]]="","",VLOOKUP(DATA_NOVIEMBRE_2025[[#This Row],[SUPERVISOR]],$H:$I,2,0))</f>
        <v>55000</v>
      </c>
      <c r="S32" s="19">
        <v>0</v>
      </c>
      <c r="T32" s="19">
        <v>0</v>
      </c>
      <c r="U32" s="19">
        <v>600</v>
      </c>
      <c r="V32" s="19">
        <v>0</v>
      </c>
      <c r="W32" s="19">
        <v>0</v>
      </c>
      <c r="X32" s="19">
        <v>2000</v>
      </c>
      <c r="Y32" s="19">
        <v>2500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</row>
    <row r="33" spans="1:39" x14ac:dyDescent="0.25">
      <c r="A33" t="s">
        <v>2</v>
      </c>
      <c r="B33" t="str">
        <f>TRIM(D1_NOVIEMBRE[[#This Row],[ASESOR]])</f>
        <v/>
      </c>
      <c r="E3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33" t="str">
        <f>IFERROR(VLOOKUP(D1_NOVIEMBRE[[#This Row],[ASESOR_CRR]],Tabla1[],2,0),D1_NOVIEMBRE[[#This Row],[SUPER]])</f>
        <v>JORGE</v>
      </c>
      <c r="L33">
        <v>10</v>
      </c>
      <c r="M33" s="1">
        <f t="shared" si="0"/>
        <v>9.5327272727272733E-2</v>
      </c>
      <c r="N33" t="str" cm="1">
        <f t="array" ref="N33">IFERROR(_xlfn.IFS(M33&gt;100%,"&gt;100%",AND(M33&lt;100%,M33&gt;70%),"&gt;70%",AND(M33&lt;70%,M33&gt;40%),"&gt;40%",AND(M33&lt;40%,M33&gt;0%),"&gt;0%"),"")</f>
        <v>&gt;0%</v>
      </c>
      <c r="O33" t="str">
        <f t="shared" si="1"/>
        <v>ALEJANDRA QUISPE</v>
      </c>
      <c r="P33" t="str">
        <f>IF(DATA_NOVIEMBRE_2025[[#This Row],[ASER_]]="","",F27)</f>
        <v>MELINA</v>
      </c>
      <c r="Q33">
        <f>IF(DATA_NOVIEMBRE_2025[[#This Row],[SUPERVISOR]]="","",D27)</f>
        <v>5243</v>
      </c>
      <c r="R33">
        <f>IF(DATA_NOVIEMBRE_2025[[#This Row],[RECUPERO]]="","",VLOOKUP(DATA_NOVIEMBRE_2025[[#This Row],[SUPERVISOR]],$H:$I,2,0))</f>
        <v>55000</v>
      </c>
      <c r="S33" s="19">
        <v>0</v>
      </c>
      <c r="T33" s="19">
        <v>600</v>
      </c>
      <c r="U33" s="19">
        <v>0</v>
      </c>
      <c r="V33" s="19">
        <v>3000</v>
      </c>
      <c r="W33" s="19">
        <v>0</v>
      </c>
      <c r="X33" s="19">
        <v>843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</row>
    <row r="34" spans="1:39" x14ac:dyDescent="0.25">
      <c r="A34" t="s">
        <v>2</v>
      </c>
      <c r="B34" t="str">
        <f>TRIM(D1_NOVIEMBRE[[#This Row],[ASESOR]])</f>
        <v>ANDERSON RODRIGUEZ</v>
      </c>
      <c r="C34" t="s">
        <v>15</v>
      </c>
      <c r="D34">
        <v>50500</v>
      </c>
      <c r="E3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3.3666666666666667</v>
      </c>
      <c r="F34" t="str">
        <f>IFERROR(VLOOKUP(D1_NOVIEMBRE[[#This Row],[ASESOR_CRR]],Tabla1[],2,0),D1_NOVIEMBRE[[#This Row],[SUPER]])</f>
        <v>JORGE</v>
      </c>
      <c r="L34">
        <v>11</v>
      </c>
      <c r="M34" s="1">
        <f t="shared" si="0"/>
        <v>0.05</v>
      </c>
      <c r="N34" t="str" cm="1">
        <f t="array" ref="N34">IFERROR(_xlfn.IFS(M34&gt;100%,"&gt;100%",AND(M34&lt;100%,M34&gt;70%),"&gt;70%",AND(M34&lt;70%,M34&gt;40%),"&gt;40%",AND(M34&lt;40%,M34&gt;0%),"&gt;0%"),"")</f>
        <v>&gt;0%</v>
      </c>
      <c r="O34" t="str">
        <f t="shared" si="1"/>
        <v>DARYL FERREL</v>
      </c>
      <c r="P34" t="str">
        <f>IF(DATA_NOVIEMBRE_2025[[#This Row],[ASER_]]="","",F28)</f>
        <v>MELINA</v>
      </c>
      <c r="Q34">
        <f>IF(DATA_NOVIEMBRE_2025[[#This Row],[SUPERVISOR]]="","",D28)</f>
        <v>2750</v>
      </c>
      <c r="R34">
        <f>IF(DATA_NOVIEMBRE_2025[[#This Row],[RECUPERO]]="","",VLOOKUP(DATA_NOVIEMBRE_2025[[#This Row],[SUPERVISOR]],$H:$I,2,0))</f>
        <v>55000</v>
      </c>
      <c r="S34" s="19">
        <v>0</v>
      </c>
      <c r="T34" s="19">
        <v>0</v>
      </c>
      <c r="U34" s="19">
        <v>2750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</row>
    <row r="35" spans="1:39" x14ac:dyDescent="0.25">
      <c r="A35" t="s">
        <v>2</v>
      </c>
      <c r="B35" t="str">
        <f>TRIM(D1_NOVIEMBRE[[#This Row],[ASESOR]])</f>
        <v>HAROLD FLORES</v>
      </c>
      <c r="C35" t="s">
        <v>42</v>
      </c>
      <c r="D35">
        <v>9250</v>
      </c>
      <c r="E3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0.6166666666666667</v>
      </c>
      <c r="F35" t="str">
        <f>IFERROR(VLOOKUP(D1_NOVIEMBRE[[#This Row],[ASESOR_CRR]],Tabla1[],2,0),D1_NOVIEMBRE[[#This Row],[SUPER]])</f>
        <v>JORGE</v>
      </c>
      <c r="L35">
        <v>12</v>
      </c>
      <c r="M35" s="1">
        <f t="shared" si="0"/>
        <v>0</v>
      </c>
      <c r="N35" t="str" cm="1">
        <f t="array" ref="N35">IFERROR(_xlfn.IFS(M35&gt;100%,"&gt;100%",AND(M35&lt;100%,M35&gt;70%),"&gt;70%",AND(M35&lt;70%,M35&gt;40%),"&gt;40%",AND(M35&lt;40%,M35&gt;0%),"&gt;0%"),"")</f>
        <v/>
      </c>
      <c r="O35" t="str">
        <f t="shared" si="1"/>
        <v/>
      </c>
      <c r="P35" t="str">
        <f>IF(DATA_NOVIEMBRE_2025[[#This Row],[ASER_]]="","",F29)</f>
        <v/>
      </c>
      <c r="Q35" t="str">
        <f>IF(DATA_NOVIEMBRE_2025[[#This Row],[SUPERVISOR]]="","",D29)</f>
        <v/>
      </c>
      <c r="R35" t="str">
        <f>IF(DATA_NOVIEMBRE_2025[[#This Row],[RECUPERO]]="","",VLOOKUP(DATA_NOVIEMBRE_2025[[#This Row],[SUPERVISOR]],$H:$I,2,0))</f>
        <v/>
      </c>
      <c r="S35" s="19" t="s">
        <v>189</v>
      </c>
      <c r="T35" s="19" t="s">
        <v>189</v>
      </c>
      <c r="U35" s="19" t="s">
        <v>189</v>
      </c>
      <c r="V35" s="19" t="s">
        <v>189</v>
      </c>
      <c r="W35" s="19" t="s">
        <v>189</v>
      </c>
      <c r="X35" s="19" t="s">
        <v>189</v>
      </c>
      <c r="Y35" s="19" t="s">
        <v>189</v>
      </c>
      <c r="Z35" s="19" t="s">
        <v>189</v>
      </c>
      <c r="AA35" s="19" t="s">
        <v>189</v>
      </c>
      <c r="AB35" s="19" t="s">
        <v>189</v>
      </c>
      <c r="AC35" s="19" t="s">
        <v>189</v>
      </c>
      <c r="AD35" s="19" t="s">
        <v>189</v>
      </c>
      <c r="AE35" s="19" t="s">
        <v>189</v>
      </c>
      <c r="AF35" s="19" t="s">
        <v>189</v>
      </c>
      <c r="AG35" s="19" t="s">
        <v>189</v>
      </c>
      <c r="AH35" s="19" t="s">
        <v>189</v>
      </c>
      <c r="AI35" s="19" t="s">
        <v>189</v>
      </c>
      <c r="AJ35" s="19" t="s">
        <v>189</v>
      </c>
      <c r="AK35" s="19" t="s">
        <v>189</v>
      </c>
      <c r="AL35" s="19" t="s">
        <v>189</v>
      </c>
      <c r="AM35" s="19" t="s">
        <v>189</v>
      </c>
    </row>
    <row r="36" spans="1:39" x14ac:dyDescent="0.25">
      <c r="A36" t="s">
        <v>2</v>
      </c>
      <c r="B36" t="str">
        <f>TRIM(D1_NOVIEMBRE[[#This Row],[ASESOR]])</f>
        <v>MARIA HUARCAYA</v>
      </c>
      <c r="C36" t="s">
        <v>38</v>
      </c>
      <c r="D36">
        <v>8597.5</v>
      </c>
      <c r="E3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0.57316666666666671</v>
      </c>
      <c r="F36" t="str">
        <f>IFERROR(VLOOKUP(D1_NOVIEMBRE[[#This Row],[ASESOR_CRR]],Tabla1[],2,0),D1_NOVIEMBRE[[#This Row],[SUPER]])</f>
        <v>JORGE</v>
      </c>
      <c r="L36">
        <v>13</v>
      </c>
      <c r="M36" s="1">
        <f t="shared" si="0"/>
        <v>0</v>
      </c>
      <c r="N36" t="str" cm="1">
        <f t="array" ref="N36">IFERROR(_xlfn.IFS(M36&gt;100%,"&gt;100%",AND(M36&lt;100%,M36&gt;70%),"&gt;70%",AND(M36&lt;70%,M36&gt;40%),"&gt;40%",AND(M36&lt;40%,M36&gt;0%),"&gt;0%"),"")</f>
        <v/>
      </c>
      <c r="O36" t="str">
        <f t="shared" si="1"/>
        <v/>
      </c>
      <c r="P36" t="str">
        <f>IF(DATA_NOVIEMBRE_2025[[#This Row],[ASER_]]="","",F30)</f>
        <v/>
      </c>
      <c r="Q36" t="str">
        <f>IF(DATA_NOVIEMBRE_2025[[#This Row],[SUPERVISOR]]="","",D30)</f>
        <v/>
      </c>
      <c r="R36" t="str">
        <f>IF(DATA_NOVIEMBRE_2025[[#This Row],[RECUPERO]]="","",VLOOKUP(DATA_NOVIEMBRE_2025[[#This Row],[SUPERVISOR]],$H:$I,2,0))</f>
        <v/>
      </c>
      <c r="S36" s="19" t="s">
        <v>189</v>
      </c>
      <c r="T36" s="19" t="s">
        <v>189</v>
      </c>
      <c r="U36" s="19" t="s">
        <v>189</v>
      </c>
      <c r="V36" s="19" t="s">
        <v>189</v>
      </c>
      <c r="W36" s="19" t="s">
        <v>189</v>
      </c>
      <c r="X36" s="19" t="s">
        <v>189</v>
      </c>
      <c r="Y36" s="19" t="s">
        <v>189</v>
      </c>
      <c r="Z36" s="19" t="s">
        <v>189</v>
      </c>
      <c r="AA36" s="19" t="s">
        <v>189</v>
      </c>
      <c r="AB36" s="19" t="s">
        <v>189</v>
      </c>
      <c r="AC36" s="19" t="s">
        <v>189</v>
      </c>
      <c r="AD36" s="19" t="s">
        <v>189</v>
      </c>
      <c r="AE36" s="19" t="s">
        <v>189</v>
      </c>
      <c r="AF36" s="19" t="s">
        <v>189</v>
      </c>
      <c r="AG36" s="19" t="s">
        <v>189</v>
      </c>
      <c r="AH36" s="19" t="s">
        <v>189</v>
      </c>
      <c r="AI36" s="19" t="s">
        <v>189</v>
      </c>
      <c r="AJ36" s="19" t="s">
        <v>189</v>
      </c>
      <c r="AK36" s="19" t="s">
        <v>189</v>
      </c>
      <c r="AL36" s="19" t="s">
        <v>189</v>
      </c>
      <c r="AM36" s="19" t="s">
        <v>189</v>
      </c>
    </row>
    <row r="37" spans="1:39" x14ac:dyDescent="0.25">
      <c r="A37" t="s">
        <v>2</v>
      </c>
      <c r="B37" t="str">
        <f>TRIM(D1_NOVIEMBRE[[#This Row],[ASESOR]])</f>
        <v>ALEJANDRA AVILA</v>
      </c>
      <c r="C37" t="s">
        <v>21</v>
      </c>
      <c r="D37">
        <v>7650</v>
      </c>
      <c r="E3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0.51</v>
      </c>
      <c r="F37" t="str">
        <f>IFERROR(VLOOKUP(D1_NOVIEMBRE[[#This Row],[ASESOR_CRR]],Tabla1[],2,0),D1_NOVIEMBRE[[#This Row],[SUPER]])</f>
        <v>JORGE</v>
      </c>
      <c r="L37">
        <v>14</v>
      </c>
      <c r="M37" s="1">
        <f t="shared" si="0"/>
        <v>0</v>
      </c>
      <c r="N37" t="str" cm="1">
        <f t="array" ref="N37">IFERROR(_xlfn.IFS(M37&gt;100%,"&gt;100%",AND(M37&lt;100%,M37&gt;70%),"&gt;70%",AND(M37&lt;70%,M37&gt;40%),"&gt;40%",AND(M37&lt;40%,M37&gt;0%),"&gt;0%"),"")</f>
        <v/>
      </c>
      <c r="O37" t="str">
        <f t="shared" si="1"/>
        <v/>
      </c>
      <c r="P37" t="str">
        <f>IF(DATA_NOVIEMBRE_2025[[#This Row],[ASER_]]="","",F31)</f>
        <v/>
      </c>
      <c r="Q37" t="str">
        <f>IF(DATA_NOVIEMBRE_2025[[#This Row],[SUPERVISOR]]="","",D31)</f>
        <v/>
      </c>
      <c r="R37" t="str">
        <f>IF(DATA_NOVIEMBRE_2025[[#This Row],[RECUPERO]]="","",VLOOKUP(DATA_NOVIEMBRE_2025[[#This Row],[SUPERVISOR]],$H:$I,2,0))</f>
        <v/>
      </c>
      <c r="S37" s="19" t="s">
        <v>189</v>
      </c>
      <c r="T37" s="19" t="s">
        <v>189</v>
      </c>
      <c r="U37" s="19" t="s">
        <v>189</v>
      </c>
      <c r="V37" s="19" t="s">
        <v>189</v>
      </c>
      <c r="W37" s="19" t="s">
        <v>189</v>
      </c>
      <c r="X37" s="19" t="s">
        <v>189</v>
      </c>
      <c r="Y37" s="19" t="s">
        <v>189</v>
      </c>
      <c r="Z37" s="19" t="s">
        <v>189</v>
      </c>
      <c r="AA37" s="19" t="s">
        <v>189</v>
      </c>
      <c r="AB37" s="19" t="s">
        <v>189</v>
      </c>
      <c r="AC37" s="19" t="s">
        <v>189</v>
      </c>
      <c r="AD37" s="19" t="s">
        <v>189</v>
      </c>
      <c r="AE37" s="19" t="s">
        <v>189</v>
      </c>
      <c r="AF37" s="19" t="s">
        <v>189</v>
      </c>
      <c r="AG37" s="19" t="s">
        <v>189</v>
      </c>
      <c r="AH37" s="19" t="s">
        <v>189</v>
      </c>
      <c r="AI37" s="19" t="s">
        <v>189</v>
      </c>
      <c r="AJ37" s="19" t="s">
        <v>189</v>
      </c>
      <c r="AK37" s="19" t="s">
        <v>189</v>
      </c>
      <c r="AL37" s="19" t="s">
        <v>189</v>
      </c>
      <c r="AM37" s="19" t="s">
        <v>189</v>
      </c>
    </row>
    <row r="38" spans="1:39" x14ac:dyDescent="0.25">
      <c r="A38" t="s">
        <v>2</v>
      </c>
      <c r="B38" t="str">
        <f>TRIM(D1_NOVIEMBRE[[#This Row],[ASESOR]])</f>
        <v>SARITA GARAY</v>
      </c>
      <c r="C38" t="s">
        <v>73</v>
      </c>
      <c r="D38">
        <v>6710</v>
      </c>
      <c r="E3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0.44733333333333336</v>
      </c>
      <c r="F38" t="str">
        <f>IFERROR(VLOOKUP(D1_NOVIEMBRE[[#This Row],[ASESOR_CRR]],Tabla1[],2,0),D1_NOVIEMBRE[[#This Row],[SUPER]])</f>
        <v>JORGE</v>
      </c>
      <c r="L38">
        <v>15</v>
      </c>
      <c r="M38" s="1">
        <f t="shared" si="0"/>
        <v>0</v>
      </c>
      <c r="N38" t="str" cm="1">
        <f t="array" ref="N38">IFERROR(_xlfn.IFS(M38&gt;100%,"&gt;100%",AND(M38&lt;100%,M38&gt;70%),"&gt;70%",AND(M38&lt;70%,M38&gt;40%),"&gt;40%",AND(M38&lt;40%,M38&gt;0%),"&gt;0%"),"")</f>
        <v/>
      </c>
      <c r="O38" t="str">
        <f t="shared" si="1"/>
        <v/>
      </c>
      <c r="P38" t="str">
        <f>IF(DATA_NOVIEMBRE_2025[[#This Row],[ASER_]]="","",F32)</f>
        <v/>
      </c>
      <c r="Q38" t="str">
        <f>IF(DATA_NOVIEMBRE_2025[[#This Row],[SUPERVISOR]]="","",D32)</f>
        <v/>
      </c>
      <c r="R38" t="str">
        <f>IF(DATA_NOVIEMBRE_2025[[#This Row],[RECUPERO]]="","",VLOOKUP(DATA_NOVIEMBRE_2025[[#This Row],[SUPERVISOR]],$H:$I,2,0))</f>
        <v/>
      </c>
      <c r="S38" s="19" t="s">
        <v>189</v>
      </c>
      <c r="T38" s="19" t="s">
        <v>189</v>
      </c>
      <c r="U38" s="19" t="s">
        <v>189</v>
      </c>
      <c r="V38" s="19" t="s">
        <v>189</v>
      </c>
      <c r="W38" s="19" t="s">
        <v>189</v>
      </c>
      <c r="X38" s="19" t="s">
        <v>189</v>
      </c>
      <c r="Y38" s="19" t="s">
        <v>189</v>
      </c>
      <c r="Z38" s="19" t="s">
        <v>189</v>
      </c>
      <c r="AA38" s="19" t="s">
        <v>189</v>
      </c>
      <c r="AB38" s="19" t="s">
        <v>189</v>
      </c>
      <c r="AC38" s="19" t="s">
        <v>189</v>
      </c>
      <c r="AD38" s="19" t="s">
        <v>189</v>
      </c>
      <c r="AE38" s="19" t="s">
        <v>189</v>
      </c>
      <c r="AF38" s="19" t="s">
        <v>189</v>
      </c>
      <c r="AG38" s="19" t="s">
        <v>189</v>
      </c>
      <c r="AH38" s="19" t="s">
        <v>189</v>
      </c>
      <c r="AI38" s="19" t="s">
        <v>189</v>
      </c>
      <c r="AJ38" s="19" t="s">
        <v>189</v>
      </c>
      <c r="AK38" s="19" t="s">
        <v>189</v>
      </c>
      <c r="AL38" s="19" t="s">
        <v>189</v>
      </c>
      <c r="AM38" s="19" t="s">
        <v>189</v>
      </c>
    </row>
    <row r="39" spans="1:39" x14ac:dyDescent="0.25">
      <c r="A39" t="s">
        <v>2</v>
      </c>
      <c r="B39" t="str">
        <f>TRIM(D1_NOVIEMBRE[[#This Row],[ASESOR]])</f>
        <v>VERONICA HUARCA</v>
      </c>
      <c r="C39" t="s">
        <v>48</v>
      </c>
      <c r="D39">
        <v>6435</v>
      </c>
      <c r="E3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0.42899999999999999</v>
      </c>
      <c r="F39" t="str">
        <f>IFERROR(VLOOKUP(D1_NOVIEMBRE[[#This Row],[ASESOR_CRR]],Tabla1[],2,0),D1_NOVIEMBRE[[#This Row],[SUPER]])</f>
        <v>JORGE</v>
      </c>
      <c r="L39">
        <v>1</v>
      </c>
      <c r="M39" s="1">
        <f t="shared" si="0"/>
        <v>0</v>
      </c>
      <c r="N39" t="str" cm="1">
        <f t="array" ref="N39">IFERROR(_xlfn.IFS(M39&gt;100%,"&gt;100%",AND(M39&lt;100%,M39&gt;70%),"&gt;70%",AND(M39&lt;70%,M39&gt;40%),"&gt;40%",AND(M39&lt;40%,M39&gt;0%),"&gt;0%"),"")</f>
        <v/>
      </c>
      <c r="O39" t="str">
        <f t="shared" si="1"/>
        <v/>
      </c>
      <c r="P39" t="str">
        <f>IF(DATA_NOVIEMBRE_2025[[#This Row],[ASER_]]="","",F33)</f>
        <v/>
      </c>
      <c r="Q39" t="str">
        <f>IF(DATA_NOVIEMBRE_2025[[#This Row],[SUPERVISOR]]="","",D33)</f>
        <v/>
      </c>
      <c r="R39" t="str">
        <f>IF(DATA_NOVIEMBRE_2025[[#This Row],[RECUPERO]]="","",VLOOKUP(DATA_NOVIEMBRE_2025[[#This Row],[SUPERVISOR]],$H:$I,2,0))</f>
        <v/>
      </c>
      <c r="S39" s="19" t="s">
        <v>189</v>
      </c>
      <c r="T39" s="19" t="s">
        <v>189</v>
      </c>
      <c r="U39" s="19" t="s">
        <v>189</v>
      </c>
      <c r="V39" s="19" t="s">
        <v>189</v>
      </c>
      <c r="W39" s="19" t="s">
        <v>189</v>
      </c>
      <c r="X39" s="19" t="s">
        <v>189</v>
      </c>
      <c r="Y39" s="19" t="s">
        <v>189</v>
      </c>
      <c r="Z39" s="19" t="s">
        <v>189</v>
      </c>
      <c r="AA39" s="19" t="s">
        <v>189</v>
      </c>
      <c r="AB39" s="19" t="s">
        <v>189</v>
      </c>
      <c r="AC39" s="19" t="s">
        <v>189</v>
      </c>
      <c r="AD39" s="19" t="s">
        <v>189</v>
      </c>
      <c r="AE39" s="19" t="s">
        <v>189</v>
      </c>
      <c r="AF39" s="19" t="s">
        <v>189</v>
      </c>
      <c r="AG39" s="19" t="s">
        <v>189</v>
      </c>
      <c r="AH39" s="19" t="s">
        <v>189</v>
      </c>
      <c r="AI39" s="19" t="s">
        <v>189</v>
      </c>
      <c r="AJ39" s="19" t="s">
        <v>189</v>
      </c>
      <c r="AK39" s="19" t="s">
        <v>189</v>
      </c>
      <c r="AL39" s="19" t="s">
        <v>189</v>
      </c>
      <c r="AM39" s="19" t="s">
        <v>189</v>
      </c>
    </row>
    <row r="40" spans="1:39" x14ac:dyDescent="0.25">
      <c r="A40" t="s">
        <v>2</v>
      </c>
      <c r="B40" t="str">
        <f>TRIM(D1_NOVIEMBRE[[#This Row],[ASESOR]])</f>
        <v>LUCERO JORDAN</v>
      </c>
      <c r="C40" t="s">
        <v>68</v>
      </c>
      <c r="D40">
        <v>2800</v>
      </c>
      <c r="E4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0.18666666666666668</v>
      </c>
      <c r="F40" t="str">
        <f>IFERROR(VLOOKUP(D1_NOVIEMBRE[[#This Row],[ASESOR_CRR]],Tabla1[],2,0),D1_NOVIEMBRE[[#This Row],[SUPER]])</f>
        <v>JORGE</v>
      </c>
      <c r="L40">
        <v>2</v>
      </c>
      <c r="M40" s="1">
        <f t="shared" si="0"/>
        <v>3.3666666666666667</v>
      </c>
      <c r="N40" t="str" cm="1">
        <f t="array" ref="N40">IFERROR(_xlfn.IFS(M40&gt;100%,"&gt;100%",AND(M40&lt;100%,M40&gt;70%),"&gt;70%",AND(M40&lt;70%,M40&gt;40%),"&gt;40%",AND(M40&lt;40%,M40&gt;0%),"&gt;0%"),"")</f>
        <v>&gt;100%</v>
      </c>
      <c r="O40" t="str">
        <f t="shared" si="1"/>
        <v>ANDERSON RODRIGUEZ</v>
      </c>
      <c r="P40" t="str">
        <f>IF(DATA_NOVIEMBRE_2025[[#This Row],[ASER_]]="","",F34)</f>
        <v>JORGE</v>
      </c>
      <c r="Q40">
        <f>IF(DATA_NOVIEMBRE_2025[[#This Row],[SUPERVISOR]]="","",D34)</f>
        <v>50500</v>
      </c>
      <c r="R40">
        <f>IF(DATA_NOVIEMBRE_2025[[#This Row],[RECUPERO]]="","",VLOOKUP(DATA_NOVIEMBRE_2025[[#This Row],[SUPERVISOR]],$H:$I,2,0))</f>
        <v>15000</v>
      </c>
      <c r="S40" s="19">
        <v>0</v>
      </c>
      <c r="T40" s="19">
        <v>0</v>
      </c>
      <c r="U40" s="19">
        <v>0</v>
      </c>
      <c r="V40" s="19">
        <v>0</v>
      </c>
      <c r="W40" s="19">
        <v>46000</v>
      </c>
      <c r="X40" s="19">
        <v>0</v>
      </c>
      <c r="Y40" s="19">
        <v>0</v>
      </c>
      <c r="Z40" s="19">
        <v>4500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</row>
    <row r="41" spans="1:39" x14ac:dyDescent="0.25">
      <c r="A41" t="s">
        <v>2</v>
      </c>
      <c r="B41" t="str">
        <f>TRIM(D1_NOVIEMBRE[[#This Row],[ASESOR]])</f>
        <v>JANETH PORTOCARRERO</v>
      </c>
      <c r="C41" t="s">
        <v>49</v>
      </c>
      <c r="D41">
        <v>2100</v>
      </c>
      <c r="E4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0.14000000000000001</v>
      </c>
      <c r="F41" t="str">
        <f>IFERROR(VLOOKUP(D1_NOVIEMBRE[[#This Row],[ASESOR_CRR]],Tabla1[],2,0),D1_NOVIEMBRE[[#This Row],[SUPER]])</f>
        <v>JORGE</v>
      </c>
      <c r="L41">
        <v>3</v>
      </c>
      <c r="M41" s="1">
        <f t="shared" ref="M41:M72" si="2">E35</f>
        <v>0.6166666666666667</v>
      </c>
      <c r="N41" t="str" cm="1">
        <f t="array" ref="N41">IFERROR(_xlfn.IFS(M41&gt;100%,"&gt;100%",AND(M41&lt;100%,M41&gt;70%),"&gt;70%",AND(M41&lt;70%,M41&gt;40%),"&gt;40%",AND(M41&lt;40%,M41&gt;0%),"&gt;0%"),"")</f>
        <v>&gt;40%</v>
      </c>
      <c r="O41" t="str">
        <f t="shared" ref="O41:O72" si="3">B35</f>
        <v>HAROLD FLORES</v>
      </c>
      <c r="P41" t="str">
        <f>IF(DATA_NOVIEMBRE_2025[[#This Row],[ASER_]]="","",F35)</f>
        <v>JORGE</v>
      </c>
      <c r="Q41">
        <f>IF(DATA_NOVIEMBRE_2025[[#This Row],[SUPERVISOR]]="","",D35)</f>
        <v>9250</v>
      </c>
      <c r="R41">
        <f>IF(DATA_NOVIEMBRE_2025[[#This Row],[RECUPERO]]="","",VLOOKUP(DATA_NOVIEMBRE_2025[[#This Row],[SUPERVISOR]],$H:$I,2,0))</f>
        <v>15000</v>
      </c>
      <c r="S41" s="19">
        <v>0</v>
      </c>
      <c r="T41" s="19">
        <v>3000</v>
      </c>
      <c r="U41" s="19">
        <v>3000</v>
      </c>
      <c r="V41" s="19">
        <v>0</v>
      </c>
      <c r="W41" s="19">
        <v>0</v>
      </c>
      <c r="X41" s="19">
        <v>350</v>
      </c>
      <c r="Y41" s="19">
        <v>0</v>
      </c>
      <c r="Z41" s="19">
        <v>1700</v>
      </c>
      <c r="AA41" s="19">
        <v>1200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</row>
    <row r="42" spans="1:39" x14ac:dyDescent="0.25">
      <c r="A42" t="s">
        <v>2</v>
      </c>
      <c r="B42" t="str">
        <f>TRIM(D1_NOVIEMBRE[[#This Row],[ASESOR]])</f>
        <v>LYNDA PEREZ</v>
      </c>
      <c r="C42" t="s">
        <v>43</v>
      </c>
      <c r="D42">
        <v>0</v>
      </c>
      <c r="E4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1.0000000000000001E-5</v>
      </c>
      <c r="F42" t="str">
        <f>IFERROR(VLOOKUP(D1_NOVIEMBRE[[#This Row],[ASESOR_CRR]],Tabla1[],2,0),D1_NOVIEMBRE[[#This Row],[SUPER]])</f>
        <v>JORGE</v>
      </c>
      <c r="L42">
        <v>4</v>
      </c>
      <c r="M42" s="1">
        <f t="shared" si="2"/>
        <v>0.57316666666666671</v>
      </c>
      <c r="N42" t="str" cm="1">
        <f t="array" ref="N42">IFERROR(_xlfn.IFS(M42&gt;100%,"&gt;100%",AND(M42&lt;100%,M42&gt;70%),"&gt;70%",AND(M42&lt;70%,M42&gt;40%),"&gt;40%",AND(M42&lt;40%,M42&gt;0%),"&gt;0%"),"")</f>
        <v>&gt;40%</v>
      </c>
      <c r="O42" t="str">
        <f t="shared" si="3"/>
        <v>MARIA HUARCAYA</v>
      </c>
      <c r="P42" t="str">
        <f>IF(DATA_NOVIEMBRE_2025[[#This Row],[ASER_]]="","",F36)</f>
        <v>JORGE</v>
      </c>
      <c r="Q42">
        <f>IF(DATA_NOVIEMBRE_2025[[#This Row],[SUPERVISOR]]="","",D36)</f>
        <v>8597.5</v>
      </c>
      <c r="R42">
        <f>IF(DATA_NOVIEMBRE_2025[[#This Row],[RECUPERO]]="","",VLOOKUP(DATA_NOVIEMBRE_2025[[#This Row],[SUPERVISOR]],$H:$I,2,0))</f>
        <v>15000</v>
      </c>
      <c r="S42" s="19">
        <v>0</v>
      </c>
      <c r="T42" s="19">
        <v>225.5</v>
      </c>
      <c r="U42" s="19">
        <v>0</v>
      </c>
      <c r="V42" s="19">
        <v>200</v>
      </c>
      <c r="W42" s="19">
        <v>0</v>
      </c>
      <c r="X42" s="19">
        <v>800</v>
      </c>
      <c r="Y42" s="19">
        <v>6600</v>
      </c>
      <c r="Z42" s="19">
        <v>200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</row>
    <row r="43" spans="1:39" x14ac:dyDescent="0.25">
      <c r="A43" t="s">
        <v>2</v>
      </c>
      <c r="B43" t="str">
        <f>TRIM(D1_NOVIEMBRE[[#This Row],[ASESOR]])</f>
        <v>GABRIELA APONTE</v>
      </c>
      <c r="C43" t="s">
        <v>27</v>
      </c>
      <c r="D43">
        <v>0</v>
      </c>
      <c r="E4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1.0000000000000001E-5</v>
      </c>
      <c r="F43" t="str">
        <f>IFERROR(VLOOKUP(D1_NOVIEMBRE[[#This Row],[ASESOR_CRR]],Tabla1[],2,0),D1_NOVIEMBRE[[#This Row],[SUPER]])</f>
        <v>JORGE</v>
      </c>
      <c r="L43">
        <v>5</v>
      </c>
      <c r="M43" s="1">
        <f t="shared" si="2"/>
        <v>0.51</v>
      </c>
      <c r="N43" t="str" cm="1">
        <f t="array" ref="N43">IFERROR(_xlfn.IFS(M43&gt;100%,"&gt;100%",AND(M43&lt;100%,M43&gt;70%),"&gt;70%",AND(M43&lt;70%,M43&gt;40%),"&gt;40%",AND(M43&lt;40%,M43&gt;0%),"&gt;0%"),"")</f>
        <v>&gt;40%</v>
      </c>
      <c r="O43" t="str">
        <f t="shared" si="3"/>
        <v>ALEJANDRA AVILA</v>
      </c>
      <c r="P43" t="str">
        <f>IF(DATA_NOVIEMBRE_2025[[#This Row],[ASER_]]="","",F37)</f>
        <v>JORGE</v>
      </c>
      <c r="Q43">
        <f>IF(DATA_NOVIEMBRE_2025[[#This Row],[SUPERVISOR]]="","",D37)</f>
        <v>7650</v>
      </c>
      <c r="R43">
        <f>IF(DATA_NOVIEMBRE_2025[[#This Row],[RECUPERO]]="","",VLOOKUP(DATA_NOVIEMBRE_2025[[#This Row],[SUPERVISOR]],$H:$I,2,0))</f>
        <v>15000</v>
      </c>
      <c r="S43" s="19">
        <v>0</v>
      </c>
      <c r="T43" s="19">
        <v>0</v>
      </c>
      <c r="U43" s="19">
        <v>3000</v>
      </c>
      <c r="V43" s="19">
        <v>0</v>
      </c>
      <c r="W43" s="19">
        <v>0</v>
      </c>
      <c r="X43" s="19">
        <v>2550</v>
      </c>
      <c r="Y43" s="19">
        <v>1500</v>
      </c>
      <c r="Z43" s="19">
        <v>0</v>
      </c>
      <c r="AA43" s="19">
        <v>600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</row>
    <row r="44" spans="1:39" x14ac:dyDescent="0.25">
      <c r="A44" t="s">
        <v>2</v>
      </c>
      <c r="B44" t="str">
        <f>TRIM(D1_NOVIEMBRE[[#This Row],[ASESOR]])</f>
        <v/>
      </c>
      <c r="E4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44" t="str">
        <f>IFERROR(VLOOKUP(D1_NOVIEMBRE[[#This Row],[ASESOR_CRR]],Tabla1[],2,0),D1_NOVIEMBRE[[#This Row],[SUPER]])</f>
        <v>JORGE</v>
      </c>
      <c r="L44">
        <v>6</v>
      </c>
      <c r="M44" s="1">
        <f t="shared" si="2"/>
        <v>0.44733333333333336</v>
      </c>
      <c r="N44" t="str" cm="1">
        <f t="array" ref="N44">IFERROR(_xlfn.IFS(M44&gt;100%,"&gt;100%",AND(M44&lt;100%,M44&gt;70%),"&gt;70%",AND(M44&lt;70%,M44&gt;40%),"&gt;40%",AND(M44&lt;40%,M44&gt;0%),"&gt;0%"),"")</f>
        <v>&gt;40%</v>
      </c>
      <c r="O44" t="str">
        <f t="shared" si="3"/>
        <v>SARITA GARAY</v>
      </c>
      <c r="P44" t="str">
        <f>IF(DATA_NOVIEMBRE_2025[[#This Row],[ASER_]]="","",F38)</f>
        <v>JORGE</v>
      </c>
      <c r="Q44">
        <f>IF(DATA_NOVIEMBRE_2025[[#This Row],[SUPERVISOR]]="","",D38)</f>
        <v>6710</v>
      </c>
      <c r="R44">
        <f>IF(DATA_NOVIEMBRE_2025[[#This Row],[RECUPERO]]="","",VLOOKUP(DATA_NOVIEMBRE_2025[[#This Row],[SUPERVISOR]],$H:$I,2,0))</f>
        <v>15000</v>
      </c>
      <c r="S44" s="19">
        <v>260</v>
      </c>
      <c r="T44" s="19">
        <v>0</v>
      </c>
      <c r="U44" s="19">
        <v>820</v>
      </c>
      <c r="V44" s="19">
        <v>0</v>
      </c>
      <c r="W44" s="19">
        <v>80</v>
      </c>
      <c r="X44" s="19">
        <v>5000</v>
      </c>
      <c r="Y44" s="19">
        <v>0</v>
      </c>
      <c r="Z44" s="19">
        <v>300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</row>
    <row r="45" spans="1:39" x14ac:dyDescent="0.25">
      <c r="A45" t="s">
        <v>2</v>
      </c>
      <c r="B45" t="str">
        <f>TRIM(D1_NOVIEMBRE[[#This Row],[ASESOR]])</f>
        <v/>
      </c>
      <c r="E4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45" t="str">
        <f>IFERROR(VLOOKUP(D1_NOVIEMBRE[[#This Row],[ASESOR_CRR]],Tabla1[],2,0),D1_NOVIEMBRE[[#This Row],[SUPER]])</f>
        <v>JORGE</v>
      </c>
      <c r="L45">
        <v>7</v>
      </c>
      <c r="M45" s="1">
        <f t="shared" si="2"/>
        <v>0.42899999999999999</v>
      </c>
      <c r="N45" t="str" cm="1">
        <f t="array" ref="N45">IFERROR(_xlfn.IFS(M45&gt;100%,"&gt;100%",AND(M45&lt;100%,M45&gt;70%),"&gt;70%",AND(M45&lt;70%,M45&gt;40%),"&gt;40%",AND(M45&lt;40%,M45&gt;0%),"&gt;0%"),"")</f>
        <v>&gt;40%</v>
      </c>
      <c r="O45" t="str">
        <f t="shared" si="3"/>
        <v>VERONICA HUARCA</v>
      </c>
      <c r="P45" t="str">
        <f>IF(DATA_NOVIEMBRE_2025[[#This Row],[ASER_]]="","",F39)</f>
        <v>JORGE</v>
      </c>
      <c r="Q45">
        <f>IF(DATA_NOVIEMBRE_2025[[#This Row],[SUPERVISOR]]="","",D39)</f>
        <v>6435</v>
      </c>
      <c r="R45">
        <f>IF(DATA_NOVIEMBRE_2025[[#This Row],[RECUPERO]]="","",VLOOKUP(DATA_NOVIEMBRE_2025[[#This Row],[SUPERVISOR]],$H:$I,2,0))</f>
        <v>15000</v>
      </c>
      <c r="S45" s="19">
        <v>0</v>
      </c>
      <c r="T45" s="19">
        <v>0</v>
      </c>
      <c r="U45" s="19">
        <v>4800</v>
      </c>
      <c r="V45" s="19">
        <v>0</v>
      </c>
      <c r="W45" s="19">
        <v>0</v>
      </c>
      <c r="X45" s="19">
        <v>485</v>
      </c>
      <c r="Y45" s="19">
        <v>900</v>
      </c>
      <c r="Z45" s="19">
        <v>0</v>
      </c>
      <c r="AA45" s="19">
        <v>250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</row>
    <row r="46" spans="1:39" x14ac:dyDescent="0.25">
      <c r="A46" t="s">
        <v>2</v>
      </c>
      <c r="B46" t="str">
        <f>TRIM(D1_NOVIEMBRE[[#This Row],[ASESOR]])</f>
        <v/>
      </c>
      <c r="E4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46" t="str">
        <f>IFERROR(VLOOKUP(D1_NOVIEMBRE[[#This Row],[ASESOR_CRR]],Tabla1[],2,0),D1_NOVIEMBRE[[#This Row],[SUPER]])</f>
        <v>JORGE</v>
      </c>
      <c r="L46">
        <v>8</v>
      </c>
      <c r="M46" s="1">
        <f t="shared" si="2"/>
        <v>0.18666666666666668</v>
      </c>
      <c r="N46" t="str" cm="1">
        <f t="array" ref="N46">IFERROR(_xlfn.IFS(M46&gt;100%,"&gt;100%",AND(M46&lt;100%,M46&gt;70%),"&gt;70%",AND(M46&lt;70%,M46&gt;40%),"&gt;40%",AND(M46&lt;40%,M46&gt;0%),"&gt;0%"),"")</f>
        <v>&gt;0%</v>
      </c>
      <c r="O46" t="str">
        <f t="shared" si="3"/>
        <v>LUCERO JORDAN</v>
      </c>
      <c r="P46" t="str">
        <f>IF(DATA_NOVIEMBRE_2025[[#This Row],[ASER_]]="","",F40)</f>
        <v>JORGE</v>
      </c>
      <c r="Q46">
        <f>IF(DATA_NOVIEMBRE_2025[[#This Row],[SUPERVISOR]]="","",D40)</f>
        <v>2800</v>
      </c>
      <c r="R46">
        <f>IF(DATA_NOVIEMBRE_2025[[#This Row],[RECUPERO]]="","",VLOOKUP(DATA_NOVIEMBRE_2025[[#This Row],[SUPERVISOR]],$H:$I,2,0))</f>
        <v>15000</v>
      </c>
      <c r="S46" s="19">
        <v>0</v>
      </c>
      <c r="T46" s="19">
        <v>0</v>
      </c>
      <c r="U46" s="19">
        <v>0</v>
      </c>
      <c r="V46" s="19">
        <v>300</v>
      </c>
      <c r="W46" s="19">
        <v>1000</v>
      </c>
      <c r="X46" s="19">
        <v>0</v>
      </c>
      <c r="Y46" s="19">
        <v>0</v>
      </c>
      <c r="Z46" s="19">
        <v>1500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</row>
    <row r="47" spans="1:39" x14ac:dyDescent="0.25">
      <c r="A47" t="s">
        <v>2</v>
      </c>
      <c r="B47" t="str">
        <f>TRIM(D1_NOVIEMBRE[[#This Row],[ASESOR]])</f>
        <v/>
      </c>
      <c r="E4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47" t="str">
        <f>IFERROR(VLOOKUP(D1_NOVIEMBRE[[#This Row],[ASESOR_CRR]],Tabla1[],2,0),D1_NOVIEMBRE[[#This Row],[SUPER]])</f>
        <v>JORGE</v>
      </c>
      <c r="L47">
        <v>9</v>
      </c>
      <c r="M47" s="1">
        <f t="shared" si="2"/>
        <v>0.14000000000000001</v>
      </c>
      <c r="N47" t="str" cm="1">
        <f t="array" ref="N47">IFERROR(_xlfn.IFS(M47&gt;100%,"&gt;100%",AND(M47&lt;100%,M47&gt;70%),"&gt;70%",AND(M47&lt;70%,M47&gt;40%),"&gt;40%",AND(M47&lt;40%,M47&gt;0%),"&gt;0%"),"")</f>
        <v>&gt;0%</v>
      </c>
      <c r="O47" t="str">
        <f t="shared" si="3"/>
        <v>JANETH PORTOCARRERO</v>
      </c>
      <c r="P47" t="str">
        <f>IF(DATA_NOVIEMBRE_2025[[#This Row],[ASER_]]="","",F41)</f>
        <v>JORGE</v>
      </c>
      <c r="Q47">
        <f>IF(DATA_NOVIEMBRE_2025[[#This Row],[SUPERVISOR]]="","",D41)</f>
        <v>2100</v>
      </c>
      <c r="R47">
        <f>IF(DATA_NOVIEMBRE_2025[[#This Row],[RECUPERO]]="","",VLOOKUP(DATA_NOVIEMBRE_2025[[#This Row],[SUPERVISOR]],$H:$I,2,0))</f>
        <v>15000</v>
      </c>
      <c r="S47" s="19">
        <v>0</v>
      </c>
      <c r="T47" s="19">
        <v>0</v>
      </c>
      <c r="U47" s="19">
        <v>0</v>
      </c>
      <c r="V47" s="19">
        <v>1000</v>
      </c>
      <c r="W47" s="19">
        <v>0</v>
      </c>
      <c r="X47" s="19">
        <v>0</v>
      </c>
      <c r="Y47" s="19">
        <v>0</v>
      </c>
      <c r="Z47" s="19">
        <v>0</v>
      </c>
      <c r="AA47" s="19">
        <v>600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</row>
    <row r="48" spans="1:39" x14ac:dyDescent="0.25">
      <c r="A48" t="s">
        <v>5</v>
      </c>
      <c r="B48" t="str">
        <f>TRIM(D1_NOVIEMBRE[[#This Row],[ASESOR]])</f>
        <v>LUIS VALLADARES</v>
      </c>
      <c r="C48" t="s">
        <v>29</v>
      </c>
      <c r="D48">
        <v>14677</v>
      </c>
      <c r="E4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1.0483571428571428</v>
      </c>
      <c r="F48" t="str">
        <f>IFERROR(VLOOKUP(D1_NOVIEMBRE[[#This Row],[ASESOR_CRR]],Tabla1[],2,0),D1_NOVIEMBRE[[#This Row],[SUPER]])</f>
        <v>JORDAN</v>
      </c>
      <c r="L48">
        <v>10</v>
      </c>
      <c r="M48" s="1">
        <f t="shared" si="2"/>
        <v>1.0000000000000001E-5</v>
      </c>
      <c r="N48" t="str" cm="1">
        <f t="array" ref="N48">IFERROR(_xlfn.IFS(M48&gt;100%,"&gt;100%",AND(M48&lt;100%,M48&gt;70%),"&gt;70%",AND(M48&lt;70%,M48&gt;40%),"&gt;40%",AND(M48&lt;40%,M48&gt;0%),"&gt;0%"),"")</f>
        <v>&gt;0%</v>
      </c>
      <c r="O48" t="str">
        <f t="shared" si="3"/>
        <v>LYNDA PEREZ</v>
      </c>
      <c r="P48" t="str">
        <f>IF(DATA_NOVIEMBRE_2025[[#This Row],[ASER_]]="","",F42)</f>
        <v>JORGE</v>
      </c>
      <c r="Q48">
        <f>IF(DATA_NOVIEMBRE_2025[[#This Row],[SUPERVISOR]]="","",D42)</f>
        <v>0</v>
      </c>
      <c r="R48">
        <f>IF(DATA_NOVIEMBRE_2025[[#This Row],[RECUPERO]]="","",VLOOKUP(DATA_NOVIEMBRE_2025[[#This Row],[SUPERVISOR]],$H:$I,2,0))</f>
        <v>15000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</row>
    <row r="49" spans="1:39" x14ac:dyDescent="0.25">
      <c r="A49" t="s">
        <v>5</v>
      </c>
      <c r="B49" t="str">
        <f>TRIM(D1_NOVIEMBRE[[#This Row],[ASESOR]])</f>
        <v>JESSICA MELGAREJO</v>
      </c>
      <c r="C49" t="s">
        <v>99</v>
      </c>
      <c r="D49">
        <v>11800</v>
      </c>
      <c r="E4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0.84285714285714286</v>
      </c>
      <c r="F49" t="str">
        <f>IFERROR(VLOOKUP(D1_NOVIEMBRE[[#This Row],[ASESOR_CRR]],Tabla1[],2,0),D1_NOVIEMBRE[[#This Row],[SUPER]])</f>
        <v>JORDAN</v>
      </c>
      <c r="L49">
        <v>11</v>
      </c>
      <c r="M49" s="1">
        <f t="shared" si="2"/>
        <v>1.0000000000000001E-5</v>
      </c>
      <c r="N49" t="str" cm="1">
        <f t="array" ref="N49">IFERROR(_xlfn.IFS(M49&gt;100%,"&gt;100%",AND(M49&lt;100%,M49&gt;70%),"&gt;70%",AND(M49&lt;70%,M49&gt;40%),"&gt;40%",AND(M49&lt;40%,M49&gt;0%),"&gt;0%"),"")</f>
        <v>&gt;0%</v>
      </c>
      <c r="O49" t="str">
        <f t="shared" si="3"/>
        <v>GABRIELA APONTE</v>
      </c>
      <c r="P49" t="str">
        <f>IF(DATA_NOVIEMBRE_2025[[#This Row],[ASER_]]="","",F43)</f>
        <v>JORGE</v>
      </c>
      <c r="Q49">
        <f>IF(DATA_NOVIEMBRE_2025[[#This Row],[SUPERVISOR]]="","",D43)</f>
        <v>0</v>
      </c>
      <c r="R49">
        <f>IF(DATA_NOVIEMBRE_2025[[#This Row],[RECUPERO]]="","",VLOOKUP(DATA_NOVIEMBRE_2025[[#This Row],[SUPERVISOR]],$H:$I,2,0))</f>
        <v>15000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</row>
    <row r="50" spans="1:39" x14ac:dyDescent="0.25">
      <c r="A50" t="s">
        <v>5</v>
      </c>
      <c r="B50" t="str">
        <f>TRIM(D1_NOVIEMBRE[[#This Row],[ASESOR]])</f>
        <v>NATALIA MARIN</v>
      </c>
      <c r="C50" t="s">
        <v>79</v>
      </c>
      <c r="D50">
        <v>8230</v>
      </c>
      <c r="E5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0.58785714285714286</v>
      </c>
      <c r="F50" t="str">
        <f>IFERROR(VLOOKUP(D1_NOVIEMBRE[[#This Row],[ASESOR_CRR]],Tabla1[],2,0),D1_NOVIEMBRE[[#This Row],[SUPER]])</f>
        <v>JORDAN</v>
      </c>
      <c r="L50">
        <v>12</v>
      </c>
      <c r="M50" s="1">
        <f t="shared" si="2"/>
        <v>0</v>
      </c>
      <c r="N50" t="str" cm="1">
        <f t="array" ref="N50">IFERROR(_xlfn.IFS(M50&gt;100%,"&gt;100%",AND(M50&lt;100%,M50&gt;70%),"&gt;70%",AND(M50&lt;70%,M50&gt;40%),"&gt;40%",AND(M50&lt;40%,M50&gt;0%),"&gt;0%"),"")</f>
        <v/>
      </c>
      <c r="O50" t="str">
        <f t="shared" si="3"/>
        <v/>
      </c>
      <c r="P50" t="str">
        <f>IF(DATA_NOVIEMBRE_2025[[#This Row],[ASER_]]="","",F44)</f>
        <v/>
      </c>
      <c r="Q50" t="str">
        <f>IF(DATA_NOVIEMBRE_2025[[#This Row],[SUPERVISOR]]="","",D44)</f>
        <v/>
      </c>
      <c r="R50" t="str">
        <f>IF(DATA_NOVIEMBRE_2025[[#This Row],[RECUPERO]]="","",VLOOKUP(DATA_NOVIEMBRE_2025[[#This Row],[SUPERVISOR]],$H:$I,2,0))</f>
        <v/>
      </c>
      <c r="S50" s="19" t="s">
        <v>189</v>
      </c>
      <c r="T50" s="19" t="s">
        <v>189</v>
      </c>
      <c r="U50" s="19" t="s">
        <v>189</v>
      </c>
      <c r="V50" s="19" t="s">
        <v>189</v>
      </c>
      <c r="W50" s="19" t="s">
        <v>189</v>
      </c>
      <c r="X50" s="19" t="s">
        <v>189</v>
      </c>
      <c r="Y50" s="19" t="s">
        <v>189</v>
      </c>
      <c r="Z50" s="19" t="s">
        <v>189</v>
      </c>
      <c r="AA50" s="19" t="s">
        <v>189</v>
      </c>
      <c r="AB50" s="19" t="s">
        <v>189</v>
      </c>
      <c r="AC50" s="19" t="s">
        <v>189</v>
      </c>
      <c r="AD50" s="19" t="s">
        <v>189</v>
      </c>
      <c r="AE50" s="19" t="s">
        <v>189</v>
      </c>
      <c r="AF50" s="19" t="s">
        <v>189</v>
      </c>
      <c r="AG50" s="19" t="s">
        <v>189</v>
      </c>
      <c r="AH50" s="19" t="s">
        <v>189</v>
      </c>
      <c r="AI50" s="19" t="s">
        <v>189</v>
      </c>
      <c r="AJ50" s="19" t="s">
        <v>189</v>
      </c>
      <c r="AK50" s="19" t="s">
        <v>189</v>
      </c>
      <c r="AL50" s="19" t="s">
        <v>189</v>
      </c>
      <c r="AM50" s="19" t="s">
        <v>189</v>
      </c>
    </row>
    <row r="51" spans="1:39" x14ac:dyDescent="0.25">
      <c r="A51" t="s">
        <v>5</v>
      </c>
      <c r="B51" t="str">
        <f>TRIM(D1_NOVIEMBRE[[#This Row],[ASESOR]])</f>
        <v>MAYRA AVALOS</v>
      </c>
      <c r="C51" t="s">
        <v>55</v>
      </c>
      <c r="D51">
        <v>7950</v>
      </c>
      <c r="E5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0.56785714285714284</v>
      </c>
      <c r="F51" t="str">
        <f>IFERROR(VLOOKUP(D1_NOVIEMBRE[[#This Row],[ASESOR_CRR]],Tabla1[],2,0),D1_NOVIEMBRE[[#This Row],[SUPER]])</f>
        <v>JORDAN</v>
      </c>
      <c r="L51">
        <v>13</v>
      </c>
      <c r="M51" s="1">
        <f t="shared" si="2"/>
        <v>0</v>
      </c>
      <c r="N51" t="str" cm="1">
        <f t="array" ref="N51">IFERROR(_xlfn.IFS(M51&gt;100%,"&gt;100%",AND(M51&lt;100%,M51&gt;70%),"&gt;70%",AND(M51&lt;70%,M51&gt;40%),"&gt;40%",AND(M51&lt;40%,M51&gt;0%),"&gt;0%"),"")</f>
        <v/>
      </c>
      <c r="O51" t="str">
        <f t="shared" si="3"/>
        <v/>
      </c>
      <c r="P51" t="str">
        <f>IF(DATA_NOVIEMBRE_2025[[#This Row],[ASER_]]="","",F45)</f>
        <v/>
      </c>
      <c r="Q51" t="str">
        <f>IF(DATA_NOVIEMBRE_2025[[#This Row],[SUPERVISOR]]="","",D45)</f>
        <v/>
      </c>
      <c r="R51" t="str">
        <f>IF(DATA_NOVIEMBRE_2025[[#This Row],[RECUPERO]]="","",VLOOKUP(DATA_NOVIEMBRE_2025[[#This Row],[SUPERVISOR]],$H:$I,2,0))</f>
        <v/>
      </c>
      <c r="S51" s="19" t="s">
        <v>189</v>
      </c>
      <c r="T51" s="19" t="s">
        <v>189</v>
      </c>
      <c r="U51" s="19" t="s">
        <v>189</v>
      </c>
      <c r="V51" s="19" t="s">
        <v>189</v>
      </c>
      <c r="W51" s="19" t="s">
        <v>189</v>
      </c>
      <c r="X51" s="19" t="s">
        <v>189</v>
      </c>
      <c r="Y51" s="19" t="s">
        <v>189</v>
      </c>
      <c r="Z51" s="19" t="s">
        <v>189</v>
      </c>
      <c r="AA51" s="19" t="s">
        <v>189</v>
      </c>
      <c r="AB51" s="19" t="s">
        <v>189</v>
      </c>
      <c r="AC51" s="19" t="s">
        <v>189</v>
      </c>
      <c r="AD51" s="19" t="s">
        <v>189</v>
      </c>
      <c r="AE51" s="19" t="s">
        <v>189</v>
      </c>
      <c r="AF51" s="19" t="s">
        <v>189</v>
      </c>
      <c r="AG51" s="19" t="s">
        <v>189</v>
      </c>
      <c r="AH51" s="19" t="s">
        <v>189</v>
      </c>
      <c r="AI51" s="19" t="s">
        <v>189</v>
      </c>
      <c r="AJ51" s="19" t="s">
        <v>189</v>
      </c>
      <c r="AK51" s="19" t="s">
        <v>189</v>
      </c>
      <c r="AL51" s="19" t="s">
        <v>189</v>
      </c>
      <c r="AM51" s="19" t="s">
        <v>189</v>
      </c>
    </row>
    <row r="52" spans="1:39" x14ac:dyDescent="0.25">
      <c r="A52" t="s">
        <v>5</v>
      </c>
      <c r="B52" t="str">
        <f>TRIM(D1_NOVIEMBRE[[#This Row],[ASESOR]])</f>
        <v>JAIME TUMIALAN</v>
      </c>
      <c r="C52" t="s">
        <v>103</v>
      </c>
      <c r="D52">
        <v>6450</v>
      </c>
      <c r="E5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0.46071428571428569</v>
      </c>
      <c r="F52" t="str">
        <f>IFERROR(VLOOKUP(D1_NOVIEMBRE[[#This Row],[ASESOR_CRR]],Tabla1[],2,0),D1_NOVIEMBRE[[#This Row],[SUPER]])</f>
        <v>JORDAN</v>
      </c>
      <c r="L52">
        <v>14</v>
      </c>
      <c r="M52" s="1">
        <f t="shared" si="2"/>
        <v>0</v>
      </c>
      <c r="N52" t="str" cm="1">
        <f t="array" ref="N52">IFERROR(_xlfn.IFS(M52&gt;100%,"&gt;100%",AND(M52&lt;100%,M52&gt;70%),"&gt;70%",AND(M52&lt;70%,M52&gt;40%),"&gt;40%",AND(M52&lt;40%,M52&gt;0%),"&gt;0%"),"")</f>
        <v/>
      </c>
      <c r="O52" t="str">
        <f t="shared" si="3"/>
        <v/>
      </c>
      <c r="P52" t="str">
        <f>IF(DATA_NOVIEMBRE_2025[[#This Row],[ASER_]]="","",F46)</f>
        <v/>
      </c>
      <c r="Q52" t="str">
        <f>IF(DATA_NOVIEMBRE_2025[[#This Row],[SUPERVISOR]]="","",D46)</f>
        <v/>
      </c>
      <c r="R52" t="str">
        <f>IF(DATA_NOVIEMBRE_2025[[#This Row],[RECUPERO]]="","",VLOOKUP(DATA_NOVIEMBRE_2025[[#This Row],[SUPERVISOR]],$H:$I,2,0))</f>
        <v/>
      </c>
      <c r="S52" s="19" t="s">
        <v>189</v>
      </c>
      <c r="T52" s="19" t="s">
        <v>189</v>
      </c>
      <c r="U52" s="19" t="s">
        <v>189</v>
      </c>
      <c r="V52" s="19" t="s">
        <v>189</v>
      </c>
      <c r="W52" s="19" t="s">
        <v>189</v>
      </c>
      <c r="X52" s="19" t="s">
        <v>189</v>
      </c>
      <c r="Y52" s="19" t="s">
        <v>189</v>
      </c>
      <c r="Z52" s="19" t="s">
        <v>189</v>
      </c>
      <c r="AA52" s="19" t="s">
        <v>189</v>
      </c>
      <c r="AB52" s="19" t="s">
        <v>189</v>
      </c>
      <c r="AC52" s="19" t="s">
        <v>189</v>
      </c>
      <c r="AD52" s="19" t="s">
        <v>189</v>
      </c>
      <c r="AE52" s="19" t="s">
        <v>189</v>
      </c>
      <c r="AF52" s="19" t="s">
        <v>189</v>
      </c>
      <c r="AG52" s="19" t="s">
        <v>189</v>
      </c>
      <c r="AH52" s="19" t="s">
        <v>189</v>
      </c>
      <c r="AI52" s="19" t="s">
        <v>189</v>
      </c>
      <c r="AJ52" s="19" t="s">
        <v>189</v>
      </c>
      <c r="AK52" s="19" t="s">
        <v>189</v>
      </c>
      <c r="AL52" s="19" t="s">
        <v>189</v>
      </c>
      <c r="AM52" s="19" t="s">
        <v>189</v>
      </c>
    </row>
    <row r="53" spans="1:39" x14ac:dyDescent="0.25">
      <c r="A53" t="s">
        <v>5</v>
      </c>
      <c r="B53" t="str">
        <f>TRIM(D1_NOVIEMBRE[[#This Row],[ASESOR]])</f>
        <v>JUAN ALANOCCA</v>
      </c>
      <c r="C53" t="s">
        <v>77</v>
      </c>
      <c r="D53">
        <v>5328</v>
      </c>
      <c r="E5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0.38057142857142856</v>
      </c>
      <c r="F53" t="str">
        <f>IFERROR(VLOOKUP(D1_NOVIEMBRE[[#This Row],[ASESOR_CRR]],Tabla1[],2,0),D1_NOVIEMBRE[[#This Row],[SUPER]])</f>
        <v>JORDAN</v>
      </c>
      <c r="L53">
        <v>15</v>
      </c>
      <c r="M53" s="1">
        <f t="shared" si="2"/>
        <v>0</v>
      </c>
      <c r="N53" t="str" cm="1">
        <f t="array" ref="N53">IFERROR(_xlfn.IFS(M53&gt;100%,"&gt;100%",AND(M53&lt;100%,M53&gt;70%),"&gt;70%",AND(M53&lt;70%,M53&gt;40%),"&gt;40%",AND(M53&lt;40%,M53&gt;0%),"&gt;0%"),"")</f>
        <v/>
      </c>
      <c r="O53" t="str">
        <f t="shared" si="3"/>
        <v/>
      </c>
      <c r="P53" t="str">
        <f>IF(DATA_NOVIEMBRE_2025[[#This Row],[ASER_]]="","",F47)</f>
        <v/>
      </c>
      <c r="Q53" t="str">
        <f>IF(DATA_NOVIEMBRE_2025[[#This Row],[SUPERVISOR]]="","",D47)</f>
        <v/>
      </c>
      <c r="R53" t="str">
        <f>IF(DATA_NOVIEMBRE_2025[[#This Row],[RECUPERO]]="","",VLOOKUP(DATA_NOVIEMBRE_2025[[#This Row],[SUPERVISOR]],$H:$I,2,0))</f>
        <v/>
      </c>
      <c r="S53" s="19" t="s">
        <v>189</v>
      </c>
      <c r="T53" s="19" t="s">
        <v>189</v>
      </c>
      <c r="U53" s="19" t="s">
        <v>189</v>
      </c>
      <c r="V53" s="19" t="s">
        <v>189</v>
      </c>
      <c r="W53" s="19" t="s">
        <v>189</v>
      </c>
      <c r="X53" s="19" t="s">
        <v>189</v>
      </c>
      <c r="Y53" s="19" t="s">
        <v>189</v>
      </c>
      <c r="Z53" s="19" t="s">
        <v>189</v>
      </c>
      <c r="AA53" s="19" t="s">
        <v>189</v>
      </c>
      <c r="AB53" s="19" t="s">
        <v>189</v>
      </c>
      <c r="AC53" s="19" t="s">
        <v>189</v>
      </c>
      <c r="AD53" s="19" t="s">
        <v>189</v>
      </c>
      <c r="AE53" s="19" t="s">
        <v>189</v>
      </c>
      <c r="AF53" s="19" t="s">
        <v>189</v>
      </c>
      <c r="AG53" s="19" t="s">
        <v>189</v>
      </c>
      <c r="AH53" s="19" t="s">
        <v>189</v>
      </c>
      <c r="AI53" s="19" t="s">
        <v>189</v>
      </c>
      <c r="AJ53" s="19" t="s">
        <v>189</v>
      </c>
      <c r="AK53" s="19" t="s">
        <v>189</v>
      </c>
      <c r="AL53" s="19" t="s">
        <v>189</v>
      </c>
      <c r="AM53" s="19" t="s">
        <v>189</v>
      </c>
    </row>
    <row r="54" spans="1:39" x14ac:dyDescent="0.25">
      <c r="A54" t="s">
        <v>5</v>
      </c>
      <c r="B54" t="str">
        <f>TRIM(D1_NOVIEMBRE[[#This Row],[ASESOR]])</f>
        <v>MEDALITH NESTARES</v>
      </c>
      <c r="C54" t="s">
        <v>36</v>
      </c>
      <c r="D54">
        <v>1230</v>
      </c>
      <c r="E5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8.7857142857142856E-2</v>
      </c>
      <c r="F54" t="str">
        <f>IFERROR(VLOOKUP(D1_NOVIEMBRE[[#This Row],[ASESOR_CRR]],Tabla1[],2,0),D1_NOVIEMBRE[[#This Row],[SUPER]])</f>
        <v>JORDAN</v>
      </c>
      <c r="L54">
        <v>1</v>
      </c>
      <c r="M54" s="1">
        <f t="shared" si="2"/>
        <v>1.0483571428571428</v>
      </c>
      <c r="N54" t="str" cm="1">
        <f t="array" ref="N54">IFERROR(_xlfn.IFS(M54&gt;100%,"&gt;100%",AND(M54&lt;100%,M54&gt;70%),"&gt;70%",AND(M54&lt;70%,M54&gt;40%),"&gt;40%",AND(M54&lt;40%,M54&gt;0%),"&gt;0%"),"")</f>
        <v>&gt;100%</v>
      </c>
      <c r="O54" t="str">
        <f t="shared" si="3"/>
        <v>LUIS VALLADARES</v>
      </c>
      <c r="P54" t="str">
        <f>IF(DATA_NOVIEMBRE_2025[[#This Row],[ASER_]]="","",F48)</f>
        <v>JORDAN</v>
      </c>
      <c r="Q54">
        <f>IF(DATA_NOVIEMBRE_2025[[#This Row],[SUPERVISOR]]="","",D48)</f>
        <v>14677</v>
      </c>
      <c r="R54">
        <f>IF(DATA_NOVIEMBRE_2025[[#This Row],[RECUPERO]]="","",VLOOKUP(DATA_NOVIEMBRE_2025[[#This Row],[SUPERVISOR]],$H:$I,2,0))</f>
        <v>14000</v>
      </c>
      <c r="S54" s="19">
        <v>0</v>
      </c>
      <c r="T54" s="19">
        <v>0</v>
      </c>
      <c r="U54" s="19">
        <v>43</v>
      </c>
      <c r="V54" s="19">
        <v>7232</v>
      </c>
      <c r="W54" s="19">
        <v>0</v>
      </c>
      <c r="X54" s="19">
        <v>664</v>
      </c>
      <c r="Y54" s="19">
        <v>3690</v>
      </c>
      <c r="Z54" s="19">
        <v>2573</v>
      </c>
      <c r="AA54" s="19">
        <v>0</v>
      </c>
      <c r="AB54" s="19">
        <v>350</v>
      </c>
      <c r="AC54" s="19">
        <v>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0</v>
      </c>
      <c r="AM54" s="19">
        <v>0</v>
      </c>
    </row>
    <row r="55" spans="1:39" x14ac:dyDescent="0.25">
      <c r="A55" t="s">
        <v>5</v>
      </c>
      <c r="B55" t="str">
        <f>TRIM(D1_NOVIEMBRE[[#This Row],[ASESOR]])</f>
        <v>ANABEL SIHUE</v>
      </c>
      <c r="C55" t="s">
        <v>54</v>
      </c>
      <c r="D55">
        <v>898</v>
      </c>
      <c r="E5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6.414285714285714E-2</v>
      </c>
      <c r="F55" t="str">
        <f>IFERROR(VLOOKUP(D1_NOVIEMBRE[[#This Row],[ASESOR_CRR]],Tabla1[],2,0),D1_NOVIEMBRE[[#This Row],[SUPER]])</f>
        <v>JORDAN</v>
      </c>
      <c r="L55">
        <v>2</v>
      </c>
      <c r="M55" s="1">
        <f t="shared" si="2"/>
        <v>0.84285714285714286</v>
      </c>
      <c r="N55" t="str" cm="1">
        <f t="array" ref="N55">IFERROR(_xlfn.IFS(M55&gt;100%,"&gt;100%",AND(M55&lt;100%,M55&gt;70%),"&gt;70%",AND(M55&lt;70%,M55&gt;40%),"&gt;40%",AND(M55&lt;40%,M55&gt;0%),"&gt;0%"),"")</f>
        <v>&gt;70%</v>
      </c>
      <c r="O55" t="str">
        <f t="shared" si="3"/>
        <v>JESSICA MELGAREJO</v>
      </c>
      <c r="P55" t="str">
        <f>IF(DATA_NOVIEMBRE_2025[[#This Row],[ASER_]]="","",F49)</f>
        <v>JORDAN</v>
      </c>
      <c r="Q55">
        <f>IF(DATA_NOVIEMBRE_2025[[#This Row],[SUPERVISOR]]="","",D49)</f>
        <v>11800</v>
      </c>
      <c r="R55">
        <f>IF(DATA_NOVIEMBRE_2025[[#This Row],[RECUPERO]]="","",VLOOKUP(DATA_NOVIEMBRE_2025[[#This Row],[SUPERVISOR]],$H:$I,2,0))</f>
        <v>14000</v>
      </c>
      <c r="S55" s="19">
        <v>0</v>
      </c>
      <c r="T55" s="19">
        <v>0</v>
      </c>
      <c r="U55" s="19">
        <v>1150</v>
      </c>
      <c r="V55" s="19">
        <v>4000</v>
      </c>
      <c r="W55" s="19">
        <v>0</v>
      </c>
      <c r="X55" s="19">
        <v>4650</v>
      </c>
      <c r="Y55" s="19">
        <v>0</v>
      </c>
      <c r="Z55" s="19">
        <v>0</v>
      </c>
      <c r="AA55" s="19">
        <v>0</v>
      </c>
      <c r="AB55" s="19">
        <v>0</v>
      </c>
      <c r="AC55" s="19">
        <v>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</row>
    <row r="56" spans="1:39" x14ac:dyDescent="0.25">
      <c r="A56" t="s">
        <v>5</v>
      </c>
      <c r="B56" t="str">
        <f>TRIM(D1_NOVIEMBRE[[#This Row],[ASESOR]])</f>
        <v/>
      </c>
      <c r="E5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56" t="str">
        <f>IFERROR(VLOOKUP(D1_NOVIEMBRE[[#This Row],[ASESOR_CRR]],Tabla1[],2,0),D1_NOVIEMBRE[[#This Row],[SUPER]])</f>
        <v>JORDAN</v>
      </c>
      <c r="L56">
        <v>3</v>
      </c>
      <c r="M56" s="1">
        <f t="shared" si="2"/>
        <v>0.58785714285714286</v>
      </c>
      <c r="N56" t="str" cm="1">
        <f t="array" ref="N56">IFERROR(_xlfn.IFS(M56&gt;100%,"&gt;100%",AND(M56&lt;100%,M56&gt;70%),"&gt;70%",AND(M56&lt;70%,M56&gt;40%),"&gt;40%",AND(M56&lt;40%,M56&gt;0%),"&gt;0%"),"")</f>
        <v>&gt;40%</v>
      </c>
      <c r="O56" t="str">
        <f t="shared" si="3"/>
        <v>NATALIA MARIN</v>
      </c>
      <c r="P56" t="str">
        <f>IF(DATA_NOVIEMBRE_2025[[#This Row],[ASER_]]="","",F50)</f>
        <v>JORDAN</v>
      </c>
      <c r="Q56">
        <f>IF(DATA_NOVIEMBRE_2025[[#This Row],[SUPERVISOR]]="","",D50)</f>
        <v>8230</v>
      </c>
      <c r="R56">
        <f>IF(DATA_NOVIEMBRE_2025[[#This Row],[RECUPERO]]="","",VLOOKUP(DATA_NOVIEMBRE_2025[[#This Row],[SUPERVISOR]],$H:$I,2,0))</f>
        <v>14000</v>
      </c>
      <c r="S56" s="19">
        <v>300</v>
      </c>
      <c r="T56" s="19">
        <v>0</v>
      </c>
      <c r="U56" s="19">
        <v>650</v>
      </c>
      <c r="V56" s="19">
        <v>150</v>
      </c>
      <c r="W56" s="19">
        <v>200</v>
      </c>
      <c r="X56" s="19">
        <v>0</v>
      </c>
      <c r="Y56" s="19">
        <v>0</v>
      </c>
      <c r="Z56" s="19">
        <v>800</v>
      </c>
      <c r="AA56" s="19">
        <v>820</v>
      </c>
      <c r="AB56" s="19">
        <v>5110</v>
      </c>
      <c r="AC56" s="19">
        <v>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  <c r="AK56" s="19">
        <v>0</v>
      </c>
      <c r="AL56" s="19">
        <v>0</v>
      </c>
      <c r="AM56" s="19">
        <v>0</v>
      </c>
    </row>
    <row r="57" spans="1:39" x14ac:dyDescent="0.25">
      <c r="A57" t="s">
        <v>5</v>
      </c>
      <c r="B57" t="str">
        <f>TRIM(D1_NOVIEMBRE[[#This Row],[ASESOR]])</f>
        <v/>
      </c>
      <c r="E5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57" t="str">
        <f>IFERROR(VLOOKUP(D1_NOVIEMBRE[[#This Row],[ASESOR_CRR]],Tabla1[],2,0),D1_NOVIEMBRE[[#This Row],[SUPER]])</f>
        <v>JORDAN</v>
      </c>
      <c r="L57">
        <v>4</v>
      </c>
      <c r="M57" s="1">
        <f t="shared" si="2"/>
        <v>0.56785714285714284</v>
      </c>
      <c r="N57" t="str" cm="1">
        <f t="array" ref="N57">IFERROR(_xlfn.IFS(M57&gt;100%,"&gt;100%",AND(M57&lt;100%,M57&gt;70%),"&gt;70%",AND(M57&lt;70%,M57&gt;40%),"&gt;40%",AND(M57&lt;40%,M57&gt;0%),"&gt;0%"),"")</f>
        <v>&gt;40%</v>
      </c>
      <c r="O57" t="str">
        <f t="shared" si="3"/>
        <v>MAYRA AVALOS</v>
      </c>
      <c r="P57" t="str">
        <f>IF(DATA_NOVIEMBRE_2025[[#This Row],[ASER_]]="","",F51)</f>
        <v>JORDAN</v>
      </c>
      <c r="Q57">
        <f>IF(DATA_NOVIEMBRE_2025[[#This Row],[SUPERVISOR]]="","",D51)</f>
        <v>7950</v>
      </c>
      <c r="R57">
        <f>IF(DATA_NOVIEMBRE_2025[[#This Row],[RECUPERO]]="","",VLOOKUP(DATA_NOVIEMBRE_2025[[#This Row],[SUPERVISOR]],$H:$I,2,0))</f>
        <v>14000</v>
      </c>
      <c r="S57" s="19">
        <v>0</v>
      </c>
      <c r="T57" s="19">
        <v>400</v>
      </c>
      <c r="U57" s="19">
        <v>4500</v>
      </c>
      <c r="V57" s="19">
        <v>500</v>
      </c>
      <c r="W57" s="19">
        <v>0</v>
      </c>
      <c r="X57" s="19">
        <v>300</v>
      </c>
      <c r="Y57" s="19">
        <v>900</v>
      </c>
      <c r="Z57" s="19">
        <v>150</v>
      </c>
      <c r="AA57" s="19">
        <v>0</v>
      </c>
      <c r="AB57" s="19">
        <v>300</v>
      </c>
      <c r="AC57" s="19">
        <v>0</v>
      </c>
      <c r="AD57" s="19">
        <v>0</v>
      </c>
      <c r="AE57" s="19">
        <v>0</v>
      </c>
      <c r="AF57" s="19">
        <v>0</v>
      </c>
      <c r="AG57" s="19">
        <v>0</v>
      </c>
      <c r="AH57" s="19">
        <v>0</v>
      </c>
      <c r="AI57" s="19">
        <v>0</v>
      </c>
      <c r="AJ57" s="19">
        <v>0</v>
      </c>
      <c r="AK57" s="19">
        <v>0</v>
      </c>
      <c r="AL57" s="19">
        <v>0</v>
      </c>
      <c r="AM57" s="19">
        <v>0</v>
      </c>
    </row>
    <row r="58" spans="1:39" x14ac:dyDescent="0.25">
      <c r="A58" t="s">
        <v>5</v>
      </c>
      <c r="B58" t="str">
        <f>TRIM(D1_NOVIEMBRE[[#This Row],[ASESOR]])</f>
        <v/>
      </c>
      <c r="E5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58" t="str">
        <f>IFERROR(VLOOKUP(D1_NOVIEMBRE[[#This Row],[ASESOR_CRR]],Tabla1[],2,0),D1_NOVIEMBRE[[#This Row],[SUPER]])</f>
        <v>JORDAN</v>
      </c>
      <c r="L58">
        <v>5</v>
      </c>
      <c r="M58" s="1">
        <f t="shared" si="2"/>
        <v>0.46071428571428569</v>
      </c>
      <c r="N58" t="str" cm="1">
        <f t="array" ref="N58">IFERROR(_xlfn.IFS(M58&gt;100%,"&gt;100%",AND(M58&lt;100%,M58&gt;70%),"&gt;70%",AND(M58&lt;70%,M58&gt;40%),"&gt;40%",AND(M58&lt;40%,M58&gt;0%),"&gt;0%"),"")</f>
        <v>&gt;40%</v>
      </c>
      <c r="O58" t="str">
        <f t="shared" si="3"/>
        <v>JAIME TUMIALAN</v>
      </c>
      <c r="P58" t="str">
        <f>IF(DATA_NOVIEMBRE_2025[[#This Row],[ASER_]]="","",F52)</f>
        <v>JORDAN</v>
      </c>
      <c r="Q58">
        <f>IF(DATA_NOVIEMBRE_2025[[#This Row],[SUPERVISOR]]="","",D52)</f>
        <v>6450</v>
      </c>
      <c r="R58">
        <f>IF(DATA_NOVIEMBRE_2025[[#This Row],[RECUPERO]]="","",VLOOKUP(DATA_NOVIEMBRE_2025[[#This Row],[SUPERVISOR]],$H:$I,2,0))</f>
        <v>14000</v>
      </c>
      <c r="S58" s="19">
        <v>0</v>
      </c>
      <c r="T58" s="19">
        <v>0</v>
      </c>
      <c r="U58" s="19">
        <v>150</v>
      </c>
      <c r="V58" s="19">
        <v>0</v>
      </c>
      <c r="W58" s="19">
        <v>0</v>
      </c>
      <c r="X58" s="19">
        <v>0</v>
      </c>
      <c r="Y58" s="19">
        <v>100</v>
      </c>
      <c r="Z58" s="19">
        <v>5300</v>
      </c>
      <c r="AA58" s="19">
        <v>0</v>
      </c>
      <c r="AB58" s="19">
        <v>400</v>
      </c>
      <c r="AC58" s="19">
        <v>0</v>
      </c>
      <c r="AD58" s="19">
        <v>0</v>
      </c>
      <c r="AE58" s="19">
        <v>0</v>
      </c>
      <c r="AF58" s="19">
        <v>0</v>
      </c>
      <c r="AG58" s="19">
        <v>0</v>
      </c>
      <c r="AH58" s="19">
        <v>0</v>
      </c>
      <c r="AI58" s="19">
        <v>0</v>
      </c>
      <c r="AJ58" s="19">
        <v>0</v>
      </c>
      <c r="AK58" s="19">
        <v>0</v>
      </c>
      <c r="AL58" s="19">
        <v>0</v>
      </c>
      <c r="AM58" s="19">
        <v>0</v>
      </c>
    </row>
    <row r="59" spans="1:39" x14ac:dyDescent="0.25">
      <c r="A59" t="s">
        <v>5</v>
      </c>
      <c r="B59" t="str">
        <f>TRIM(D1_NOVIEMBRE[[#This Row],[ASESOR]])</f>
        <v/>
      </c>
      <c r="E5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59" t="str">
        <f>IFERROR(VLOOKUP(D1_NOVIEMBRE[[#This Row],[ASESOR_CRR]],Tabla1[],2,0),D1_NOVIEMBRE[[#This Row],[SUPER]])</f>
        <v>JORDAN</v>
      </c>
      <c r="L59">
        <v>6</v>
      </c>
      <c r="M59" s="1">
        <f t="shared" si="2"/>
        <v>0.38057142857142856</v>
      </c>
      <c r="N59" t="str" cm="1">
        <f t="array" ref="N59">IFERROR(_xlfn.IFS(M59&gt;100%,"&gt;100%",AND(M59&lt;100%,M59&gt;70%),"&gt;70%",AND(M59&lt;70%,M59&gt;40%),"&gt;40%",AND(M59&lt;40%,M59&gt;0%),"&gt;0%"),"")</f>
        <v>&gt;0%</v>
      </c>
      <c r="O59" t="str">
        <f t="shared" si="3"/>
        <v>JUAN ALANOCCA</v>
      </c>
      <c r="P59" t="str">
        <f>IF(DATA_NOVIEMBRE_2025[[#This Row],[ASER_]]="","",F53)</f>
        <v>JORDAN</v>
      </c>
      <c r="Q59">
        <f>IF(DATA_NOVIEMBRE_2025[[#This Row],[SUPERVISOR]]="","",D53)</f>
        <v>5328</v>
      </c>
      <c r="R59">
        <f>IF(DATA_NOVIEMBRE_2025[[#This Row],[RECUPERO]]="","",VLOOKUP(DATA_NOVIEMBRE_2025[[#This Row],[SUPERVISOR]],$H:$I,2,0))</f>
        <v>14000</v>
      </c>
      <c r="S59" s="19">
        <v>0</v>
      </c>
      <c r="T59" s="19">
        <v>500</v>
      </c>
      <c r="U59" s="19">
        <v>200</v>
      </c>
      <c r="V59" s="19">
        <v>550</v>
      </c>
      <c r="W59" s="19">
        <v>1378</v>
      </c>
      <c r="X59" s="19">
        <v>0</v>
      </c>
      <c r="Y59" s="19">
        <v>0</v>
      </c>
      <c r="Z59" s="19">
        <v>2500</v>
      </c>
      <c r="AA59" s="19">
        <v>0</v>
      </c>
      <c r="AB59" s="19">
        <v>200</v>
      </c>
      <c r="AC59" s="19">
        <v>0</v>
      </c>
      <c r="AD59" s="19">
        <v>0</v>
      </c>
      <c r="AE59" s="19">
        <v>0</v>
      </c>
      <c r="AF59" s="19">
        <v>0</v>
      </c>
      <c r="AG59" s="19">
        <v>0</v>
      </c>
      <c r="AH59" s="19">
        <v>0</v>
      </c>
      <c r="AI59" s="19">
        <v>0</v>
      </c>
      <c r="AJ59" s="19">
        <v>0</v>
      </c>
      <c r="AK59" s="19">
        <v>0</v>
      </c>
      <c r="AL59" s="19">
        <v>0</v>
      </c>
      <c r="AM59" s="19">
        <v>0</v>
      </c>
    </row>
    <row r="60" spans="1:39" x14ac:dyDescent="0.25">
      <c r="A60" t="s">
        <v>5</v>
      </c>
      <c r="B60" t="str">
        <f>TRIM(D1_NOVIEMBRE[[#This Row],[ASESOR]])</f>
        <v/>
      </c>
      <c r="E6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60" t="str">
        <f>IFERROR(VLOOKUP(D1_NOVIEMBRE[[#This Row],[ASESOR_CRR]],Tabla1[],2,0),D1_NOVIEMBRE[[#This Row],[SUPER]])</f>
        <v>JORDAN</v>
      </c>
      <c r="I60" s="7"/>
      <c r="L60">
        <v>7</v>
      </c>
      <c r="M60" s="1">
        <f t="shared" si="2"/>
        <v>8.7857142857142856E-2</v>
      </c>
      <c r="N60" t="str" cm="1">
        <f t="array" ref="N60">IFERROR(_xlfn.IFS(M60&gt;100%,"&gt;100%",AND(M60&lt;100%,M60&gt;70%),"&gt;70%",AND(M60&lt;70%,M60&gt;40%),"&gt;40%",AND(M60&lt;40%,M60&gt;0%),"&gt;0%"),"")</f>
        <v>&gt;0%</v>
      </c>
      <c r="O60" t="str">
        <f t="shared" si="3"/>
        <v>MEDALITH NESTARES</v>
      </c>
      <c r="P60" t="str">
        <f>IF(DATA_NOVIEMBRE_2025[[#This Row],[ASER_]]="","",F54)</f>
        <v>JORDAN</v>
      </c>
      <c r="Q60">
        <f>IF(DATA_NOVIEMBRE_2025[[#This Row],[SUPERVISOR]]="","",D54)</f>
        <v>1230</v>
      </c>
      <c r="R60">
        <f>IF(DATA_NOVIEMBRE_2025[[#This Row],[RECUPERO]]="","",VLOOKUP(DATA_NOVIEMBRE_2025[[#This Row],[SUPERVISOR]],$H:$I,2,0))</f>
        <v>14000</v>
      </c>
      <c r="S60" s="19">
        <v>0</v>
      </c>
      <c r="T60" s="19">
        <v>0</v>
      </c>
      <c r="U60" s="19">
        <v>500</v>
      </c>
      <c r="V60" s="19">
        <v>500</v>
      </c>
      <c r="W60" s="19">
        <v>0</v>
      </c>
      <c r="X60" s="19">
        <v>0</v>
      </c>
      <c r="Y60" s="19">
        <v>0</v>
      </c>
      <c r="Z60" s="19">
        <v>0</v>
      </c>
      <c r="AA60" s="19">
        <v>0</v>
      </c>
      <c r="AB60" s="19">
        <v>125</v>
      </c>
      <c r="AC60" s="19">
        <v>0</v>
      </c>
      <c r="AD60" s="19">
        <v>0</v>
      </c>
      <c r="AE60" s="19">
        <v>0</v>
      </c>
      <c r="AF60" s="19">
        <v>0</v>
      </c>
      <c r="AG60" s="19">
        <v>0</v>
      </c>
      <c r="AH60" s="19">
        <v>0</v>
      </c>
      <c r="AI60" s="19">
        <v>0</v>
      </c>
      <c r="AJ60" s="19">
        <v>0</v>
      </c>
      <c r="AK60" s="19">
        <v>0</v>
      </c>
      <c r="AL60" s="19">
        <v>0</v>
      </c>
      <c r="AM60" s="19">
        <v>0</v>
      </c>
    </row>
    <row r="61" spans="1:39" x14ac:dyDescent="0.25">
      <c r="A61" t="s">
        <v>5</v>
      </c>
      <c r="B61" t="str">
        <f>TRIM(D1_NOVIEMBRE[[#This Row],[ASESOR]])</f>
        <v/>
      </c>
      <c r="E6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61" t="str">
        <f>IFERROR(VLOOKUP(D1_NOVIEMBRE[[#This Row],[ASESOR_CRR]],Tabla1[],2,0),D1_NOVIEMBRE[[#This Row],[SUPER]])</f>
        <v>JORDAN</v>
      </c>
      <c r="L61">
        <v>8</v>
      </c>
      <c r="M61" s="1">
        <f t="shared" si="2"/>
        <v>6.414285714285714E-2</v>
      </c>
      <c r="N61" t="str" cm="1">
        <f t="array" ref="N61">IFERROR(_xlfn.IFS(M61&gt;100%,"&gt;100%",AND(M61&lt;100%,M61&gt;70%),"&gt;70%",AND(M61&lt;70%,M61&gt;40%),"&gt;40%",AND(M61&lt;40%,M61&gt;0%),"&gt;0%"),"")</f>
        <v>&gt;0%</v>
      </c>
      <c r="O61" t="str">
        <f t="shared" si="3"/>
        <v>ANABEL SIHUE</v>
      </c>
      <c r="P61" t="str">
        <f>IF(DATA_NOVIEMBRE_2025[[#This Row],[ASER_]]="","",F55)</f>
        <v>JORDAN</v>
      </c>
      <c r="Q61">
        <f>IF(DATA_NOVIEMBRE_2025[[#This Row],[SUPERVISOR]]="","",D55)</f>
        <v>898</v>
      </c>
      <c r="R61">
        <f>IF(DATA_NOVIEMBRE_2025[[#This Row],[RECUPERO]]="","",VLOOKUP(DATA_NOVIEMBRE_2025[[#This Row],[SUPERVISOR]],$H:$I,2,0))</f>
        <v>14000</v>
      </c>
      <c r="S61" s="19">
        <v>0</v>
      </c>
      <c r="T61" s="19">
        <v>0</v>
      </c>
      <c r="U61" s="19">
        <v>0</v>
      </c>
      <c r="V61" s="19">
        <v>0</v>
      </c>
      <c r="W61" s="19">
        <v>360</v>
      </c>
      <c r="X61" s="19">
        <v>100</v>
      </c>
      <c r="Y61" s="19">
        <v>0</v>
      </c>
      <c r="Z61" s="19">
        <v>0</v>
      </c>
      <c r="AA61" s="19">
        <v>0</v>
      </c>
      <c r="AB61" s="19">
        <v>438</v>
      </c>
      <c r="AC61" s="19">
        <v>0</v>
      </c>
      <c r="AD61" s="19">
        <v>0</v>
      </c>
      <c r="AE61" s="19">
        <v>0</v>
      </c>
      <c r="AF61" s="19">
        <v>0</v>
      </c>
      <c r="AG61" s="19">
        <v>0</v>
      </c>
      <c r="AH61" s="19">
        <v>0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</row>
    <row r="62" spans="1:39" x14ac:dyDescent="0.25">
      <c r="A62" t="s">
        <v>5</v>
      </c>
      <c r="B62" t="str">
        <f>TRIM(D1_NOVIEMBRE[[#This Row],[ASESOR]])</f>
        <v/>
      </c>
      <c r="E6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62" t="str">
        <f>IFERROR(VLOOKUP(D1_NOVIEMBRE[[#This Row],[ASESOR_CRR]],Tabla1[],2,0),D1_NOVIEMBRE[[#This Row],[SUPER]])</f>
        <v>JORDAN</v>
      </c>
      <c r="L62">
        <v>9</v>
      </c>
      <c r="M62" s="1">
        <f t="shared" si="2"/>
        <v>0</v>
      </c>
      <c r="N62" t="str" cm="1">
        <f t="array" ref="N62">IFERROR(_xlfn.IFS(M62&gt;100%,"&gt;100%",AND(M62&lt;100%,M62&gt;70%),"&gt;70%",AND(M62&lt;70%,M62&gt;40%),"&gt;40%",AND(M62&lt;40%,M62&gt;0%),"&gt;0%"),"")</f>
        <v/>
      </c>
      <c r="O62" t="str">
        <f t="shared" si="3"/>
        <v/>
      </c>
      <c r="P62" t="str">
        <f>IF(DATA_NOVIEMBRE_2025[[#This Row],[ASER_]]="","",F56)</f>
        <v/>
      </c>
      <c r="Q62" t="str">
        <f>IF(DATA_NOVIEMBRE_2025[[#This Row],[SUPERVISOR]]="","",D56)</f>
        <v/>
      </c>
      <c r="R62" t="str">
        <f>IF(DATA_NOVIEMBRE_2025[[#This Row],[RECUPERO]]="","",VLOOKUP(DATA_NOVIEMBRE_2025[[#This Row],[SUPERVISOR]],$H:$I,2,0))</f>
        <v/>
      </c>
      <c r="S62" s="19" t="s">
        <v>189</v>
      </c>
      <c r="T62" s="19" t="s">
        <v>189</v>
      </c>
      <c r="U62" s="19" t="s">
        <v>189</v>
      </c>
      <c r="V62" s="19" t="s">
        <v>189</v>
      </c>
      <c r="W62" s="19" t="s">
        <v>189</v>
      </c>
      <c r="X62" s="19" t="s">
        <v>189</v>
      </c>
      <c r="Y62" s="19" t="s">
        <v>189</v>
      </c>
      <c r="Z62" s="19" t="s">
        <v>189</v>
      </c>
      <c r="AA62" s="19" t="s">
        <v>189</v>
      </c>
      <c r="AB62" s="19" t="s">
        <v>189</v>
      </c>
      <c r="AC62" s="19" t="s">
        <v>189</v>
      </c>
      <c r="AD62" s="19" t="s">
        <v>189</v>
      </c>
      <c r="AE62" s="19" t="s">
        <v>189</v>
      </c>
      <c r="AF62" s="19" t="s">
        <v>189</v>
      </c>
      <c r="AG62" s="19" t="s">
        <v>189</v>
      </c>
      <c r="AH62" s="19" t="s">
        <v>189</v>
      </c>
      <c r="AI62" s="19" t="s">
        <v>189</v>
      </c>
      <c r="AJ62" s="19" t="s">
        <v>189</v>
      </c>
      <c r="AK62" s="19" t="s">
        <v>189</v>
      </c>
      <c r="AL62" s="19" t="s">
        <v>189</v>
      </c>
      <c r="AM62" s="19" t="s">
        <v>189</v>
      </c>
    </row>
    <row r="63" spans="1:39" x14ac:dyDescent="0.25">
      <c r="A63" t="s">
        <v>6</v>
      </c>
      <c r="B63" t="str">
        <f>TRIM(D1_NOVIEMBRE[[#This Row],[ASESOR]])</f>
        <v>ALEIDITH GUEVARA</v>
      </c>
      <c r="C63" t="s">
        <v>18</v>
      </c>
      <c r="D63" s="13">
        <v>50317.58</v>
      </c>
      <c r="E6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1.1701762790697674</v>
      </c>
      <c r="F63" t="str">
        <f>IFERROR(VLOOKUP(D1_NOVIEMBRE[[#This Row],[ASESOR_CRR]],Tabla1[],2,0),D1_NOVIEMBRE[[#This Row],[SUPER]])</f>
        <v>KENNETH BBVA</v>
      </c>
      <c r="L63">
        <v>10</v>
      </c>
      <c r="M63" s="1">
        <f t="shared" si="2"/>
        <v>0</v>
      </c>
      <c r="N63" t="str" cm="1">
        <f t="array" ref="N63">IFERROR(_xlfn.IFS(M63&gt;100%,"&gt;100%",AND(M63&lt;100%,M63&gt;70%),"&gt;70%",AND(M63&lt;70%,M63&gt;40%),"&gt;40%",AND(M63&lt;40%,M63&gt;0%),"&gt;0%"),"")</f>
        <v/>
      </c>
      <c r="O63" t="str">
        <f t="shared" si="3"/>
        <v/>
      </c>
      <c r="P63" t="str">
        <f>IF(DATA_NOVIEMBRE_2025[[#This Row],[ASER_]]="","",F57)</f>
        <v/>
      </c>
      <c r="Q63" t="str">
        <f>IF(DATA_NOVIEMBRE_2025[[#This Row],[SUPERVISOR]]="","",D57)</f>
        <v/>
      </c>
      <c r="R63" t="str">
        <f>IF(DATA_NOVIEMBRE_2025[[#This Row],[RECUPERO]]="","",VLOOKUP(DATA_NOVIEMBRE_2025[[#This Row],[SUPERVISOR]],$H:$I,2,0))</f>
        <v/>
      </c>
      <c r="S63" s="19" t="s">
        <v>189</v>
      </c>
      <c r="T63" s="19" t="s">
        <v>189</v>
      </c>
      <c r="U63" s="19" t="s">
        <v>189</v>
      </c>
      <c r="V63" s="19" t="s">
        <v>189</v>
      </c>
      <c r="W63" s="19" t="s">
        <v>189</v>
      </c>
      <c r="X63" s="19" t="s">
        <v>189</v>
      </c>
      <c r="Y63" s="19" t="s">
        <v>189</v>
      </c>
      <c r="Z63" s="19" t="s">
        <v>189</v>
      </c>
      <c r="AA63" s="19" t="s">
        <v>189</v>
      </c>
      <c r="AB63" s="19" t="s">
        <v>189</v>
      </c>
      <c r="AC63" s="19" t="s">
        <v>189</v>
      </c>
      <c r="AD63" s="19" t="s">
        <v>189</v>
      </c>
      <c r="AE63" s="19" t="s">
        <v>189</v>
      </c>
      <c r="AF63" s="19" t="s">
        <v>189</v>
      </c>
      <c r="AG63" s="19" t="s">
        <v>189</v>
      </c>
      <c r="AH63" s="19" t="s">
        <v>189</v>
      </c>
      <c r="AI63" s="19" t="s">
        <v>189</v>
      </c>
      <c r="AJ63" s="19" t="s">
        <v>189</v>
      </c>
      <c r="AK63" s="19" t="s">
        <v>189</v>
      </c>
      <c r="AL63" s="19" t="s">
        <v>189</v>
      </c>
      <c r="AM63" s="19" t="s">
        <v>189</v>
      </c>
    </row>
    <row r="64" spans="1:39" x14ac:dyDescent="0.25">
      <c r="A64" t="s">
        <v>6</v>
      </c>
      <c r="B64" t="str">
        <f>TRIM(D1_NOVIEMBRE[[#This Row],[ASESOR]])</f>
        <v>FRANCO HUAMANI</v>
      </c>
      <c r="C64" t="s">
        <v>24</v>
      </c>
      <c r="D64" s="13">
        <v>36043</v>
      </c>
      <c r="E6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0.83820930232558144</v>
      </c>
      <c r="F64" t="str">
        <f>IFERROR(VLOOKUP(D1_NOVIEMBRE[[#This Row],[ASESOR_CRR]],Tabla1[],2,0),D1_NOVIEMBRE[[#This Row],[SUPER]])</f>
        <v>KENNETH BBVA</v>
      </c>
      <c r="L64">
        <v>11</v>
      </c>
      <c r="M64" s="1">
        <f t="shared" si="2"/>
        <v>0</v>
      </c>
      <c r="N64" t="str" cm="1">
        <f t="array" ref="N64">IFERROR(_xlfn.IFS(M64&gt;100%,"&gt;100%",AND(M64&lt;100%,M64&gt;70%),"&gt;70%",AND(M64&lt;70%,M64&gt;40%),"&gt;40%",AND(M64&lt;40%,M64&gt;0%),"&gt;0%"),"")</f>
        <v/>
      </c>
      <c r="O64" t="str">
        <f t="shared" si="3"/>
        <v/>
      </c>
      <c r="P64" t="str">
        <f>IF(DATA_NOVIEMBRE_2025[[#This Row],[ASER_]]="","",F58)</f>
        <v/>
      </c>
      <c r="Q64" t="str">
        <f>IF(DATA_NOVIEMBRE_2025[[#This Row],[SUPERVISOR]]="","",D58)</f>
        <v/>
      </c>
      <c r="R64" t="str">
        <f>IF(DATA_NOVIEMBRE_2025[[#This Row],[RECUPERO]]="","",VLOOKUP(DATA_NOVIEMBRE_2025[[#This Row],[SUPERVISOR]],$H:$I,2,0))</f>
        <v/>
      </c>
      <c r="S64" s="19" t="s">
        <v>189</v>
      </c>
      <c r="T64" s="19" t="s">
        <v>189</v>
      </c>
      <c r="U64" s="19" t="s">
        <v>189</v>
      </c>
      <c r="V64" s="19" t="s">
        <v>189</v>
      </c>
      <c r="W64" s="19" t="s">
        <v>189</v>
      </c>
      <c r="X64" s="19" t="s">
        <v>189</v>
      </c>
      <c r="Y64" s="19" t="s">
        <v>189</v>
      </c>
      <c r="Z64" s="19" t="s">
        <v>189</v>
      </c>
      <c r="AA64" s="19" t="s">
        <v>189</v>
      </c>
      <c r="AB64" s="19" t="s">
        <v>189</v>
      </c>
      <c r="AC64" s="19" t="s">
        <v>189</v>
      </c>
      <c r="AD64" s="19" t="s">
        <v>189</v>
      </c>
      <c r="AE64" s="19" t="s">
        <v>189</v>
      </c>
      <c r="AF64" s="19" t="s">
        <v>189</v>
      </c>
      <c r="AG64" s="19" t="s">
        <v>189</v>
      </c>
      <c r="AH64" s="19" t="s">
        <v>189</v>
      </c>
      <c r="AI64" s="19" t="s">
        <v>189</v>
      </c>
      <c r="AJ64" s="19" t="s">
        <v>189</v>
      </c>
      <c r="AK64" s="19" t="s">
        <v>189</v>
      </c>
      <c r="AL64" s="19" t="s">
        <v>189</v>
      </c>
      <c r="AM64" s="19" t="s">
        <v>189</v>
      </c>
    </row>
    <row r="65" spans="1:39" x14ac:dyDescent="0.25">
      <c r="A65" t="s">
        <v>6</v>
      </c>
      <c r="B65" t="str">
        <f>TRIM(D1_NOVIEMBRE[[#This Row],[ASESOR]])</f>
        <v>CRISTINA TICONA</v>
      </c>
      <c r="C65" t="s">
        <v>61</v>
      </c>
      <c r="D65" s="13">
        <v>6100</v>
      </c>
      <c r="E6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0.14186046511627906</v>
      </c>
      <c r="F65" t="str">
        <f>IFERROR(VLOOKUP(D1_NOVIEMBRE[[#This Row],[ASESOR_CRR]],Tabla1[],2,0),D1_NOVIEMBRE[[#This Row],[SUPER]])</f>
        <v>KENNETH BBVA</v>
      </c>
      <c r="L65">
        <v>12</v>
      </c>
      <c r="M65" s="1">
        <f t="shared" si="2"/>
        <v>0</v>
      </c>
      <c r="N65" t="str" cm="1">
        <f t="array" ref="N65">IFERROR(_xlfn.IFS(M65&gt;100%,"&gt;100%",AND(M65&lt;100%,M65&gt;70%),"&gt;70%",AND(M65&lt;70%,M65&gt;40%),"&gt;40%",AND(M65&lt;40%,M65&gt;0%),"&gt;0%"),"")</f>
        <v/>
      </c>
      <c r="O65" t="str">
        <f t="shared" si="3"/>
        <v/>
      </c>
      <c r="P65" t="str">
        <f>IF(DATA_NOVIEMBRE_2025[[#This Row],[ASER_]]="","",F59)</f>
        <v/>
      </c>
      <c r="Q65" t="str">
        <f>IF(DATA_NOVIEMBRE_2025[[#This Row],[SUPERVISOR]]="","",D59)</f>
        <v/>
      </c>
      <c r="R65" t="str">
        <f>IF(DATA_NOVIEMBRE_2025[[#This Row],[RECUPERO]]="","",VLOOKUP(DATA_NOVIEMBRE_2025[[#This Row],[SUPERVISOR]],$H:$I,2,0))</f>
        <v/>
      </c>
      <c r="S65" s="19" t="s">
        <v>189</v>
      </c>
      <c r="T65" s="19" t="s">
        <v>189</v>
      </c>
      <c r="U65" s="19" t="s">
        <v>189</v>
      </c>
      <c r="V65" s="19" t="s">
        <v>189</v>
      </c>
      <c r="W65" s="19" t="s">
        <v>189</v>
      </c>
      <c r="X65" s="19" t="s">
        <v>189</v>
      </c>
      <c r="Y65" s="19" t="s">
        <v>189</v>
      </c>
      <c r="Z65" s="19" t="s">
        <v>189</v>
      </c>
      <c r="AA65" s="19" t="s">
        <v>189</v>
      </c>
      <c r="AB65" s="19" t="s">
        <v>189</v>
      </c>
      <c r="AC65" s="19" t="s">
        <v>189</v>
      </c>
      <c r="AD65" s="19" t="s">
        <v>189</v>
      </c>
      <c r="AE65" s="19" t="s">
        <v>189</v>
      </c>
      <c r="AF65" s="19" t="s">
        <v>189</v>
      </c>
      <c r="AG65" s="19" t="s">
        <v>189</v>
      </c>
      <c r="AH65" s="19" t="s">
        <v>189</v>
      </c>
      <c r="AI65" s="19" t="s">
        <v>189</v>
      </c>
      <c r="AJ65" s="19" t="s">
        <v>189</v>
      </c>
      <c r="AK65" s="19" t="s">
        <v>189</v>
      </c>
      <c r="AL65" s="19" t="s">
        <v>189</v>
      </c>
      <c r="AM65" s="19" t="s">
        <v>189</v>
      </c>
    </row>
    <row r="66" spans="1:39" x14ac:dyDescent="0.25">
      <c r="A66" t="s">
        <v>6</v>
      </c>
      <c r="B66" t="str">
        <f>TRIM(D1_NOVIEMBRE[[#This Row],[ASESOR]])</f>
        <v>URSULA CENTENO</v>
      </c>
      <c r="C66" t="s">
        <v>78</v>
      </c>
      <c r="D66" s="13">
        <v>2900</v>
      </c>
      <c r="E6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6.7441860465116285E-2</v>
      </c>
      <c r="F66" t="str">
        <f>IFERROR(VLOOKUP(D1_NOVIEMBRE[[#This Row],[ASESOR_CRR]],Tabla1[],2,0),D1_NOVIEMBRE[[#This Row],[SUPER]])</f>
        <v>KENNETH BBVA</v>
      </c>
      <c r="L66">
        <v>13</v>
      </c>
      <c r="M66" s="1">
        <f t="shared" si="2"/>
        <v>0</v>
      </c>
      <c r="N66" t="str" cm="1">
        <f t="array" ref="N66">IFERROR(_xlfn.IFS(M66&gt;100%,"&gt;100%",AND(M66&lt;100%,M66&gt;70%),"&gt;70%",AND(M66&lt;70%,M66&gt;40%),"&gt;40%",AND(M66&lt;40%,M66&gt;0%),"&gt;0%"),"")</f>
        <v/>
      </c>
      <c r="O66" t="str">
        <f t="shared" si="3"/>
        <v/>
      </c>
      <c r="P66" t="str">
        <f>IF(DATA_NOVIEMBRE_2025[[#This Row],[ASER_]]="","",F60)</f>
        <v/>
      </c>
      <c r="Q66" t="str">
        <f>IF(DATA_NOVIEMBRE_2025[[#This Row],[SUPERVISOR]]="","",D60)</f>
        <v/>
      </c>
      <c r="R66" t="str">
        <f>IF(DATA_NOVIEMBRE_2025[[#This Row],[RECUPERO]]="","",VLOOKUP(DATA_NOVIEMBRE_2025[[#This Row],[SUPERVISOR]],$H:$I,2,0))</f>
        <v/>
      </c>
      <c r="S66" s="19" t="s">
        <v>189</v>
      </c>
      <c r="T66" s="19" t="s">
        <v>189</v>
      </c>
      <c r="U66" s="19" t="s">
        <v>189</v>
      </c>
      <c r="V66" s="19" t="s">
        <v>189</v>
      </c>
      <c r="W66" s="19" t="s">
        <v>189</v>
      </c>
      <c r="X66" s="19" t="s">
        <v>189</v>
      </c>
      <c r="Y66" s="19" t="s">
        <v>189</v>
      </c>
      <c r="Z66" s="19" t="s">
        <v>189</v>
      </c>
      <c r="AA66" s="19" t="s">
        <v>189</v>
      </c>
      <c r="AB66" s="19" t="s">
        <v>189</v>
      </c>
      <c r="AC66" s="19" t="s">
        <v>189</v>
      </c>
      <c r="AD66" s="19" t="s">
        <v>189</v>
      </c>
      <c r="AE66" s="19" t="s">
        <v>189</v>
      </c>
      <c r="AF66" s="19" t="s">
        <v>189</v>
      </c>
      <c r="AG66" s="19" t="s">
        <v>189</v>
      </c>
      <c r="AH66" s="19" t="s">
        <v>189</v>
      </c>
      <c r="AI66" s="19" t="s">
        <v>189</v>
      </c>
      <c r="AJ66" s="19" t="s">
        <v>189</v>
      </c>
      <c r="AK66" s="19" t="s">
        <v>189</v>
      </c>
      <c r="AL66" s="19" t="s">
        <v>189</v>
      </c>
      <c r="AM66" s="19" t="s">
        <v>189</v>
      </c>
    </row>
    <row r="67" spans="1:39" x14ac:dyDescent="0.25">
      <c r="A67" t="s">
        <v>6</v>
      </c>
      <c r="B67" t="str">
        <f>TRIM(D1_NOVIEMBRE[[#This Row],[ASESOR]])</f>
        <v>KIARA CANEPA</v>
      </c>
      <c r="C67" t="s">
        <v>50</v>
      </c>
      <c r="D67" s="13">
        <v>27135</v>
      </c>
      <c r="E6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1.3567499999999999</v>
      </c>
      <c r="F67" t="str">
        <f>IFERROR(VLOOKUP(D1_NOVIEMBRE[[#This Row],[ASESOR_CRR]],Tabla1[],2,0),D1_NOVIEMBRE[[#This Row],[SUPER]])</f>
        <v>KENNETH IBK</v>
      </c>
      <c r="L67">
        <v>14</v>
      </c>
      <c r="M67" s="1">
        <f t="shared" si="2"/>
        <v>0</v>
      </c>
      <c r="N67" t="str" cm="1">
        <f t="array" ref="N67">IFERROR(_xlfn.IFS(M67&gt;100%,"&gt;100%",AND(M67&lt;100%,M67&gt;70%),"&gt;70%",AND(M67&lt;70%,M67&gt;40%),"&gt;40%",AND(M67&lt;40%,M67&gt;0%),"&gt;0%"),"")</f>
        <v/>
      </c>
      <c r="O67" t="str">
        <f t="shared" si="3"/>
        <v/>
      </c>
      <c r="P67" t="str">
        <f>IF(DATA_NOVIEMBRE_2025[[#This Row],[ASER_]]="","",F61)</f>
        <v/>
      </c>
      <c r="Q67" t="str">
        <f>IF(DATA_NOVIEMBRE_2025[[#This Row],[SUPERVISOR]]="","",D61)</f>
        <v/>
      </c>
      <c r="R67" t="str">
        <f>IF(DATA_NOVIEMBRE_2025[[#This Row],[RECUPERO]]="","",VLOOKUP(DATA_NOVIEMBRE_2025[[#This Row],[SUPERVISOR]],$H:$I,2,0))</f>
        <v/>
      </c>
      <c r="S67" s="19" t="s">
        <v>189</v>
      </c>
      <c r="T67" s="19" t="s">
        <v>189</v>
      </c>
      <c r="U67" s="19" t="s">
        <v>189</v>
      </c>
      <c r="V67" s="19" t="s">
        <v>189</v>
      </c>
      <c r="W67" s="19" t="s">
        <v>189</v>
      </c>
      <c r="X67" s="19" t="s">
        <v>189</v>
      </c>
      <c r="Y67" s="19" t="s">
        <v>189</v>
      </c>
      <c r="Z67" s="19" t="s">
        <v>189</v>
      </c>
      <c r="AA67" s="19" t="s">
        <v>189</v>
      </c>
      <c r="AB67" s="19" t="s">
        <v>189</v>
      </c>
      <c r="AC67" s="19" t="s">
        <v>189</v>
      </c>
      <c r="AD67" s="19" t="s">
        <v>189</v>
      </c>
      <c r="AE67" s="19" t="s">
        <v>189</v>
      </c>
      <c r="AF67" s="19" t="s">
        <v>189</v>
      </c>
      <c r="AG67" s="19" t="s">
        <v>189</v>
      </c>
      <c r="AH67" s="19" t="s">
        <v>189</v>
      </c>
      <c r="AI67" s="19" t="s">
        <v>189</v>
      </c>
      <c r="AJ67" s="19" t="s">
        <v>189</v>
      </c>
      <c r="AK67" s="19" t="s">
        <v>189</v>
      </c>
      <c r="AL67" s="19" t="s">
        <v>189</v>
      </c>
      <c r="AM67" s="19" t="s">
        <v>189</v>
      </c>
    </row>
    <row r="68" spans="1:39" x14ac:dyDescent="0.25">
      <c r="A68" t="s">
        <v>6</v>
      </c>
      <c r="B68" t="str">
        <f>TRIM(D1_NOVIEMBRE[[#This Row],[ASESOR]])</f>
        <v>JUAN LOZA</v>
      </c>
      <c r="C68" t="s">
        <v>35</v>
      </c>
      <c r="D68" s="13">
        <v>18960</v>
      </c>
      <c r="E6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0.94799999999999995</v>
      </c>
      <c r="F68" t="str">
        <f>IFERROR(VLOOKUP(D1_NOVIEMBRE[[#This Row],[ASESOR_CRR]],Tabla1[],2,0),D1_NOVIEMBRE[[#This Row],[SUPER]])</f>
        <v>KENNETH IBK</v>
      </c>
      <c r="L68">
        <v>15</v>
      </c>
      <c r="M68" s="1">
        <f t="shared" si="2"/>
        <v>0</v>
      </c>
      <c r="N68" t="str" cm="1">
        <f t="array" ref="N68">IFERROR(_xlfn.IFS(M68&gt;100%,"&gt;100%",AND(M68&lt;100%,M68&gt;70%),"&gt;70%",AND(M68&lt;70%,M68&gt;40%),"&gt;40%",AND(M68&lt;40%,M68&gt;0%),"&gt;0%"),"")</f>
        <v/>
      </c>
      <c r="O68" t="str">
        <f t="shared" si="3"/>
        <v/>
      </c>
      <c r="P68" t="str">
        <f>IF(DATA_NOVIEMBRE_2025[[#This Row],[ASER_]]="","",F62)</f>
        <v/>
      </c>
      <c r="Q68" t="str">
        <f>IF(DATA_NOVIEMBRE_2025[[#This Row],[SUPERVISOR]]="","",D62)</f>
        <v/>
      </c>
      <c r="R68" t="str">
        <f>IF(DATA_NOVIEMBRE_2025[[#This Row],[RECUPERO]]="","",VLOOKUP(DATA_NOVIEMBRE_2025[[#This Row],[SUPERVISOR]],$H:$I,2,0))</f>
        <v/>
      </c>
      <c r="S68" s="19" t="s">
        <v>189</v>
      </c>
      <c r="T68" s="19" t="s">
        <v>189</v>
      </c>
      <c r="U68" s="19" t="s">
        <v>189</v>
      </c>
      <c r="V68" s="19" t="s">
        <v>189</v>
      </c>
      <c r="W68" s="19" t="s">
        <v>189</v>
      </c>
      <c r="X68" s="19" t="s">
        <v>189</v>
      </c>
      <c r="Y68" s="19" t="s">
        <v>189</v>
      </c>
      <c r="Z68" s="19" t="s">
        <v>189</v>
      </c>
      <c r="AA68" s="19" t="s">
        <v>189</v>
      </c>
      <c r="AB68" s="19" t="s">
        <v>189</v>
      </c>
      <c r="AC68" s="19" t="s">
        <v>189</v>
      </c>
      <c r="AD68" s="19" t="s">
        <v>189</v>
      </c>
      <c r="AE68" s="19" t="s">
        <v>189</v>
      </c>
      <c r="AF68" s="19" t="s">
        <v>189</v>
      </c>
      <c r="AG68" s="19" t="s">
        <v>189</v>
      </c>
      <c r="AH68" s="19" t="s">
        <v>189</v>
      </c>
      <c r="AI68" s="19" t="s">
        <v>189</v>
      </c>
      <c r="AJ68" s="19" t="s">
        <v>189</v>
      </c>
      <c r="AK68" s="19" t="s">
        <v>189</v>
      </c>
      <c r="AL68" s="19" t="s">
        <v>189</v>
      </c>
      <c r="AM68" s="19" t="s">
        <v>189</v>
      </c>
    </row>
    <row r="69" spans="1:39" x14ac:dyDescent="0.25">
      <c r="A69" t="s">
        <v>6</v>
      </c>
      <c r="B69" t="str">
        <f>TRIM(D1_NOVIEMBRE[[#This Row],[ASESOR]])</f>
        <v>MILAGROS QUIO</v>
      </c>
      <c r="C69" t="s">
        <v>11</v>
      </c>
      <c r="D69" s="13">
        <v>11096</v>
      </c>
      <c r="E6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0.55479999999999996</v>
      </c>
      <c r="F69" t="str">
        <f>IFERROR(VLOOKUP(D1_NOVIEMBRE[[#This Row],[ASESOR_CRR]],Tabla1[],2,0),D1_NOVIEMBRE[[#This Row],[SUPER]])</f>
        <v>KENNETH IBK</v>
      </c>
      <c r="L69">
        <v>1</v>
      </c>
      <c r="M69" s="1">
        <f t="shared" si="2"/>
        <v>1.1701762790697674</v>
      </c>
      <c r="N69" t="str" cm="1">
        <f t="array" ref="N69">IFERROR(_xlfn.IFS(M69&gt;100%,"&gt;100%",AND(M69&lt;100%,M69&gt;70%),"&gt;70%",AND(M69&lt;70%,M69&gt;40%),"&gt;40%",AND(M69&lt;40%,M69&gt;0%),"&gt;0%"),"")</f>
        <v>&gt;100%</v>
      </c>
      <c r="O69" t="str">
        <f t="shared" si="3"/>
        <v>ALEIDITH GUEVARA</v>
      </c>
      <c r="P69" t="str">
        <f>IF(DATA_NOVIEMBRE_2025[[#This Row],[ASER_]]="","",F63)</f>
        <v>KENNETH BBVA</v>
      </c>
      <c r="Q69">
        <f>IF(DATA_NOVIEMBRE_2025[[#This Row],[SUPERVISOR]]="","",D63)</f>
        <v>50317.58</v>
      </c>
      <c r="R69">
        <f>IF(DATA_NOVIEMBRE_2025[[#This Row],[RECUPERO]]="","",VLOOKUP(DATA_NOVIEMBRE_2025[[#This Row],[SUPERVISOR]],$H:$I,2,0))</f>
        <v>43000</v>
      </c>
      <c r="S69" s="19">
        <v>8000</v>
      </c>
      <c r="T69" s="19">
        <v>4050</v>
      </c>
      <c r="U69" s="19">
        <v>0</v>
      </c>
      <c r="V69" s="19">
        <v>16267.58</v>
      </c>
      <c r="W69" s="19">
        <v>0</v>
      </c>
      <c r="X69" s="19">
        <v>0</v>
      </c>
      <c r="Y69" s="19">
        <v>3000</v>
      </c>
      <c r="Z69" s="19">
        <v>7000</v>
      </c>
      <c r="AA69" s="19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0</v>
      </c>
      <c r="AK69" s="19">
        <v>0</v>
      </c>
      <c r="AL69" s="19">
        <v>0</v>
      </c>
      <c r="AM69" s="19">
        <v>0</v>
      </c>
    </row>
    <row r="70" spans="1:39" x14ac:dyDescent="0.25">
      <c r="A70" t="s">
        <v>6</v>
      </c>
      <c r="B70" t="str">
        <f>TRIM(D1_NOVIEMBRE[[#This Row],[ASESOR]])</f>
        <v>JHONATAN CHAVEZ</v>
      </c>
      <c r="C70" t="s">
        <v>65</v>
      </c>
      <c r="D70" s="13">
        <v>9075</v>
      </c>
      <c r="E7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0.45374999999999999</v>
      </c>
      <c r="F70" t="str">
        <f>IFERROR(VLOOKUP(D1_NOVIEMBRE[[#This Row],[ASESOR_CRR]],Tabla1[],2,0),D1_NOVIEMBRE[[#This Row],[SUPER]])</f>
        <v>KENNETH IBK</v>
      </c>
      <c r="L70">
        <v>2</v>
      </c>
      <c r="M70" s="1">
        <f t="shared" si="2"/>
        <v>0.83820930232558144</v>
      </c>
      <c r="N70" t="str" cm="1">
        <f t="array" ref="N70">IFERROR(_xlfn.IFS(M70&gt;100%,"&gt;100%",AND(M70&lt;100%,M70&gt;70%),"&gt;70%",AND(M70&lt;70%,M70&gt;40%),"&gt;40%",AND(M70&lt;40%,M70&gt;0%),"&gt;0%"),"")</f>
        <v>&gt;70%</v>
      </c>
      <c r="O70" t="str">
        <f t="shared" si="3"/>
        <v>FRANCO HUAMANI</v>
      </c>
      <c r="P70" t="str">
        <f>IF(DATA_NOVIEMBRE_2025[[#This Row],[ASER_]]="","",F64)</f>
        <v>KENNETH BBVA</v>
      </c>
      <c r="Q70">
        <f>IF(DATA_NOVIEMBRE_2025[[#This Row],[SUPERVISOR]]="","",D64)</f>
        <v>36043</v>
      </c>
      <c r="R70">
        <f>IF(DATA_NOVIEMBRE_2025[[#This Row],[RECUPERO]]="","",VLOOKUP(DATA_NOVIEMBRE_2025[[#This Row],[SUPERVISOR]],$H:$I,2,0))</f>
        <v>43000</v>
      </c>
      <c r="S70" s="19">
        <v>0</v>
      </c>
      <c r="T70" s="19">
        <v>0</v>
      </c>
      <c r="U70" s="19">
        <v>0</v>
      </c>
      <c r="V70" s="19">
        <v>0</v>
      </c>
      <c r="W70" s="19">
        <v>4843</v>
      </c>
      <c r="X70" s="19">
        <v>1000</v>
      </c>
      <c r="Y70" s="19">
        <v>12500</v>
      </c>
      <c r="Z70" s="19">
        <v>1200</v>
      </c>
      <c r="AA70" s="19">
        <v>4000</v>
      </c>
      <c r="AB70" s="19">
        <v>0</v>
      </c>
      <c r="AC70" s="19">
        <v>0</v>
      </c>
      <c r="AD70" s="19">
        <v>0</v>
      </c>
      <c r="AE70" s="19">
        <v>0</v>
      </c>
      <c r="AF70" s="19">
        <v>0</v>
      </c>
      <c r="AG70" s="19">
        <v>0</v>
      </c>
      <c r="AH70" s="19">
        <v>0</v>
      </c>
      <c r="AI70" s="19">
        <v>0</v>
      </c>
      <c r="AJ70" s="19">
        <v>0</v>
      </c>
      <c r="AK70" s="19">
        <v>0</v>
      </c>
      <c r="AL70" s="19">
        <v>0</v>
      </c>
      <c r="AM70" s="19">
        <v>0</v>
      </c>
    </row>
    <row r="71" spans="1:39" x14ac:dyDescent="0.25">
      <c r="A71" t="s">
        <v>6</v>
      </c>
      <c r="B71" t="str">
        <f>TRIM(D1_NOVIEMBRE[[#This Row],[ASESOR]])</f>
        <v>JENY LAZARO</v>
      </c>
      <c r="C71" t="s">
        <v>26</v>
      </c>
      <c r="D71" s="13">
        <v>5113</v>
      </c>
      <c r="E7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0.25564999999999999</v>
      </c>
      <c r="F71" t="str">
        <f>IFERROR(VLOOKUP(D1_NOVIEMBRE[[#This Row],[ASESOR_CRR]],Tabla1[],2,0),D1_NOVIEMBRE[[#This Row],[SUPER]])</f>
        <v>KENNETH IBK</v>
      </c>
      <c r="L71">
        <v>3</v>
      </c>
      <c r="M71" s="1">
        <f t="shared" si="2"/>
        <v>0.14186046511627906</v>
      </c>
      <c r="N71" t="str" cm="1">
        <f t="array" ref="N71">IFERROR(_xlfn.IFS(M71&gt;100%,"&gt;100%",AND(M71&lt;100%,M71&gt;70%),"&gt;70%",AND(M71&lt;70%,M71&gt;40%),"&gt;40%",AND(M71&lt;40%,M71&gt;0%),"&gt;0%"),"")</f>
        <v>&gt;0%</v>
      </c>
      <c r="O71" t="str">
        <f t="shared" si="3"/>
        <v>CRISTINA TICONA</v>
      </c>
      <c r="P71" t="str">
        <f>IF(DATA_NOVIEMBRE_2025[[#This Row],[ASER_]]="","",F65)</f>
        <v>KENNETH BBVA</v>
      </c>
      <c r="Q71">
        <f>IF(DATA_NOVIEMBRE_2025[[#This Row],[SUPERVISOR]]="","",D65)</f>
        <v>6100</v>
      </c>
      <c r="R71">
        <f>IF(DATA_NOVIEMBRE_2025[[#This Row],[RECUPERO]]="","",VLOOKUP(DATA_NOVIEMBRE_2025[[#This Row],[SUPERVISOR]],$H:$I,2,0))</f>
        <v>43000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4500</v>
      </c>
      <c r="Y71" s="19">
        <v>0</v>
      </c>
      <c r="Z71" s="19">
        <v>0</v>
      </c>
      <c r="AA71" s="19">
        <v>0</v>
      </c>
      <c r="AB71" s="19">
        <v>0</v>
      </c>
      <c r="AC71" s="19">
        <v>0</v>
      </c>
      <c r="AD71" s="19">
        <v>0</v>
      </c>
      <c r="AE71" s="19">
        <v>0</v>
      </c>
      <c r="AF71" s="19">
        <v>0</v>
      </c>
      <c r="AG71" s="19">
        <v>0</v>
      </c>
      <c r="AH71" s="19">
        <v>0</v>
      </c>
      <c r="AI71" s="19">
        <v>0</v>
      </c>
      <c r="AJ71" s="19">
        <v>0</v>
      </c>
      <c r="AK71" s="19">
        <v>0</v>
      </c>
      <c r="AL71" s="19">
        <v>0</v>
      </c>
      <c r="AM71" s="19">
        <v>0</v>
      </c>
    </row>
    <row r="72" spans="1:39" x14ac:dyDescent="0.25">
      <c r="A72" t="s">
        <v>6</v>
      </c>
      <c r="B72" t="str">
        <f>TRIM(D1_NOVIEMBRE[[#This Row],[ASESOR]])</f>
        <v>DAVID SANCHEZ</v>
      </c>
      <c r="C72" t="s">
        <v>81</v>
      </c>
      <c r="D72" s="13">
        <v>3410</v>
      </c>
      <c r="E7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0.17050000000000001</v>
      </c>
      <c r="F72" t="str">
        <f>IFERROR(VLOOKUP(D1_NOVIEMBRE[[#This Row],[ASESOR_CRR]],Tabla1[],2,0),D1_NOVIEMBRE[[#This Row],[SUPER]])</f>
        <v>KENNETH IBK</v>
      </c>
      <c r="L72">
        <v>4</v>
      </c>
      <c r="M72" s="1">
        <f t="shared" si="2"/>
        <v>6.7441860465116285E-2</v>
      </c>
      <c r="N72" t="str" cm="1">
        <f t="array" ref="N72">IFERROR(_xlfn.IFS(M72&gt;100%,"&gt;100%",AND(M72&lt;100%,M72&gt;70%),"&gt;70%",AND(M72&lt;70%,M72&gt;40%),"&gt;40%",AND(M72&lt;40%,M72&gt;0%),"&gt;0%"),"")</f>
        <v>&gt;0%</v>
      </c>
      <c r="O72" t="str">
        <f t="shared" si="3"/>
        <v>URSULA CENTENO</v>
      </c>
      <c r="P72" t="str">
        <f>IF(DATA_NOVIEMBRE_2025[[#This Row],[ASER_]]="","",F66)</f>
        <v>KENNETH BBVA</v>
      </c>
      <c r="Q72">
        <f>IF(DATA_NOVIEMBRE_2025[[#This Row],[SUPERVISOR]]="","",D66)</f>
        <v>2900</v>
      </c>
      <c r="R72">
        <f>IF(DATA_NOVIEMBRE_2025[[#This Row],[RECUPERO]]="","",VLOOKUP(DATA_NOVIEMBRE_2025[[#This Row],[SUPERVISOR]],$H:$I,2,0))</f>
        <v>43000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1000</v>
      </c>
      <c r="Y72" s="19">
        <v>0</v>
      </c>
      <c r="Z72" s="19">
        <v>700</v>
      </c>
      <c r="AA72" s="19">
        <v>1200</v>
      </c>
      <c r="AB72" s="19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9">
        <v>0</v>
      </c>
      <c r="AK72" s="19">
        <v>0</v>
      </c>
      <c r="AL72" s="19">
        <v>0</v>
      </c>
      <c r="AM72" s="19">
        <v>0</v>
      </c>
    </row>
    <row r="73" spans="1:39" x14ac:dyDescent="0.25">
      <c r="A73" t="s">
        <v>6</v>
      </c>
      <c r="B73" t="str">
        <f>TRIM(D1_NOVIEMBRE[[#This Row],[ASESOR]])</f>
        <v>CARMEN PUMA</v>
      </c>
      <c r="C73" t="s">
        <v>19</v>
      </c>
      <c r="D73" s="13">
        <v>2910</v>
      </c>
      <c r="E7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0.14549999999999999</v>
      </c>
      <c r="F73" t="str">
        <f>IFERROR(VLOOKUP(D1_NOVIEMBRE[[#This Row],[ASESOR_CRR]],Tabla1[],2,0),D1_NOVIEMBRE[[#This Row],[SUPER]])</f>
        <v>KENNETH IBK</v>
      </c>
      <c r="L73">
        <v>5</v>
      </c>
      <c r="M73" s="1">
        <f t="shared" ref="M73:M97" si="4">E67</f>
        <v>1.3567499999999999</v>
      </c>
      <c r="N73" t="str" cm="1">
        <f t="array" ref="N73">IFERROR(_xlfn.IFS(M73&gt;100%,"&gt;100%",AND(M73&lt;100%,M73&gt;70%),"&gt;70%",AND(M73&lt;70%,M73&gt;40%),"&gt;40%",AND(M73&lt;40%,M73&gt;0%),"&gt;0%"),"")</f>
        <v>&gt;100%</v>
      </c>
      <c r="O73" t="str">
        <f t="shared" ref="O73:O97" si="5">B67</f>
        <v>KIARA CANEPA</v>
      </c>
      <c r="P73" t="str">
        <f>IF(DATA_NOVIEMBRE_2025[[#This Row],[ASER_]]="","",F67)</f>
        <v>KENNETH IBK</v>
      </c>
      <c r="Q73">
        <f>IF(DATA_NOVIEMBRE_2025[[#This Row],[SUPERVISOR]]="","",D67)</f>
        <v>27135</v>
      </c>
      <c r="R73">
        <f>IF(DATA_NOVIEMBRE_2025[[#This Row],[RECUPERO]]="","",VLOOKUP(DATA_NOVIEMBRE_2025[[#This Row],[SUPERVISOR]],$H:$I,2,0))</f>
        <v>20000</v>
      </c>
      <c r="S73" s="19">
        <v>0</v>
      </c>
      <c r="T73" s="19">
        <v>0</v>
      </c>
      <c r="U73" s="19">
        <v>10000</v>
      </c>
      <c r="V73" s="19">
        <v>0</v>
      </c>
      <c r="W73" s="19">
        <v>350</v>
      </c>
      <c r="X73" s="19">
        <v>14435</v>
      </c>
      <c r="Y73" s="19">
        <v>1350</v>
      </c>
      <c r="Z73" s="19">
        <v>0</v>
      </c>
      <c r="AA73" s="19">
        <v>0</v>
      </c>
      <c r="AB73" s="19">
        <v>1000</v>
      </c>
      <c r="AC73" s="19">
        <v>0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0</v>
      </c>
      <c r="AM73" s="19">
        <v>0</v>
      </c>
    </row>
    <row r="74" spans="1:39" x14ac:dyDescent="0.25">
      <c r="A74" t="s">
        <v>6</v>
      </c>
      <c r="B74" t="str">
        <f>TRIM(D1_NOVIEMBRE[[#This Row],[ASESOR]])</f>
        <v>CHRISTIAN ALVARADO</v>
      </c>
      <c r="C74" t="s">
        <v>41</v>
      </c>
      <c r="D74" s="13">
        <v>2300</v>
      </c>
      <c r="E7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0.115</v>
      </c>
      <c r="F74" t="str">
        <f>IFERROR(VLOOKUP(D1_NOVIEMBRE[[#This Row],[ASESOR_CRR]],Tabla1[],2,0),D1_NOVIEMBRE[[#This Row],[SUPER]])</f>
        <v>KENNETH IBK</v>
      </c>
      <c r="L74">
        <v>6</v>
      </c>
      <c r="M74" s="1">
        <f t="shared" si="4"/>
        <v>0.94799999999999995</v>
      </c>
      <c r="N74" t="str" cm="1">
        <f t="array" ref="N74">IFERROR(_xlfn.IFS(M74&gt;100%,"&gt;100%",AND(M74&lt;100%,M74&gt;70%),"&gt;70%",AND(M74&lt;70%,M74&gt;40%),"&gt;40%",AND(M74&lt;40%,M74&gt;0%),"&gt;0%"),"")</f>
        <v>&gt;70%</v>
      </c>
      <c r="O74" t="str">
        <f t="shared" si="5"/>
        <v>JUAN LOZA</v>
      </c>
      <c r="P74" t="str">
        <f>IF(DATA_NOVIEMBRE_2025[[#This Row],[ASER_]]="","",F68)</f>
        <v>KENNETH IBK</v>
      </c>
      <c r="Q74">
        <f>IF(DATA_NOVIEMBRE_2025[[#This Row],[SUPERVISOR]]="","",D68)</f>
        <v>18960</v>
      </c>
      <c r="R74">
        <f>IF(DATA_NOVIEMBRE_2025[[#This Row],[RECUPERO]]="","",VLOOKUP(DATA_NOVIEMBRE_2025[[#This Row],[SUPERVISOR]],$H:$I,2,0))</f>
        <v>20000</v>
      </c>
      <c r="S74" s="19">
        <v>0</v>
      </c>
      <c r="T74" s="19">
        <v>2200</v>
      </c>
      <c r="U74" s="19">
        <v>0</v>
      </c>
      <c r="V74" s="19">
        <v>0</v>
      </c>
      <c r="W74" s="19">
        <v>7950</v>
      </c>
      <c r="X74" s="19">
        <v>0</v>
      </c>
      <c r="Y74" s="19">
        <v>270</v>
      </c>
      <c r="Z74" s="19">
        <v>2225</v>
      </c>
      <c r="AA74" s="19">
        <v>1915</v>
      </c>
      <c r="AB74" s="19">
        <v>1000</v>
      </c>
      <c r="AC74" s="19">
        <v>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0</v>
      </c>
      <c r="AL74" s="19">
        <v>0</v>
      </c>
      <c r="AM74" s="19">
        <v>0</v>
      </c>
    </row>
    <row r="75" spans="1:39" x14ac:dyDescent="0.25">
      <c r="A75" t="s">
        <v>6</v>
      </c>
      <c r="B75" t="str">
        <f>TRIM(D1_NOVIEMBRE[[#This Row],[ASESOR]])</f>
        <v>AURORA FAUSTOR</v>
      </c>
      <c r="C75" t="s">
        <v>67</v>
      </c>
      <c r="D75" s="13">
        <v>1522.9</v>
      </c>
      <c r="E7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7.6145000000000004E-2</v>
      </c>
      <c r="F75" t="str">
        <f>IFERROR(VLOOKUP(D1_NOVIEMBRE[[#This Row],[ASESOR_CRR]],Tabla1[],2,0),D1_NOVIEMBRE[[#This Row],[SUPER]])</f>
        <v>KENNETH IBK</v>
      </c>
      <c r="L75">
        <v>7</v>
      </c>
      <c r="M75" s="1">
        <f t="shared" si="4"/>
        <v>0.55479999999999996</v>
      </c>
      <c r="N75" t="str" cm="1">
        <f t="array" ref="N75">IFERROR(_xlfn.IFS(M75&gt;100%,"&gt;100%",AND(M75&lt;100%,M75&gt;70%),"&gt;70%",AND(M75&lt;70%,M75&gt;40%),"&gt;40%",AND(M75&lt;40%,M75&gt;0%),"&gt;0%"),"")</f>
        <v>&gt;40%</v>
      </c>
      <c r="O75" t="str">
        <f t="shared" si="5"/>
        <v>MILAGROS QUIO</v>
      </c>
      <c r="P75" t="str">
        <f>IF(DATA_NOVIEMBRE_2025[[#This Row],[ASER_]]="","",F69)</f>
        <v>KENNETH IBK</v>
      </c>
      <c r="Q75">
        <f>IF(DATA_NOVIEMBRE_2025[[#This Row],[SUPERVISOR]]="","",D69)</f>
        <v>11096</v>
      </c>
      <c r="R75">
        <f>IF(DATA_NOVIEMBRE_2025[[#This Row],[RECUPERO]]="","",VLOOKUP(DATA_NOVIEMBRE_2025[[#This Row],[SUPERVISOR]],$H:$I,2,0))</f>
        <v>20000</v>
      </c>
      <c r="S75" s="19">
        <v>0</v>
      </c>
      <c r="T75" s="19">
        <v>3000</v>
      </c>
      <c r="U75" s="19">
        <v>0</v>
      </c>
      <c r="V75" s="19">
        <v>3150</v>
      </c>
      <c r="W75" s="19">
        <v>0</v>
      </c>
      <c r="X75" s="19">
        <v>0</v>
      </c>
      <c r="Y75" s="19">
        <v>0</v>
      </c>
      <c r="Z75" s="19">
        <v>0</v>
      </c>
      <c r="AA75" s="19">
        <v>1013</v>
      </c>
      <c r="AB75" s="19">
        <v>83</v>
      </c>
      <c r="AC75" s="19">
        <v>0</v>
      </c>
      <c r="AD75" s="19">
        <v>0</v>
      </c>
      <c r="AE75" s="19">
        <v>0</v>
      </c>
      <c r="AF75" s="19">
        <v>0</v>
      </c>
      <c r="AG75" s="19">
        <v>0</v>
      </c>
      <c r="AH75" s="19">
        <v>0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</row>
    <row r="76" spans="1:39" x14ac:dyDescent="0.25">
      <c r="A76" t="s">
        <v>6</v>
      </c>
      <c r="B76" t="str">
        <f>TRIM(D1_NOVIEMBRE[[#This Row],[ASESOR]])</f>
        <v/>
      </c>
      <c r="E7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76" t="str">
        <f>IFERROR(VLOOKUP(D1_NOVIEMBRE[[#This Row],[ASESOR_CRR]],Tabla1[],2,0),D1_NOVIEMBRE[[#This Row],[SUPER]])</f>
        <v>KENNETH</v>
      </c>
      <c r="L76">
        <v>8</v>
      </c>
      <c r="M76" s="1">
        <f t="shared" si="4"/>
        <v>0.45374999999999999</v>
      </c>
      <c r="N76" t="str" cm="1">
        <f t="array" ref="N76">IFERROR(_xlfn.IFS(M76&gt;100%,"&gt;100%",AND(M76&lt;100%,M76&gt;70%),"&gt;70%",AND(M76&lt;70%,M76&gt;40%),"&gt;40%",AND(M76&lt;40%,M76&gt;0%),"&gt;0%"),"")</f>
        <v>&gt;40%</v>
      </c>
      <c r="O76" t="str">
        <f t="shared" si="5"/>
        <v>JHONATAN CHAVEZ</v>
      </c>
      <c r="P76" t="str">
        <f>IF(DATA_NOVIEMBRE_2025[[#This Row],[ASER_]]="","",F70)</f>
        <v>KENNETH IBK</v>
      </c>
      <c r="Q76">
        <f>IF(DATA_NOVIEMBRE_2025[[#This Row],[SUPERVISOR]]="","",D70)</f>
        <v>9075</v>
      </c>
      <c r="R76">
        <f>IF(DATA_NOVIEMBRE_2025[[#This Row],[RECUPERO]]="","",VLOOKUP(DATA_NOVIEMBRE_2025[[#This Row],[SUPERVISOR]],$H:$I,2,0))</f>
        <v>20000</v>
      </c>
      <c r="S76" s="19">
        <v>0</v>
      </c>
      <c r="T76" s="19">
        <v>0</v>
      </c>
      <c r="U76" s="19">
        <v>1500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7575</v>
      </c>
      <c r="AB76" s="19">
        <v>0</v>
      </c>
      <c r="AC76" s="19">
        <v>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</row>
    <row r="77" spans="1:39" x14ac:dyDescent="0.25">
      <c r="A77" t="s">
        <v>6</v>
      </c>
      <c r="B77" t="str">
        <f>TRIM(D1_NOVIEMBRE[[#This Row],[ASESOR]])</f>
        <v/>
      </c>
      <c r="E7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77" t="str">
        <f>IFERROR(VLOOKUP(D1_NOVIEMBRE[[#This Row],[ASESOR_CRR]],Tabla1[],2,0),D1_NOVIEMBRE[[#This Row],[SUPER]])</f>
        <v>KENNETH</v>
      </c>
      <c r="L77">
        <v>9</v>
      </c>
      <c r="M77" s="1">
        <f t="shared" si="4"/>
        <v>0.25564999999999999</v>
      </c>
      <c r="N77" t="str" cm="1">
        <f t="array" ref="N77">IFERROR(_xlfn.IFS(M77&gt;100%,"&gt;100%",AND(M77&lt;100%,M77&gt;70%),"&gt;70%",AND(M77&lt;70%,M77&gt;40%),"&gt;40%",AND(M77&lt;40%,M77&gt;0%),"&gt;0%"),"")</f>
        <v>&gt;0%</v>
      </c>
      <c r="O77" t="str">
        <f t="shared" si="5"/>
        <v>JENY LAZARO</v>
      </c>
      <c r="P77" t="str">
        <f>IF(DATA_NOVIEMBRE_2025[[#This Row],[ASER_]]="","",F71)</f>
        <v>KENNETH IBK</v>
      </c>
      <c r="Q77">
        <f>IF(DATA_NOVIEMBRE_2025[[#This Row],[SUPERVISOR]]="","",D71)</f>
        <v>5113</v>
      </c>
      <c r="R77">
        <f>IF(DATA_NOVIEMBRE_2025[[#This Row],[RECUPERO]]="","",VLOOKUP(DATA_NOVIEMBRE_2025[[#This Row],[SUPERVISOR]],$H:$I,2,0))</f>
        <v>20000</v>
      </c>
      <c r="S77" s="19">
        <v>0</v>
      </c>
      <c r="T77" s="19">
        <v>0</v>
      </c>
      <c r="U77" s="19">
        <v>180</v>
      </c>
      <c r="V77" s="19">
        <v>0</v>
      </c>
      <c r="W77" s="19">
        <v>0</v>
      </c>
      <c r="X77" s="19">
        <v>3250</v>
      </c>
      <c r="Y77" s="19">
        <v>1200</v>
      </c>
      <c r="Z77" s="19">
        <v>0</v>
      </c>
      <c r="AA77" s="19">
        <v>150</v>
      </c>
      <c r="AB77" s="19">
        <v>113</v>
      </c>
      <c r="AC77" s="19">
        <v>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</row>
    <row r="78" spans="1:39" x14ac:dyDescent="0.25">
      <c r="A78" t="s">
        <v>7</v>
      </c>
      <c r="B78" t="str">
        <f>TRIM(D1_NOVIEMBRE[[#This Row],[ASESOR]])</f>
        <v>JEREMIAS ROJAS</v>
      </c>
      <c r="C78" t="s">
        <v>129</v>
      </c>
      <c r="D78" s="13">
        <v>25078</v>
      </c>
      <c r="E7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1.7912857142857144</v>
      </c>
      <c r="F78" t="str">
        <f>IFERROR(VLOOKUP(D1_NOVIEMBRE[[#This Row],[ASESOR_CRR]],Tabla1[],2,0),D1_NOVIEMBRE[[#This Row],[SUPER]])</f>
        <v>LEONOR</v>
      </c>
      <c r="L78">
        <v>10</v>
      </c>
      <c r="M78" s="1">
        <f t="shared" si="4"/>
        <v>0.17050000000000001</v>
      </c>
      <c r="N78" t="str" cm="1">
        <f t="array" ref="N78">IFERROR(_xlfn.IFS(M78&gt;100%,"&gt;100%",AND(M78&lt;100%,M78&gt;70%),"&gt;70%",AND(M78&lt;70%,M78&gt;40%),"&gt;40%",AND(M78&lt;40%,M78&gt;0%),"&gt;0%"),"")</f>
        <v>&gt;0%</v>
      </c>
      <c r="O78" t="str">
        <f t="shared" si="5"/>
        <v>DAVID SANCHEZ</v>
      </c>
      <c r="P78" t="str">
        <f>IF(DATA_NOVIEMBRE_2025[[#This Row],[ASER_]]="","",F72)</f>
        <v>KENNETH IBK</v>
      </c>
      <c r="Q78">
        <f>IF(DATA_NOVIEMBRE_2025[[#This Row],[SUPERVISOR]]="","",D72)</f>
        <v>3410</v>
      </c>
      <c r="R78">
        <f>IF(DATA_NOVIEMBRE_2025[[#This Row],[RECUPERO]]="","",VLOOKUP(DATA_NOVIEMBRE_2025[[#This Row],[SUPERVISOR]],$H:$I,2,0))</f>
        <v>20000</v>
      </c>
      <c r="S78" s="19">
        <v>0</v>
      </c>
      <c r="T78" s="19">
        <v>0</v>
      </c>
      <c r="U78" s="19">
        <v>100</v>
      </c>
      <c r="V78" s="19">
        <v>0</v>
      </c>
      <c r="W78" s="19">
        <v>0</v>
      </c>
      <c r="X78" s="19">
        <v>1200</v>
      </c>
      <c r="Y78" s="19">
        <v>2000</v>
      </c>
      <c r="Z78" s="19">
        <v>0</v>
      </c>
      <c r="AA78" s="19">
        <v>0</v>
      </c>
      <c r="AB78" s="19">
        <v>110</v>
      </c>
      <c r="AC78" s="19">
        <v>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</row>
    <row r="79" spans="1:39" x14ac:dyDescent="0.25">
      <c r="A79" t="s">
        <v>7</v>
      </c>
      <c r="B79" t="str">
        <f>TRIM(D1_NOVIEMBRE[[#This Row],[ASESOR]])</f>
        <v>JHOVANA TORRES</v>
      </c>
      <c r="C79" t="s">
        <v>20</v>
      </c>
      <c r="D79" s="13">
        <v>4900</v>
      </c>
      <c r="E7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0.35</v>
      </c>
      <c r="F79" t="str">
        <f>IFERROR(VLOOKUP(D1_NOVIEMBRE[[#This Row],[ASESOR_CRR]],Tabla1[],2,0),D1_NOVIEMBRE[[#This Row],[SUPER]])</f>
        <v>LEONOR</v>
      </c>
      <c r="L79">
        <v>11</v>
      </c>
      <c r="M79" s="1">
        <f t="shared" si="4"/>
        <v>0.14549999999999999</v>
      </c>
      <c r="N79" t="str" cm="1">
        <f t="array" ref="N79">IFERROR(_xlfn.IFS(M79&gt;100%,"&gt;100%",AND(M79&lt;100%,M79&gt;70%),"&gt;70%",AND(M79&lt;70%,M79&gt;40%),"&gt;40%",AND(M79&lt;40%,M79&gt;0%),"&gt;0%"),"")</f>
        <v>&gt;0%</v>
      </c>
      <c r="O79" t="str">
        <f t="shared" si="5"/>
        <v>CARMEN PUMA</v>
      </c>
      <c r="P79" t="str">
        <f>IF(DATA_NOVIEMBRE_2025[[#This Row],[ASER_]]="","",F73)</f>
        <v>KENNETH IBK</v>
      </c>
      <c r="Q79">
        <f>IF(DATA_NOVIEMBRE_2025[[#This Row],[SUPERVISOR]]="","",D73)</f>
        <v>2910</v>
      </c>
      <c r="R79">
        <f>IF(DATA_NOVIEMBRE_2025[[#This Row],[RECUPERO]]="","",VLOOKUP(DATA_NOVIEMBRE_2025[[#This Row],[SUPERVISOR]],$H:$I,2,0))</f>
        <v>20000</v>
      </c>
      <c r="S79" s="19">
        <v>0</v>
      </c>
      <c r="T79" s="19">
        <v>0</v>
      </c>
      <c r="U79" s="19">
        <v>0</v>
      </c>
      <c r="V79" s="19">
        <v>0</v>
      </c>
      <c r="W79" s="19">
        <v>400</v>
      </c>
      <c r="X79" s="19">
        <v>360</v>
      </c>
      <c r="Y79" s="19">
        <v>0</v>
      </c>
      <c r="Z79" s="19">
        <v>0</v>
      </c>
      <c r="AA79" s="19">
        <v>0</v>
      </c>
      <c r="AB79" s="19">
        <v>0</v>
      </c>
      <c r="AC79" s="19">
        <v>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0</v>
      </c>
      <c r="AM79" s="19">
        <v>0</v>
      </c>
    </row>
    <row r="80" spans="1:39" x14ac:dyDescent="0.25">
      <c r="A80" t="s">
        <v>7</v>
      </c>
      <c r="B80" t="str">
        <f>TRIM(D1_NOVIEMBRE[[#This Row],[ASESOR]])</f>
        <v>ANGELO SUAREZ</v>
      </c>
      <c r="C80" t="s">
        <v>95</v>
      </c>
      <c r="D80" s="13">
        <v>3700</v>
      </c>
      <c r="E8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0.26428571428571429</v>
      </c>
      <c r="F80" t="str">
        <f>IFERROR(VLOOKUP(D1_NOVIEMBRE[[#This Row],[ASESOR_CRR]],Tabla1[],2,0),D1_NOVIEMBRE[[#This Row],[SUPER]])</f>
        <v>LEONOR</v>
      </c>
      <c r="L80">
        <v>12</v>
      </c>
      <c r="M80" s="1">
        <f t="shared" si="4"/>
        <v>0.115</v>
      </c>
      <c r="N80" t="str" cm="1">
        <f t="array" ref="N80">IFERROR(_xlfn.IFS(M80&gt;100%,"&gt;100%",AND(M80&lt;100%,M80&gt;70%),"&gt;70%",AND(M80&lt;70%,M80&gt;40%),"&gt;40%",AND(M80&lt;40%,M80&gt;0%),"&gt;0%"),"")</f>
        <v>&gt;0%</v>
      </c>
      <c r="O80" t="str">
        <f t="shared" si="5"/>
        <v>CHRISTIAN ALVARADO</v>
      </c>
      <c r="P80" t="str">
        <f>IF(DATA_NOVIEMBRE_2025[[#This Row],[ASER_]]="","",F74)</f>
        <v>KENNETH IBK</v>
      </c>
      <c r="Q80">
        <f>IF(DATA_NOVIEMBRE_2025[[#This Row],[SUPERVISOR]]="","",D74)</f>
        <v>2300</v>
      </c>
      <c r="R80">
        <f>IF(DATA_NOVIEMBRE_2025[[#This Row],[RECUPERO]]="","",VLOOKUP(DATA_NOVIEMBRE_2025[[#This Row],[SUPERVISOR]],$H:$I,2,0))</f>
        <v>20000</v>
      </c>
      <c r="S80" s="19">
        <v>0</v>
      </c>
      <c r="T80" s="19">
        <v>0</v>
      </c>
      <c r="U80" s="19">
        <v>800</v>
      </c>
      <c r="V80" s="19">
        <v>0</v>
      </c>
      <c r="W80" s="19">
        <v>0</v>
      </c>
      <c r="X80" s="19">
        <v>0</v>
      </c>
      <c r="Y80" s="19">
        <v>0</v>
      </c>
      <c r="Z80" s="19">
        <v>1500</v>
      </c>
      <c r="AA80" s="19">
        <v>0</v>
      </c>
      <c r="AB80" s="19">
        <v>0</v>
      </c>
      <c r="AC80" s="19">
        <v>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</v>
      </c>
      <c r="AK80" s="19">
        <v>0</v>
      </c>
      <c r="AL80" s="19">
        <v>0</v>
      </c>
      <c r="AM80" s="19">
        <v>0</v>
      </c>
    </row>
    <row r="81" spans="1:39" x14ac:dyDescent="0.25">
      <c r="A81" t="s">
        <v>7</v>
      </c>
      <c r="B81" t="str">
        <f>TRIM(D1_NOVIEMBRE[[#This Row],[ASESOR]])</f>
        <v>GERALDINE ARROYO</v>
      </c>
      <c r="C81" t="s">
        <v>51</v>
      </c>
      <c r="D81" s="13">
        <v>3050</v>
      </c>
      <c r="E8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0.21785714285714286</v>
      </c>
      <c r="F81" t="str">
        <f>IFERROR(VLOOKUP(D1_NOVIEMBRE[[#This Row],[ASESOR_CRR]],Tabla1[],2,0),D1_NOVIEMBRE[[#This Row],[SUPER]])</f>
        <v>LEONOR</v>
      </c>
      <c r="L81">
        <v>13</v>
      </c>
      <c r="M81" s="1">
        <f t="shared" si="4"/>
        <v>7.6145000000000004E-2</v>
      </c>
      <c r="N81" t="str" cm="1">
        <f t="array" ref="N81">IFERROR(_xlfn.IFS(M81&gt;100%,"&gt;100%",AND(M81&lt;100%,M81&gt;70%),"&gt;70%",AND(M81&lt;70%,M81&gt;40%),"&gt;40%",AND(M81&lt;40%,M81&gt;0%),"&gt;0%"),"")</f>
        <v>&gt;0%</v>
      </c>
      <c r="O81" t="str">
        <f t="shared" si="5"/>
        <v>AURORA FAUSTOR</v>
      </c>
      <c r="P81" t="str">
        <f>IF(DATA_NOVIEMBRE_2025[[#This Row],[ASER_]]="","",F75)</f>
        <v>KENNETH IBK</v>
      </c>
      <c r="Q81">
        <f>IF(DATA_NOVIEMBRE_2025[[#This Row],[SUPERVISOR]]="","",D75)</f>
        <v>1522.9</v>
      </c>
      <c r="R81">
        <f>IF(DATA_NOVIEMBRE_2025[[#This Row],[RECUPERO]]="","",VLOOKUP(DATA_NOVIEMBRE_2025[[#This Row],[SUPERVISOR]],$H:$I,2,0))</f>
        <v>20000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122.9</v>
      </c>
      <c r="Z81" s="19">
        <v>0</v>
      </c>
      <c r="AA81" s="19">
        <v>1000</v>
      </c>
      <c r="AB81" s="19">
        <v>0</v>
      </c>
      <c r="AC81" s="19">
        <v>0</v>
      </c>
      <c r="AD81" s="19">
        <v>0</v>
      </c>
      <c r="AE81" s="19">
        <v>0</v>
      </c>
      <c r="AF81" s="19">
        <v>0</v>
      </c>
      <c r="AG81" s="19">
        <v>0</v>
      </c>
      <c r="AH81" s="19">
        <v>0</v>
      </c>
      <c r="AI81" s="19">
        <v>0</v>
      </c>
      <c r="AJ81" s="19">
        <v>0</v>
      </c>
      <c r="AK81" s="19">
        <v>0</v>
      </c>
      <c r="AL81" s="19">
        <v>0</v>
      </c>
      <c r="AM81" s="19">
        <v>0</v>
      </c>
    </row>
    <row r="82" spans="1:39" x14ac:dyDescent="0.25">
      <c r="A82" t="s">
        <v>7</v>
      </c>
      <c r="B82" t="str">
        <f>TRIM(D1_NOVIEMBRE[[#This Row],[ASESOR]])</f>
        <v>NARDIA URPIS</v>
      </c>
      <c r="C82" t="s">
        <v>74</v>
      </c>
      <c r="D82" s="13">
        <v>2800</v>
      </c>
      <c r="E8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0.2</v>
      </c>
      <c r="F82" t="str">
        <f>IFERROR(VLOOKUP(D1_NOVIEMBRE[[#This Row],[ASESOR_CRR]],Tabla1[],2,0),D1_NOVIEMBRE[[#This Row],[SUPER]])</f>
        <v>LEONOR</v>
      </c>
      <c r="L82">
        <v>14</v>
      </c>
      <c r="M82" s="1">
        <f t="shared" si="4"/>
        <v>0</v>
      </c>
      <c r="N82" t="str" cm="1">
        <f t="array" ref="N82">IFERROR(_xlfn.IFS(M82&gt;100%,"&gt;100%",AND(M82&lt;100%,M82&gt;70%),"&gt;70%",AND(M82&lt;70%,M82&gt;40%),"&gt;40%",AND(M82&lt;40%,M82&gt;0%),"&gt;0%"),"")</f>
        <v/>
      </c>
      <c r="O82" t="str">
        <f t="shared" si="5"/>
        <v/>
      </c>
      <c r="P82" t="str">
        <f>IF(DATA_NOVIEMBRE_2025[[#This Row],[ASER_]]="","",F76)</f>
        <v/>
      </c>
      <c r="Q82" t="str">
        <f>IF(DATA_NOVIEMBRE_2025[[#This Row],[SUPERVISOR]]="","",D76)</f>
        <v/>
      </c>
      <c r="R82" t="str">
        <f>IF(DATA_NOVIEMBRE_2025[[#This Row],[RECUPERO]]="","",VLOOKUP(DATA_NOVIEMBRE_2025[[#This Row],[SUPERVISOR]],$H:$I,2,0))</f>
        <v/>
      </c>
      <c r="S82" s="19" t="s">
        <v>189</v>
      </c>
      <c r="T82" s="19" t="s">
        <v>189</v>
      </c>
      <c r="U82" s="19" t="s">
        <v>189</v>
      </c>
      <c r="V82" s="19" t="s">
        <v>189</v>
      </c>
      <c r="W82" s="19" t="s">
        <v>189</v>
      </c>
      <c r="X82" s="19" t="s">
        <v>189</v>
      </c>
      <c r="Y82" s="19" t="s">
        <v>189</v>
      </c>
      <c r="Z82" s="19" t="s">
        <v>189</v>
      </c>
      <c r="AA82" s="19" t="s">
        <v>189</v>
      </c>
      <c r="AB82" s="19" t="s">
        <v>189</v>
      </c>
      <c r="AC82" s="19" t="s">
        <v>189</v>
      </c>
      <c r="AD82" s="19" t="s">
        <v>189</v>
      </c>
      <c r="AE82" s="19" t="s">
        <v>189</v>
      </c>
      <c r="AF82" s="19" t="s">
        <v>189</v>
      </c>
      <c r="AG82" s="19" t="s">
        <v>189</v>
      </c>
      <c r="AH82" s="19" t="s">
        <v>189</v>
      </c>
      <c r="AI82" s="19" t="s">
        <v>189</v>
      </c>
      <c r="AJ82" s="19" t="s">
        <v>189</v>
      </c>
      <c r="AK82" s="19" t="s">
        <v>189</v>
      </c>
      <c r="AL82" s="19" t="s">
        <v>189</v>
      </c>
      <c r="AM82" s="19" t="s">
        <v>189</v>
      </c>
    </row>
    <row r="83" spans="1:39" x14ac:dyDescent="0.25">
      <c r="A83" t="s">
        <v>7</v>
      </c>
      <c r="B83" t="str">
        <f>TRIM(D1_NOVIEMBRE[[#This Row],[ASESOR]])</f>
        <v>JACQUELINE COLLAHUACHO</v>
      </c>
      <c r="C83" t="s">
        <v>121</v>
      </c>
      <c r="D83" s="13">
        <v>1730</v>
      </c>
      <c r="E83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0.12357142857142857</v>
      </c>
      <c r="F83" t="str">
        <f>IFERROR(VLOOKUP(D1_NOVIEMBRE[[#This Row],[ASESOR_CRR]],Tabla1[],2,0),D1_NOVIEMBRE[[#This Row],[SUPER]])</f>
        <v>LEONOR</v>
      </c>
      <c r="L83">
        <v>15</v>
      </c>
      <c r="M83" s="1">
        <f t="shared" si="4"/>
        <v>0</v>
      </c>
      <c r="N83" t="str" cm="1">
        <f t="array" ref="N83">IFERROR(_xlfn.IFS(M83&gt;100%,"&gt;100%",AND(M83&lt;100%,M83&gt;70%),"&gt;70%",AND(M83&lt;70%,M83&gt;40%),"&gt;40%",AND(M83&lt;40%,M83&gt;0%),"&gt;0%"),"")</f>
        <v/>
      </c>
      <c r="O83" t="str">
        <f t="shared" si="5"/>
        <v/>
      </c>
      <c r="P83" t="str">
        <f>IF(DATA_NOVIEMBRE_2025[[#This Row],[ASER_]]="","",F77)</f>
        <v/>
      </c>
      <c r="Q83" t="str">
        <f>IF(DATA_NOVIEMBRE_2025[[#This Row],[SUPERVISOR]]="","",D77)</f>
        <v/>
      </c>
      <c r="R83" t="str">
        <f>IF(DATA_NOVIEMBRE_2025[[#This Row],[RECUPERO]]="","",VLOOKUP(DATA_NOVIEMBRE_2025[[#This Row],[SUPERVISOR]],$H:$I,2,0))</f>
        <v/>
      </c>
      <c r="S83" s="19" t="s">
        <v>189</v>
      </c>
      <c r="T83" s="19" t="s">
        <v>189</v>
      </c>
      <c r="U83" s="19" t="s">
        <v>189</v>
      </c>
      <c r="V83" s="19" t="s">
        <v>189</v>
      </c>
      <c r="W83" s="19" t="s">
        <v>189</v>
      </c>
      <c r="X83" s="19" t="s">
        <v>189</v>
      </c>
      <c r="Y83" s="19" t="s">
        <v>189</v>
      </c>
      <c r="Z83" s="19" t="s">
        <v>189</v>
      </c>
      <c r="AA83" s="19" t="s">
        <v>189</v>
      </c>
      <c r="AB83" s="19" t="s">
        <v>189</v>
      </c>
      <c r="AC83" s="19" t="s">
        <v>189</v>
      </c>
      <c r="AD83" s="19" t="s">
        <v>189</v>
      </c>
      <c r="AE83" s="19" t="s">
        <v>189</v>
      </c>
      <c r="AF83" s="19" t="s">
        <v>189</v>
      </c>
      <c r="AG83" s="19" t="s">
        <v>189</v>
      </c>
      <c r="AH83" s="19" t="s">
        <v>189</v>
      </c>
      <c r="AI83" s="19" t="s">
        <v>189</v>
      </c>
      <c r="AJ83" s="19" t="s">
        <v>189</v>
      </c>
      <c r="AK83" s="19" t="s">
        <v>189</v>
      </c>
      <c r="AL83" s="19" t="s">
        <v>189</v>
      </c>
      <c r="AM83" s="19" t="s">
        <v>189</v>
      </c>
    </row>
    <row r="84" spans="1:39" x14ac:dyDescent="0.25">
      <c r="A84" t="s">
        <v>7</v>
      </c>
      <c r="B84" t="str">
        <f>TRIM(D1_NOVIEMBRE[[#This Row],[ASESOR]])</f>
        <v>ERIKA VILLAR</v>
      </c>
      <c r="C84" t="s">
        <v>72</v>
      </c>
      <c r="D84" s="13">
        <v>1466</v>
      </c>
      <c r="E84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0.10471428571428572</v>
      </c>
      <c r="F84" t="str">
        <f>IFERROR(VLOOKUP(D1_NOVIEMBRE[[#This Row],[ASESOR_CRR]],Tabla1[],2,0),D1_NOVIEMBRE[[#This Row],[SUPER]])</f>
        <v>LEONOR</v>
      </c>
      <c r="L84">
        <v>1</v>
      </c>
      <c r="M84" s="1">
        <f t="shared" si="4"/>
        <v>1.7912857142857144</v>
      </c>
      <c r="N84" t="str" cm="1">
        <f t="array" ref="N84">IFERROR(_xlfn.IFS(M84&gt;100%,"&gt;100%",AND(M84&lt;100%,M84&gt;70%),"&gt;70%",AND(M84&lt;70%,M84&gt;40%),"&gt;40%",AND(M84&lt;40%,M84&gt;0%),"&gt;0%"),"")</f>
        <v>&gt;100%</v>
      </c>
      <c r="O84" t="str">
        <f t="shared" si="5"/>
        <v>JEREMIAS ROJAS</v>
      </c>
      <c r="P84" t="str">
        <f>IF(DATA_NOVIEMBRE_2025[[#This Row],[ASER_]]="","",F78)</f>
        <v>LEONOR</v>
      </c>
      <c r="Q84">
        <f>IF(DATA_NOVIEMBRE_2025[[#This Row],[SUPERVISOR]]="","",D78)</f>
        <v>25078</v>
      </c>
      <c r="R84">
        <f>IF(DATA_NOVIEMBRE_2025[[#This Row],[RECUPERO]]="","",VLOOKUP(DATA_NOVIEMBRE_2025[[#This Row],[SUPERVISOR]],$H:$I,2,0))</f>
        <v>14000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16750</v>
      </c>
      <c r="Z84" s="19">
        <v>2400</v>
      </c>
      <c r="AA84" s="19">
        <v>0</v>
      </c>
      <c r="AB84" s="19">
        <v>200</v>
      </c>
      <c r="AC84" s="19">
        <v>0</v>
      </c>
      <c r="AD84" s="19">
        <v>0</v>
      </c>
      <c r="AE84" s="19">
        <v>0</v>
      </c>
      <c r="AF84" s="19">
        <v>0</v>
      </c>
      <c r="AG84" s="19">
        <v>0</v>
      </c>
      <c r="AH84" s="19">
        <v>0</v>
      </c>
      <c r="AI84" s="19">
        <v>0</v>
      </c>
      <c r="AJ84" s="19">
        <v>0</v>
      </c>
      <c r="AK84" s="19">
        <v>0</v>
      </c>
      <c r="AL84" s="19">
        <v>0</v>
      </c>
      <c r="AM84" s="19">
        <v>0</v>
      </c>
    </row>
    <row r="85" spans="1:39" x14ac:dyDescent="0.25">
      <c r="A85" t="s">
        <v>7</v>
      </c>
      <c r="B85" t="str">
        <f>TRIM(D1_NOVIEMBRE[[#This Row],[ASESOR]])</f>
        <v>CHRISTIAN ALBUJAR</v>
      </c>
      <c r="C85" t="s">
        <v>53</v>
      </c>
      <c r="D85" s="13">
        <v>790</v>
      </c>
      <c r="E85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5.6428571428571425E-2</v>
      </c>
      <c r="F85" t="str">
        <f>IFERROR(VLOOKUP(D1_NOVIEMBRE[[#This Row],[ASESOR_CRR]],Tabla1[],2,0),D1_NOVIEMBRE[[#This Row],[SUPER]])</f>
        <v>LEONOR</v>
      </c>
      <c r="L85">
        <v>2</v>
      </c>
      <c r="M85" s="1">
        <f t="shared" si="4"/>
        <v>0.35</v>
      </c>
      <c r="N85" t="str" cm="1">
        <f t="array" ref="N85">IFERROR(_xlfn.IFS(M85&gt;100%,"&gt;100%",AND(M85&lt;100%,M85&gt;70%),"&gt;70%",AND(M85&lt;70%,M85&gt;40%),"&gt;40%",AND(M85&lt;40%,M85&gt;0%),"&gt;0%"),"")</f>
        <v>&gt;0%</v>
      </c>
      <c r="O85" t="str">
        <f t="shared" si="5"/>
        <v>JHOVANA TORRES</v>
      </c>
      <c r="P85" t="str">
        <f>IF(DATA_NOVIEMBRE_2025[[#This Row],[ASER_]]="","",F79)</f>
        <v>LEONOR</v>
      </c>
      <c r="Q85">
        <f>IF(DATA_NOVIEMBRE_2025[[#This Row],[SUPERVISOR]]="","",D79)</f>
        <v>4900</v>
      </c>
      <c r="R85">
        <f>IF(DATA_NOVIEMBRE_2025[[#This Row],[RECUPERO]]="","",VLOOKUP(DATA_NOVIEMBRE_2025[[#This Row],[SUPERVISOR]],$H:$I,2,0))</f>
        <v>14000</v>
      </c>
      <c r="S85" s="19">
        <v>0</v>
      </c>
      <c r="T85" s="19">
        <v>1000</v>
      </c>
      <c r="U85" s="19">
        <v>0</v>
      </c>
      <c r="V85" s="19">
        <v>0</v>
      </c>
      <c r="W85" s="19">
        <v>200</v>
      </c>
      <c r="X85" s="19">
        <v>0</v>
      </c>
      <c r="Y85" s="19">
        <v>0</v>
      </c>
      <c r="Z85" s="19">
        <v>0</v>
      </c>
      <c r="AA85" s="19">
        <v>0</v>
      </c>
      <c r="AB85" s="19">
        <v>3700</v>
      </c>
      <c r="AC85" s="19">
        <v>0</v>
      </c>
      <c r="AD85" s="19">
        <v>0</v>
      </c>
      <c r="AE85" s="19">
        <v>0</v>
      </c>
      <c r="AF85" s="19">
        <v>0</v>
      </c>
      <c r="AG85" s="19">
        <v>0</v>
      </c>
      <c r="AH85" s="19">
        <v>0</v>
      </c>
      <c r="AI85" s="19">
        <v>0</v>
      </c>
      <c r="AJ85" s="19">
        <v>0</v>
      </c>
      <c r="AK85" s="19">
        <v>0</v>
      </c>
      <c r="AL85" s="19">
        <v>0</v>
      </c>
      <c r="AM85" s="19">
        <v>0</v>
      </c>
    </row>
    <row r="86" spans="1:39" x14ac:dyDescent="0.25">
      <c r="A86" t="s">
        <v>7</v>
      </c>
      <c r="B86" t="str">
        <f>TRIM(D1_NOVIEMBRE[[#This Row],[ASESOR]])</f>
        <v/>
      </c>
      <c r="E86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86" t="str">
        <f>IFERROR(VLOOKUP(D1_NOVIEMBRE[[#This Row],[ASESOR_CRR]],Tabla1[],2,0),D1_NOVIEMBRE[[#This Row],[SUPER]])</f>
        <v>LEONOR</v>
      </c>
      <c r="L86">
        <v>3</v>
      </c>
      <c r="M86" s="1">
        <f t="shared" si="4"/>
        <v>0.26428571428571429</v>
      </c>
      <c r="N86" t="str" cm="1">
        <f t="array" ref="N86">IFERROR(_xlfn.IFS(M86&gt;100%,"&gt;100%",AND(M86&lt;100%,M86&gt;70%),"&gt;70%",AND(M86&lt;70%,M86&gt;40%),"&gt;40%",AND(M86&lt;40%,M86&gt;0%),"&gt;0%"),"")</f>
        <v>&gt;0%</v>
      </c>
      <c r="O86" t="str">
        <f t="shared" si="5"/>
        <v>ANGELO SUAREZ</v>
      </c>
      <c r="P86" t="str">
        <f>IF(DATA_NOVIEMBRE_2025[[#This Row],[ASER_]]="","",F80)</f>
        <v>LEONOR</v>
      </c>
      <c r="Q86">
        <f>IF(DATA_NOVIEMBRE_2025[[#This Row],[SUPERVISOR]]="","",D80)</f>
        <v>3700</v>
      </c>
      <c r="R86">
        <f>IF(DATA_NOVIEMBRE_2025[[#This Row],[RECUPERO]]="","",VLOOKUP(DATA_NOVIEMBRE_2025[[#This Row],[SUPERVISOR]],$H:$I,2,0))</f>
        <v>14000</v>
      </c>
      <c r="S86" s="19">
        <v>0</v>
      </c>
      <c r="T86" s="19">
        <v>500</v>
      </c>
      <c r="U86" s="19">
        <v>200</v>
      </c>
      <c r="V86" s="19">
        <v>3000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</row>
    <row r="87" spans="1:39" x14ac:dyDescent="0.25">
      <c r="A87" t="s">
        <v>7</v>
      </c>
      <c r="B87" t="str">
        <f>TRIM(D1_NOVIEMBRE[[#This Row],[ASESOR]])</f>
        <v/>
      </c>
      <c r="E87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87" t="str">
        <f>IFERROR(VLOOKUP(D1_NOVIEMBRE[[#This Row],[ASESOR_CRR]],Tabla1[],2,0),D1_NOVIEMBRE[[#This Row],[SUPER]])</f>
        <v>LEONOR</v>
      </c>
      <c r="L87">
        <v>4</v>
      </c>
      <c r="M87" s="1">
        <f t="shared" si="4"/>
        <v>0.21785714285714286</v>
      </c>
      <c r="N87" t="str" cm="1">
        <f t="array" ref="N87">IFERROR(_xlfn.IFS(M87&gt;100%,"&gt;100%",AND(M87&lt;100%,M87&gt;70%),"&gt;70%",AND(M87&lt;70%,M87&gt;40%),"&gt;40%",AND(M87&lt;40%,M87&gt;0%),"&gt;0%"),"")</f>
        <v>&gt;0%</v>
      </c>
      <c r="O87" t="str">
        <f t="shared" si="5"/>
        <v>GERALDINE ARROYO</v>
      </c>
      <c r="P87" t="str">
        <f>IF(DATA_NOVIEMBRE_2025[[#This Row],[ASER_]]="","",F81)</f>
        <v>LEONOR</v>
      </c>
      <c r="Q87">
        <f>IF(DATA_NOVIEMBRE_2025[[#This Row],[SUPERVISOR]]="","",D81)</f>
        <v>3050</v>
      </c>
      <c r="R87">
        <f>IF(DATA_NOVIEMBRE_2025[[#This Row],[RECUPERO]]="","",VLOOKUP(DATA_NOVIEMBRE_2025[[#This Row],[SUPERVISOR]],$H:$I,2,0))</f>
        <v>14000</v>
      </c>
      <c r="S87" s="19">
        <v>0</v>
      </c>
      <c r="T87" s="19">
        <v>0</v>
      </c>
      <c r="U87" s="19">
        <v>0</v>
      </c>
      <c r="V87" s="19">
        <v>0</v>
      </c>
      <c r="W87" s="19">
        <v>600</v>
      </c>
      <c r="X87" s="19">
        <v>200</v>
      </c>
      <c r="Y87" s="19">
        <v>0</v>
      </c>
      <c r="Z87" s="19">
        <v>750</v>
      </c>
      <c r="AA87" s="19">
        <v>1500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</row>
    <row r="88" spans="1:39" x14ac:dyDescent="0.25">
      <c r="A88" t="s">
        <v>7</v>
      </c>
      <c r="B88" t="str">
        <f>TRIM(D1_NOVIEMBRE[[#This Row],[ASESOR]])</f>
        <v/>
      </c>
      <c r="E88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88" t="str">
        <f>IFERROR(VLOOKUP(D1_NOVIEMBRE[[#This Row],[ASESOR_CRR]],Tabla1[],2,0),D1_NOVIEMBRE[[#This Row],[SUPER]])</f>
        <v>LEONOR</v>
      </c>
      <c r="L88">
        <v>5</v>
      </c>
      <c r="M88" s="1">
        <f t="shared" si="4"/>
        <v>0.2</v>
      </c>
      <c r="N88" t="str" cm="1">
        <f t="array" ref="N88">IFERROR(_xlfn.IFS(M88&gt;100%,"&gt;100%",AND(M88&lt;100%,M88&gt;70%),"&gt;70%",AND(M88&lt;70%,M88&gt;40%),"&gt;40%",AND(M88&lt;40%,M88&gt;0%),"&gt;0%"),"")</f>
        <v>&gt;0%</v>
      </c>
      <c r="O88" t="str">
        <f t="shared" si="5"/>
        <v>NARDIA URPIS</v>
      </c>
      <c r="P88" t="str">
        <f>IF(DATA_NOVIEMBRE_2025[[#This Row],[ASER_]]="","",F82)</f>
        <v>LEONOR</v>
      </c>
      <c r="Q88">
        <f>IF(DATA_NOVIEMBRE_2025[[#This Row],[SUPERVISOR]]="","",D82)</f>
        <v>2800</v>
      </c>
      <c r="R88">
        <f>IF(DATA_NOVIEMBRE_2025[[#This Row],[RECUPERO]]="","",VLOOKUP(DATA_NOVIEMBRE_2025[[#This Row],[SUPERVISOR]],$H:$I,2,0))</f>
        <v>14000</v>
      </c>
      <c r="S88" s="19">
        <v>0</v>
      </c>
      <c r="T88" s="19">
        <v>0</v>
      </c>
      <c r="U88" s="19">
        <v>0</v>
      </c>
      <c r="V88" s="19">
        <v>2500</v>
      </c>
      <c r="W88" s="19">
        <v>0</v>
      </c>
      <c r="X88" s="19">
        <v>300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</row>
    <row r="89" spans="1:39" x14ac:dyDescent="0.25">
      <c r="A89" t="s">
        <v>7</v>
      </c>
      <c r="B89" t="str">
        <f>TRIM(D1_NOVIEMBRE[[#This Row],[ASESOR]])</f>
        <v/>
      </c>
      <c r="E89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89" t="str">
        <f>IFERROR(VLOOKUP(D1_NOVIEMBRE[[#This Row],[ASESOR_CRR]],Tabla1[],2,0),D1_NOVIEMBRE[[#This Row],[SUPER]])</f>
        <v>LEONOR</v>
      </c>
      <c r="L89">
        <v>6</v>
      </c>
      <c r="M89" s="1">
        <f t="shared" si="4"/>
        <v>0.12357142857142857</v>
      </c>
      <c r="N89" t="str" cm="1">
        <f t="array" ref="N89">IFERROR(_xlfn.IFS(M89&gt;100%,"&gt;100%",AND(M89&lt;100%,M89&gt;70%),"&gt;70%",AND(M89&lt;70%,M89&gt;40%),"&gt;40%",AND(M89&lt;40%,M89&gt;0%),"&gt;0%"),"")</f>
        <v>&gt;0%</v>
      </c>
      <c r="O89" t="str">
        <f t="shared" si="5"/>
        <v>JACQUELINE COLLAHUACHO</v>
      </c>
      <c r="P89" t="str">
        <f>IF(DATA_NOVIEMBRE_2025[[#This Row],[ASER_]]="","",F83)</f>
        <v>LEONOR</v>
      </c>
      <c r="Q89">
        <f>IF(DATA_NOVIEMBRE_2025[[#This Row],[SUPERVISOR]]="","",D83)</f>
        <v>1730</v>
      </c>
      <c r="R89">
        <f>IF(DATA_NOVIEMBRE_2025[[#This Row],[RECUPERO]]="","",VLOOKUP(DATA_NOVIEMBRE_2025[[#This Row],[SUPERVISOR]],$H:$I,2,0))</f>
        <v>14000</v>
      </c>
      <c r="S89" s="19">
        <v>0</v>
      </c>
      <c r="T89" s="19">
        <v>0</v>
      </c>
      <c r="U89" s="19">
        <v>0</v>
      </c>
      <c r="V89" s="19">
        <v>0</v>
      </c>
      <c r="W89" s="19">
        <v>160</v>
      </c>
      <c r="X89" s="19">
        <v>0</v>
      </c>
      <c r="Y89" s="19">
        <v>0</v>
      </c>
      <c r="Z89" s="19">
        <v>0</v>
      </c>
      <c r="AA89" s="19">
        <v>270</v>
      </c>
      <c r="AB89" s="19">
        <v>1300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</row>
    <row r="90" spans="1:39" x14ac:dyDescent="0.25">
      <c r="A90" t="s">
        <v>7</v>
      </c>
      <c r="B90" t="str">
        <f>TRIM(D1_NOVIEMBRE[[#This Row],[ASESOR]])</f>
        <v/>
      </c>
      <c r="E90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90" t="str">
        <f>IFERROR(VLOOKUP(D1_NOVIEMBRE[[#This Row],[ASESOR_CRR]],Tabla1[],2,0),D1_NOVIEMBRE[[#This Row],[SUPER]])</f>
        <v>LEONOR</v>
      </c>
      <c r="L90">
        <v>7</v>
      </c>
      <c r="M90" s="1">
        <f t="shared" si="4"/>
        <v>0.10471428571428572</v>
      </c>
      <c r="N90" t="str" cm="1">
        <f t="array" ref="N90">IFERROR(_xlfn.IFS(M90&gt;100%,"&gt;100%",AND(M90&lt;100%,M90&gt;70%),"&gt;70%",AND(M90&lt;70%,M90&gt;40%),"&gt;40%",AND(M90&lt;40%,M90&gt;0%),"&gt;0%"),"")</f>
        <v>&gt;0%</v>
      </c>
      <c r="O90" t="str">
        <f t="shared" si="5"/>
        <v>ERIKA VILLAR</v>
      </c>
      <c r="P90" t="str">
        <f>IF(DATA_NOVIEMBRE_2025[[#This Row],[ASER_]]="","",F84)</f>
        <v>LEONOR</v>
      </c>
      <c r="Q90">
        <f>IF(DATA_NOVIEMBRE_2025[[#This Row],[SUPERVISOR]]="","",D84)</f>
        <v>1466</v>
      </c>
      <c r="R90">
        <f>IF(DATA_NOVIEMBRE_2025[[#This Row],[RECUPERO]]="","",VLOOKUP(DATA_NOVIEMBRE_2025[[#This Row],[SUPERVISOR]],$H:$I,2,0))</f>
        <v>14000</v>
      </c>
      <c r="S90" s="19">
        <v>0</v>
      </c>
      <c r="T90" s="19">
        <v>0</v>
      </c>
      <c r="U90" s="19">
        <v>186</v>
      </c>
      <c r="V90" s="19">
        <v>480</v>
      </c>
      <c r="W90" s="19">
        <v>0</v>
      </c>
      <c r="X90" s="19">
        <v>500</v>
      </c>
      <c r="Y90" s="19">
        <v>300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</row>
    <row r="91" spans="1:39" x14ac:dyDescent="0.25">
      <c r="A91" t="s">
        <v>7</v>
      </c>
      <c r="B91" t="str">
        <f>TRIM(D1_NOVIEMBRE[[#This Row],[ASESOR]])</f>
        <v/>
      </c>
      <c r="E91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91" t="str">
        <f>IFERROR(VLOOKUP(D1_NOVIEMBRE[[#This Row],[ASESOR_CRR]],Tabla1[],2,0),D1_NOVIEMBRE[[#This Row],[SUPER]])</f>
        <v>LEONOR</v>
      </c>
      <c r="L91">
        <v>8</v>
      </c>
      <c r="M91" s="1">
        <f t="shared" si="4"/>
        <v>5.6428571428571425E-2</v>
      </c>
      <c r="N91" t="str" cm="1">
        <f t="array" ref="N91">IFERROR(_xlfn.IFS(M91&gt;100%,"&gt;100%",AND(M91&lt;100%,M91&gt;70%),"&gt;70%",AND(M91&lt;70%,M91&gt;40%),"&gt;40%",AND(M91&lt;40%,M91&gt;0%),"&gt;0%"),"")</f>
        <v>&gt;0%</v>
      </c>
      <c r="O91" t="str">
        <f t="shared" si="5"/>
        <v>CHRISTIAN ALBUJAR</v>
      </c>
      <c r="P91" t="str">
        <f>IF(DATA_NOVIEMBRE_2025[[#This Row],[ASER_]]="","",F85)</f>
        <v>LEONOR</v>
      </c>
      <c r="Q91">
        <f>IF(DATA_NOVIEMBRE_2025[[#This Row],[SUPERVISOR]]="","",D85)</f>
        <v>790</v>
      </c>
      <c r="R91">
        <f>IF(DATA_NOVIEMBRE_2025[[#This Row],[RECUPERO]]="","",VLOOKUP(DATA_NOVIEMBRE_2025[[#This Row],[SUPERVISOR]],$H:$I,2,0))</f>
        <v>14000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300</v>
      </c>
      <c r="Y91" s="19">
        <v>0</v>
      </c>
      <c r="Z91" s="19">
        <v>100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</row>
    <row r="92" spans="1:39" x14ac:dyDescent="0.25">
      <c r="A92" t="s">
        <v>7</v>
      </c>
      <c r="B92" t="str">
        <f>TRIM(D1_NOVIEMBRE[[#This Row],[ASESOR]])</f>
        <v/>
      </c>
      <c r="E92">
        <f>IF(AND(D1_NOVIEMBRE[[#This Row],[ASESOR]]&lt;&gt;"",D1_NOVIEMBRE[[#This Row],[RECUPERO]]=0),0.00001,IF(D1_NOVIEMBRE[[#This Row],[ASESOR]]="",0,D1_NOVIEMBRE[[#This Row],[RECUPERO]]/VLOOKUP(D1_NOVIEMBRE[[#This Row],[SUPER2]],META_NOVIEMBRE_2025[],2,0)))</f>
        <v>0</v>
      </c>
      <c r="F92" t="str">
        <f>IFERROR(VLOOKUP(D1_NOVIEMBRE[[#This Row],[ASESOR_CRR]],Tabla1[],2,0),D1_NOVIEMBRE[[#This Row],[SUPER]])</f>
        <v>LEONOR</v>
      </c>
      <c r="L92">
        <v>9</v>
      </c>
      <c r="M92" s="1">
        <f t="shared" si="4"/>
        <v>0</v>
      </c>
      <c r="N92" t="str" cm="1">
        <f t="array" ref="N92">IFERROR(_xlfn.IFS(M92&gt;100%,"&gt;100%",AND(M92&lt;100%,M92&gt;70%),"&gt;70%",AND(M92&lt;70%,M92&gt;40%),"&gt;40%",AND(M92&lt;40%,M92&gt;0%),"&gt;0%"),"")</f>
        <v/>
      </c>
      <c r="O92" t="str">
        <f t="shared" si="5"/>
        <v/>
      </c>
      <c r="P92" t="str">
        <f>IF(DATA_NOVIEMBRE_2025[[#This Row],[ASER_]]="","",F86)</f>
        <v/>
      </c>
      <c r="Q92" t="str">
        <f>IF(DATA_NOVIEMBRE_2025[[#This Row],[SUPERVISOR]]="","",D86)</f>
        <v/>
      </c>
      <c r="R92" t="str">
        <f>IF(DATA_NOVIEMBRE_2025[[#This Row],[RECUPERO]]="","",VLOOKUP(DATA_NOVIEMBRE_2025[[#This Row],[SUPERVISOR]],$H:$I,2,0))</f>
        <v/>
      </c>
      <c r="S92" s="19" t="s">
        <v>189</v>
      </c>
      <c r="T92" s="19" t="s">
        <v>189</v>
      </c>
      <c r="U92" s="19" t="s">
        <v>189</v>
      </c>
      <c r="V92" s="19" t="s">
        <v>189</v>
      </c>
      <c r="W92" s="19" t="s">
        <v>189</v>
      </c>
      <c r="X92" s="19" t="s">
        <v>189</v>
      </c>
      <c r="Y92" s="19" t="s">
        <v>189</v>
      </c>
      <c r="Z92" s="19" t="s">
        <v>189</v>
      </c>
      <c r="AA92" s="19" t="s">
        <v>189</v>
      </c>
      <c r="AB92" s="19" t="s">
        <v>189</v>
      </c>
      <c r="AC92" s="19" t="s">
        <v>189</v>
      </c>
      <c r="AD92" s="19" t="s">
        <v>189</v>
      </c>
      <c r="AE92" s="19" t="s">
        <v>189</v>
      </c>
      <c r="AF92" s="19" t="s">
        <v>189</v>
      </c>
      <c r="AG92" s="19" t="s">
        <v>189</v>
      </c>
      <c r="AH92" s="19" t="s">
        <v>189</v>
      </c>
      <c r="AI92" s="19" t="s">
        <v>189</v>
      </c>
      <c r="AJ92" s="19" t="s">
        <v>189</v>
      </c>
      <c r="AK92" s="19" t="s">
        <v>189</v>
      </c>
      <c r="AL92" s="19" t="s">
        <v>189</v>
      </c>
      <c r="AM92" s="19" t="s">
        <v>189</v>
      </c>
    </row>
    <row r="93" spans="1:39" x14ac:dyDescent="0.25">
      <c r="L93">
        <v>10</v>
      </c>
      <c r="M93" s="1">
        <f t="shared" si="4"/>
        <v>0</v>
      </c>
      <c r="N93" t="str" cm="1">
        <f t="array" ref="N93">IFERROR(_xlfn.IFS(M93&gt;100%,"&gt;100%",AND(M93&lt;100%,M93&gt;70%),"&gt;70%",AND(M93&lt;70%,M93&gt;40%),"&gt;40%",AND(M93&lt;40%,M93&gt;0%),"&gt;0%"),"")</f>
        <v/>
      </c>
      <c r="O93" t="str">
        <f t="shared" si="5"/>
        <v/>
      </c>
      <c r="P93" t="str">
        <f>IF(DATA_NOVIEMBRE_2025[[#This Row],[ASER_]]="","",F87)</f>
        <v/>
      </c>
      <c r="Q93" t="str">
        <f>IF(DATA_NOVIEMBRE_2025[[#This Row],[SUPERVISOR]]="","",D87)</f>
        <v/>
      </c>
      <c r="R93" t="str">
        <f>IF(DATA_NOVIEMBRE_2025[[#This Row],[RECUPERO]]="","",VLOOKUP(DATA_NOVIEMBRE_2025[[#This Row],[SUPERVISOR]],$H:$I,2,0))</f>
        <v/>
      </c>
      <c r="S93" s="19" t="s">
        <v>189</v>
      </c>
      <c r="T93" s="19" t="s">
        <v>189</v>
      </c>
      <c r="U93" s="19" t="s">
        <v>189</v>
      </c>
      <c r="V93" s="19" t="s">
        <v>189</v>
      </c>
      <c r="W93" s="19" t="s">
        <v>189</v>
      </c>
      <c r="X93" s="19" t="s">
        <v>189</v>
      </c>
      <c r="Y93" s="19" t="s">
        <v>189</v>
      </c>
      <c r="Z93" s="19" t="s">
        <v>189</v>
      </c>
      <c r="AA93" s="19" t="s">
        <v>189</v>
      </c>
      <c r="AB93" s="19" t="s">
        <v>189</v>
      </c>
      <c r="AC93" s="19" t="s">
        <v>189</v>
      </c>
      <c r="AD93" s="19" t="s">
        <v>189</v>
      </c>
      <c r="AE93" s="19" t="s">
        <v>189</v>
      </c>
      <c r="AF93" s="19" t="s">
        <v>189</v>
      </c>
      <c r="AG93" s="19" t="s">
        <v>189</v>
      </c>
      <c r="AH93" s="19" t="s">
        <v>189</v>
      </c>
      <c r="AI93" s="19" t="s">
        <v>189</v>
      </c>
      <c r="AJ93" s="19" t="s">
        <v>189</v>
      </c>
      <c r="AK93" s="19" t="s">
        <v>189</v>
      </c>
      <c r="AL93" s="19" t="s">
        <v>189</v>
      </c>
      <c r="AM93" s="19" t="s">
        <v>189</v>
      </c>
    </row>
    <row r="94" spans="1:39" x14ac:dyDescent="0.25">
      <c r="L94">
        <v>11</v>
      </c>
      <c r="M94" s="1">
        <f t="shared" si="4"/>
        <v>0</v>
      </c>
      <c r="N94" t="str" cm="1">
        <f t="array" ref="N94">IFERROR(_xlfn.IFS(M94&gt;100%,"&gt;100%",AND(M94&lt;100%,M94&gt;70%),"&gt;70%",AND(M94&lt;70%,M94&gt;40%),"&gt;40%",AND(M94&lt;40%,M94&gt;0%),"&gt;0%"),"")</f>
        <v/>
      </c>
      <c r="O94" t="str">
        <f t="shared" si="5"/>
        <v/>
      </c>
      <c r="P94" t="str">
        <f>IF(DATA_NOVIEMBRE_2025[[#This Row],[ASER_]]="","",F88)</f>
        <v/>
      </c>
      <c r="Q94" t="str">
        <f>IF(DATA_NOVIEMBRE_2025[[#This Row],[SUPERVISOR]]="","",D88)</f>
        <v/>
      </c>
      <c r="R94" t="str">
        <f>IF(DATA_NOVIEMBRE_2025[[#This Row],[RECUPERO]]="","",VLOOKUP(DATA_NOVIEMBRE_2025[[#This Row],[SUPERVISOR]],$H:$I,2,0))</f>
        <v/>
      </c>
      <c r="S94" s="19" t="s">
        <v>189</v>
      </c>
      <c r="T94" s="19" t="s">
        <v>189</v>
      </c>
      <c r="U94" s="19" t="s">
        <v>189</v>
      </c>
      <c r="V94" s="19" t="s">
        <v>189</v>
      </c>
      <c r="W94" s="19" t="s">
        <v>189</v>
      </c>
      <c r="X94" s="19" t="s">
        <v>189</v>
      </c>
      <c r="Y94" s="19" t="s">
        <v>189</v>
      </c>
      <c r="Z94" s="19" t="s">
        <v>189</v>
      </c>
      <c r="AA94" s="19" t="s">
        <v>189</v>
      </c>
      <c r="AB94" s="19" t="s">
        <v>189</v>
      </c>
      <c r="AC94" s="19" t="s">
        <v>189</v>
      </c>
      <c r="AD94" s="19" t="s">
        <v>189</v>
      </c>
      <c r="AE94" s="19" t="s">
        <v>189</v>
      </c>
      <c r="AF94" s="19" t="s">
        <v>189</v>
      </c>
      <c r="AG94" s="19" t="s">
        <v>189</v>
      </c>
      <c r="AH94" s="19" t="s">
        <v>189</v>
      </c>
      <c r="AI94" s="19" t="s">
        <v>189</v>
      </c>
      <c r="AJ94" s="19" t="s">
        <v>189</v>
      </c>
      <c r="AK94" s="19" t="s">
        <v>189</v>
      </c>
      <c r="AL94" s="19" t="s">
        <v>189</v>
      </c>
      <c r="AM94" s="19" t="s">
        <v>189</v>
      </c>
    </row>
    <row r="95" spans="1:39" x14ac:dyDescent="0.25">
      <c r="L95">
        <v>12</v>
      </c>
      <c r="M95" s="1">
        <f t="shared" si="4"/>
        <v>0</v>
      </c>
      <c r="N95" t="str" cm="1">
        <f t="array" ref="N95">IFERROR(_xlfn.IFS(M95&gt;100%,"&gt;100%",AND(M95&lt;100%,M95&gt;70%),"&gt;70%",AND(M95&lt;70%,M95&gt;40%),"&gt;40%",AND(M95&lt;40%,M95&gt;0%),"&gt;0%"),"")</f>
        <v/>
      </c>
      <c r="O95" t="str">
        <f t="shared" si="5"/>
        <v/>
      </c>
      <c r="P95" t="str">
        <f>IF(DATA_NOVIEMBRE_2025[[#This Row],[ASER_]]="","",F89)</f>
        <v/>
      </c>
      <c r="Q95" t="str">
        <f>IF(DATA_NOVIEMBRE_2025[[#This Row],[SUPERVISOR]]="","",D89)</f>
        <v/>
      </c>
      <c r="R95" t="str">
        <f>IF(DATA_NOVIEMBRE_2025[[#This Row],[RECUPERO]]="","",VLOOKUP(DATA_NOVIEMBRE_2025[[#This Row],[SUPERVISOR]],$H:$I,2,0))</f>
        <v/>
      </c>
      <c r="S95" s="19" t="s">
        <v>189</v>
      </c>
      <c r="T95" s="19" t="s">
        <v>189</v>
      </c>
      <c r="U95" s="19" t="s">
        <v>189</v>
      </c>
      <c r="V95" s="19" t="s">
        <v>189</v>
      </c>
      <c r="W95" s="19" t="s">
        <v>189</v>
      </c>
      <c r="X95" s="19" t="s">
        <v>189</v>
      </c>
      <c r="Y95" s="19" t="s">
        <v>189</v>
      </c>
      <c r="Z95" s="19" t="s">
        <v>189</v>
      </c>
      <c r="AA95" s="19" t="s">
        <v>189</v>
      </c>
      <c r="AB95" s="19" t="s">
        <v>189</v>
      </c>
      <c r="AC95" s="19" t="s">
        <v>189</v>
      </c>
      <c r="AD95" s="19" t="s">
        <v>189</v>
      </c>
      <c r="AE95" s="19" t="s">
        <v>189</v>
      </c>
      <c r="AF95" s="19" t="s">
        <v>189</v>
      </c>
      <c r="AG95" s="19" t="s">
        <v>189</v>
      </c>
      <c r="AH95" s="19" t="s">
        <v>189</v>
      </c>
      <c r="AI95" s="19" t="s">
        <v>189</v>
      </c>
      <c r="AJ95" s="19" t="s">
        <v>189</v>
      </c>
      <c r="AK95" s="19" t="s">
        <v>189</v>
      </c>
      <c r="AL95" s="19" t="s">
        <v>189</v>
      </c>
      <c r="AM95" s="19" t="s">
        <v>189</v>
      </c>
    </row>
    <row r="96" spans="1:39" x14ac:dyDescent="0.25">
      <c r="L96">
        <v>13</v>
      </c>
      <c r="M96" s="1">
        <f t="shared" si="4"/>
        <v>0</v>
      </c>
      <c r="N96" t="str" cm="1">
        <f t="array" ref="N96">IFERROR(_xlfn.IFS(M96&gt;100%,"&gt;100%",AND(M96&lt;100%,M96&gt;70%),"&gt;70%",AND(M96&lt;70%,M96&gt;40%),"&gt;40%",AND(M96&lt;40%,M96&gt;0%),"&gt;0%"),"")</f>
        <v/>
      </c>
      <c r="O96" t="str">
        <f t="shared" si="5"/>
        <v/>
      </c>
      <c r="P96" t="str">
        <f>IF(DATA_NOVIEMBRE_2025[[#This Row],[ASER_]]="","",F90)</f>
        <v/>
      </c>
      <c r="Q96" t="str">
        <f>IF(DATA_NOVIEMBRE_2025[[#This Row],[SUPERVISOR]]="","",D90)</f>
        <v/>
      </c>
      <c r="R96" t="str">
        <f>IF(DATA_NOVIEMBRE_2025[[#This Row],[RECUPERO]]="","",VLOOKUP(DATA_NOVIEMBRE_2025[[#This Row],[SUPERVISOR]],$H:$I,2,0))</f>
        <v/>
      </c>
      <c r="S96" s="19" t="s">
        <v>189</v>
      </c>
      <c r="T96" s="19" t="s">
        <v>189</v>
      </c>
      <c r="U96" s="19" t="s">
        <v>189</v>
      </c>
      <c r="V96" s="19" t="s">
        <v>189</v>
      </c>
      <c r="W96" s="19" t="s">
        <v>189</v>
      </c>
      <c r="X96" s="19" t="s">
        <v>189</v>
      </c>
      <c r="Y96" s="19" t="s">
        <v>189</v>
      </c>
      <c r="Z96" s="19" t="s">
        <v>189</v>
      </c>
      <c r="AA96" s="19" t="s">
        <v>189</v>
      </c>
      <c r="AB96" s="19" t="s">
        <v>189</v>
      </c>
      <c r="AC96" s="19" t="s">
        <v>189</v>
      </c>
      <c r="AD96" s="19" t="s">
        <v>189</v>
      </c>
      <c r="AE96" s="19" t="s">
        <v>189</v>
      </c>
      <c r="AF96" s="19" t="s">
        <v>189</v>
      </c>
      <c r="AG96" s="19" t="s">
        <v>189</v>
      </c>
      <c r="AH96" s="19" t="s">
        <v>189</v>
      </c>
      <c r="AI96" s="19" t="s">
        <v>189</v>
      </c>
      <c r="AJ96" s="19" t="s">
        <v>189</v>
      </c>
      <c r="AK96" s="19" t="s">
        <v>189</v>
      </c>
      <c r="AL96" s="19" t="s">
        <v>189</v>
      </c>
      <c r="AM96" s="19" t="s">
        <v>189</v>
      </c>
    </row>
    <row r="97" spans="3:39" x14ac:dyDescent="0.25">
      <c r="L97">
        <v>14</v>
      </c>
      <c r="M97" s="1">
        <f t="shared" si="4"/>
        <v>0</v>
      </c>
      <c r="N97" t="str" cm="1">
        <f t="array" ref="N97">IFERROR(_xlfn.IFS(M97&gt;100%,"&gt;100%",AND(M97&lt;100%,M97&gt;70%),"&gt;70%",AND(M97&lt;70%,M97&gt;40%),"&gt;40%",AND(M97&lt;40%,M97&gt;0%),"&gt;0%"),"")</f>
        <v/>
      </c>
      <c r="O97" t="str">
        <f t="shared" si="5"/>
        <v/>
      </c>
      <c r="P97" t="str">
        <f>IF(DATA_NOVIEMBRE_2025[[#This Row],[ASER_]]="","",F91)</f>
        <v/>
      </c>
      <c r="Q97" t="str">
        <f>IF(DATA_NOVIEMBRE_2025[[#This Row],[SUPERVISOR]]="","",D91)</f>
        <v/>
      </c>
      <c r="R97" t="str">
        <f>IF(DATA_NOVIEMBRE_2025[[#This Row],[RECUPERO]]="","",VLOOKUP(DATA_NOVIEMBRE_2025[[#This Row],[SUPERVISOR]],$H:$I,2,0))</f>
        <v/>
      </c>
      <c r="S97" s="19" t="s">
        <v>189</v>
      </c>
      <c r="T97" s="19" t="s">
        <v>189</v>
      </c>
      <c r="U97" s="19" t="s">
        <v>189</v>
      </c>
      <c r="V97" s="19" t="s">
        <v>189</v>
      </c>
      <c r="W97" s="19" t="s">
        <v>189</v>
      </c>
      <c r="X97" s="19" t="s">
        <v>189</v>
      </c>
      <c r="Y97" s="19" t="s">
        <v>189</v>
      </c>
      <c r="Z97" s="19" t="s">
        <v>189</v>
      </c>
      <c r="AA97" s="19" t="s">
        <v>189</v>
      </c>
      <c r="AB97" s="19" t="s">
        <v>189</v>
      </c>
      <c r="AC97" s="19" t="s">
        <v>189</v>
      </c>
      <c r="AD97" s="19" t="s">
        <v>189</v>
      </c>
      <c r="AE97" s="19" t="s">
        <v>189</v>
      </c>
      <c r="AF97" s="19" t="s">
        <v>189</v>
      </c>
      <c r="AG97" s="19" t="s">
        <v>189</v>
      </c>
      <c r="AH97" s="19" t="s">
        <v>189</v>
      </c>
      <c r="AI97" s="19" t="s">
        <v>189</v>
      </c>
      <c r="AJ97" s="19" t="s">
        <v>189</v>
      </c>
      <c r="AK97" s="19" t="s">
        <v>189</v>
      </c>
      <c r="AL97" s="19" t="s">
        <v>189</v>
      </c>
      <c r="AM97" s="19" t="s">
        <v>189</v>
      </c>
    </row>
    <row r="98" spans="3:39" x14ac:dyDescent="0.25">
      <c r="L98">
        <v>15</v>
      </c>
      <c r="M98" s="1">
        <f t="shared" ref="M98" si="6">E92</f>
        <v>0</v>
      </c>
      <c r="N98" t="str" cm="1">
        <f t="array" ref="N98">IFERROR(_xlfn.IFS(M98&gt;100%,"&gt;100%",AND(M98&lt;100%,M98&gt;70%),"&gt;70%",AND(M98&lt;70%,M98&gt;40%),"&gt;40%",AND(M98&lt;40%,M98&gt;0%),"&gt;0%"),"")</f>
        <v/>
      </c>
      <c r="O98" t="str">
        <f t="shared" ref="O98" si="7">B92</f>
        <v/>
      </c>
      <c r="P98" t="str">
        <f>IF(DATA_NOVIEMBRE_2025[[#This Row],[ASER_]]="","",F92)</f>
        <v/>
      </c>
      <c r="Q98" t="str">
        <f>IF(DATA_NOVIEMBRE_2025[[#This Row],[SUPERVISOR]]="","",D92)</f>
        <v/>
      </c>
      <c r="R98" t="str">
        <f>IF(DATA_NOVIEMBRE_2025[[#This Row],[RECUPERO]]="","",VLOOKUP(DATA_NOVIEMBRE_2025[[#This Row],[SUPERVISOR]],$H:$I,2,0))</f>
        <v/>
      </c>
      <c r="S98" s="19" t="s">
        <v>189</v>
      </c>
      <c r="T98" s="19" t="s">
        <v>189</v>
      </c>
      <c r="U98" s="19" t="s">
        <v>189</v>
      </c>
      <c r="V98" s="19" t="s">
        <v>189</v>
      </c>
      <c r="W98" s="19" t="s">
        <v>189</v>
      </c>
      <c r="X98" s="19" t="s">
        <v>189</v>
      </c>
      <c r="Y98" s="19" t="s">
        <v>189</v>
      </c>
      <c r="Z98" s="19" t="s">
        <v>189</v>
      </c>
      <c r="AA98" s="19" t="s">
        <v>189</v>
      </c>
      <c r="AB98" s="19" t="s">
        <v>189</v>
      </c>
      <c r="AC98" s="19" t="s">
        <v>189</v>
      </c>
      <c r="AD98" s="19" t="s">
        <v>189</v>
      </c>
      <c r="AE98" s="19" t="s">
        <v>189</v>
      </c>
      <c r="AF98" s="19" t="s">
        <v>189</v>
      </c>
      <c r="AG98" s="19" t="s">
        <v>189</v>
      </c>
      <c r="AH98" s="19" t="s">
        <v>189</v>
      </c>
      <c r="AI98" s="19" t="s">
        <v>189</v>
      </c>
      <c r="AJ98" s="19" t="s">
        <v>189</v>
      </c>
      <c r="AK98" s="19" t="s">
        <v>189</v>
      </c>
      <c r="AL98" s="19" t="s">
        <v>189</v>
      </c>
      <c r="AM98" s="19" t="s">
        <v>189</v>
      </c>
    </row>
    <row r="102" spans="3:39" x14ac:dyDescent="0.25">
      <c r="C102" s="13"/>
      <c r="D102" s="1"/>
    </row>
    <row r="103" spans="3:39" x14ac:dyDescent="0.25">
      <c r="C103" s="13"/>
      <c r="D103" s="1"/>
    </row>
    <row r="104" spans="3:39" x14ac:dyDescent="0.25">
      <c r="C104" s="13"/>
      <c r="D104" s="1"/>
    </row>
    <row r="105" spans="3:39" x14ac:dyDescent="0.25">
      <c r="C105" s="13"/>
      <c r="D105" s="1"/>
    </row>
    <row r="106" spans="3:39" x14ac:dyDescent="0.25">
      <c r="D106" s="13"/>
      <c r="E106" s="13"/>
    </row>
    <row r="107" spans="3:39" x14ac:dyDescent="0.25">
      <c r="D107" s="13"/>
      <c r="E107" s="13"/>
    </row>
    <row r="108" spans="3:39" x14ac:dyDescent="0.25">
      <c r="D108" s="13"/>
      <c r="E108" s="13"/>
    </row>
    <row r="109" spans="3:39" x14ac:dyDescent="0.25">
      <c r="D109" s="13"/>
      <c r="E109" s="13"/>
    </row>
    <row r="110" spans="3:39" x14ac:dyDescent="0.25">
      <c r="D110" s="13"/>
      <c r="E110" s="13"/>
    </row>
    <row r="111" spans="3:39" x14ac:dyDescent="0.25">
      <c r="D111" s="13"/>
      <c r="E111" s="13"/>
    </row>
    <row r="112" spans="3:39" x14ac:dyDescent="0.25">
      <c r="D112" s="13"/>
      <c r="E112" s="13"/>
    </row>
    <row r="113" spans="4:44" x14ac:dyDescent="0.25">
      <c r="D113" s="13"/>
      <c r="E113" s="13"/>
      <c r="U113" s="14"/>
      <c r="V113" s="14"/>
      <c r="W113" s="14"/>
      <c r="X113" s="14"/>
      <c r="Y113" s="14"/>
      <c r="Z113" s="14"/>
      <c r="AA113" s="14"/>
      <c r="AB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</row>
    <row r="114" spans="4:44" x14ac:dyDescent="0.25">
      <c r="D114" s="13"/>
      <c r="E114" s="13"/>
      <c r="T114" s="15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7"/>
      <c r="AQ114" s="17"/>
      <c r="AR114" s="18"/>
    </row>
    <row r="115" spans="4:44" x14ac:dyDescent="0.25">
      <c r="T115" s="15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7"/>
      <c r="AQ115" s="17"/>
      <c r="AR115" s="18"/>
    </row>
    <row r="116" spans="4:44" x14ac:dyDescent="0.25">
      <c r="T116" s="15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7"/>
      <c r="AQ116" s="17"/>
      <c r="AR116" s="18"/>
    </row>
    <row r="117" spans="4:44" x14ac:dyDescent="0.25">
      <c r="T117" s="15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7"/>
      <c r="AQ117" s="17"/>
      <c r="AR117" s="18"/>
    </row>
    <row r="118" spans="4:44" x14ac:dyDescent="0.25">
      <c r="T118" s="15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7"/>
      <c r="AQ118" s="17"/>
      <c r="AR118" s="18"/>
    </row>
    <row r="119" spans="4:44" x14ac:dyDescent="0.25">
      <c r="T119" s="15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7"/>
      <c r="AQ119" s="17"/>
      <c r="AR119" s="18"/>
    </row>
    <row r="120" spans="4:44" x14ac:dyDescent="0.25">
      <c r="T120" s="15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7"/>
      <c r="AQ120" s="17"/>
      <c r="AR120" s="18"/>
    </row>
    <row r="121" spans="4:44" x14ac:dyDescent="0.25">
      <c r="T121" s="15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7"/>
      <c r="AQ121" s="17"/>
      <c r="AR121" s="18"/>
    </row>
    <row r="122" spans="4:44" x14ac:dyDescent="0.25">
      <c r="T122" s="15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7"/>
      <c r="AQ122" s="17"/>
      <c r="AR122" s="18"/>
    </row>
    <row r="123" spans="4:44" x14ac:dyDescent="0.25">
      <c r="T123" s="15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7"/>
      <c r="AQ123" s="17"/>
      <c r="AR123" s="18"/>
    </row>
    <row r="124" spans="4:44" x14ac:dyDescent="0.25">
      <c r="T124" s="15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7"/>
      <c r="AQ124" s="17"/>
      <c r="AR124" s="18"/>
    </row>
    <row r="125" spans="4:44" x14ac:dyDescent="0.25">
      <c r="T125" s="15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7"/>
      <c r="AQ125" s="17"/>
      <c r="AR125" s="18"/>
    </row>
    <row r="126" spans="4:44" x14ac:dyDescent="0.25">
      <c r="T126" s="15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7"/>
      <c r="AQ126" s="17"/>
      <c r="AR126" s="18"/>
    </row>
    <row r="127" spans="4:44" x14ac:dyDescent="0.25">
      <c r="T127" s="15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7"/>
      <c r="AQ127" s="17"/>
      <c r="AR127" s="18"/>
    </row>
    <row r="128" spans="4:44" x14ac:dyDescent="0.25">
      <c r="T128" s="15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7"/>
      <c r="AQ128" s="17"/>
      <c r="AR128" s="18"/>
    </row>
    <row r="129" spans="20:44" x14ac:dyDescent="0.25">
      <c r="T129" s="15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7"/>
      <c r="AQ129" s="17"/>
      <c r="AR129" s="18"/>
    </row>
    <row r="130" spans="20:44" x14ac:dyDescent="0.25">
      <c r="T130" s="15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7"/>
      <c r="AQ130" s="17"/>
      <c r="AR130" s="18"/>
    </row>
    <row r="131" spans="20:44" x14ac:dyDescent="0.25">
      <c r="T131" s="15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7"/>
      <c r="AQ131" s="17"/>
      <c r="AR131" s="18"/>
    </row>
    <row r="132" spans="20:44" x14ac:dyDescent="0.25">
      <c r="T132" s="15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7"/>
      <c r="AQ132" s="17"/>
      <c r="AR132" s="18"/>
    </row>
    <row r="133" spans="20:44" x14ac:dyDescent="0.25">
      <c r="T133" s="15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7"/>
      <c r="AQ133" s="17"/>
      <c r="AR133" s="18"/>
    </row>
    <row r="134" spans="20:44" x14ac:dyDescent="0.25">
      <c r="T134" s="15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7"/>
      <c r="AQ134" s="17"/>
      <c r="AR134" s="18"/>
    </row>
    <row r="135" spans="20:44" x14ac:dyDescent="0.25">
      <c r="T135" s="15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7"/>
      <c r="AQ135" s="17"/>
      <c r="AR135" s="18"/>
    </row>
    <row r="136" spans="20:44" x14ac:dyDescent="0.25">
      <c r="T136" s="15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7"/>
      <c r="AQ136" s="17"/>
      <c r="AR136" s="18"/>
    </row>
    <row r="137" spans="20:44" x14ac:dyDescent="0.25">
      <c r="T137" s="15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7"/>
      <c r="AQ137" s="17"/>
      <c r="AR137" s="18"/>
    </row>
    <row r="138" spans="20:44" x14ac:dyDescent="0.25">
      <c r="T138" s="15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7"/>
      <c r="AQ138" s="17"/>
      <c r="AR138" s="18"/>
    </row>
    <row r="139" spans="20:44" x14ac:dyDescent="0.25">
      <c r="T139" s="15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7"/>
      <c r="AQ139" s="17"/>
      <c r="AR139" s="18"/>
    </row>
    <row r="140" spans="20:44" x14ac:dyDescent="0.25">
      <c r="T140" s="15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7"/>
      <c r="AQ140" s="17"/>
      <c r="AR140" s="18"/>
    </row>
    <row r="141" spans="20:44" x14ac:dyDescent="0.25">
      <c r="T141" s="15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7"/>
      <c r="AQ141" s="17"/>
      <c r="AR141" s="18"/>
    </row>
    <row r="142" spans="20:44" x14ac:dyDescent="0.25">
      <c r="T142" s="15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7"/>
      <c r="AQ142" s="17"/>
      <c r="AR142" s="18"/>
    </row>
    <row r="143" spans="20:44" x14ac:dyDescent="0.25">
      <c r="T143" s="15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7"/>
      <c r="AQ143" s="17"/>
      <c r="AR143" s="18"/>
    </row>
    <row r="144" spans="20:44" x14ac:dyDescent="0.25">
      <c r="T144" s="15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7"/>
      <c r="AQ144" s="17"/>
      <c r="AR144" s="18"/>
    </row>
    <row r="145" spans="20:44" x14ac:dyDescent="0.25">
      <c r="T145" s="15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7"/>
      <c r="AQ145" s="17"/>
      <c r="AR145" s="18"/>
    </row>
    <row r="146" spans="20:44" x14ac:dyDescent="0.25">
      <c r="T146" s="15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7"/>
      <c r="AQ146" s="17"/>
      <c r="AR146" s="18"/>
    </row>
    <row r="147" spans="20:44" x14ac:dyDescent="0.25">
      <c r="T147" s="15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7"/>
      <c r="AQ147" s="17"/>
      <c r="AR147" s="18"/>
    </row>
    <row r="148" spans="20:44" x14ac:dyDescent="0.25">
      <c r="T148" s="15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7"/>
      <c r="AQ148" s="17"/>
      <c r="AR148" s="18"/>
    </row>
    <row r="149" spans="20:44" x14ac:dyDescent="0.25">
      <c r="T149" s="15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7"/>
      <c r="AQ149" s="17"/>
      <c r="AR149" s="18"/>
    </row>
    <row r="150" spans="20:44" x14ac:dyDescent="0.25">
      <c r="T150" s="15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7"/>
      <c r="AQ150" s="17"/>
      <c r="AR150" s="18"/>
    </row>
    <row r="151" spans="20:44" x14ac:dyDescent="0.25">
      <c r="T151" s="15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7"/>
      <c r="AQ151" s="17"/>
      <c r="AR151" s="18"/>
    </row>
    <row r="152" spans="20:44" x14ac:dyDescent="0.25">
      <c r="T152" s="15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7"/>
      <c r="AQ152" s="17"/>
      <c r="AR152" s="18"/>
    </row>
    <row r="153" spans="20:44" x14ac:dyDescent="0.25">
      <c r="T153" s="15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7"/>
      <c r="AQ153" s="17"/>
      <c r="AR153" s="18"/>
    </row>
    <row r="154" spans="20:44" x14ac:dyDescent="0.25">
      <c r="T154" s="15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7"/>
      <c r="AQ154" s="17"/>
      <c r="AR154" s="18"/>
    </row>
    <row r="155" spans="20:44" x14ac:dyDescent="0.25">
      <c r="T155" s="15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7"/>
      <c r="AQ155" s="17"/>
      <c r="AR155" s="18"/>
    </row>
    <row r="156" spans="20:44" x14ac:dyDescent="0.25">
      <c r="T156" s="15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7"/>
      <c r="AQ156" s="17"/>
      <c r="AR156" s="18"/>
    </row>
    <row r="157" spans="20:44" x14ac:dyDescent="0.25">
      <c r="T157" s="15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7"/>
      <c r="AQ157" s="17"/>
      <c r="AR157" s="18"/>
    </row>
    <row r="158" spans="20:44" x14ac:dyDescent="0.25">
      <c r="T158" s="15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7"/>
      <c r="AQ158" s="17"/>
      <c r="AR158" s="18"/>
    </row>
    <row r="159" spans="20:44" x14ac:dyDescent="0.25">
      <c r="T159" s="15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7"/>
      <c r="AQ159" s="17"/>
      <c r="AR159" s="18"/>
    </row>
    <row r="160" spans="20:44" x14ac:dyDescent="0.25">
      <c r="T160" s="15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7"/>
      <c r="AQ160" s="17"/>
      <c r="AR160" s="18"/>
    </row>
    <row r="161" spans="20:44" x14ac:dyDescent="0.25">
      <c r="T161" s="15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7"/>
      <c r="AQ161" s="17"/>
      <c r="AR161" s="18"/>
    </row>
    <row r="162" spans="20:44" x14ac:dyDescent="0.25">
      <c r="T162" s="15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7"/>
      <c r="AQ162" s="17"/>
      <c r="AR162" s="18"/>
    </row>
    <row r="163" spans="20:44" x14ac:dyDescent="0.25">
      <c r="T163" s="15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7"/>
      <c r="AQ163" s="17"/>
      <c r="AR163" s="18"/>
    </row>
    <row r="164" spans="20:44" x14ac:dyDescent="0.25">
      <c r="T164" s="15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7"/>
      <c r="AQ164" s="17"/>
      <c r="AR164" s="18"/>
    </row>
    <row r="165" spans="20:44" x14ac:dyDescent="0.25">
      <c r="T165" s="15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7"/>
      <c r="AQ165" s="17"/>
      <c r="AR165" s="18"/>
    </row>
    <row r="166" spans="20:44" x14ac:dyDescent="0.25">
      <c r="T166" s="15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7"/>
      <c r="AQ166" s="17"/>
      <c r="AR166" s="18"/>
    </row>
    <row r="167" spans="20:44" x14ac:dyDescent="0.25">
      <c r="T167" s="15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7"/>
      <c r="AQ167" s="17"/>
      <c r="AR167" s="18"/>
    </row>
    <row r="168" spans="20:44" x14ac:dyDescent="0.25">
      <c r="T168" s="15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7"/>
      <c r="AQ168" s="17"/>
      <c r="AR168" s="18"/>
    </row>
    <row r="169" spans="20:44" x14ac:dyDescent="0.25">
      <c r="T169" s="15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7"/>
      <c r="AQ169" s="17"/>
      <c r="AR169" s="18"/>
    </row>
    <row r="170" spans="20:44" x14ac:dyDescent="0.25">
      <c r="T170" s="15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7"/>
      <c r="AQ170" s="17"/>
      <c r="AR170" s="18"/>
    </row>
    <row r="171" spans="20:44" x14ac:dyDescent="0.25">
      <c r="T171" s="15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7"/>
      <c r="AQ171" s="17"/>
      <c r="AR171" s="18"/>
    </row>
    <row r="172" spans="20:44" x14ac:dyDescent="0.25">
      <c r="T172" s="15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7"/>
      <c r="AQ172" s="17"/>
      <c r="AR172" s="18"/>
    </row>
    <row r="173" spans="20:44" x14ac:dyDescent="0.25">
      <c r="T173" s="15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7"/>
      <c r="AQ173" s="17"/>
      <c r="AR173" s="18"/>
    </row>
    <row r="174" spans="20:44" x14ac:dyDescent="0.25">
      <c r="T174" s="15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7"/>
      <c r="AQ174" s="17"/>
      <c r="AR174" s="18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2025-11-18T14:47:14Z</dcterms:modified>
</cp:coreProperties>
</file>