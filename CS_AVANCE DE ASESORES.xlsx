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queryTables/queryTable1.xml" ContentType="application/vnd.openxmlformats-officedocument.spreadsheetml.queryTable+xml"/>
  <Override PartName="/xl/tables/table53.xml" ContentType="application/vnd.openxmlformats-officedocument.spreadsheetml.table+xml"/>
  <Override PartName="/xl/queryTables/queryTable2.xml" ContentType="application/vnd.openxmlformats-officedocument.spreadsheetml.queryTable+xml"/>
  <Override PartName="/xl/tables/table5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698442B4-75A3-47CA-BE27-A71934F73507}" xr6:coauthVersionLast="47" xr6:coauthVersionMax="47" xr10:uidLastSave="{00000000-0000-0000-0000-000000000000}"/>
  <bookViews>
    <workbookView xWindow="-120" yWindow="-120" windowWidth="20730" windowHeight="11040" firstSheet="15" activeTab="16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17" r:id="rId17"/>
    <sheet name="INF" sheetId="28" r:id="rId18"/>
    <sheet name="DIM" sheetId="34" r:id="rId19"/>
    <sheet name="METAS" sheetId="22" r:id="rId20"/>
  </sheets>
  <definedNames>
    <definedName name="_xlnm._FilterDatabase" localSheetId="8" hidden="1">JULIO_2025!#REF!</definedName>
    <definedName name="DatosExternos_1" localSheetId="18" hidden="1">DIM!$A$1:$J$403</definedName>
    <definedName name="DatosExternos_1" localSheetId="17" hidden="1">INF!$A$1:$E$102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28" l="1"/>
  <c r="F76" i="28"/>
  <c r="F66" i="28"/>
  <c r="F53" i="28"/>
  <c r="F34" i="28"/>
  <c r="F31" i="28"/>
  <c r="F8" i="28"/>
  <c r="F20" i="28"/>
  <c r="F14" i="28"/>
  <c r="F83" i="28"/>
  <c r="F10" i="28"/>
  <c r="F82" i="28"/>
  <c r="F97" i="28"/>
  <c r="F67" i="28"/>
  <c r="F30" i="28"/>
  <c r="F54" i="28"/>
  <c r="F49" i="28"/>
  <c r="F26" i="28"/>
  <c r="F5" i="28"/>
  <c r="F70" i="28"/>
  <c r="F33" i="28"/>
  <c r="F48" i="28"/>
  <c r="F81" i="28"/>
  <c r="F21" i="28"/>
  <c r="F46" i="28"/>
  <c r="F9" i="28"/>
  <c r="F59" i="28"/>
  <c r="F44" i="28"/>
  <c r="F4" i="28"/>
  <c r="F16" i="28"/>
  <c r="F71" i="28"/>
  <c r="F87" i="28"/>
  <c r="F77" i="28"/>
  <c r="F85" i="28"/>
  <c r="F38" i="28"/>
  <c r="F12" i="28"/>
  <c r="F84" i="28"/>
  <c r="F29" i="28"/>
  <c r="F75" i="28"/>
  <c r="F19" i="28"/>
  <c r="F2" i="28"/>
  <c r="F42" i="28"/>
  <c r="F58" i="28"/>
  <c r="F45" i="28"/>
  <c r="F74" i="28"/>
  <c r="F6" i="28"/>
  <c r="F78" i="28"/>
  <c r="F7" i="28"/>
  <c r="F28" i="28"/>
  <c r="F55" i="28"/>
  <c r="F50" i="28"/>
  <c r="F91" i="28"/>
  <c r="F80" i="28"/>
  <c r="F18" i="28"/>
  <c r="F100" i="28"/>
  <c r="F69" i="28"/>
  <c r="F27" i="28"/>
  <c r="F86" i="28"/>
  <c r="F99" i="28"/>
  <c r="F89" i="28"/>
  <c r="F96" i="28"/>
  <c r="F63" i="28"/>
  <c r="F39" i="28"/>
  <c r="F57" i="28"/>
  <c r="F41" i="28"/>
  <c r="F61" i="28"/>
  <c r="F35" i="28"/>
  <c r="F13" i="28"/>
  <c r="F60" i="28"/>
  <c r="F23" i="28"/>
  <c r="F37" i="28"/>
  <c r="F79" i="28"/>
  <c r="F90" i="28"/>
  <c r="F11" i="28"/>
  <c r="F64" i="28"/>
  <c r="F72" i="28"/>
  <c r="F40" i="28"/>
  <c r="F25" i="28"/>
  <c r="F92" i="28"/>
  <c r="F102" i="28"/>
  <c r="F65" i="28"/>
  <c r="F15" i="28"/>
  <c r="F51" i="28"/>
  <c r="F52" i="28"/>
  <c r="F101" i="28"/>
  <c r="F62" i="28"/>
  <c r="F36" i="28"/>
  <c r="F94" i="28"/>
  <c r="F98" i="28"/>
  <c r="F68" i="28"/>
  <c r="F32" i="28"/>
  <c r="F73" i="28"/>
  <c r="F22" i="28"/>
  <c r="F43" i="28"/>
  <c r="F95" i="28"/>
  <c r="F24" i="28"/>
  <c r="F88" i="28"/>
  <c r="F93" i="28"/>
  <c r="F56" i="28"/>
  <c r="F3" i="28"/>
  <c r="F17" i="28"/>
  <c r="G47" i="28"/>
  <c r="G76" i="28"/>
  <c r="G66" i="28"/>
  <c r="G53" i="28"/>
  <c r="G34" i="28"/>
  <c r="G31" i="28"/>
  <c r="G8" i="28"/>
  <c r="G20" i="28"/>
  <c r="G14" i="28"/>
  <c r="G83" i="28"/>
  <c r="G10" i="28"/>
  <c r="G82" i="28"/>
  <c r="G97" i="28"/>
  <c r="G67" i="28"/>
  <c r="G30" i="28"/>
  <c r="G54" i="28"/>
  <c r="G49" i="28"/>
  <c r="G26" i="28"/>
  <c r="G5" i="28"/>
  <c r="G70" i="28"/>
  <c r="G33" i="28"/>
  <c r="G48" i="28"/>
  <c r="G81" i="28"/>
  <c r="G21" i="28"/>
  <c r="G46" i="28"/>
  <c r="G9" i="28"/>
  <c r="G59" i="28"/>
  <c r="G44" i="28"/>
  <c r="G4" i="28"/>
  <c r="G16" i="28"/>
  <c r="G71" i="28"/>
  <c r="G87" i="28"/>
  <c r="G77" i="28"/>
  <c r="G85" i="28"/>
  <c r="G38" i="28"/>
  <c r="G12" i="28"/>
  <c r="G84" i="28"/>
  <c r="G29" i="28"/>
  <c r="G75" i="28"/>
  <c r="G19" i="28"/>
  <c r="G2" i="28"/>
  <c r="G42" i="28"/>
  <c r="G58" i="28"/>
  <c r="G45" i="28"/>
  <c r="G74" i="28"/>
  <c r="G6" i="28"/>
  <c r="G78" i="28"/>
  <c r="G7" i="28"/>
  <c r="G28" i="28"/>
  <c r="G55" i="28"/>
  <c r="G50" i="28"/>
  <c r="G91" i="28"/>
  <c r="G80" i="28"/>
  <c r="G18" i="28"/>
  <c r="G100" i="28"/>
  <c r="G69" i="28"/>
  <c r="G27" i="28"/>
  <c r="G86" i="28"/>
  <c r="G99" i="28"/>
  <c r="G89" i="28"/>
  <c r="G96" i="28"/>
  <c r="G63" i="28"/>
  <c r="G39" i="28"/>
  <c r="G57" i="28"/>
  <c r="G41" i="28"/>
  <c r="G61" i="28"/>
  <c r="G35" i="28"/>
  <c r="G13" i="28"/>
  <c r="G60" i="28"/>
  <c r="G23" i="28"/>
  <c r="G37" i="28"/>
  <c r="G79" i="28"/>
  <c r="G90" i="28"/>
  <c r="G11" i="28"/>
  <c r="G64" i="28"/>
  <c r="G72" i="28"/>
  <c r="G40" i="28"/>
  <c r="G25" i="28"/>
  <c r="G92" i="28"/>
  <c r="G102" i="28"/>
  <c r="G65" i="28"/>
  <c r="G15" i="28"/>
  <c r="G51" i="28"/>
  <c r="G52" i="28"/>
  <c r="G101" i="28"/>
  <c r="G62" i="28"/>
  <c r="G36" i="28"/>
  <c r="G94" i="28"/>
  <c r="G98" i="28"/>
  <c r="G68" i="28"/>
  <c r="G32" i="28"/>
  <c r="G73" i="28"/>
  <c r="G22" i="28"/>
  <c r="G43" i="28"/>
  <c r="G95" i="28"/>
  <c r="G24" i="28"/>
  <c r="G88" i="28"/>
  <c r="G93" i="28"/>
  <c r="G56" i="28"/>
  <c r="G3" i="28"/>
  <c r="G17" i="28"/>
  <c r="B59" i="17" a="1"/>
  <c r="B59" i="17" s="1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 s="1"/>
  <c r="B53" i="17" a="1"/>
  <c r="B53" i="17" s="1"/>
  <c r="B54" i="17" a="1"/>
  <c r="B54" i="17" s="1"/>
  <c r="B55" i="17" a="1"/>
  <c r="B55" i="17" s="1"/>
  <c r="B56" i="17" a="1"/>
  <c r="B56" i="17" s="1"/>
  <c r="B57" i="17" a="1"/>
  <c r="B57" i="17" s="1"/>
  <c r="C57" i="17" s="1" a="1"/>
  <c r="C57" i="17" s="1"/>
  <c r="B58" i="17" a="1"/>
  <c r="B58" i="17" s="1"/>
  <c r="C58" i="17" s="1" a="1"/>
  <c r="C58" i="17" s="1"/>
  <c r="A59" i="17" l="1" a="1"/>
  <c r="A59" i="17" s="1"/>
  <c r="E59" i="17" s="1"/>
  <c r="J59" i="17" a="1"/>
  <c r="J59" i="17" s="1"/>
  <c r="K59" i="17" a="1"/>
  <c r="K59" i="17" s="1"/>
  <c r="C59" i="17" a="1"/>
  <c r="C59" i="17" s="1"/>
  <c r="D59" i="17" s="1"/>
  <c r="H59" i="17" a="1"/>
  <c r="H59" i="17" s="1"/>
  <c r="I59" i="17" a="1"/>
  <c r="I59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C8" i="17" s="1" a="1"/>
  <c r="C8" i="17" s="1"/>
  <c r="H7" i="17" a="1"/>
  <c r="H7" i="17" s="1"/>
  <c r="J7" i="17" a="1"/>
  <c r="J7" i="17" s="1"/>
  <c r="K7" i="17" a="1"/>
  <c r="K7" i="17" s="1"/>
  <c r="I7" i="17" a="1"/>
  <c r="I7" i="17" s="1"/>
  <c r="A7" i="17" a="1"/>
  <c r="A7" i="17" s="1"/>
  <c r="C7" i="17" s="1" a="1"/>
  <c r="C7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C5" i="17" a="1"/>
  <c r="C5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C4" i="17" a="1"/>
  <c r="C4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C3" i="17" a="1"/>
  <c r="C3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H14" i="17" a="1"/>
  <c r="H14" i="17" s="1"/>
  <c r="J14" i="17" a="1"/>
  <c r="J14" i="17" s="1"/>
  <c r="I14" i="17" a="1"/>
  <c r="I14" i="17" s="1"/>
  <c r="K14" i="17" a="1"/>
  <c r="K14" i="17" s="1"/>
  <c r="A14" i="17" a="1"/>
  <c r="A14" i="17" s="1"/>
  <c r="I13" i="17" a="1"/>
  <c r="I13" i="17" s="1"/>
  <c r="K13" i="17" a="1"/>
  <c r="K13" i="17" s="1"/>
  <c r="A13" i="17" a="1"/>
  <c r="A13" i="17" s="1"/>
  <c r="H13" i="17" a="1"/>
  <c r="H13" i="17" s="1"/>
  <c r="J13" i="17" a="1"/>
  <c r="J13" i="17" s="1"/>
  <c r="K12" i="17" a="1"/>
  <c r="K12" i="17" s="1"/>
  <c r="I12" i="17" a="1"/>
  <c r="I12" i="17" s="1"/>
  <c r="H12" i="17" a="1"/>
  <c r="H12" i="17" s="1"/>
  <c r="J12" i="17" a="1"/>
  <c r="J12" i="17" s="1"/>
  <c r="A12" i="17" a="1"/>
  <c r="A12" i="17" s="1"/>
  <c r="A11" i="17" a="1"/>
  <c r="A11" i="17" s="1"/>
  <c r="H11" i="17" a="1"/>
  <c r="H11" i="17" s="1"/>
  <c r="K11" i="17" a="1"/>
  <c r="K11" i="17" s="1"/>
  <c r="I11" i="17" a="1"/>
  <c r="I11" i="17" s="1"/>
  <c r="J11" i="17" a="1"/>
  <c r="J11" i="17" s="1"/>
  <c r="A10" i="17" a="1"/>
  <c r="A10" i="17" s="1"/>
  <c r="K10" i="17" a="1"/>
  <c r="K10" i="17" s="1"/>
  <c r="J10" i="17" a="1"/>
  <c r="J10" i="17" s="1"/>
  <c r="H10" i="17" a="1"/>
  <c r="H10" i="17" s="1"/>
  <c r="I10" i="17" a="1"/>
  <c r="I10" i="17" s="1"/>
  <c r="I55" i="17" a="1"/>
  <c r="I55" i="17" s="1"/>
  <c r="K55" i="17" a="1"/>
  <c r="K55" i="17" s="1"/>
  <c r="H55" i="17" a="1"/>
  <c r="H55" i="17" s="1"/>
  <c r="J55" i="17" a="1"/>
  <c r="J55" i="17" s="1"/>
  <c r="A55" i="17" a="1"/>
  <c r="A55" i="17" s="1"/>
  <c r="H43" i="17" a="1"/>
  <c r="H43" i="17" s="1"/>
  <c r="K43" i="17" a="1"/>
  <c r="K43" i="17" s="1"/>
  <c r="A43" i="17" a="1"/>
  <c r="A43" i="17" s="1"/>
  <c r="I43" i="17" a="1"/>
  <c r="I43" i="17" s="1"/>
  <c r="J43" i="17" a="1"/>
  <c r="J43" i="17" s="1"/>
  <c r="H31" i="17" a="1"/>
  <c r="H31" i="17" s="1"/>
  <c r="I31" i="17" a="1"/>
  <c r="I31" i="17" s="1"/>
  <c r="A31" i="17" a="1"/>
  <c r="A31" i="17" s="1"/>
  <c r="K31" i="17" a="1"/>
  <c r="K31" i="17" s="1"/>
  <c r="J31" i="17" a="1"/>
  <c r="J31" i="17" s="1"/>
  <c r="I20" i="17" a="1"/>
  <c r="I20" i="17" s="1"/>
  <c r="H20" i="17" a="1"/>
  <c r="H20" i="17" s="1"/>
  <c r="K20" i="17" a="1"/>
  <c r="K20" i="17" s="1"/>
  <c r="J20" i="17" a="1"/>
  <c r="J20" i="17" s="1"/>
  <c r="A20" i="17" a="1"/>
  <c r="A20" i="17" s="1"/>
  <c r="I54" i="17" a="1"/>
  <c r="I54" i="17" s="1"/>
  <c r="K54" i="17" a="1"/>
  <c r="K54" i="17" s="1"/>
  <c r="H54" i="17" a="1"/>
  <c r="H54" i="17" s="1"/>
  <c r="J54" i="17" a="1"/>
  <c r="J54" i="17" s="1"/>
  <c r="A54" i="17" a="1"/>
  <c r="A54" i="17" s="1"/>
  <c r="A42" i="17" a="1"/>
  <c r="A42" i="17" s="1"/>
  <c r="H42" i="17" a="1"/>
  <c r="H42" i="17" s="1"/>
  <c r="I42" i="17" a="1"/>
  <c r="I42" i="17" s="1"/>
  <c r="J42" i="17" a="1"/>
  <c r="J42" i="17" s="1"/>
  <c r="K42" i="17" a="1"/>
  <c r="K42" i="17" s="1"/>
  <c r="I30" i="17" a="1"/>
  <c r="I30" i="17" s="1"/>
  <c r="A30" i="17" a="1"/>
  <c r="A30" i="17" s="1"/>
  <c r="K30" i="17" a="1"/>
  <c r="K30" i="17" s="1"/>
  <c r="H30" i="17" a="1"/>
  <c r="H30" i="17" s="1"/>
  <c r="J30" i="17" a="1"/>
  <c r="J30" i="17" s="1"/>
  <c r="A19" i="17" a="1"/>
  <c r="A19" i="17" s="1"/>
  <c r="J19" i="17" a="1"/>
  <c r="J19" i="17" s="1"/>
  <c r="H19" i="17" a="1"/>
  <c r="H19" i="17" s="1"/>
  <c r="K19" i="17" a="1"/>
  <c r="K19" i="17" s="1"/>
  <c r="I19" i="17" a="1"/>
  <c r="I19" i="17" s="1"/>
  <c r="I53" i="17" a="1"/>
  <c r="I53" i="17" s="1"/>
  <c r="K53" i="17" a="1"/>
  <c r="K53" i="17" s="1"/>
  <c r="H53" i="17" a="1"/>
  <c r="H53" i="17" s="1"/>
  <c r="J53" i="17" a="1"/>
  <c r="J53" i="17" s="1"/>
  <c r="A53" i="17" a="1"/>
  <c r="A53" i="17" s="1"/>
  <c r="E53" i="17" s="1"/>
  <c r="J41" i="17" a="1"/>
  <c r="J41" i="17" s="1"/>
  <c r="I41" i="17" a="1"/>
  <c r="I41" i="17" s="1"/>
  <c r="K41" i="17" a="1"/>
  <c r="K41" i="17" s="1"/>
  <c r="A41" i="17" a="1"/>
  <c r="A41" i="17" s="1"/>
  <c r="H41" i="17" a="1"/>
  <c r="H41" i="17" s="1"/>
  <c r="I29" i="17" a="1"/>
  <c r="I29" i="17" s="1"/>
  <c r="A29" i="17" a="1"/>
  <c r="A29" i="17" s="1"/>
  <c r="K29" i="17" a="1"/>
  <c r="K29" i="17" s="1"/>
  <c r="H29" i="17" a="1"/>
  <c r="H29" i="17" s="1"/>
  <c r="J29" i="17" a="1"/>
  <c r="J29" i="17" s="1"/>
  <c r="A18" i="17" a="1"/>
  <c r="A18" i="17" s="1"/>
  <c r="J18" i="17" a="1"/>
  <c r="J18" i="17" s="1"/>
  <c r="H18" i="17" a="1"/>
  <c r="H18" i="17" s="1"/>
  <c r="K18" i="17" a="1"/>
  <c r="K18" i="17" s="1"/>
  <c r="I18" i="17" a="1"/>
  <c r="I18" i="17" s="1"/>
  <c r="J52" i="17" a="1"/>
  <c r="J52" i="17" s="1"/>
  <c r="K52" i="17" a="1"/>
  <c r="K52" i="17" s="1"/>
  <c r="H52" i="17" a="1"/>
  <c r="H52" i="17" s="1"/>
  <c r="I52" i="17" a="1"/>
  <c r="I52" i="17" s="1"/>
  <c r="A52" i="17" a="1"/>
  <c r="A52" i="17" s="1"/>
  <c r="K40" i="17" a="1"/>
  <c r="K40" i="17" s="1"/>
  <c r="J40" i="17" a="1"/>
  <c r="J40" i="17" s="1"/>
  <c r="A40" i="17" a="1"/>
  <c r="A40" i="17" s="1"/>
  <c r="H40" i="17" a="1"/>
  <c r="H40" i="17" s="1"/>
  <c r="I40" i="17" a="1"/>
  <c r="I40" i="17" s="1"/>
  <c r="I28" i="17" a="1"/>
  <c r="I28" i="17" s="1"/>
  <c r="A28" i="17" a="1"/>
  <c r="A28" i="17" s="1"/>
  <c r="K28" i="17" a="1"/>
  <c r="K28" i="17" s="1"/>
  <c r="H28" i="17" a="1"/>
  <c r="H28" i="17" s="1"/>
  <c r="J28" i="17" a="1"/>
  <c r="J28" i="17" s="1"/>
  <c r="J17" i="17" a="1"/>
  <c r="J17" i="17" s="1"/>
  <c r="A17" i="17" a="1"/>
  <c r="A17" i="17" s="1"/>
  <c r="H17" i="17" a="1"/>
  <c r="H17" i="17" s="1"/>
  <c r="K17" i="17" a="1"/>
  <c r="K17" i="17" s="1"/>
  <c r="I17" i="17" a="1"/>
  <c r="I17" i="17" s="1"/>
  <c r="J51" i="17" a="1"/>
  <c r="J51" i="17" s="1"/>
  <c r="K51" i="17" a="1"/>
  <c r="K51" i="17" s="1"/>
  <c r="H51" i="17" a="1"/>
  <c r="H51" i="17" s="1"/>
  <c r="I51" i="17" a="1"/>
  <c r="I51" i="17" s="1"/>
  <c r="A51" i="17" a="1"/>
  <c r="A51" i="17" s="1"/>
  <c r="K39" i="17" a="1"/>
  <c r="K39" i="17" s="1"/>
  <c r="J39" i="17" a="1"/>
  <c r="J39" i="17" s="1"/>
  <c r="H39" i="17" a="1"/>
  <c r="H39" i="17" s="1"/>
  <c r="A39" i="17" a="1"/>
  <c r="A39" i="17" s="1"/>
  <c r="I39" i="17" a="1"/>
  <c r="I39" i="17" s="1"/>
  <c r="K27" i="17" a="1"/>
  <c r="K27" i="17" s="1"/>
  <c r="J27" i="17" a="1"/>
  <c r="J27" i="17" s="1"/>
  <c r="I27" i="17" a="1"/>
  <c r="I27" i="17" s="1"/>
  <c r="H27" i="17" a="1"/>
  <c r="H27" i="17" s="1"/>
  <c r="A27" i="17" a="1"/>
  <c r="A27" i="17" s="1"/>
  <c r="J16" i="17" a="1"/>
  <c r="J16" i="17" s="1"/>
  <c r="K16" i="17" a="1"/>
  <c r="K16" i="17" s="1"/>
  <c r="A16" i="17" a="1"/>
  <c r="A16" i="17" s="1"/>
  <c r="H16" i="17" a="1"/>
  <c r="H16" i="17" s="1"/>
  <c r="I16" i="17" a="1"/>
  <c r="I16" i="17" s="1"/>
  <c r="H50" i="17" a="1"/>
  <c r="H50" i="17" s="1"/>
  <c r="I50" i="17" a="1"/>
  <c r="I50" i="17" s="1"/>
  <c r="A50" i="17" a="1"/>
  <c r="A50" i="17" s="1"/>
  <c r="J50" i="17" a="1"/>
  <c r="J50" i="17" s="1"/>
  <c r="K50" i="17" a="1"/>
  <c r="K50" i="17" s="1"/>
  <c r="K38" i="17" a="1"/>
  <c r="K38" i="17" s="1"/>
  <c r="H38" i="17" a="1"/>
  <c r="H38" i="17" s="1"/>
  <c r="J38" i="17" a="1"/>
  <c r="J38" i="17" s="1"/>
  <c r="A38" i="17" a="1"/>
  <c r="A38" i="17" s="1"/>
  <c r="I38" i="17" a="1"/>
  <c r="I38" i="17" s="1"/>
  <c r="K26" i="17" a="1"/>
  <c r="K26" i="17" s="1"/>
  <c r="J26" i="17" a="1"/>
  <c r="J26" i="17" s="1"/>
  <c r="I26" i="17" a="1"/>
  <c r="I26" i="17" s="1"/>
  <c r="H26" i="17" a="1"/>
  <c r="H26" i="17" s="1"/>
  <c r="A26" i="17" a="1"/>
  <c r="A26" i="17" s="1"/>
  <c r="K15" i="17" a="1"/>
  <c r="K15" i="17" s="1"/>
  <c r="A15" i="17" a="1"/>
  <c r="A15" i="17" s="1"/>
  <c r="H15" i="17" a="1"/>
  <c r="H15" i="17" s="1"/>
  <c r="J15" i="17" a="1"/>
  <c r="J15" i="17" s="1"/>
  <c r="I15" i="17" a="1"/>
  <c r="I15" i="17" s="1"/>
  <c r="J49" i="17" a="1"/>
  <c r="J49" i="17" s="1"/>
  <c r="I49" i="17" a="1"/>
  <c r="I49" i="17" s="1"/>
  <c r="A49" i="17" a="1"/>
  <c r="A49" i="17" s="1"/>
  <c r="K49" i="17" a="1"/>
  <c r="K49" i="17" s="1"/>
  <c r="H49" i="17" a="1"/>
  <c r="H49" i="17" s="1"/>
  <c r="H37" i="17" a="1"/>
  <c r="H37" i="17" s="1"/>
  <c r="I37" i="17" a="1"/>
  <c r="I37" i="17" s="1"/>
  <c r="K37" i="17" a="1"/>
  <c r="K37" i="17" s="1"/>
  <c r="J37" i="17" a="1"/>
  <c r="J37" i="17" s="1"/>
  <c r="A37" i="17" a="1"/>
  <c r="A37" i="17" s="1"/>
  <c r="H25" i="17" a="1"/>
  <c r="H25" i="17" s="1"/>
  <c r="J25" i="17" a="1"/>
  <c r="J25" i="17" s="1"/>
  <c r="I25" i="17" a="1"/>
  <c r="I25" i="17" s="1"/>
  <c r="K25" i="17" a="1"/>
  <c r="K25" i="17" s="1"/>
  <c r="A25" i="17" a="1"/>
  <c r="A25" i="17" s="1"/>
  <c r="E25" i="17" s="1"/>
  <c r="I48" i="17" a="1"/>
  <c r="I48" i="17" s="1"/>
  <c r="J48" i="17" a="1"/>
  <c r="J48" i="17" s="1"/>
  <c r="A48" i="17" a="1"/>
  <c r="A48" i="17" s="1"/>
  <c r="C48" i="17" s="1" a="1"/>
  <c r="C48" i="17" s="1"/>
  <c r="K48" i="17" a="1"/>
  <c r="K48" i="17" s="1"/>
  <c r="H48" i="17" a="1"/>
  <c r="H48" i="17" s="1"/>
  <c r="K36" i="17" a="1"/>
  <c r="K36" i="17" s="1"/>
  <c r="J36" i="17" a="1"/>
  <c r="J36" i="17" s="1"/>
  <c r="H36" i="17" a="1"/>
  <c r="H36" i="17" s="1"/>
  <c r="I36" i="17" a="1"/>
  <c r="I36" i="17" s="1"/>
  <c r="A36" i="17" a="1"/>
  <c r="A36" i="17" s="1"/>
  <c r="J24" i="17" a="1"/>
  <c r="J24" i="17" s="1"/>
  <c r="I24" i="17" a="1"/>
  <c r="I24" i="17" s="1"/>
  <c r="H24" i="17" a="1"/>
  <c r="H24" i="17" s="1"/>
  <c r="K24" i="17" a="1"/>
  <c r="K24" i="17" s="1"/>
  <c r="A24" i="17" a="1"/>
  <c r="A24" i="17" s="1"/>
  <c r="E24" i="17" s="1"/>
  <c r="I47" i="17" a="1"/>
  <c r="I47" i="17" s="1"/>
  <c r="J47" i="17" a="1"/>
  <c r="J47" i="17" s="1"/>
  <c r="A47" i="17" a="1"/>
  <c r="A47" i="17" s="1"/>
  <c r="C47" i="17" s="1" a="1"/>
  <c r="C47" i="17" s="1"/>
  <c r="K47" i="17" a="1"/>
  <c r="K47" i="17" s="1"/>
  <c r="H47" i="17" a="1"/>
  <c r="H47" i="17" s="1"/>
  <c r="K35" i="17" a="1"/>
  <c r="K35" i="17" s="1"/>
  <c r="J35" i="17" a="1"/>
  <c r="J35" i="17" s="1"/>
  <c r="H35" i="17" a="1"/>
  <c r="H35" i="17" s="1"/>
  <c r="I35" i="17" a="1"/>
  <c r="I35" i="17" s="1"/>
  <c r="A35" i="17" a="1"/>
  <c r="A35" i="17" s="1"/>
  <c r="J23" i="17" a="1"/>
  <c r="J23" i="17" s="1"/>
  <c r="I23" i="17" a="1"/>
  <c r="I23" i="17" s="1"/>
  <c r="H23" i="17" a="1"/>
  <c r="H23" i="17" s="1"/>
  <c r="K23" i="17" a="1"/>
  <c r="K23" i="17" s="1"/>
  <c r="A23" i="17" a="1"/>
  <c r="A23" i="17" s="1"/>
  <c r="E23" i="17" s="1"/>
  <c r="I58" i="17" a="1"/>
  <c r="I58" i="17" s="1"/>
  <c r="A58" i="17" a="1"/>
  <c r="A58" i="17" s="1"/>
  <c r="K58" i="17" a="1"/>
  <c r="K58" i="17" s="1"/>
  <c r="J58" i="17" a="1"/>
  <c r="J58" i="17" s="1"/>
  <c r="H58" i="17" a="1"/>
  <c r="H58" i="17" s="1"/>
  <c r="A46" i="17" a="1"/>
  <c r="A46" i="17" s="1"/>
  <c r="C46" i="17" s="1" a="1"/>
  <c r="C46" i="17" s="1"/>
  <c r="J46" i="17" a="1"/>
  <c r="J46" i="17" s="1"/>
  <c r="K46" i="17" a="1"/>
  <c r="K46" i="17" s="1"/>
  <c r="I46" i="17" a="1"/>
  <c r="I46" i="17" s="1"/>
  <c r="H46" i="17" a="1"/>
  <c r="H46" i="17" s="1"/>
  <c r="A34" i="17" a="1"/>
  <c r="A34" i="17" s="1"/>
  <c r="J34" i="17" a="1"/>
  <c r="J34" i="17" s="1"/>
  <c r="I34" i="17" a="1"/>
  <c r="I34" i="17" s="1"/>
  <c r="K34" i="17" a="1"/>
  <c r="K34" i="17" s="1"/>
  <c r="H34" i="17" a="1"/>
  <c r="H34" i="17" s="1"/>
  <c r="K57" i="17" a="1"/>
  <c r="K57" i="17" s="1"/>
  <c r="A57" i="17" a="1"/>
  <c r="A57" i="17" s="1"/>
  <c r="I57" i="17" a="1"/>
  <c r="I57" i="17" s="1"/>
  <c r="H57" i="17" a="1"/>
  <c r="H57" i="17" s="1"/>
  <c r="J57" i="17" a="1"/>
  <c r="J57" i="17" s="1"/>
  <c r="A45" i="17" a="1"/>
  <c r="A45" i="17" s="1"/>
  <c r="C45" i="17" s="1" a="1"/>
  <c r="C45" i="17" s="1"/>
  <c r="K45" i="17" a="1"/>
  <c r="K45" i="17" s="1"/>
  <c r="J45" i="17" a="1"/>
  <c r="J45" i="17" s="1"/>
  <c r="I45" i="17" a="1"/>
  <c r="I45" i="17" s="1"/>
  <c r="H45" i="17" a="1"/>
  <c r="H45" i="17" s="1"/>
  <c r="A33" i="17" a="1"/>
  <c r="A33" i="17" s="1"/>
  <c r="K33" i="17" a="1"/>
  <c r="K33" i="17" s="1"/>
  <c r="I33" i="17" a="1"/>
  <c r="I33" i="17" s="1"/>
  <c r="H33" i="17" a="1"/>
  <c r="H33" i="17" s="1"/>
  <c r="J33" i="17" a="1"/>
  <c r="J33" i="17" s="1"/>
  <c r="A22" i="17" a="1"/>
  <c r="A22" i="17" s="1"/>
  <c r="K22" i="17" a="1"/>
  <c r="K22" i="17" s="1"/>
  <c r="H22" i="17" a="1"/>
  <c r="H22" i="17" s="1"/>
  <c r="I22" i="17" a="1"/>
  <c r="I22" i="17" s="1"/>
  <c r="J22" i="17" a="1"/>
  <c r="J22" i="17" s="1"/>
  <c r="H56" i="17" a="1"/>
  <c r="H56" i="17" s="1"/>
  <c r="A56" i="17" a="1"/>
  <c r="A56" i="17" s="1"/>
  <c r="E56" i="17" s="1"/>
  <c r="I56" i="17" a="1"/>
  <c r="I56" i="17" s="1"/>
  <c r="K56" i="17" a="1"/>
  <c r="K56" i="17" s="1"/>
  <c r="J56" i="17" a="1"/>
  <c r="J56" i="17" s="1"/>
  <c r="K44" i="17" a="1"/>
  <c r="K44" i="17" s="1"/>
  <c r="A44" i="17" a="1"/>
  <c r="A44" i="17" s="1"/>
  <c r="C44" i="17" s="1" a="1"/>
  <c r="C44" i="17" s="1"/>
  <c r="H44" i="17" a="1"/>
  <c r="H44" i="17" s="1"/>
  <c r="I44" i="17" a="1"/>
  <c r="I44" i="17" s="1"/>
  <c r="J44" i="17" a="1"/>
  <c r="J44" i="17" s="1"/>
  <c r="K32" i="17" a="1"/>
  <c r="K32" i="17" s="1"/>
  <c r="J32" i="17" a="1"/>
  <c r="J32" i="17" s="1"/>
  <c r="I32" i="17" a="1"/>
  <c r="I32" i="17" s="1"/>
  <c r="A32" i="17" a="1"/>
  <c r="A32" i="17" s="1"/>
  <c r="H32" i="17" a="1"/>
  <c r="H32" i="17" s="1"/>
  <c r="K21" i="17" a="1"/>
  <c r="K21" i="17" s="1"/>
  <c r="I21" i="17" a="1"/>
  <c r="I21" i="17" s="1"/>
  <c r="A21" i="17" a="1"/>
  <c r="A21" i="17" s="1"/>
  <c r="J21" i="17" a="1"/>
  <c r="J21" i="17" s="1"/>
  <c r="H21" i="17" a="1"/>
  <c r="H21" i="17" s="1"/>
  <c r="K9" i="17" a="1"/>
  <c r="K9" i="17" s="1"/>
  <c r="J9" i="17" a="1"/>
  <c r="J9" i="17" s="1"/>
  <c r="H9" i="17" a="1"/>
  <c r="H9" i="17" s="1"/>
  <c r="I9" i="17" a="1"/>
  <c r="I9" i="17" s="1"/>
  <c r="A9" i="17" a="1"/>
  <c r="A9" i="17" s="1"/>
  <c r="C9" i="17" s="1" a="1"/>
  <c r="C9" i="17" s="1"/>
  <c r="C6" i="17" a="1"/>
  <c r="C6" i="17" s="1"/>
  <c r="P60" i="17"/>
  <c r="P61" i="17"/>
  <c r="P59" i="17"/>
  <c r="P58" i="17"/>
  <c r="P57" i="17"/>
  <c r="P30" i="17"/>
  <c r="P29" i="17"/>
  <c r="P28" i="17"/>
  <c r="P19" i="17"/>
  <c r="P49" i="17"/>
  <c r="P41" i="17"/>
  <c r="P48" i="17"/>
  <c r="P40" i="17"/>
  <c r="P18" i="17"/>
  <c r="P17" i="17"/>
  <c r="P37" i="17"/>
  <c r="P25" i="17"/>
  <c r="P14" i="17"/>
  <c r="P47" i="17"/>
  <c r="P24" i="17"/>
  <c r="P54" i="17"/>
  <c r="P46" i="17"/>
  <c r="P23" i="17"/>
  <c r="P12" i="17"/>
  <c r="P53" i="17"/>
  <c r="P45" i="17"/>
  <c r="P34" i="17"/>
  <c r="P22" i="17"/>
  <c r="P11" i="17"/>
  <c r="P52" i="17"/>
  <c r="P44" i="17"/>
  <c r="P33" i="17"/>
  <c r="P21" i="17"/>
  <c r="P10" i="17"/>
  <c r="P51" i="17"/>
  <c r="P43" i="17"/>
  <c r="P32" i="17"/>
  <c r="P20" i="17"/>
  <c r="P39" i="17"/>
  <c r="P27" i="17"/>
  <c r="P16" i="17"/>
  <c r="P9" i="17"/>
  <c r="P38" i="17"/>
  <c r="P26" i="17"/>
  <c r="P15" i="17"/>
  <c r="P56" i="17"/>
  <c r="P55" i="17"/>
  <c r="P36" i="17"/>
  <c r="P13" i="17"/>
  <c r="P35" i="17"/>
  <c r="P50" i="17"/>
  <c r="P42" i="17"/>
  <c r="P31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C7" i="30"/>
  <c r="D7" i="30" s="1"/>
  <c r="C8" i="30"/>
  <c r="D8" i="30" s="1"/>
  <c r="C13" i="30"/>
  <c r="C15" i="30"/>
  <c r="C16" i="30"/>
  <c r="C17" i="30"/>
  <c r="D17" i="30" s="1"/>
  <c r="C18" i="30"/>
  <c r="D18" i="30" s="1"/>
  <c r="C19" i="30"/>
  <c r="D19" i="30" s="1"/>
  <c r="C20" i="30"/>
  <c r="D20" i="30" s="1"/>
  <c r="C25" i="30"/>
  <c r="C27" i="30"/>
  <c r="C28" i="30"/>
  <c r="D28" i="30" s="1"/>
  <c r="C29" i="30"/>
  <c r="C30" i="30"/>
  <c r="C31" i="30"/>
  <c r="D31" i="30" s="1"/>
  <c r="C32" i="30"/>
  <c r="D32" i="30" s="1"/>
  <c r="C37" i="30"/>
  <c r="C39" i="30"/>
  <c r="C40" i="30"/>
  <c r="D40" i="30" s="1"/>
  <c r="C41" i="30"/>
  <c r="C42" i="30"/>
  <c r="C43" i="30"/>
  <c r="D43" i="30" s="1"/>
  <c r="C44" i="30"/>
  <c r="D44" i="30" s="1"/>
  <c r="C49" i="30"/>
  <c r="C51" i="30"/>
  <c r="C52" i="30"/>
  <c r="D52" i="30" s="1"/>
  <c r="C53" i="30"/>
  <c r="D53" i="30" s="1"/>
  <c r="C54" i="30"/>
  <c r="D54" i="30" s="1"/>
  <c r="C55" i="30"/>
  <c r="D55" i="30" s="1"/>
  <c r="C56" i="30"/>
  <c r="D5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A14" i="30"/>
  <c r="C14" i="30" s="1"/>
  <c r="A15" i="30"/>
  <c r="A16" i="30"/>
  <c r="A17" i="30"/>
  <c r="A18" i="30"/>
  <c r="A19" i="30"/>
  <c r="A20" i="30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A26" i="30"/>
  <c r="C26" i="30" s="1"/>
  <c r="A27" i="30"/>
  <c r="A28" i="30"/>
  <c r="A29" i="30"/>
  <c r="A30" i="30"/>
  <c r="A31" i="30"/>
  <c r="A32" i="30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A38" i="30"/>
  <c r="C38" i="30" s="1"/>
  <c r="A39" i="30"/>
  <c r="A40" i="30"/>
  <c r="A41" i="30"/>
  <c r="A42" i="30"/>
  <c r="A43" i="30"/>
  <c r="A44" i="30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A50" i="30"/>
  <c r="C50" i="30" s="1"/>
  <c r="A51" i="30"/>
  <c r="A52" i="30"/>
  <c r="A53" i="30"/>
  <c r="A54" i="30"/>
  <c r="A55" i="30"/>
  <c r="A56" i="30"/>
  <c r="A7" i="30"/>
  <c r="A6" i="30"/>
  <c r="C6" i="30" s="1"/>
  <c r="D6" i="30" s="1"/>
  <c r="A5" i="30"/>
  <c r="A4" i="30"/>
  <c r="A3" i="30"/>
  <c r="N30" i="30" a="1"/>
  <c r="N30" i="30" s="1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C56" i="17" l="1" a="1"/>
  <c r="C56" i="17" s="1"/>
  <c r="C23" i="17" a="1"/>
  <c r="C23" i="17" s="1"/>
  <c r="D23" i="17" s="1"/>
  <c r="C53" i="17" a="1"/>
  <c r="C53" i="17" s="1"/>
  <c r="C55" i="17" a="1"/>
  <c r="C55" i="17" s="1"/>
  <c r="E55" i="17"/>
  <c r="C25" i="17" a="1"/>
  <c r="C25" i="17" s="1"/>
  <c r="D25" i="17" s="1"/>
  <c r="D58" i="17"/>
  <c r="E58" i="17"/>
  <c r="D57" i="17"/>
  <c r="E57" i="17"/>
  <c r="C24" i="17" a="1"/>
  <c r="C24" i="17" s="1"/>
  <c r="C54" i="17" a="1"/>
  <c r="C54" i="17" s="1"/>
  <c r="E54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A17" i="3"/>
  <c r="C17" i="3" s="1"/>
  <c r="D17" i="3" s="1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/>
  <c r="N12" i="3" s="1" a="1"/>
  <c r="N12" i="3" s="1"/>
  <c r="A12" i="3"/>
  <c r="C12" i="3" s="1"/>
  <c r="D12" i="3" s="1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D8" i="3"/>
  <c r="C8" i="3"/>
  <c r="A8" i="3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C11" i="11"/>
  <c r="D11" i="11" s="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C52" i="17" l="1" a="1"/>
  <c r="C52" i="17" s="1"/>
  <c r="D52" i="17" s="1"/>
  <c r="E52" i="17"/>
  <c r="E49" i="17"/>
  <c r="C49" i="17" a="1"/>
  <c r="C49" i="17" s="1"/>
  <c r="D49" i="17" s="1"/>
  <c r="E51" i="17"/>
  <c r="C51" i="17" a="1"/>
  <c r="C51" i="17" s="1"/>
  <c r="D51" i="17" s="1"/>
  <c r="E50" i="17"/>
  <c r="C50" i="17" a="1"/>
  <c r="C50" i="17" s="1"/>
  <c r="D50" i="17" s="1"/>
  <c r="D24" i="17"/>
  <c r="D54" i="17"/>
  <c r="D53" i="17"/>
  <c r="D56" i="17"/>
  <c r="D55" i="17"/>
  <c r="C8" i="33"/>
  <c r="D8" i="33" s="1"/>
  <c r="AX52" i="33"/>
  <c r="AX37" i="33"/>
  <c r="AX33" i="33"/>
  <c r="AX25" i="33"/>
  <c r="AX43" i="33"/>
  <c r="AX47" i="33"/>
  <c r="C52" i="33"/>
  <c r="D52" i="33" s="1"/>
  <c r="C32" i="33"/>
  <c r="Q33" i="33" s="1"/>
  <c r="M33" i="33" s="1"/>
  <c r="N33" i="33" s="1" a="1"/>
  <c r="N33" i="33" s="1"/>
  <c r="AX57" i="33"/>
  <c r="AX11" i="33"/>
  <c r="C46" i="33"/>
  <c r="D46" i="33" s="1"/>
  <c r="AX56" i="33"/>
  <c r="C40" i="33"/>
  <c r="Q41" i="33" s="1"/>
  <c r="M41" i="33" s="1"/>
  <c r="N41" i="33" s="1" a="1"/>
  <c r="N41" i="33" s="1"/>
  <c r="C21" i="33"/>
  <c r="D21" i="33" s="1"/>
  <c r="AX23" i="33"/>
  <c r="AX38" i="33"/>
  <c r="C39" i="33"/>
  <c r="Q40" i="33" s="1"/>
  <c r="M40" i="33" s="1"/>
  <c r="N40" i="33" s="1" a="1"/>
  <c r="N40" i="33" s="1"/>
  <c r="AX28" i="33"/>
  <c r="C23" i="33"/>
  <c r="D23" i="33" s="1"/>
  <c r="C45" i="33"/>
  <c r="D45" i="33" s="1"/>
  <c r="AX27" i="33"/>
  <c r="AX41" i="33"/>
  <c r="C22" i="33"/>
  <c r="D22" i="33" s="1"/>
  <c r="AX49" i="33"/>
  <c r="AX17" i="33"/>
  <c r="C57" i="33"/>
  <c r="D57" i="33" s="1"/>
  <c r="AX44" i="33"/>
  <c r="AX53" i="33"/>
  <c r="C53" i="33"/>
  <c r="D53" i="33" s="1"/>
  <c r="AX15" i="33"/>
  <c r="AX19" i="33"/>
  <c r="AX32" i="33"/>
  <c r="C27" i="33"/>
  <c r="D27" i="33" s="1"/>
  <c r="AX50" i="33"/>
  <c r="AX31" i="33"/>
  <c r="C24" i="33"/>
  <c r="D24" i="33" s="1"/>
  <c r="AX59" i="33"/>
  <c r="AX51" i="33"/>
  <c r="C14" i="33"/>
  <c r="D14" i="33" s="1"/>
  <c r="C10" i="33"/>
  <c r="D10" i="33" s="1"/>
  <c r="AX12" i="33"/>
  <c r="AX26" i="33"/>
  <c r="C36" i="33"/>
  <c r="Q37" i="33" s="1"/>
  <c r="M37" i="33" s="1"/>
  <c r="N37" i="33" s="1" a="1"/>
  <c r="N37" i="33" s="1"/>
  <c r="AX30" i="33"/>
  <c r="AX10" i="33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AX35" i="33"/>
  <c r="C29" i="33"/>
  <c r="Q30" i="33" s="1"/>
  <c r="M30" i="33" s="1"/>
  <c r="N30" i="33" s="1" a="1"/>
  <c r="N30" i="33" s="1"/>
  <c r="AX13" i="33"/>
  <c r="C38" i="33"/>
  <c r="D38" i="33" s="1"/>
  <c r="AX18" i="33"/>
  <c r="AX45" i="33"/>
  <c r="C31" i="33"/>
  <c r="D31" i="33" s="1"/>
  <c r="AX22" i="33"/>
  <c r="C43" i="33"/>
  <c r="D43" i="33" s="1"/>
  <c r="AX21" i="33"/>
  <c r="AX39" i="33"/>
  <c r="AX36" i="33"/>
  <c r="BQ9" i="17"/>
  <c r="AR9" i="17" s="1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BQ13" i="17"/>
  <c r="AR13" i="17" s="1"/>
  <c r="AZ11" i="33"/>
  <c r="AZ9" i="33"/>
  <c r="BQ12" i="17"/>
  <c r="AR12" i="17" s="1"/>
  <c r="AZ13" i="33"/>
  <c r="BQ11" i="17"/>
  <c r="AR11" i="17" s="1"/>
  <c r="BQ10" i="17"/>
  <c r="AR10" i="17" s="1"/>
  <c r="C15" i="33"/>
  <c r="D15" i="33" s="1"/>
  <c r="AX48" i="33"/>
  <c r="C25" i="33"/>
  <c r="D25" i="33" s="1"/>
  <c r="AX34" i="33"/>
  <c r="C58" i="33"/>
  <c r="D58" i="33" s="1"/>
  <c r="AX24" i="33"/>
  <c r="C56" i="33"/>
  <c r="D56" i="33" s="1"/>
  <c r="C33" i="33"/>
  <c r="D33" i="33" s="1"/>
  <c r="AX54" i="33"/>
  <c r="C26" i="33"/>
  <c r="D26" i="33" s="1"/>
  <c r="C44" i="33"/>
  <c r="D44" i="33" s="1"/>
  <c r="C18" i="33"/>
  <c r="D18" i="33" s="1"/>
  <c r="AX58" i="33"/>
  <c r="C49" i="33"/>
  <c r="D49" i="33" s="1"/>
  <c r="C41" i="33"/>
  <c r="D41" i="33" s="1"/>
  <c r="AX9" i="33"/>
  <c r="AX29" i="33"/>
  <c r="AX20" i="33"/>
  <c r="C35" i="33"/>
  <c r="D35" i="33" s="1"/>
  <c r="C42" i="33"/>
  <c r="D42" i="33" s="1"/>
  <c r="C11" i="33"/>
  <c r="D11" i="33" s="1"/>
  <c r="AX55" i="33"/>
  <c r="AX46" i="33"/>
  <c r="AX42" i="33"/>
  <c r="C28" i="33"/>
  <c r="D28" i="33" s="1"/>
  <c r="C19" i="33"/>
  <c r="D19" i="33" s="1"/>
  <c r="AX14" i="33"/>
  <c r="C20" i="33"/>
  <c r="D20" i="33" s="1"/>
  <c r="AX16" i="33"/>
  <c r="C54" i="33"/>
  <c r="D54" i="33" s="1"/>
  <c r="C30" i="33"/>
  <c r="D30" i="33" s="1"/>
  <c r="AX40" i="33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47" i="17"/>
  <c r="E8" i="17"/>
  <c r="AQ9" i="17"/>
  <c r="AZ15" i="18"/>
  <c r="BB15" i="18" s="1"/>
  <c r="E6" i="17"/>
  <c r="AZ11" i="18"/>
  <c r="BB11" i="18" s="1"/>
  <c r="AQ11" i="17"/>
  <c r="CI13" i="18"/>
  <c r="AQ13" i="17"/>
  <c r="AZ16" i="18"/>
  <c r="BB16" i="18" s="1"/>
  <c r="CI11" i="18"/>
  <c r="AZ14" i="18"/>
  <c r="BB14" i="18" s="1"/>
  <c r="CI10" i="18"/>
  <c r="CI15" i="18"/>
  <c r="CI16" i="18"/>
  <c r="CI9" i="18"/>
  <c r="AQ12" i="17"/>
  <c r="AZ12" i="18"/>
  <c r="BB12" i="18" s="1"/>
  <c r="CI14" i="18"/>
  <c r="AZ13" i="18"/>
  <c r="BB13" i="18" s="1"/>
  <c r="AZ9" i="18"/>
  <c r="BB9" i="18" s="1"/>
  <c r="AQ10" i="17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O60" i="17"/>
  <c r="AO60" i="17" s="1"/>
  <c r="E9" i="17"/>
  <c r="E46" i="17"/>
  <c r="E7" i="17"/>
  <c r="E45" i="17"/>
  <c r="E44" i="17"/>
  <c r="E48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E15" i="17" l="1"/>
  <c r="O61" i="17" s="1"/>
  <c r="AO61" i="17" s="1"/>
  <c r="C15" i="17" a="1"/>
  <c r="C15" i="17" s="1"/>
  <c r="D15" i="17" s="1"/>
  <c r="E43" i="17"/>
  <c r="O20" i="17" s="1"/>
  <c r="AO20" i="17" s="1"/>
  <c r="C43" i="17" a="1"/>
  <c r="C43" i="17" s="1"/>
  <c r="D43" i="17" s="1"/>
  <c r="E21" i="17"/>
  <c r="C21" i="17" a="1"/>
  <c r="C21" i="17" s="1"/>
  <c r="D21" i="17" s="1"/>
  <c r="E26" i="17"/>
  <c r="C26" i="17" a="1"/>
  <c r="C26" i="17" s="1"/>
  <c r="D26" i="17" s="1"/>
  <c r="E35" i="17"/>
  <c r="C35" i="17" a="1"/>
  <c r="C35" i="17" s="1"/>
  <c r="D35" i="17" s="1"/>
  <c r="E22" i="17"/>
  <c r="O48" i="17" s="1"/>
  <c r="AO48" i="17" s="1"/>
  <c r="C22" i="17" a="1"/>
  <c r="C22" i="17" s="1"/>
  <c r="D22" i="17" s="1"/>
  <c r="E28" i="17"/>
  <c r="O41" i="17" s="1"/>
  <c r="AO41" i="17" s="1"/>
  <c r="C28" i="17" a="1"/>
  <c r="C28" i="17" s="1"/>
  <c r="D28" i="17" s="1"/>
  <c r="E39" i="17"/>
  <c r="O16" i="17" s="1"/>
  <c r="AO16" i="17" s="1"/>
  <c r="C39" i="17" a="1"/>
  <c r="C39" i="17" s="1"/>
  <c r="D39" i="17" s="1"/>
  <c r="E32" i="17"/>
  <c r="O27" i="17" s="1"/>
  <c r="AO27" i="17" s="1"/>
  <c r="C32" i="17" a="1"/>
  <c r="C32" i="17" s="1"/>
  <c r="D32" i="17" s="1"/>
  <c r="C13" i="17" a="1"/>
  <c r="C13" i="17" s="1"/>
  <c r="D13" i="17" s="1"/>
  <c r="E13" i="17"/>
  <c r="E37" i="17"/>
  <c r="O31" i="17" s="1"/>
  <c r="AO31" i="17" s="1"/>
  <c r="C37" i="17" a="1"/>
  <c r="C37" i="17" s="1"/>
  <c r="D37" i="17" s="1"/>
  <c r="E11" i="17"/>
  <c r="C11" i="17" a="1"/>
  <c r="C11" i="17" s="1"/>
  <c r="D11" i="17" s="1"/>
  <c r="E27" i="17"/>
  <c r="O23" i="17" s="1"/>
  <c r="AO23" i="17" s="1"/>
  <c r="C27" i="17" a="1"/>
  <c r="C27" i="17" s="1"/>
  <c r="D27" i="17" s="1"/>
  <c r="E36" i="17"/>
  <c r="O26" i="17" s="1"/>
  <c r="AO26" i="17" s="1"/>
  <c r="C36" i="17" a="1"/>
  <c r="C36" i="17" s="1"/>
  <c r="D36" i="17" s="1"/>
  <c r="E10" i="17"/>
  <c r="C10" i="17" a="1"/>
  <c r="C10" i="17" s="1"/>
  <c r="D10" i="17" s="1"/>
  <c r="C30" i="17" a="1"/>
  <c r="C30" i="17" s="1"/>
  <c r="E30" i="17"/>
  <c r="O25" i="17" s="1"/>
  <c r="AO25" i="17" s="1"/>
  <c r="E41" i="17"/>
  <c r="O19" i="17" s="1"/>
  <c r="AO19" i="17" s="1"/>
  <c r="C41" i="17" a="1"/>
  <c r="C41" i="17" s="1"/>
  <c r="E29" i="17"/>
  <c r="O28" i="17" s="1"/>
  <c r="AO28" i="17" s="1"/>
  <c r="C29" i="17" a="1"/>
  <c r="C29" i="17" s="1"/>
  <c r="D29" i="17" s="1"/>
  <c r="E38" i="17"/>
  <c r="O15" i="17" s="1"/>
  <c r="AO15" i="17" s="1"/>
  <c r="C38" i="17" a="1"/>
  <c r="C38" i="17" s="1"/>
  <c r="D38" i="17" s="1"/>
  <c r="E19" i="17"/>
  <c r="O39" i="17" s="1"/>
  <c r="AO39" i="17" s="1"/>
  <c r="C19" i="17" a="1"/>
  <c r="C19" i="17" s="1"/>
  <c r="D19" i="17" s="1"/>
  <c r="E33" i="17"/>
  <c r="O24" i="17" s="1"/>
  <c r="AO24" i="17" s="1"/>
  <c r="C33" i="17" a="1"/>
  <c r="C33" i="17" s="1"/>
  <c r="D33" i="17" s="1"/>
  <c r="E42" i="17"/>
  <c r="O18" i="17" s="1"/>
  <c r="AO18" i="17" s="1"/>
  <c r="C42" i="17" a="1"/>
  <c r="C42" i="17" s="1"/>
  <c r="C14" i="17" a="1"/>
  <c r="C14" i="17" s="1"/>
  <c r="D14" i="17" s="1"/>
  <c r="E14" i="17"/>
  <c r="O52" i="17" s="1"/>
  <c r="AO52" i="17" s="1"/>
  <c r="E20" i="17"/>
  <c r="C20" i="17" a="1"/>
  <c r="C20" i="17" s="1"/>
  <c r="D20" i="17" s="1"/>
  <c r="E12" i="17"/>
  <c r="O49" i="17" s="1"/>
  <c r="AO49" i="17" s="1"/>
  <c r="C12" i="17" a="1"/>
  <c r="C12" i="17" s="1"/>
  <c r="D12" i="17" s="1"/>
  <c r="E18" i="17"/>
  <c r="O37" i="17" s="1"/>
  <c r="AO37" i="17" s="1"/>
  <c r="C18" i="17" a="1"/>
  <c r="C18" i="17" s="1"/>
  <c r="D18" i="17" s="1"/>
  <c r="E17" i="17"/>
  <c r="O40" i="17" s="1"/>
  <c r="AO40" i="17" s="1"/>
  <c r="C17" i="17" a="1"/>
  <c r="C17" i="17" s="1"/>
  <c r="D17" i="17" s="1"/>
  <c r="E34" i="17"/>
  <c r="O22" i="17" s="1"/>
  <c r="AO22" i="17" s="1"/>
  <c r="C34" i="17" a="1"/>
  <c r="C34" i="17" s="1"/>
  <c r="D34" i="17" s="1"/>
  <c r="E40" i="17"/>
  <c r="O17" i="17" s="1"/>
  <c r="AO17" i="17" s="1"/>
  <c r="C40" i="17" a="1"/>
  <c r="C40" i="17" s="1"/>
  <c r="D40" i="17" s="1"/>
  <c r="E31" i="17"/>
  <c r="O21" i="17" s="1"/>
  <c r="AO21" i="17" s="1"/>
  <c r="C31" i="17" a="1"/>
  <c r="C31" i="17" s="1"/>
  <c r="D31" i="17" s="1"/>
  <c r="E16" i="17"/>
  <c r="O47" i="17" s="1"/>
  <c r="AO47" i="17" s="1"/>
  <c r="C16" i="17" a="1"/>
  <c r="C16" i="17" s="1"/>
  <c r="D16" i="17" s="1"/>
  <c r="O58" i="17"/>
  <c r="AO58" i="17" s="1"/>
  <c r="O55" i="17"/>
  <c r="AO55" i="17" s="1"/>
  <c r="O54" i="17"/>
  <c r="AO54" i="17" s="1"/>
  <c r="O53" i="17"/>
  <c r="AO53" i="17" s="1"/>
  <c r="O56" i="17"/>
  <c r="AO56" i="17" s="1"/>
  <c r="D7" i="17"/>
  <c r="D9" i="17"/>
  <c r="D8" i="17"/>
  <c r="D47" i="17"/>
  <c r="D46" i="17"/>
  <c r="D48" i="17"/>
  <c r="O44" i="17"/>
  <c r="AO44" i="17" s="1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S11" i="17"/>
  <c r="AS9" i="17"/>
  <c r="O43" i="17"/>
  <c r="AO43" i="17" s="1"/>
  <c r="O42" i="17"/>
  <c r="AO42" i="17" s="1"/>
  <c r="O13" i="17"/>
  <c r="AO13" i="17" s="1"/>
  <c r="O12" i="17"/>
  <c r="AO12" i="17" s="1"/>
  <c r="AS10" i="17"/>
  <c r="AS13" i="17"/>
  <c r="AS12" i="17"/>
  <c r="O14" i="17"/>
  <c r="AO14" i="17" s="1"/>
  <c r="O57" i="17" l="1"/>
  <c r="AO57" i="17" s="1"/>
  <c r="O51" i="17"/>
  <c r="AO51" i="17" s="1"/>
  <c r="O29" i="17"/>
  <c r="AO29" i="17" s="1"/>
  <c r="Q59" i="17"/>
  <c r="M59" i="17" s="1"/>
  <c r="N59" i="17" s="1" a="1"/>
  <c r="N59" i="17" s="1"/>
  <c r="Q61" i="17"/>
  <c r="M61" i="17" s="1"/>
  <c r="N61" i="17" s="1" a="1"/>
  <c r="N61" i="17" s="1"/>
  <c r="O50" i="17"/>
  <c r="AO50" i="17" s="1"/>
  <c r="O9" i="17"/>
  <c r="AO9" i="17" s="1"/>
  <c r="O59" i="17"/>
  <c r="AO59" i="17" s="1"/>
  <c r="Q55" i="17"/>
  <c r="M55" i="17" s="1"/>
  <c r="N55" i="17" s="1" a="1"/>
  <c r="N55" i="17" s="1"/>
  <c r="O38" i="17"/>
  <c r="AO38" i="17" s="1"/>
  <c r="O10" i="17"/>
  <c r="AO10" i="17" s="1"/>
  <c r="O32" i="17"/>
  <c r="AO32" i="17" s="1"/>
  <c r="O35" i="17"/>
  <c r="AO35" i="17" s="1"/>
  <c r="O30" i="17"/>
  <c r="AO30" i="17" s="1"/>
  <c r="O34" i="17"/>
  <c r="AO34" i="17" s="1"/>
  <c r="O11" i="17"/>
  <c r="AO11" i="17" s="1"/>
  <c r="O33" i="17"/>
  <c r="AO33" i="17" s="1"/>
  <c r="O46" i="17"/>
  <c r="AO46" i="17" s="1"/>
  <c r="O36" i="17"/>
  <c r="AO36" i="17" s="1"/>
  <c r="O45" i="17"/>
  <c r="AO45" i="17" s="1"/>
  <c r="Q46" i="17"/>
  <c r="M46" i="17" s="1"/>
  <c r="N46" i="17" s="1" a="1"/>
  <c r="N46" i="17" s="1"/>
  <c r="Q60" i="17"/>
  <c r="M60" i="17" s="1"/>
  <c r="N60" i="17" s="1" a="1"/>
  <c r="N60" i="17" s="1"/>
  <c r="Q44" i="17"/>
  <c r="M44" i="17" s="1"/>
  <c r="N44" i="17" s="1" a="1"/>
  <c r="N44" i="17" s="1"/>
  <c r="D30" i="17"/>
  <c r="Q58" i="17"/>
  <c r="M58" i="17" s="1"/>
  <c r="N58" i="17" s="1" a="1"/>
  <c r="N58" i="17" s="1"/>
  <c r="Q52" i="17"/>
  <c r="M52" i="17" s="1"/>
  <c r="N52" i="17" s="1" a="1"/>
  <c r="N52" i="17" s="1"/>
  <c r="Q49" i="17"/>
  <c r="M49" i="17" s="1"/>
  <c r="N49" i="17" s="1" a="1"/>
  <c r="N49" i="17" s="1"/>
  <c r="Q53" i="17"/>
  <c r="M53" i="17" s="1"/>
  <c r="N53" i="17" s="1" a="1"/>
  <c r="N53" i="17" s="1"/>
  <c r="Q47" i="17"/>
  <c r="M47" i="17" s="1"/>
  <c r="N47" i="17" s="1" a="1"/>
  <c r="N47" i="17" s="1"/>
  <c r="Q45" i="17"/>
  <c r="M45" i="17" s="1"/>
  <c r="N45" i="17" s="1" a="1"/>
  <c r="N45" i="17" s="1"/>
  <c r="Q54" i="17"/>
  <c r="M54" i="17" s="1"/>
  <c r="N54" i="17" s="1" a="1"/>
  <c r="N54" i="17" s="1"/>
  <c r="Q57" i="17"/>
  <c r="M57" i="17" s="1"/>
  <c r="N57" i="17" s="1" a="1"/>
  <c r="N57" i="17" s="1"/>
  <c r="Q48" i="17"/>
  <c r="M48" i="17" s="1"/>
  <c r="N48" i="17" s="1" a="1"/>
  <c r="N48" i="17" s="1"/>
  <c r="Q51" i="17"/>
  <c r="M51" i="17" s="1"/>
  <c r="N51" i="17" s="1" a="1"/>
  <c r="N51" i="17" s="1"/>
  <c r="Q56" i="17"/>
  <c r="M56" i="17" s="1"/>
  <c r="N56" i="17" s="1" a="1"/>
  <c r="N56" i="17" s="1"/>
  <c r="D41" i="17"/>
  <c r="D42" i="17"/>
  <c r="Q50" i="17"/>
  <c r="M50" i="17" s="1"/>
  <c r="N50" i="17" s="1" a="1"/>
  <c r="N50" i="17" s="1"/>
  <c r="D44" i="17"/>
  <c r="D45" i="17"/>
  <c r="Q29" i="17"/>
  <c r="M29" i="17" s="1"/>
  <c r="N29" i="17" s="1" a="1"/>
  <c r="N29" i="17" s="1"/>
  <c r="Q24" i="17"/>
  <c r="M24" i="17" s="1"/>
  <c r="N24" i="17" s="1" a="1"/>
  <c r="N24" i="17" s="1"/>
  <c r="Q26" i="17"/>
  <c r="M26" i="17" s="1"/>
  <c r="N26" i="17" s="1" a="1"/>
  <c r="N26" i="17" s="1"/>
  <c r="Q43" i="17"/>
  <c r="M43" i="17" s="1"/>
  <c r="N43" i="17" s="1" a="1"/>
  <c r="N43" i="17" s="1"/>
  <c r="Q12" i="17"/>
  <c r="M12" i="17" s="1"/>
  <c r="N12" i="17" s="1" a="1"/>
  <c r="N12" i="17" s="1"/>
  <c r="Q11" i="17"/>
  <c r="M11" i="17" s="1"/>
  <c r="N11" i="17" s="1" a="1"/>
  <c r="N11" i="17" s="1"/>
  <c r="Q25" i="17"/>
  <c r="M25" i="17" s="1"/>
  <c r="N25" i="17" s="1" a="1"/>
  <c r="N25" i="17" s="1"/>
  <c r="Q36" i="17"/>
  <c r="M36" i="17" s="1"/>
  <c r="N36" i="17" s="1" a="1"/>
  <c r="N36" i="17" s="1"/>
  <c r="Q35" i="17"/>
  <c r="M35" i="17" s="1"/>
  <c r="N35" i="17" s="1" a="1"/>
  <c r="N35" i="17" s="1"/>
  <c r="Q34" i="17"/>
  <c r="M34" i="17" s="1"/>
  <c r="N34" i="17" s="1" a="1"/>
  <c r="N34" i="17" s="1"/>
  <c r="Q28" i="17"/>
  <c r="M28" i="17" s="1"/>
  <c r="N28" i="17" s="1" a="1"/>
  <c r="N28" i="17" s="1"/>
  <c r="Q31" i="17"/>
  <c r="M31" i="17" s="1"/>
  <c r="N31" i="17" s="1" a="1"/>
  <c r="N31" i="17" s="1"/>
  <c r="Q16" i="17"/>
  <c r="M16" i="17" s="1"/>
  <c r="N16" i="17" s="1" a="1"/>
  <c r="N16" i="17" s="1"/>
  <c r="Q15" i="17"/>
  <c r="M15" i="17" s="1"/>
  <c r="N15" i="17" s="1" a="1"/>
  <c r="N15" i="17" s="1"/>
  <c r="Q19" i="17"/>
  <c r="M19" i="17" s="1"/>
  <c r="N19" i="17" s="1" a="1"/>
  <c r="N19" i="17" s="1"/>
  <c r="Q18" i="17"/>
  <c r="M18" i="17" s="1"/>
  <c r="N18" i="17" s="1" a="1"/>
  <c r="N18" i="17" s="1"/>
  <c r="Q14" i="17"/>
  <c r="M14" i="17" s="1"/>
  <c r="N14" i="17" s="1" a="1"/>
  <c r="N14" i="17" s="1"/>
  <c r="Q41" i="17"/>
  <c r="M41" i="17" s="1"/>
  <c r="N41" i="17" s="1" a="1"/>
  <c r="N41" i="17" s="1"/>
  <c r="Q17" i="17"/>
  <c r="M17" i="17" s="1"/>
  <c r="N17" i="17" s="1" a="1"/>
  <c r="N17" i="17" s="1"/>
  <c r="Q20" i="17"/>
  <c r="M20" i="17" s="1"/>
  <c r="N20" i="17" s="1" a="1"/>
  <c r="N20" i="17" s="1"/>
  <c r="Q32" i="17"/>
  <c r="M32" i="17" s="1"/>
  <c r="N32" i="17" s="1" a="1"/>
  <c r="N32" i="17" s="1"/>
  <c r="Q30" i="17"/>
  <c r="M30" i="17" s="1"/>
  <c r="N30" i="17" s="1" a="1"/>
  <c r="N30" i="17" s="1"/>
  <c r="Q23" i="17"/>
  <c r="M23" i="17" s="1"/>
  <c r="N23" i="17" s="1" a="1"/>
  <c r="N23" i="17" s="1"/>
  <c r="Q27" i="17"/>
  <c r="M27" i="17" s="1"/>
  <c r="N27" i="17" s="1" a="1"/>
  <c r="N27" i="17" s="1"/>
  <c r="Q33" i="17"/>
  <c r="M33" i="17" s="1"/>
  <c r="N33" i="17" s="1" a="1"/>
  <c r="N33" i="17" s="1"/>
  <c r="Q37" i="17"/>
  <c r="M37" i="17" s="1"/>
  <c r="N37" i="17" s="1" a="1"/>
  <c r="N37" i="17" s="1"/>
  <c r="Q40" i="17"/>
  <c r="M40" i="17" s="1"/>
  <c r="N40" i="17" s="1" a="1"/>
  <c r="N40" i="17" s="1"/>
  <c r="Q42" i="17"/>
  <c r="M42" i="17" s="1"/>
  <c r="N42" i="17" s="1" a="1"/>
  <c r="N42" i="17" s="1"/>
  <c r="Q38" i="17"/>
  <c r="M38" i="17" s="1"/>
  <c r="N38" i="17" s="1" a="1"/>
  <c r="N38" i="17" s="1"/>
  <c r="Q22" i="17"/>
  <c r="M22" i="17" s="1"/>
  <c r="N22" i="17" s="1" a="1"/>
  <c r="N22" i="17" s="1"/>
  <c r="Q21" i="17"/>
  <c r="M21" i="17" s="1"/>
  <c r="N21" i="17" s="1" a="1"/>
  <c r="N21" i="17" s="1"/>
  <c r="Q39" i="17"/>
  <c r="M39" i="17" s="1"/>
  <c r="N39" i="17" s="1" a="1"/>
  <c r="N39" i="17" s="1"/>
  <c r="Q10" i="17"/>
  <c r="M10" i="17" s="1"/>
  <c r="N10" i="17" s="1" a="1"/>
  <c r="N10" i="17" s="1"/>
  <c r="Q13" i="17"/>
  <c r="M13" i="17" s="1"/>
  <c r="N13" i="17" s="1" a="1"/>
  <c r="N13" i="17" s="1"/>
  <c r="Q9" i="17"/>
  <c r="M9" i="17" s="1"/>
  <c r="N9" i="17" s="1" a="1"/>
  <c r="N9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<sst xmlns="http://schemas.openxmlformats.org/spreadsheetml/2006/main" count="14295" uniqueCount="611">
  <si>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</si>
  <si>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</si>
  <si>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</si>
  <si>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</si>
  <si>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</si>
  <si>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</si>
  <si>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</si>
  <si>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</si>
  <si>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</si>
  <si>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</si>
  <si>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</si>
  <si>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</si>
  <si>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</si>
  <si>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</si>
  <si>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</si>
  <si>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</si>
  <si>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</si>
  <si>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</si>
  <si>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</si>
  <si>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</si>
  <si>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</si>
  <si>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</si>
  <si>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</si>
  <si>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</si>
  <si>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</si>
  <si>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</si>
  <si>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</si>
  <si>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</si>
  <si>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</si>
  <si>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</si>
  <si>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</si>
  <si>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</si>
  <si>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</si>
  <si>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</si>
  <si>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</si>
  <si>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</si>
  <si>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</si>
  <si>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</si>
  <si>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</si>
  <si>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</si>
  <si>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</si>
  <si>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</si>
  <si>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</si>
  <si>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</si>
  <si>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</si>
  <si>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</si>
  <si>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</si>
  <si>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</si>
  <si>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</si>
  <si>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</si>
  <si>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</si>
  <si>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</si>
  <si>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</si>
  <si>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</si>
  <si>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</si>
  <si>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</si>
  <si>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</si>
  <si>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</si>
  <si>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</si>
  <si>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</si>
  <si>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</si>
  <si>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</si>
  <si>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</si>
  <si>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</si>
  <si>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</si>
  <si>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</si>
  <si>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</si>
  <si>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</si>
  <si>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</si>
  <si>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</si>
  <si>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</si>
  <si>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</si>
  <si>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</si>
  <si>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</si>
  <si>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</si>
  <si>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</si>
  <si>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</si>
  <si>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</si>
  <si>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</si>
  <si>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</si>
  <si>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</si>
  <si>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</si>
  <si>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</si>
  <si>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</si>
  <si>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</si>
  <si>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</si>
  <si>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</si>
  <si>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</si>
  <si>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</si>
  <si>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</si>
  <si>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</si>
  <si>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</si>
  <si>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</si>
  <si>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</si>
  <si>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</si>
  <si>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</si>
  <si>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</si>
  <si>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</si>
  <si>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</si>
  <si>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</si>
  <si>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</si>
  <si>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</si>
  <si>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</si>
  <si>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</si>
  <si>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</si>
  <si>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</si>
  <si>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</si>
  <si>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</si>
  <si>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</si>
  <si>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</si>
  <si>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</si>
  <si>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</si>
  <si>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</si>
  <si>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</si>
  <si>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</si>
  <si>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</si>
  <si>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</si>
  <si>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</si>
  <si>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</si>
  <si>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</si>
  <si>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</si>
  <si>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</si>
  <si>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</si>
  <si>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</si>
  <si>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</si>
  <si>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</si>
  <si>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</si>
  <si>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</si>
  <si>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</si>
  <si>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</si>
  <si>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</si>
  <si>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</si>
  <si>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</si>
  <si>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</si>
  <si>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</si>
  <si>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</si>
  <si>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</si>
  <si>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</si>
  <si>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</si>
  <si>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</si>
  <si>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</si>
  <si>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</si>
  <si>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</si>
  <si>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</si>
  <si>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</si>
  <si>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</si>
  <si>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</si>
  <si>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</si>
  <si>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</si>
  <si>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</si>
  <si>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</si>
  <si>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</si>
  <si>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</si>
  <si>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</si>
  <si>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</si>
  <si>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</si>
  <si>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</si>
  <si>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</si>
  <si>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</si>
  <si>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</si>
  <si>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</si>
  <si>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</si>
  <si>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</si>
  <si>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</si>
  <si>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</si>
  <si>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</si>
  <si>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</si>
  <si>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</si>
  <si>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</si>
  <si>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</si>
  <si>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</si>
  <si>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</si>
  <si>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</si>
  <si>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</si>
  <si>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</si>
  <si>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</si>
  <si>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</si>
  <si>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</si>
  <si>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</si>
  <si>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</si>
  <si>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</si>
  <si>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</si>
  <si>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</si>
  <si>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</si>
  <si>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</si>
  <si>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</si>
  <si>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</si>
  <si>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</si>
  <si>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</si>
  <si>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</si>
  <si>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</si>
  <si>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</si>
  <si>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</si>
  <si>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</si>
  <si>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</si>
  <si>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</si>
  <si>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</si>
  <si>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</si>
  <si>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</si>
  <si>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</si>
  <si>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</si>
  <si>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</si>
  <si>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</si>
  <si>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</si>
  <si>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</si>
  <si>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</si>
  <si>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</si>
  <si>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</si>
  <si>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</si>
  <si>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</si>
  <si>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</si>
  <si>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</si>
  <si>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</si>
  <si>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</si>
  <si>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</si>
  <si>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</si>
  <si>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</si>
  <si>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</si>
  <si>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</si>
  <si>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</si>
  <si>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</si>
  <si>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</si>
  <si>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</si>
  <si>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</si>
  <si>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</si>
  <si>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</si>
  <si>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</si>
  <si>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</si>
  <si>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</si>
  <si>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</si>
  <si>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</si>
  <si>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</si>
  <si>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</si>
  <si>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</si>
  <si>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</si>
  <si>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</si>
  <si>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</si>
  <si>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</si>
  <si>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</si>
  <si>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</si>
  <si>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</si>
  <si>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</si>
  <si>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</si>
  <si>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</si>
  <si>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</si>
  <si>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</si>
  <si>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</si>
  <si>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</si>
  <si>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</si>
  <si>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</si>
  <si>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</si>
  <si>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</si>
  <si>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</si>
  <si>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</si>
  <si>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</si>
  <si>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</si>
  <si>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</si>
  <si>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</si>
  <si>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</si>
  <si>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</si>
  <si>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</si>
  <si>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</si>
  <si>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</si>
  <si>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</si>
  <si>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</si>
  <si>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</si>
  <si>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</si>
  <si>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</si>
  <si>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</si>
  <si>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</si>
  <si>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</si>
  <si>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</si>
  <si>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</si>
  <si>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</si>
  <si>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</si>
  <si>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</si>
  <si>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</si>
  <si>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</si>
  <si>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</si>
  <si>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</si>
  <si>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</si>
  <si>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</si>
  <si>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</si>
  <si>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</si>
  <si>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</si>
  <si>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</si>
  <si>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</si>
  <si>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</si>
  <si>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</si>
  <si>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</si>
  <si>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</si>
  <si>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</si>
  <si>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</si>
  <si>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</si>
  <si>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</si>
  <si>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</si>
  <si>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</si>
  <si>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</si>
  <si>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</si>
  <si>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</si>
  <si>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</si>
  <si>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</si>
  <si>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</si>
  <si>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</si>
  <si>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</si>
  <si>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</si>
  <si>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</si>
  <si>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</si>
  <si>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</si>
  <si>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</si>
  <si>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</si>
  <si>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</si>
  <si>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</si>
  <si>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</si>
  <si>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</si>
  <si>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</si>
  <si>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</si>
  <si>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</si>
  <si>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</si>
  <si>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</si>
  <si>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</si>
  <si>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</si>
  <si>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</si>
  <si>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</si>
  <si>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</si>
  <si>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</si>
  <si>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</si>
  <si>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</si>
  <si>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</si>
  <si>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</si>
  <si>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</si>
  <si>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</si>
  <si>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</si>
  <si>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</si>
  <si>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</si>
  <si>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</si>
  <si>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</si>
  <si>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</si>
  <si>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</si>
  <si>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</si>
  <si>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</si>
  <si>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</si>
  <si>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</si>
  <si>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</si>
  <si>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</si>
  <si>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</si>
  <si>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</si>
  <si>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</si>
  <si>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</si>
  <si>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</si>
  <si>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</si>
  <si>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</si>
  <si>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</si>
  <si>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</si>
  <si>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</si>
  <si>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</si>
  <si>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</si>
  <si>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</si>
  <si>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</si>
  <si>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</si>
  <si>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</si>
  <si>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</si>
  <si>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</si>
  <si>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</si>
  <si>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</si>
  <si>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</si>
  <si>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</si>
  <si>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</si>
  <si>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</si>
  <si>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</si>
  <si>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</si>
  <si>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</si>
  <si>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</si>
  <si>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</si>
  <si>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</si>
  <si>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</si>
  <si>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</si>
  <si>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</si>
  <si>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</si>
  <si>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</si>
  <si>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</si>
  <si>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</si>
  <si>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</si>
  <si>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</si>
  <si>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</si>
  <si>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</si>
  <si>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</si>
  <si>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</si>
  <si>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</si>
  <si>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</si>
  <si>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</si>
  <si>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</si>
  <si>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</si>
  <si>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</si>
  <si>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</si>
  <si>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</si>
  <si>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</si>
  <si>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</si>
  <si>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</si>
  <si>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</si>
  <si>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</si>
  <si>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</si>
  <si>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</si>
  <si>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</si>
  <si>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</si>
  <si>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</si>
  <si>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</si>
  <si>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</si>
  <si>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</si>
  <si>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</si>
  <si>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</si>
  <si>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</si>
  <si>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</si>
  <si>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</si>
  <si>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</si>
  <si>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</si>
  <si>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</si>
  <si>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</si>
  <si>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</si>
  <si>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</si>
  <si>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</si>
  <si>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</si>
  <si>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</si>
  <si>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</si>
  <si>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</si>
  <si>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</si>
  <si>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</si>
  <si>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</si>
  <si>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</si>
  <si>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</si>
  <si>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</si>
  <si>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</si>
  <si>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</si>
  <si>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</si>
  <si>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</si>
  <si>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</si>
  <si>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</si>
  <si>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</si>
  <si>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</si>
  <si>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</si>
  <si>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</si>
  <si>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</si>
  <si>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</si>
  <si>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</si>
  <si>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</si>
  <si>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</si>
  <si>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</si>
  <si>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</si>
  <si>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</si>
  <si>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</si>
  <si>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</si>
  <si>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</si>
  <si>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</si>
  <si>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</si>
  <si>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</si>
  <si>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</si>
  <si>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</si>
  <si>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</si>
  <si>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</si>
  <si>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</si>
  <si>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</si>
  <si>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</si>
  <si>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</si>
  <si>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</si>
  <si>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</si>
  <si>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</si>
  <si>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</si>
  <si>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</si>
  <si>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</si>
  <si>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</si>
  <si>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</si>
  <si>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</si>
  <si>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</si>
  <si>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</si>
  <si>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</si>
  <si>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</si>
  <si>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</si>
  <si>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</si>
  <si>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</si>
  <si>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</si>
  <si>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</si>
  <si>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</si>
  <si>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</si>
  <si>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</si>
  <si>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</si>
  <si>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</si>
  <si>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</si>
  <si>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</si>
  <si>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</si>
  <si>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</si>
  <si>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</si>
  <si>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</si>
  <si>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</si>
  <si>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</si>
  <si>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</si>
  <si>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</si>
  <si>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</si>
  <si>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</si>
  <si>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</si>
  <si>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</si>
  <si>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</si>
  <si>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</si>
  <si>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</si>
  <si>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</si>
  <si>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</si>
  <si>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</si>
  <si>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</si>
  <si>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</si>
  <si>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</si>
  <si>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</si>
  <si>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</si>
  <si>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</si>
  <si>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</si>
  <si>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</si>
  <si>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</si>
  <si>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</si>
  <si>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</si>
  <si>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</si>
  <si>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</si>
  <si>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</si>
  <si>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</si>
  <si>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</si>
  <si>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</si>
  <si>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</si>
  <si>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</si>
  <si>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</si>
  <si>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</si>
  <si>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</si>
  <si>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</si>
  <si>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</si>
  <si>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</si>
  <si>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</si>
  <si>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</si>
  <si>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</si>
  <si>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</si>
  <si>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</si>
  <si>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</si>
  <si>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</si>
  <si>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</si>
  <si>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</si>
  <si>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</si>
  <si>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</si>
  <si>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</si>
  <si>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</si>
  <si>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</si>
  <si>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</si>
  <si>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</si>
  <si>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</si>
  <si>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</si>
  <si>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</si>
  <si>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</si>
  <si>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</si>
  <si>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</si>
  <si>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</si>
  <si>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</si>
  <si>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</si>
  <si>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</si>
  <si>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</si>
  <si>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</si>
  <si>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</si>
  <si>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</si>
  <si>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</si>
  <si>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</si>
  <si>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</si>
  <si>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</si>
  <si>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</si>
  <si>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</si>
  <si>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</si>
  <si>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</si>
  <si>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</si>
  <si>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</si>
  <si>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</si>
  <si>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</si>
  <si>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</si>
  <si>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</si>
  <si>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</si>
  <si>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</si>
  <si>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</si>
  <si>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</si>
  <si>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</si>
  <si>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</si>
  <si>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</si>
  <si>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</si>
  <si>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JENY QUIÑONES</t>
  </si>
  <si>
    <t>NICOLE CAURURO</t>
  </si>
  <si>
    <t>NICOLE CAURURO</t>
  </si>
  <si>
    <t>JESSYKA YSABEL GARCIA NIÑO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</si>
  <si>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</si>
  <si>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</si>
  <si>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</si>
  <si>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</si>
  <si>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</si>
  <si>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</si>
  <si>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</si>
  <si>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</si>
  <si>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</si>
  <si>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</si>
  <si>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</si>
  <si>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</si>
  <si>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</si>
  <si>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</si>
  <si>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</si>
  <si>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</si>
  <si>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</si>
  <si>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</si>
  <si>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</si>
  <si>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</si>
  <si>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S0 - BBVA 26/01</t>
  </si>
  <si>
    <t>S0 - BBVA 26/02</t>
  </si>
  <si>
    <t>S2-3-4 MIX</t>
  </si>
  <si>
    <t>DIGITAL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</si>
</sst>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4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4" borderId="4" xfId="0" applyFill="1" applyBorder="1"/>
    <xf numFmtId="0" fontId="0" fillId="14" borderId="9" xfId="0" applyFill="1" applyBorder="1"/>
    <xf numFmtId="8" fontId="7" fillId="14" borderId="0" xfId="0" applyNumberFormat="1" applyFont="1" applyFill="1"/>
    <xf numFmtId="3" fontId="0" fillId="14" borderId="4" xfId="0" applyNumberFormat="1" applyFill="1" applyBorder="1" applyAlignment="1">
      <alignment horizontal="center"/>
    </xf>
    <xf numFmtId="3" fontId="0" fillId="14" borderId="9" xfId="0" applyNumberFormat="1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5" fillId="0" borderId="0" xfId="0" applyFont="1"/>
    <xf numFmtId="0" fontId="7" fillId="0" borderId="0" xfId="0" applyNumberFormat="1" applyFont="1" applyFill="1"/>
    <xf numFmtId="10" fontId="7" fillId="0" borderId="0" xfId="0" applyNumberFormat="1" applyFont="1" applyFill="1"/>
    <xf numFmtId="0" fontId="0" fillId="0" borderId="0" xfId="0" applyNumberFormat="1"/>
  </cellXfs>
  <cellStyles count="2">
    <cellStyle name="Normal" xfId="0" builtinId="0"/>
    <cellStyle name="Porcentaje" xfId="1" builtinId="5"/>
  </cellStyles>
  <dxfs count="1089">
    <dxf>
      <numFmt numFmtId="19" formatCode="d/mm/yyyy"/>
    </dxf>
    <dxf>
      <numFmt numFmtId="19" formatCode="d/mm/yyyy"/>
    </dxf>
    <dxf>
      <numFmt numFmtId="19" formatCode="d/mm/yyyy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088"/>
    </tableStyle>
    <tableStyle name="Estilo de tabla dinámica 2" table="0" count="1" xr9:uid="{9E60CF16-845A-4669-9AA4-E5ACD7B8B1A8}">
      <tableStyleElement type="headerRow" dxfId="1087"/>
    </tableStyle>
    <tableStyle name="Estilo de tabla dinámica 3" table="0" count="1" xr9:uid="{A9F08836-5681-4078-A387-711930301837}">
      <tableStyleElement type="headerRow" dxfId="1086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5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011" tableBorderDxfId="1010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009">
      <calculatedColumnFormula>DATA_NOVIEMBRE_2024[[#This Row],[RECUPERO]]/DATA_NOVIEMBRE_2024[[#This Row],[META]]</calculatedColumnFormula>
    </tableColumn>
    <tableColumn id="2" xr3:uid="{8B46A38D-7233-499F-B1DE-FB511E519FF9}" name="CLASIFICACIÓN" dataDxfId="1008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007"/>
    <tableColumn id="1" xr3:uid="{6BE1DCAD-FFC1-41E5-BE9A-DDFCB075F86E}" name="RECUPERO" dataDxfId="1006">
      <calculatedColumnFormula>SUM(DATA_NOVIEMBRE_2024[[#This Row],[1]:[31]])</calculatedColumnFormula>
    </tableColumn>
    <tableColumn id="6" xr3:uid="{9DC6CD9E-A550-4452-954F-6EA70609499E}" name="META" dataDxfId="1005"/>
    <tableColumn id="7" xr3:uid="{253195A7-7D47-486A-80F6-796ADB20EC53}" name="ASER_" dataDxfId="1004"/>
    <tableColumn id="4" xr3:uid="{202FFDF7-B7CF-4672-95EA-680792362409}" name="1" dataDxfId="1003"/>
    <tableColumn id="8" xr3:uid="{72687A8D-B0F6-4DDB-88CE-1067530F054A}" name="2" dataDxfId="1002"/>
    <tableColumn id="9" xr3:uid="{F4E2F670-BFF9-4FD3-A0D4-C9CAB825BC0C}" name="3" dataDxfId="1001"/>
    <tableColumn id="10" xr3:uid="{DBA3AC26-F584-4CBE-8D86-75C4463192B1}" name="4" dataDxfId="1000"/>
    <tableColumn id="11" xr3:uid="{219202FB-F58A-440D-8D19-01059AA56BAB}" name="5" dataDxfId="999"/>
    <tableColumn id="12" xr3:uid="{2AF7B6E4-01F3-401E-BF95-3CFAB27577BC}" name="6" dataDxfId="998"/>
    <tableColumn id="13" xr3:uid="{24CA335A-580E-4429-A4F8-DFAB61DD23F8}" name="7" dataDxfId="997"/>
    <tableColumn id="14" xr3:uid="{4A96EC6B-C7D3-4A7F-8B4B-F3D8AF9FE594}" name="8" dataDxfId="996"/>
    <tableColumn id="15" xr3:uid="{BA9F52F9-841F-49D0-AFFC-4D571D566DE4}" name="9" dataDxfId="995"/>
    <tableColumn id="16" xr3:uid="{409BE12D-B77E-48C5-951D-B87CB101AD44}" name="10" dataDxfId="994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993"/>
    <tableColumn id="18" xr3:uid="{517449FB-ABB0-4312-822F-083501FE4456}" name="23" dataDxfId="992"/>
    <tableColumn id="19" xr3:uid="{F22CE4E7-E04E-47AF-97E3-BEAFF6BC2F5E}" name="24" dataDxfId="991"/>
    <tableColumn id="20" xr3:uid="{FE9C6881-7986-46E5-B896-D446A4BEF596}" name="25" dataDxfId="990"/>
    <tableColumn id="21" xr3:uid="{32A09EFC-675D-4983-B360-4DBEAB2EE4FA}" name="26" dataDxfId="989"/>
    <tableColumn id="22" xr3:uid="{02F89659-315D-4DE1-BE9C-A8C4FBB65511}" name="27" dataDxfId="988"/>
    <tableColumn id="23" xr3:uid="{E556EC76-1435-4562-B8FF-767920C873C4}" name="28" dataDxfId="987"/>
    <tableColumn id="24" xr3:uid="{E42123DE-6B43-4653-BF5B-323243D5FCAD}" name="29" dataDxfId="986"/>
    <tableColumn id="25" xr3:uid="{71D65AF5-510E-457D-B0E2-F9582E783D67}" name="30" dataDxfId="985"/>
    <tableColumn id="26" xr3:uid="{3E966EE9-5B51-4732-8107-B252301503A4}" name="31" dataDxfId="984"/>
    <tableColumn id="27" xr3:uid="{6F804D29-D57D-4925-9B25-DD58FD9CD4C1}" name="CARTERA ASESOR" dataDxfId="98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982">
  <autoFilter ref="A2:K72" xr:uid="{AEA51657-9DFD-4518-856A-D830285E4602}"/>
  <tableColumns count="11">
    <tableColumn id="1" xr3:uid="{471651EC-762A-4439-9E09-36CE7484C7DB}" name="SUPER" dataDxfId="981"/>
    <tableColumn id="2" xr3:uid="{85C17B1E-7CF3-4112-8B36-78A801EE3005}" name="ASESOR_CRR" dataDxfId="980">
      <calculatedColumnFormula>D1_NOVIEMBRE_2024[[#This Row],[ASESOR]]</calculatedColumnFormula>
    </tableColumn>
    <tableColumn id="5" xr3:uid="{0BDBF623-DEA9-4A29-8D28-4030A786FE51}" name="META" dataDxfId="979">
      <calculatedColumnFormula>VLOOKUP(D1_NOVIEMBRE_2024[[#This Row],[SUPER]],DATA_NOVIEMBRE_2024[[SUPERVISOR]:[META]],3,0)</calculatedColumnFormula>
    </tableColumn>
    <tableColumn id="6" xr3:uid="{C702AF9F-4896-48CF-895F-224FB32B617C}" name="ALCANCE" dataDxfId="978">
      <calculatedColumnFormula>D1_NOVIEMBRE_2024[[#This Row],[RECUPERO]]/D1_NOVIEMBRE_2024[[#This Row],[META]]</calculatedColumnFormula>
    </tableColumn>
    <tableColumn id="7" xr3:uid="{D7917A8B-F33C-40CB-980B-776F1F99832F}" name="SUPER2" dataDxfId="977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976"/>
    <tableColumn id="8" xr3:uid="{C288ADF8-0B7D-46E8-A515-7A398BFBAFF5}" name="DNI" dataDxfId="975"/>
    <tableColumn id="9" xr3:uid="{9816B6C7-AE6F-49DA-A0C6-21A173A63635}" name="FECHA DE INICIO" dataDxfId="974"/>
    <tableColumn id="10" xr3:uid="{342ACA45-E672-4A50-BD93-4F29AC6175A9}" name="ESTADO" dataDxfId="973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972" dataDxfId="970" headerRowBorderDxfId="971" tableBorderDxfId="969" totalsRowBorderDxfId="968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967"/>
    <tableColumn id="3" xr3:uid="{734C6C88-3899-4B11-A8BB-68F60FEB745F}" name="RECUPERO SUPERVISOR" dataDxfId="966">
      <calculatedColumnFormula>MAX(DITE_NOVIEMBRE_2024[[#This Row],[1]:[31]])</calculatedColumnFormula>
    </tableColumn>
    <tableColumn id="4" xr3:uid="{ECE5B99F-FD83-4520-9BD0-C6F22F1D89DE}" name="ALCANCE SUPERVISOR" dataDxfId="965">
      <calculatedColumnFormula>DITE_NOVIEMBRE_2024[[#This Row],[RECUPERO SUPERVISOR]]/AZ9</calculatedColumnFormula>
    </tableColumn>
    <tableColumn id="1" xr3:uid="{3C6266ED-8A4A-4ABB-A9C5-F6D7C3A28E1C}" name="SUPER" dataDxfId="964"/>
    <tableColumn id="6" xr3:uid="{8E1962E6-B227-403D-959C-EC0A84512E7F}" name="1" dataDxfId="963"/>
    <tableColumn id="7" xr3:uid="{82013CDA-2013-412E-8FF7-7857EB3BAAEB}" name="2" dataDxfId="962"/>
    <tableColumn id="36" xr3:uid="{F80449E7-9C09-4D54-AD2B-6D30BBE4BFFD}" name="3" dataDxfId="961"/>
    <tableColumn id="8" xr3:uid="{6BAF72DE-4BC7-441F-A85E-9041EF3899D9}" name="4" dataDxfId="960"/>
    <tableColumn id="9" xr3:uid="{3D9FCE7A-2F3D-4CC9-8A91-10BD16A7E640}" name="5" dataDxfId="959"/>
    <tableColumn id="10" xr3:uid="{BEDD9763-065B-45CB-AE2B-710FA8B66ADE}" name="6" dataDxfId="958"/>
    <tableColumn id="11" xr3:uid="{BC3C528B-42C9-4B2F-9619-B254969267D0}" name="7" dataDxfId="957"/>
    <tableColumn id="12" xr3:uid="{0A48E3CB-F739-4C32-945D-648E7EB8070E}" name="8" dataDxfId="956"/>
    <tableColumn id="13" xr3:uid="{B96192EF-9446-4291-B1F2-DB704B1D3A04}" name="9" dataDxfId="955"/>
    <tableColumn id="14" xr3:uid="{604B61A4-751B-4BF0-9D80-954CAB1D08B0}" name="10" dataDxfId="954"/>
    <tableColumn id="15" xr3:uid="{9BAD68A4-5571-4BDA-97CB-9067D42459EC}" name="11" dataDxfId="953"/>
    <tableColumn id="32" xr3:uid="{D6886672-9386-4ADF-AED9-8A33D204EF56}" name="12" dataDxfId="952"/>
    <tableColumn id="33" xr3:uid="{3D371433-AC3E-4391-8C88-2354E3462A27}" name="13" dataDxfId="951"/>
    <tableColumn id="35" xr3:uid="{58EC2E80-FD81-492B-8002-FCEB99DCCCA5}" name="14" dataDxfId="950"/>
    <tableColumn id="34" xr3:uid="{BBD59636-2F98-4BBE-8F44-00F7C13015FB}" name="15" dataDxfId="949"/>
    <tableColumn id="29" xr3:uid="{DD6F0447-F620-4F38-AAE2-F94C7BD1301A}" name="16" dataDxfId="948"/>
    <tableColumn id="30" xr3:uid="{AEA6202E-0E43-491B-9DE9-B12618DFE3C3}" name="17" dataDxfId="947"/>
    <tableColumn id="31" xr3:uid="{7F0C4991-2DDA-47D6-8952-EF0420833FE2}" name="18" dataDxfId="946"/>
    <tableColumn id="26" xr3:uid="{63319244-ED6C-4CB6-91C9-FD0B33FFFA44}" name="19" dataDxfId="945"/>
    <tableColumn id="27" xr3:uid="{3ED47FDF-F24A-4EC8-9029-689369682758}" name="20" dataDxfId="944"/>
    <tableColumn id="28" xr3:uid="{B5758593-5927-4B15-9EF3-08A6AA13FEE5}" name="21" dataDxfId="943"/>
    <tableColumn id="16" xr3:uid="{A79A9DD4-74CF-4F17-A260-30A614552C96}" name="22" dataDxfId="942"/>
    <tableColumn id="17" xr3:uid="{A3AD1A97-629C-494C-8C66-6BA86E905D7F}" name="23" dataDxfId="941"/>
    <tableColumn id="18" xr3:uid="{BF0972B0-617B-4546-9271-F4E0D9F96151}" name="24" dataDxfId="940"/>
    <tableColumn id="19" xr3:uid="{A9D6B970-56DB-403D-9EC5-9A1114D18DD8}" name="25" dataDxfId="939"/>
    <tableColumn id="20" xr3:uid="{87CB9ADC-EDEB-4C07-8A41-D10A3E379763}" name="26" dataDxfId="938"/>
    <tableColumn id="21" xr3:uid="{4E36C293-1144-4926-8E91-3475130D3D19}" name="27" dataDxfId="937"/>
    <tableColumn id="22" xr3:uid="{ACDA0744-1D85-4327-BD2E-0D10C5E5827D}" name="28" dataDxfId="936"/>
    <tableColumn id="23" xr3:uid="{A55279AC-F17C-48C7-B6F4-AFD7642F257E}" name="29" dataDxfId="935"/>
    <tableColumn id="24" xr3:uid="{B30A56B6-4B82-41A1-BE7F-1D370BF48A8B}" name="30" dataDxfId="934"/>
    <tableColumn id="25" xr3:uid="{2121F136-11EF-4DC1-9A0A-C968CE5BD71B}" name="31" dataDxfId="933"/>
    <tableColumn id="5" xr3:uid="{9A6ECD1E-A39C-4D33-BBF6-B37C7AF2A67C}" name="CARTERA" dataDxfId="93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931" tableBorderDxfId="930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929">
      <calculatedColumnFormula>DATA_DICIEMBRE_2024[[#This Row],[RECUPERO]]/DATA_DICIEMBRE_2024[[#This Row],[META]]</calculatedColumnFormula>
    </tableColumn>
    <tableColumn id="2" xr3:uid="{AE497F25-36CD-42FB-B18F-59D419263CBC}" name="CLASIFICACIÓN" dataDxfId="928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927"/>
    <tableColumn id="1" xr3:uid="{ACC31C15-573E-4606-A6FB-ECDC2B30F8A4}" name="RECUPERO" dataDxfId="926">
      <calculatedColumnFormula>SUM(DATA_DICIEMBRE_2024[[#This Row],[1]:[31]])</calculatedColumnFormula>
    </tableColumn>
    <tableColumn id="6" xr3:uid="{0A0FD23F-3FE0-43BD-93B2-D5A21E0A8419}" name="META" dataDxfId="925"/>
    <tableColumn id="7" xr3:uid="{BAAC5683-E69F-4D8D-9823-6A62CD920015}" name="ASER_" dataDxfId="924"/>
    <tableColumn id="4" xr3:uid="{E80ABAB5-F841-47AC-9407-E06974270343}" name="1" dataDxfId="923"/>
    <tableColumn id="8" xr3:uid="{38214265-844B-4AAB-9AAF-66AE68E1B01F}" name="2" dataDxfId="922"/>
    <tableColumn id="9" xr3:uid="{9DE83FFA-F0EB-48A8-9B9B-94D3A5F4EA89}" name="3" dataDxfId="921"/>
    <tableColumn id="10" xr3:uid="{F01FCEA0-C6B5-45DC-BF35-2E20D08D1987}" name="4" dataDxfId="920"/>
    <tableColumn id="11" xr3:uid="{486A6BCD-590A-4F51-95FC-FF8E80EED672}" name="5" dataDxfId="919"/>
    <tableColumn id="12" xr3:uid="{6A13993E-4132-4D1F-8103-9B935139982B}" name="6" dataDxfId="918"/>
    <tableColumn id="13" xr3:uid="{24798E59-2FD3-45E0-9839-56EDF52F39D9}" name="7" dataDxfId="917"/>
    <tableColumn id="14" xr3:uid="{0A505D6A-B620-43DD-BE95-5375CFEB2C9E}" name="8" dataDxfId="916"/>
    <tableColumn id="15" xr3:uid="{B4A01763-2933-4990-84AC-2EE6364157A1}" name="9" dataDxfId="915"/>
    <tableColumn id="16" xr3:uid="{BF1956FE-127F-474F-B12A-D74A62785650}" name="10" dataDxfId="914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913"/>
    <tableColumn id="18" xr3:uid="{43369C00-795D-4124-B5FB-CE33A1429479}" name="23" dataDxfId="912"/>
    <tableColumn id="19" xr3:uid="{34A49AC6-3FC3-4ACE-8C81-C9AB9CD6BF1C}" name="24" dataDxfId="911"/>
    <tableColumn id="20" xr3:uid="{62E7E367-E664-47D4-A998-F69A442883A3}" name="25" dataDxfId="910"/>
    <tableColumn id="21" xr3:uid="{38ED713F-D0AE-4A42-8586-07C0CFE7FD0D}" name="26" dataDxfId="909"/>
    <tableColumn id="22" xr3:uid="{777A8FFE-C36F-4CC0-9736-E3B5572BB43B}" name="27" dataDxfId="908"/>
    <tableColumn id="23" xr3:uid="{9793EF6D-52A7-486F-9DA0-5EC6B4742B0D}" name="28" dataDxfId="907"/>
    <tableColumn id="24" xr3:uid="{8675AF28-0AC8-42A2-9C9D-B652E1F578AA}" name="29" dataDxfId="906"/>
    <tableColumn id="25" xr3:uid="{69A4324E-C083-46F7-9045-4F5A0A8A7029}" name="30" dataDxfId="905"/>
    <tableColumn id="26" xr3:uid="{DBC5694B-2026-414C-ACC6-93144006A162}" name="31" dataDxfId="904"/>
    <tableColumn id="27" xr3:uid="{823ED1C1-B820-4301-889D-715B402B64AE}" name="CARTERA ASESOR" dataDxfId="903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902">
  <autoFilter ref="A2:K76" xr:uid="{F6E10C3A-51B0-46B0-AC7A-178487A186FC}"/>
  <tableColumns count="11">
    <tableColumn id="1" xr3:uid="{27AC9715-D9AF-4425-8467-97D5ACDF32DB}" name="SUPER" dataDxfId="901"/>
    <tableColumn id="2" xr3:uid="{60BCBFC1-6517-433B-923C-CCB32F89496C}" name="ASESOR_CRR" dataDxfId="900">
      <calculatedColumnFormula>D1_DICIEMBRE_2024[[#This Row],[ASESOR]]</calculatedColumnFormula>
    </tableColumn>
    <tableColumn id="5" xr3:uid="{FE528A67-2FD9-481D-A3BD-D0593BF1728D}" name="META" dataDxfId="899">
      <calculatedColumnFormula>VLOOKUP(D1_DICIEMBRE_2024[[#This Row],[SUPER]],DATA_DICIEMBRE_2024[[SUPERVISOR]:[META]],3,0)</calculatedColumnFormula>
    </tableColumn>
    <tableColumn id="6" xr3:uid="{9F920DCF-74DA-4A35-AEB6-9874EC115540}" name="ALCANCE" dataDxfId="898">
      <calculatedColumnFormula>D1_DICIEMBRE_2024[[#This Row],[RECUPERO]]/D1_DICIEMBRE_2024[[#This Row],[META]]</calculatedColumnFormula>
    </tableColumn>
    <tableColumn id="7" xr3:uid="{A0A51D41-B7D6-4CCC-ACCB-42E0C653AD2F}" name="SUPER2" dataDxfId="897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896"/>
    <tableColumn id="8" xr3:uid="{894A3BEA-774F-4F80-88D8-1B289CA5BA86}" name="DNI" dataDxfId="895"/>
    <tableColumn id="9" xr3:uid="{803AE20B-2CCD-451D-A530-6F128D73F913}" name="FECHA DE INICIO" dataDxfId="894"/>
    <tableColumn id="10" xr3:uid="{49EAA54F-6677-4846-BCD1-109279DB3A73}" name="ESTADO" dataDxfId="893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892" dataDxfId="890" headerRowBorderDxfId="891" tableBorderDxfId="889" totalsRowBorderDxfId="888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887"/>
    <tableColumn id="3" xr3:uid="{ABE326D8-B04B-4CEC-9F6E-FE25C0EE8AA0}" name="RECUPERO SUPERVISOR" dataDxfId="886">
      <calculatedColumnFormula>MAX(DITE_DICIEMBRE_2024[[#This Row],[1]:[31]])</calculatedColumnFormula>
    </tableColumn>
    <tableColumn id="4" xr3:uid="{9E55702C-7024-420F-8940-D2C1A0A3CA1D}" name="ALCANCE SUPERVISOR" dataDxfId="885">
      <calculatedColumnFormula>DITE_DICIEMBRE_2024[[#This Row],[RECUPERO SUPERVISOR]]/AZ9</calculatedColumnFormula>
    </tableColumn>
    <tableColumn id="1" xr3:uid="{5009DC4C-3EA4-45D5-A15D-072373F4AE20}" name="SUPER" dataDxfId="884"/>
    <tableColumn id="6" xr3:uid="{D0AF21FC-B7C0-49FB-B06D-CEE18869F451}" name="1" dataDxfId="883"/>
    <tableColumn id="7" xr3:uid="{13740F97-8E6D-486C-956C-27845E43364F}" name="2" dataDxfId="882"/>
    <tableColumn id="36" xr3:uid="{D8D06FB7-6376-4BDE-8C73-E14742A693D2}" name="3" dataDxfId="881"/>
    <tableColumn id="8" xr3:uid="{6A7AE4CF-8204-4E27-89B3-519888750343}" name="4" dataDxfId="880"/>
    <tableColumn id="9" xr3:uid="{E68D0942-B003-4636-896B-C7F7CC5DF30B}" name="5" dataDxfId="879"/>
    <tableColumn id="10" xr3:uid="{A130D834-D24E-4226-8974-EAEEC5239084}" name="6" dataDxfId="878"/>
    <tableColumn id="11" xr3:uid="{B74AC268-8591-43DA-A0A0-8EED3A99A7E6}" name="7" dataDxfId="877"/>
    <tableColumn id="12" xr3:uid="{3E5A00D6-9077-4087-98FC-A1F995D9E85D}" name="8" dataDxfId="876"/>
    <tableColumn id="13" xr3:uid="{1C1866E7-047F-4D10-9606-401FEC40FA49}" name="9" dataDxfId="875"/>
    <tableColumn id="14" xr3:uid="{1A856C2F-9F0A-48E6-A1F8-02744BF96124}" name="10" dataDxfId="874"/>
    <tableColumn id="15" xr3:uid="{4AF6AE1F-C32E-4098-A90E-906C45E577A6}" name="11" dataDxfId="873"/>
    <tableColumn id="32" xr3:uid="{22F83872-EA87-4B20-AC9C-A5E2ACD10B99}" name="12" dataDxfId="872"/>
    <tableColumn id="33" xr3:uid="{98BD9E2A-AADA-4033-A5CA-E179FF24557D}" name="13" dataDxfId="871"/>
    <tableColumn id="35" xr3:uid="{700503A6-DBA0-45CB-A088-D89AE0558CCF}" name="14" dataDxfId="870"/>
    <tableColumn id="34" xr3:uid="{C5A60DDC-0D8C-41E0-A0F0-FBB45535E86A}" name="15" dataDxfId="869"/>
    <tableColumn id="29" xr3:uid="{D5EC2BDA-E6C3-4A4D-A6AD-950B2D0490AB}" name="16" dataDxfId="868"/>
    <tableColumn id="30" xr3:uid="{349CB117-97C5-4862-848C-38A5D8F531C9}" name="17" dataDxfId="867"/>
    <tableColumn id="31" xr3:uid="{C11D4844-CCFA-4F14-88FA-CE5B9B605A6F}" name="18" dataDxfId="866"/>
    <tableColumn id="26" xr3:uid="{F17C536A-13C6-44BF-A1D0-9E0F529A2288}" name="19" dataDxfId="865"/>
    <tableColumn id="27" xr3:uid="{784AEED1-4141-49AA-B4F6-24141E5B4FA4}" name="20" dataDxfId="864"/>
    <tableColumn id="28" xr3:uid="{5FA3E61C-F996-45DB-8D68-7A355B9D9345}" name="21" dataDxfId="863"/>
    <tableColumn id="16" xr3:uid="{3CDD7303-1AA0-4E13-B85B-07CCE6B3675D}" name="22" dataDxfId="862"/>
    <tableColumn id="17" xr3:uid="{81F4684D-1734-49FB-8F57-68B80EB1FD1D}" name="23" dataDxfId="861"/>
    <tableColumn id="18" xr3:uid="{9DA7B90E-288E-45A3-BD0A-31904382DB50}" name="24" dataDxfId="860"/>
    <tableColumn id="19" xr3:uid="{A0AC125C-0C19-47E9-B7BD-9F657DD56BC2}" name="25" dataDxfId="859"/>
    <tableColumn id="20" xr3:uid="{E1B67347-A852-4F21-A3C3-D6E44F51E9FF}" name="26" dataDxfId="858"/>
    <tableColumn id="21" xr3:uid="{992748FE-9359-4D4E-B06A-59F7A48309B5}" name="27" dataDxfId="857"/>
    <tableColumn id="22" xr3:uid="{3732AEA5-9CC9-4EE6-A93B-386050E291B1}" name="28" dataDxfId="856"/>
    <tableColumn id="23" xr3:uid="{20A4F952-B20F-4E0E-95CC-77C648A54699}" name="29" dataDxfId="855"/>
    <tableColumn id="24" xr3:uid="{26953009-23ED-4318-9CEE-07B704B9665A}" name="30" dataDxfId="854"/>
    <tableColumn id="25" xr3:uid="{267CBC9B-29BE-4672-94C3-393B627CB1FD}" name="31" dataDxfId="853"/>
    <tableColumn id="5" xr3:uid="{EE07FFF3-9A6D-4F12-ACF6-244205791333}" name="CARTERA" dataDxfId="852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51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50"/>
    <tableColumn id="5" xr3:uid="{42625339-8FE7-49A5-82AC-5EDD10C3C984}" name="ASESOR"/>
    <tableColumn id="6" xr3:uid="{BD1A5411-32FB-4DF7-B264-96C059BE5C56}" name="RECUPERO" dataDxfId="849"/>
    <tableColumn id="8" xr3:uid="{8B3B2929-A591-41D7-9D44-B220287F0F2A}" name="DNI" dataDxfId="848"/>
    <tableColumn id="9" xr3:uid="{AAABF626-1A15-4E7A-A444-7423611F1BB2}" name="FECHA DE INICIO" dataDxfId="847"/>
    <tableColumn id="10" xr3:uid="{CACFA6D6-8D93-432C-AAD6-E9CBF58F5197}" name="ESTADO" dataDxfId="846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45" headerRowBorderDxfId="844" tableBorderDxfId="843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42">
      <calculatedColumnFormula>DATA_ENERO_2025[[#This Row],[RECUPERO]]/DATA_ENERO_2025[[#This Row],[META]]</calculatedColumnFormula>
    </tableColumn>
    <tableColumn id="3" xr3:uid="{16F39E06-76AE-43AD-903E-9F641E37CB06}" name="CLASIFICACIÓN" dataDxfId="841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40"/>
    <tableColumn id="6" xr3:uid="{087774B2-9699-454D-B0E9-E9D62B239262}" name="RECUPERO" dataDxfId="839">
      <calculatedColumnFormula>SUM(DATA_ENERO_2025[[#This Row],[1]:[31]])</calculatedColumnFormula>
    </tableColumn>
    <tableColumn id="7" xr3:uid="{B938E452-5678-4623-B9AD-47B290EB3B56}" name="META" dataDxfId="838"/>
    <tableColumn id="5" xr3:uid="{A39094CA-883F-4450-A53A-370F0AE54B0C}" name="ASER_" dataDxfId="837"/>
    <tableColumn id="28" xr3:uid="{BA402970-CDDC-479B-AF0C-DE6FB6DEA3A2}" name="1" dataDxfId="836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35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34" dataDxfId="832" headerRowBorderDxfId="833" tableBorderDxfId="831" totalsRowBorderDxfId="830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29"/>
    <tableColumn id="1" xr3:uid="{5A7C4C9C-3E71-483D-9C6F-3AFA18F0B768}" name="RECUPERO SUPERVISOR" dataDxfId="828">
      <calculatedColumnFormula>MAX(DITE_ENERO_2025[[#This Row],[1]:[31]])</calculatedColumnFormula>
    </tableColumn>
    <tableColumn id="2" xr3:uid="{1DBABE23-BC0D-4016-A3DE-102C34B93437}" name="ALCANCE SUPERVISOR" dataDxfId="827">
      <calculatedColumnFormula>DITE_ENERO_2025[[#This Row],[RECUPERO SUPERVISOR]]/DITE_ENERO_2025[[#This Row],[META SUPER]]</calculatedColumnFormula>
    </tableColumn>
    <tableColumn id="4" xr3:uid="{AAFE5F6A-D443-4B76-896C-3012A63A21B1}" name="SUPER" dataDxfId="826"/>
    <tableColumn id="6" xr3:uid="{CAC1468E-FE7F-46E8-8FA8-2EBFE78F55CF}" name="1" dataDxfId="825"/>
    <tableColumn id="7" xr3:uid="{2C1F1DCC-5615-43E9-8493-73A6B92A7B8C}" name="2" dataDxfId="824"/>
    <tableColumn id="8" xr3:uid="{CB1DD332-E0A5-4BEF-8B71-8820CA4A145B}" name="3" dataDxfId="823"/>
    <tableColumn id="9" xr3:uid="{1BB0DD4F-A73A-4F8E-93FB-252CA932D637}" name="4" dataDxfId="822"/>
    <tableColumn id="10" xr3:uid="{F4A27082-EDDE-411F-B0E7-C50309499B06}" name="5" dataDxfId="821"/>
    <tableColumn id="11" xr3:uid="{DDC3545E-22B2-4DEC-A217-59650C8BAC95}" name="6" dataDxfId="820"/>
    <tableColumn id="12" xr3:uid="{F4B5BD15-E4EF-4A2E-9071-FE5F69E48F1F}" name="7" dataDxfId="819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818"/>
    <tableColumn id="14" xr3:uid="{1DE13FA2-B93D-487E-A105-3A5622C997DE}" name="18" dataDxfId="817"/>
    <tableColumn id="15" xr3:uid="{6273FFBE-FC81-40C7-91CB-E95ECAD8BE5D}" name="19" dataDxfId="816"/>
    <tableColumn id="16" xr3:uid="{35253537-0DA1-45D4-B9A3-D1CBC6E92B8B}" name="20" dataDxfId="815"/>
    <tableColumn id="17" xr3:uid="{4BF3707C-841F-4140-B63C-5B47863B4CA4}" name="21" dataDxfId="814"/>
    <tableColumn id="18" xr3:uid="{1F7B79C3-A22C-49D8-9C1F-629E6C41B955}" name="22" dataDxfId="813"/>
    <tableColumn id="19" xr3:uid="{361B16CF-A887-4C9E-88B3-E8A7F4F314B0}" name="23" dataDxfId="812"/>
    <tableColumn id="20" xr3:uid="{9B3EDA9C-6CB0-4D9F-965A-6EB0593C19D9}" name="24" dataDxfId="811"/>
    <tableColumn id="21" xr3:uid="{B02655DA-D4F9-4926-88A4-5E8B2F4DF911}" name="25" dataDxfId="810"/>
    <tableColumn id="22" xr3:uid="{43854B99-1BF7-4DF3-8A04-A277447DE3B8}" name="26" dataDxfId="809"/>
    <tableColumn id="23" xr3:uid="{CAC2F677-42BD-4EFA-8E99-ABA2036DAF56}" name="27" dataDxfId="808"/>
    <tableColumn id="24" xr3:uid="{20489B5B-5885-4E43-B5F0-4EAAEE4E8EB8}" name="28" dataDxfId="807"/>
    <tableColumn id="25" xr3:uid="{B4D29A08-5206-4DCD-AF4C-9B7ABB8D3CFF}" name="29" dataDxfId="806"/>
    <tableColumn id="26" xr3:uid="{7B49DBDA-317E-4CFB-B7FA-841DFC27E42B}" name="30" dataDxfId="805"/>
    <tableColumn id="27" xr3:uid="{0126152E-7354-43DB-A75E-4841194C453D}" name="31" dataDxfId="804"/>
    <tableColumn id="3" xr3:uid="{93315C06-D400-4502-BDDD-AC5886091EC6}" name="CARTERA" dataDxfId="803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802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801"/>
    <tableColumn id="5" xr3:uid="{44178C41-B41B-4820-A8E8-222FE453335F}" name="ASESOR" dataDxfId="800"/>
    <tableColumn id="6" xr3:uid="{AC6EB590-A7E8-408F-A892-A1851BCCF0B5}" name="RECUPERO" dataDxfId="799"/>
    <tableColumn id="8" xr3:uid="{9B60B527-D768-46F8-BB97-824B255159D2}" name="DNI" dataDxfId="798"/>
    <tableColumn id="9" xr3:uid="{BDF8C571-22FC-498B-99CF-8D578B086437}" name="FECHA DE INICIO" dataDxfId="797"/>
    <tableColumn id="10" xr3:uid="{4A0E2A05-69C0-48C2-B0D3-4D952F052DB2}" name="ESTADO" dataDxfId="796"/>
    <tableColumn id="11" xr3:uid="{3D228EA7-2109-464D-B55C-85DBBA7EB19F}" name="SEGMENTO" dataDxfId="79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94" headerRowBorderDxfId="793" tableBorderDxfId="792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91">
      <calculatedColumnFormula>DATA_FEBRERO_2025[[#This Row],[RECUPERO]]/DATA_FEBRERO_2025[[#This Row],[META]]</calculatedColumnFormula>
    </tableColumn>
    <tableColumn id="3" xr3:uid="{AE4A1FA5-3083-4CA4-B657-D2D0F2E20004}" name="CLASIFICACIÓN" dataDxfId="790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89"/>
    <tableColumn id="6" xr3:uid="{2DE1A6CE-7493-4B20-83EE-59078393B5AF}" name="RECUPERO" dataDxfId="788">
      <calculatedColumnFormula>SUM(DATA_FEBRERO_2025[[#This Row],[1]:[31]])</calculatedColumnFormula>
    </tableColumn>
    <tableColumn id="7" xr3:uid="{24FB90FB-A888-41AB-9B19-627A74DA2062}" name="META" dataDxfId="787"/>
    <tableColumn id="5" xr3:uid="{E6A5C563-3502-4EF4-8D06-C88816E905A8}" name="ASER_" dataDxfId="786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85"/>
    <tableColumn id="8" xr3:uid="{E99C6359-BA67-4127-80B1-429613DA94CB}" name="31"/>
    <tableColumn id="4" xr3:uid="{1AB4C76D-3918-4961-B05E-216E9D0F2A8C}" name="CARTERA ASESOR" dataDxfId="784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83" dataDxfId="781" headerRowBorderDxfId="782" tableBorderDxfId="780" totalsRowBorderDxfId="779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78"/>
    <tableColumn id="1" xr3:uid="{C46409A5-9201-4E30-A3EB-7B6FC2DAF473}" name="RECUPERO SUPERVISOR" dataDxfId="777">
      <calculatedColumnFormula>MAX(DITE_FEBRERO_2025[[#This Row],[1]:[31]])</calculatedColumnFormula>
    </tableColumn>
    <tableColumn id="2" xr3:uid="{445C2C89-5F44-46FD-8C70-EF4EE30F232E}" name="ALCANCE SUPERVISOR" dataDxfId="776">
      <calculatedColumnFormula>DITE_FEBRERO_2025[[#This Row],[RECUPERO SUPERVISOR]]/DITE_FEBRERO_2025[[#This Row],[META SUPER]]</calculatedColumnFormula>
    </tableColumn>
    <tableColumn id="4" xr3:uid="{55D4E2C7-B609-4C8C-A5DE-AABFFD74BEB8}" name="SUPER" dataDxfId="775"/>
    <tableColumn id="6" xr3:uid="{29925D04-B597-415A-B40B-62A3FBA8B23D}" name="1" dataDxfId="774"/>
    <tableColumn id="7" xr3:uid="{31865A72-E634-4CB8-8660-811FA8147632}" name="2" dataDxfId="773"/>
    <tableColumn id="8" xr3:uid="{C70A98A0-1CB0-425B-975B-D4464009CDD0}" name="3" dataDxfId="772"/>
    <tableColumn id="9" xr3:uid="{F56CF612-0AA5-44CB-878D-FA59D84052AD}" name="4" dataDxfId="771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70"/>
    <tableColumn id="11" xr3:uid="{A6DAF4DF-EAFF-47AB-9A6F-0B2896AE1A18}" name="17" dataDxfId="769"/>
    <tableColumn id="12" xr3:uid="{3DC03FF0-BAC6-4F5D-B5DE-18A95E2C1B97}" name="18" dataDxfId="768"/>
    <tableColumn id="13" xr3:uid="{A90729AA-CC5E-4236-924F-A736B7A4BE93}" name="19" dataDxfId="767"/>
    <tableColumn id="14" xr3:uid="{B48B5FF0-5C49-4DDC-AC33-B45D349AD044}" name="20" dataDxfId="766"/>
    <tableColumn id="15" xr3:uid="{D36E617E-0BBB-4BC1-BBF1-EB24E3C2CE90}" name="21" dataDxfId="765"/>
    <tableColumn id="16" xr3:uid="{BD346F05-FCC2-4EA9-8F0F-B55AB2E68BE0}" name="22" dataDxfId="764"/>
    <tableColumn id="17" xr3:uid="{F5BB9730-A5AE-4489-9CB0-182052BA6557}" name="23" dataDxfId="763"/>
    <tableColumn id="18" xr3:uid="{B3DEF063-7A67-4F08-9D09-8310B4B64F2B}" name="24" dataDxfId="762"/>
    <tableColumn id="19" xr3:uid="{558BE332-1E67-4EF7-9FF1-541A019A7066}" name="25" dataDxfId="761"/>
    <tableColumn id="20" xr3:uid="{073BAAB2-EF92-4A82-B7FE-8339FF3A62EA}" name="26" dataDxfId="760"/>
    <tableColumn id="21" xr3:uid="{6EC9D118-EB0A-4FDC-A694-0A630EB1048E}" name="27" dataDxfId="759"/>
    <tableColumn id="22" xr3:uid="{DFF298CB-C24B-4F90-BD14-F99C28391208}" name="28" dataDxfId="758"/>
    <tableColumn id="23" xr3:uid="{7EF0365B-2B81-4022-84F3-7A3859D35934}" name="29" dataDxfId="757"/>
    <tableColumn id="24" xr3:uid="{D92D6A29-5A30-4405-A019-D7F8F39E4176}" name="30" dataDxfId="756"/>
    <tableColumn id="25" xr3:uid="{9BFA1186-4A61-452A-8EAC-4FE410743029}" name="31" dataDxfId="755"/>
    <tableColumn id="3" xr3:uid="{5EBD9DD4-78E3-4E78-8FD5-A71A2DE2CBE8}" name="CARTERA" dataDxfId="754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753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52">
      <calculatedColumnFormula>D1_MARZO_2025[[#This Row],[RECUPERO]]/D1_MARZO_2025[[#This Row],[META]]</calculatedColumnFormula>
    </tableColumn>
    <tableColumn id="7" xr3:uid="{7155E541-BC22-41C0-914A-E54D790D436D}" name="SUPER2" dataDxfId="751"/>
    <tableColumn id="5" xr3:uid="{C9BC0167-A73A-4B66-AB0E-BCC22F3CD7BF}" name="ASESOR" dataDxfId="750"/>
    <tableColumn id="6" xr3:uid="{32E44CF1-7B46-45AA-916C-7D5322097EFD}" name="RECUPERO" dataDxfId="749"/>
    <tableColumn id="8" xr3:uid="{5504CD70-2376-413C-9DD9-7E1FC1D78F37}" name="DNI" dataDxfId="748"/>
    <tableColumn id="9" xr3:uid="{27659D49-6FC1-457B-BF33-A19DBF78CDF2}" name="FECHA DE INICIO" dataDxfId="747"/>
    <tableColumn id="10" xr3:uid="{79E50096-FDE3-4403-8568-FF008447BCC2}" name="ESTADO" dataDxfId="746"/>
    <tableColumn id="11" xr3:uid="{0DDDAC11-10AB-4791-8916-A8A4E78A7D35}" name="SEGMENTO" dataDxfId="74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44" headerRowBorderDxfId="743" tableBorderDxfId="742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41">
      <calculatedColumnFormula>DATA_MARZO_2025[[#This Row],[RECUPERO]]/DATA_MARZO_2025[[#This Row],[META]]</calculatedColumnFormula>
    </tableColumn>
    <tableColumn id="3" xr3:uid="{6050B278-B3D2-4B4C-8475-D701C9B8AB17}" name="CLASIFICACIÓN" dataDxfId="740"/>
    <tableColumn id="1" xr3:uid="{A94CCC19-556A-4124-8949-24896CDBE45E}" name="SUPERVISOR" dataDxfId="739"/>
    <tableColumn id="6" xr3:uid="{EBBFD24C-8909-45B0-B8CB-4ED73B62F2AB}" name="RECUPERO" dataDxfId="738">
      <calculatedColumnFormula>SUM(DATA_MARZO_2025[[#This Row],[1]:[31]])</calculatedColumnFormula>
    </tableColumn>
    <tableColumn id="7" xr3:uid="{D5702432-6067-40C7-B647-63D5EBDD13C2}" name="META" dataDxfId="737"/>
    <tableColumn id="5" xr3:uid="{40A208DF-2D8B-4D71-B923-6BFFA76CDA11}" name="ASER_" dataDxfId="736"/>
    <tableColumn id="38" xr3:uid="{1F074B40-AB13-4BEE-BC21-9D178D274909}" name="1"/>
    <tableColumn id="41" xr3:uid="{936D83D8-C85E-4C4D-9E8D-BA3D7C54F99A}" name="2" dataDxfId="735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34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33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32" dataDxfId="730" headerRowBorderDxfId="731" tableBorderDxfId="729" totalsRowBorderDxfId="728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27"/>
    <tableColumn id="1" xr3:uid="{23B67F77-728E-46C0-B5B1-11CE8E08D862}" name="RECUPERO SUPERVISOR" dataDxfId="726">
      <calculatedColumnFormula>MAX(DITE_MARZO_2025[[#This Row],[1]:[31]])</calculatedColumnFormula>
    </tableColumn>
    <tableColumn id="2" xr3:uid="{0BAE08AE-6A16-447E-9DDD-8800D68BFFA3}" name="ALCANCE SUPERVISOR" dataDxfId="725">
      <calculatedColumnFormula>DITE_MARZO_2025[[#This Row],[RECUPERO SUPERVISOR]]/DITE_MARZO_2025[[#This Row],[META SUPER]]</calculatedColumnFormula>
    </tableColumn>
    <tableColumn id="4" xr3:uid="{663301EA-2B77-4C76-B8E0-713CAAD1AC41}" name="SUPER" dataDxfId="724"/>
    <tableColumn id="6" xr3:uid="{9A6FEB31-48E4-456F-8C1F-14055131E9D6}" name="1" dataDxfId="723"/>
    <tableColumn id="7" xr3:uid="{B8154FAF-39D2-4ED9-8DD7-C179156ECA39}" name="2" dataDxfId="722"/>
    <tableColumn id="8" xr3:uid="{E58A14C1-44D1-46A4-9137-21E70261FA76}" name="3" dataDxfId="721"/>
    <tableColumn id="9" xr3:uid="{EFDA2093-809C-4DA2-80F9-0388CCC5E290}" name="4" dataDxfId="720"/>
    <tableColumn id="10" xr3:uid="{634CF5F0-F36D-4B26-8143-8C3A6FB59216}" name="5" dataDxfId="719"/>
    <tableColumn id="11" xr3:uid="{77A0553B-7BDF-49B7-B459-701A77496BEA}" name="6" dataDxfId="718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717"/>
    <tableColumn id="13" xr3:uid="{C6D91E97-E16B-4E76-BE55-A08C2A1131DD}" name="18" dataDxfId="716"/>
    <tableColumn id="14" xr3:uid="{2A5F1078-A097-4171-BD28-7B9B623471D0}" name="19" dataDxfId="715"/>
    <tableColumn id="15" xr3:uid="{5E883D61-775A-4AD4-A304-156DCFD9F825}" name="20" dataDxfId="714"/>
    <tableColumn id="16" xr3:uid="{BEFB5788-590D-4EFA-8707-20BAAF7026F1}" name="21" dataDxfId="713"/>
    <tableColumn id="17" xr3:uid="{8FC06E69-FAE9-4DBE-9C75-7A6598DE29C6}" name="22" dataDxfId="712"/>
    <tableColumn id="18" xr3:uid="{966EC934-1D25-407E-AE13-8147AC3FF531}" name="23" dataDxfId="711"/>
    <tableColumn id="19" xr3:uid="{5437FF24-6F5D-412D-82EE-8C668C7DC853}" name="24" dataDxfId="710"/>
    <tableColumn id="20" xr3:uid="{204A7CBC-2C07-4027-851F-021033B930C1}" name="25" dataDxfId="709"/>
    <tableColumn id="21" xr3:uid="{DF491418-AC74-4C6A-852F-F0797487D11C}" name="26" dataDxfId="708"/>
    <tableColumn id="22" xr3:uid="{E184F0A4-EF1A-48F5-8166-10085FC40D13}" name="27" dataDxfId="707"/>
    <tableColumn id="23" xr3:uid="{66C12B87-BC6D-46BE-AF31-D0C68A22BC7E}" name="28" dataDxfId="706"/>
    <tableColumn id="24" xr3:uid="{A2DB9C74-4CB6-4BBF-A230-DF50FDE9380D}" name="29" dataDxfId="705"/>
    <tableColumn id="25" xr3:uid="{D54E02BE-AA16-43C7-ABD3-89326740EA63}" name="30" dataDxfId="704"/>
    <tableColumn id="26" xr3:uid="{11172EA7-856A-4297-8329-62917B649E9A}" name="31" dataDxfId="703"/>
    <tableColumn id="3" xr3:uid="{42C6AD34-2DFF-436B-BB22-6DE170226F44}" name="CARTERA" dataDxfId="702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701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700"/>
    <tableColumn id="5" xr3:uid="{D789E66F-CC8C-4715-A998-7AE532E85E8A}" name="ASESOR" dataDxfId="699"/>
    <tableColumn id="6" xr3:uid="{3455DB8A-5A64-4A8F-8153-2471763CA60D}" name="RECUPERO" dataDxfId="698"/>
    <tableColumn id="8" xr3:uid="{F8575E1F-78C1-4E15-B505-1AECE8857345}" name="DNI" dataDxfId="697"/>
    <tableColumn id="9" xr3:uid="{BE130F2A-9B67-45D5-AA49-051D2F0A515B}" name="FECHA DE INICIO" dataDxfId="696"/>
    <tableColumn id="10" xr3:uid="{31096FEC-094E-478E-A9F3-0023192798F0}" name="ESTADO" dataDxfId="695"/>
    <tableColumn id="11" xr3:uid="{CD53B1C2-5C16-4E04-B510-37D1EE2D9C67}" name="SEGMENTO" dataDxfId="694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93" headerRowBorderDxfId="692" tableBorderDxfId="691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90">
      <calculatedColumnFormula>DATA_ABRIL_2025[[#This Row],[RECUPERO]]/DATA_ABRIL_2025[[#This Row],[META]]</calculatedColumnFormula>
    </tableColumn>
    <tableColumn id="3" xr3:uid="{1B1E8B7A-D562-46FD-89DE-12ADBC7146F2}" name="CLASIFICACIÓN" dataDxfId="689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88"/>
    <tableColumn id="6" xr3:uid="{9C2D93B7-85A2-4E07-8DD4-3C81F7BF7EBF}" name="RECUPERO" dataDxfId="687">
      <calculatedColumnFormula>SUM(DATA_ABRIL_2025[[#This Row],[1]:[31]])</calculatedColumnFormula>
    </tableColumn>
    <tableColumn id="7" xr3:uid="{8F4173FF-BB8D-4C61-A5E9-1B6F872C619C}" name="META" dataDxfId="686"/>
    <tableColumn id="5" xr3:uid="{64151D2C-B822-41DF-8964-343214960730}" name="ASER_" dataDxfId="685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84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83" dataDxfId="681" headerRowBorderDxfId="682" tableBorderDxfId="680" totalsRowBorderDxfId="679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78"/>
    <tableColumn id="1" xr3:uid="{56AD13BC-F67F-4EBC-8601-073AD9D41E5D}" name="RECUPERO SUPERVISOR" dataDxfId="677">
      <calculatedColumnFormula>MAX(DITE_ABRIL_2025[[#This Row],[1]:[31]])</calculatedColumnFormula>
    </tableColumn>
    <tableColumn id="2" xr3:uid="{B40C8394-DA7A-4DDD-89EA-AE757C76DD20}" name="ALCANCE SUPERVISOR" dataDxfId="676">
      <calculatedColumnFormula>BA9/DITE_ABRIL_2025[[#This Row],[META SUPER]]</calculatedColumnFormula>
    </tableColumn>
    <tableColumn id="4" xr3:uid="{B71408F8-B985-4B11-8661-52EFC6FA8097}" name="SUPER" dataDxfId="675"/>
    <tableColumn id="6" xr3:uid="{9E37ADBB-A64C-4E4B-9AF4-6087C797FB5E}" name="1" dataDxfId="674"/>
    <tableColumn id="7" xr3:uid="{09E3EE83-45B5-4808-842B-71D4652DE46A}" name="2" dataDxfId="673"/>
    <tableColumn id="8" xr3:uid="{243F9102-2670-48D4-B25D-8432658D89F6}" name="3" dataDxfId="672"/>
    <tableColumn id="9" xr3:uid="{06003E0F-B470-4925-ACE4-1381347B3E87}" name="4" dataDxfId="671"/>
    <tableColumn id="10" xr3:uid="{DF8C4E72-181D-4E2F-A34D-2BB7FD231520}" name="5" dataDxfId="670"/>
    <tableColumn id="11" xr3:uid="{56E37C44-85E9-4431-A560-A54606105B9D}" name="6" dataDxfId="669"/>
    <tableColumn id="12" xr3:uid="{9ADEA573-5E4A-46C0-8569-AFED61AE0141}" name="7" dataDxfId="668"/>
    <tableColumn id="13" xr3:uid="{D44E56ED-D810-4F08-ACAA-0850A2CBA861}" name="8" dataDxfId="667"/>
    <tableColumn id="14" xr3:uid="{4F1A46EB-156C-42BB-A090-307A483EDA59}" name="9" dataDxfId="666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65"/>
    <tableColumn id="16" xr3:uid="{C78E77EC-88A1-4EFD-AD1A-7DF788C46683}" name="22" dataDxfId="664"/>
    <tableColumn id="17" xr3:uid="{D5FD8172-0B95-4406-9239-1ABAD08F1B45}" name="23" dataDxfId="663"/>
    <tableColumn id="18" xr3:uid="{8E9BAC3F-3B04-449B-88EE-DBF57FA626AC}" name="24" dataDxfId="662"/>
    <tableColumn id="19" xr3:uid="{BFA3B7EB-0BC7-4311-8FCE-7C69A9357A03}" name="25" dataDxfId="661"/>
    <tableColumn id="20" xr3:uid="{D2BE25CA-961F-40EE-9EC1-A49EEA4DDB5A}" name="26" dataDxfId="660"/>
    <tableColumn id="21" xr3:uid="{77AAB025-517F-4236-B11B-AEE9B7399348}" name="27" dataDxfId="659"/>
    <tableColumn id="22" xr3:uid="{E35C7392-A09A-482A-9C37-79B0D6711E60}" name="28" dataDxfId="658"/>
    <tableColumn id="23" xr3:uid="{B9F1E360-1FEC-4978-B5DB-3DECA1925AE9}" name="29" dataDxfId="657"/>
    <tableColumn id="24" xr3:uid="{89A20735-1F9D-4A38-9BEB-B3BD56D1FD35}" name="30" dataDxfId="656"/>
    <tableColumn id="25" xr3:uid="{4BE1A809-8A7F-4933-9AB7-B0E4C9CDDD7E}" name="31" dataDxfId="655"/>
    <tableColumn id="3" xr3:uid="{8BAF39B2-F0EB-433E-8F3A-FEAC89C5F9BF}" name="CARTERA" dataDxfId="654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653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52">
      <calculatedColumnFormula>D1_MAYO_2025[[#This Row],[RECUPERO]]/D1_MAYO_2025[[#This Row],[META]]</calculatedColumnFormula>
    </tableColumn>
    <tableColumn id="7" xr3:uid="{7C5F88F0-9FF3-49CF-BE68-2D455D9DEE81}" name="SUPER2" dataDxfId="651"/>
    <tableColumn id="5" xr3:uid="{5FAC7613-1036-4D50-9A09-AB4F41D88D12}" name="ASESOR" dataDxfId="650"/>
    <tableColumn id="6" xr3:uid="{373B07DA-C176-4486-843D-36C5A3043867}" name="RECUPERO" dataDxfId="649"/>
    <tableColumn id="8" xr3:uid="{CDBFB8A5-E15E-4513-B245-3523278CBBD2}" name="DNI" dataDxfId="648"/>
    <tableColumn id="9" xr3:uid="{64A6BF66-DB3B-4ED3-B1A9-2DF71B8D1ACE}" name="FECHA DE INICIO" dataDxfId="647"/>
    <tableColumn id="10" xr3:uid="{9DD10A75-AE91-4226-BF53-FBC3A38A3094}" name="ESTADO" dataDxfId="646"/>
    <tableColumn id="11" xr3:uid="{E457A2EF-C26E-43DE-BDB2-64E1BFF451C1}" name="SEGMENTO" dataDxfId="645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44" headerRowBorderDxfId="643" tableBorderDxfId="642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41">
      <calculatedColumnFormula>DATA_MAYO_2025[[#This Row],[RECUPERO]]/DATA_MAYO_2025[[#This Row],[META]]</calculatedColumnFormula>
    </tableColumn>
    <tableColumn id="3" xr3:uid="{8551335D-BE40-494B-A806-42FAA211C207}" name="CLASIFICACIÓN" dataDxfId="640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39"/>
    <tableColumn id="6" xr3:uid="{85DC5B94-4FF7-4224-A993-E56A00A5F6DA}" name="RECUPERO" dataDxfId="638">
      <calculatedColumnFormula>SUM(DATA_MAYO_2025[[#This Row],[1]:[31]])</calculatedColumnFormula>
    </tableColumn>
    <tableColumn id="7" xr3:uid="{E2EB46E1-D5BC-46B2-859F-8C05EBBE26F5}" name="META" dataDxfId="637"/>
    <tableColumn id="5" xr3:uid="{A8ED42EF-7F3D-47A1-A928-02CDC650D596}" name="ASER_" dataDxfId="636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35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34" dataDxfId="632" headerRowBorderDxfId="633" tableBorderDxfId="631" totalsRowBorderDxfId="630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29"/>
    <tableColumn id="1" xr3:uid="{E8B4D119-C811-4392-9EE6-8F0C79BEE9E9}" name="RECUPERO SUPERVISOR" dataDxfId="628">
      <calculatedColumnFormula>MAX(DITE_MAYO_2025[[#This Row],[1]:[31]])</calculatedColumnFormula>
    </tableColumn>
    <tableColumn id="2" xr3:uid="{B44E621C-D444-4670-8FB8-CA1A1E3293FE}" name="ALCANCE SUPERVISOR" dataDxfId="627">
      <calculatedColumnFormula>DITE_MAYO_2025[[#This Row],[RECUPERO SUPERVISOR]]/DITE_MAYO_2025[[#This Row],[META SUPER]]</calculatedColumnFormula>
    </tableColumn>
    <tableColumn id="4" xr3:uid="{63B60F11-ECE7-4839-BADE-F875CF35D6C8}" name="SUPER" dataDxfId="626"/>
    <tableColumn id="6" xr3:uid="{795F9848-930D-4B49-893D-00DA36A6069C}" name="1" dataDxfId="625"/>
    <tableColumn id="7" xr3:uid="{A0F1B09B-45CD-4449-B0E0-2A746353F5F6}" name="2" dataDxfId="624"/>
    <tableColumn id="8" xr3:uid="{42485F8E-3938-40CB-B75A-E12120AF085D}" name="3" dataDxfId="623"/>
    <tableColumn id="9" xr3:uid="{16CE59CD-D621-412D-8F6E-F5B8FEEFCBB4}" name="4" dataDxfId="622"/>
    <tableColumn id="10" xr3:uid="{D1B5939A-E95A-4BE2-BA16-796CFB62C7BB}" name="5" dataDxfId="621"/>
    <tableColumn id="11" xr3:uid="{42606FA2-25C4-48F7-BC25-B75CFBF93D7E}" name="6" dataDxfId="620"/>
    <tableColumn id="12" xr3:uid="{91DD2662-D657-4CF0-B378-5B3D9B374F80}" name="7" dataDxfId="619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618"/>
    <tableColumn id="14" xr3:uid="{FDAEFC46-2A8B-451E-929D-76EC4BC7CA39}" name="19" dataDxfId="617"/>
    <tableColumn id="15" xr3:uid="{1F944C9F-2359-45A9-8922-617195550B92}" name="20" dataDxfId="616"/>
    <tableColumn id="16" xr3:uid="{D023EA95-922B-4435-8A92-F165E2F3A560}" name="21" dataDxfId="615"/>
    <tableColumn id="17" xr3:uid="{7AC3BA92-E630-483B-B27E-18C40869116B}" name="22" dataDxfId="614"/>
    <tableColumn id="18" xr3:uid="{3609A57C-B1DB-4D87-9574-007183221000}" name="23" dataDxfId="613"/>
    <tableColumn id="19" xr3:uid="{98740490-1047-4343-85C8-834AE6AF935A}" name="24" dataDxfId="612"/>
    <tableColumn id="20" xr3:uid="{CE682DBD-B5A8-49C9-8A73-515C0BB553A8}" name="25" dataDxfId="611"/>
    <tableColumn id="21" xr3:uid="{2C63A6DB-A36B-488F-8D7C-F86E11CED59A}" name="26" dataDxfId="610"/>
    <tableColumn id="22" xr3:uid="{01511E88-F7F3-4FDD-998C-292B28698241}" name="27" dataDxfId="609"/>
    <tableColumn id="23" xr3:uid="{B0CE642E-7F10-4E00-9DD1-FC5CF0499DC2}" name="28" dataDxfId="608"/>
    <tableColumn id="24" xr3:uid="{EE9469B0-D486-4046-8AA2-36629B9D9667}" name="29" dataDxfId="607"/>
    <tableColumn id="25" xr3:uid="{D05B2A45-8E05-43BB-9FFA-CC56C7D8C31E}" name="30" dataDxfId="606"/>
    <tableColumn id="26" xr3:uid="{AE78D865-FDC9-4B75-AADF-A48F19C319DC}" name="31" dataDxfId="605"/>
    <tableColumn id="3" xr3:uid="{0887DE9C-F035-4EEC-B2F4-4C2CEB11922C}" name="CARTERA" dataDxfId="604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603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602"/>
    <tableColumn id="5" xr3:uid="{1BF578D9-FB1B-48B0-B732-40F721FD7C19}" name="ASESOR" dataDxfId="601"/>
    <tableColumn id="6" xr3:uid="{CA995F17-DCA5-4D19-B2E1-FD9362121A39}" name="RECUPERO"/>
    <tableColumn id="8" xr3:uid="{9BC620F7-3E10-4417-B0EA-F37D1F039447}" name="DNI" dataDxfId="600"/>
    <tableColumn id="9" xr3:uid="{0CBCBA61-9BA1-4E3D-B6CE-38E6C9A1078C}" name="FECHA DE INICIO" dataDxfId="599"/>
    <tableColumn id="10" xr3:uid="{3A23F58F-8B92-4D7C-82D9-23C8B3B51E6F}" name="ESTADO" dataDxfId="598"/>
    <tableColumn id="11" xr3:uid="{2E50347E-4858-4527-938D-F94ED2AB3BED}" name="SEGMENTO" dataDxfId="597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96" headerRowBorderDxfId="595" tableBorderDxfId="594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93">
      <calculatedColumnFormula>DATA_JUNIO_2025[[#This Row],[RECUPERO]]/DATA_JUNIO_2025[[#This Row],[META]]</calculatedColumnFormula>
    </tableColumn>
    <tableColumn id="3" xr3:uid="{78E201C6-658E-4437-AC52-3D0E669D8389}" name="CLASIFICACIÓN" dataDxfId="592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91"/>
    <tableColumn id="6" xr3:uid="{3AD4A449-DB0B-4879-AD61-28FA40E45717}" name="RECUPERO" dataDxfId="590">
      <calculatedColumnFormula>SUM(DATA_JUNIO_2025[[#This Row],[1]:[31]])</calculatedColumnFormula>
    </tableColumn>
    <tableColumn id="7" xr3:uid="{2BD9FB92-38FC-44A8-B5F2-890569E48C37}" name="META" dataDxfId="589"/>
    <tableColumn id="5" xr3:uid="{9812F1F1-AB5A-41A6-A84D-86B290FCB7E7}" name="ASER_" dataDxfId="588"/>
    <tableColumn id="37" xr3:uid="{834796BA-53F4-4194-919E-D8B97FEA7F3F}" name="1" dataDxfId="587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86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85" dataDxfId="583" headerRowBorderDxfId="584" tableBorderDxfId="582" totalsRowBorderDxfId="581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80"/>
    <tableColumn id="1" xr3:uid="{1A75BF93-811F-4AFA-86B4-9AD496200913}" name="RECUPERO SUPERVISOR" dataDxfId="579"/>
    <tableColumn id="2" xr3:uid="{60B107BC-0938-4363-BE59-47C4E7777D14}" name="ALCANCE SUPERVISOR" dataDxfId="578">
      <calculatedColumnFormula>DITE_JUNIO_2025[[#This Row],[RECUPERO SUPERVISOR]]/DITE_JUNIO_2025[[#This Row],[META SUPER]]</calculatedColumnFormula>
    </tableColumn>
    <tableColumn id="4" xr3:uid="{846684E8-1F2C-4021-AB12-AFBE9E56FAA4}" name="SUPER" dataDxfId="577"/>
    <tableColumn id="6" xr3:uid="{A217DEAD-ACD7-4C63-A622-E2E01ECF328C}" name="1" dataDxfId="576"/>
    <tableColumn id="7" xr3:uid="{5CA18C0A-7D47-455B-B153-EFA8D01D32D6}" name="2" dataDxfId="575"/>
    <tableColumn id="8" xr3:uid="{3CBBE086-E28B-4224-AF45-5A4E7A009E3F}" name="3" dataDxfId="574"/>
    <tableColumn id="9" xr3:uid="{4B327145-F7C9-4ABC-A911-6EB2E553C986}" name="4" dataDxfId="573"/>
    <tableColumn id="10" xr3:uid="{C644450F-2149-4D87-8E04-D3DD6B99C066}" name="5" dataDxfId="572"/>
    <tableColumn id="11" xr3:uid="{92D6DA00-2083-479D-96F6-4B48312C9C12}" name="6" dataDxfId="571"/>
    <tableColumn id="12" xr3:uid="{2EC613D6-BDCD-416F-817F-42C8018B90FE}" name="7" dataDxfId="570"/>
    <tableColumn id="13" xr3:uid="{B55C5834-2D46-4D83-8429-14D18D9B95EF}" name="8" dataDxfId="569"/>
    <tableColumn id="14" xr3:uid="{5C6DF4C8-EDC0-4827-AA8B-9C2B7202A4DA}" name="9" dataDxfId="568"/>
    <tableColumn id="15" xr3:uid="{764D7AA1-F3E2-4E06-A4A9-952B47F95E76}" name="10" dataDxfId="567"/>
    <tableColumn id="16" xr3:uid="{6D896E44-118D-4124-BF4A-2E06B8568517}" name="11" dataDxfId="566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65"/>
    <tableColumn id="18" xr3:uid="{E97C32F3-7B30-46E7-B4CD-72B412E48E28}" name="22" dataDxfId="564"/>
    <tableColumn id="19" xr3:uid="{FD784BF8-211E-4275-A9B4-168979C2AFD1}" name="23" dataDxfId="563"/>
    <tableColumn id="20" xr3:uid="{766DA9FA-C407-4AC5-BFFB-BF6A1B6D5B26}" name="24" dataDxfId="562"/>
    <tableColumn id="21" xr3:uid="{CD1B765C-53CF-4C5C-A708-487BC53AF68A}" name="25" dataDxfId="561"/>
    <tableColumn id="22" xr3:uid="{2800A805-A560-4CF0-B47E-4486A92755E4}" name="26" dataDxfId="560"/>
    <tableColumn id="23" xr3:uid="{7067EFFA-F2EA-4FFF-A281-8E3E0E718C87}" name="27" dataDxfId="559"/>
    <tableColumn id="24" xr3:uid="{BB01C4B5-FEB4-44E1-BF58-4C9BF81261B1}" name="28" dataDxfId="558"/>
    <tableColumn id="25" xr3:uid="{2116D7DE-6632-4314-9539-6B4BA9407512}" name="29" dataDxfId="557"/>
    <tableColumn id="37" xr3:uid="{CBFA4429-3DA2-46C7-A9A0-49B669AE33A6}" name="30"/>
    <tableColumn id="26" xr3:uid="{B0D188FD-F41F-4C43-A42F-87048D9F3347}" name="31" dataDxfId="556"/>
    <tableColumn id="3" xr3:uid="{153A774F-FA3D-4DE9-A743-A193E9EC2BE7}" name="CARTERA" dataDxfId="555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54" headerRowBorderDxfId="553" tableBorderDxfId="552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51">
      <calculatedColumnFormula>DATA_JULIO_2025[[#This Row],[RECUPERO]]/DATA_JULIO_2025[[#This Row],[META]]</calculatedColumnFormula>
    </tableColumn>
    <tableColumn id="3" xr3:uid="{1754C817-3C23-490F-BEA3-3ACD2AC34A65}" name="CLASIFICACIÓN" dataDxfId="550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49"/>
    <tableColumn id="6" xr3:uid="{BCDF5A35-E274-481A-8FAA-7585E0413D78}" name="RECUPERO" dataDxfId="548">
      <calculatedColumnFormula>SUM(DATA_JULIO_2025[[#This Row],[1]:[31]])</calculatedColumnFormula>
    </tableColumn>
    <tableColumn id="7" xr3:uid="{8DE1FEE0-51D3-4EA8-A46E-89BEBA12056E}" name="META" dataDxfId="547"/>
    <tableColumn id="1" xr3:uid="{3C41F150-757E-4673-8594-D891B2820E33}" name="ASER_" dataDxfId="546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45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543" headerRowBorderDxfId="544" tableBorderDxfId="542">
  <autoFilter ref="A2:K85" xr:uid="{F460AB3C-55A7-4610-B74D-44400B82E396}"/>
  <tableColumns count="11">
    <tableColumn id="1" xr3:uid="{174E92CC-5FBB-42E6-ABBA-A2148115201A}" name="SUPER" dataDxfId="541">
      <calculatedColumnFormula>D1_JULIO_2025[[#This Row],[SUPER2]]</calculatedColumnFormula>
    </tableColumn>
    <tableColumn id="6" xr3:uid="{D87E1435-21B2-485D-8BCD-1C27FC523EEA}" name="ASESOR_CRR" dataDxfId="540"/>
    <tableColumn id="2" xr3:uid="{FC570054-965C-4F29-B04A-C58608AEAECA}" name="META" dataDxfId="539">
      <calculatedColumnFormula>VLOOKUP(D1_JULIO_2025[[#This Row],[SUPER]],DATA_JULIO_2025[[SUPERVISOR]:[META]],3,0)</calculatedColumnFormula>
    </tableColumn>
    <tableColumn id="3" xr3:uid="{CF023A93-4AFB-4349-9235-179A60BC2249}" name="ALCANCE" dataDxfId="538">
      <calculatedColumnFormula>D1_JULIO_2025[[#This Row],[RECUPERO]]/C3</calculatedColumnFormula>
    </tableColumn>
    <tableColumn id="7" xr3:uid="{59576C9E-00A8-419A-8EFC-86D74D6B4B3F}" name="SUPER2" dataDxfId="537"/>
    <tableColumn id="4" xr3:uid="{6F567985-92B6-498E-BDE9-81AA438ECD22}" name="ASESOR" dataDxfId="536"/>
    <tableColumn id="5" xr3:uid="{2DFC340F-6B74-4E64-B475-782D4A5F8B3E}" name="RECUPERO" dataDxfId="535"/>
    <tableColumn id="8" xr3:uid="{D42D0BDD-24C5-4390-9867-D5F3D45952CE}" name="DNI" dataDxfId="534"/>
    <tableColumn id="9" xr3:uid="{A9555617-B6CF-4123-9AD8-5E9DB6528E74}" name="FECHA DE INICIO" dataDxfId="533"/>
    <tableColumn id="10" xr3:uid="{1C792B0A-E0F3-406D-8123-75E932FC95A1}" name="ESTADO" dataDxfId="532"/>
    <tableColumn id="11" xr3:uid="{9C7DD975-8CE5-47A7-9055-3D889431846F}" name="SEGMENTO" dataDxfId="531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30" dataDxfId="528" headerRowBorderDxfId="529" tableBorderDxfId="527" totalsRowBorderDxfId="526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25"/>
    <tableColumn id="1" xr3:uid="{4CE2BFB4-C324-4ECE-B3B7-77A433373BEC}" name="RECUPERO SUPERVISOR" dataDxfId="524"/>
    <tableColumn id="2" xr3:uid="{76C6BCA1-6820-46A6-B790-01B3E88F6266}" name="ALCANCE SUPERVISOR" dataDxfId="523">
      <calculatedColumnFormula>BA9/DITE_JULIO_2025[[#This Row],[META SUPER]]</calculatedColumnFormula>
    </tableColumn>
    <tableColumn id="4" xr3:uid="{FE9C5289-6F21-4D71-92B6-F36B6C9748E7}" name="SUPER" dataDxfId="522"/>
    <tableColumn id="6" xr3:uid="{A5188244-D142-4196-92CC-15B237C3E734}" name="1" dataDxfId="521"/>
    <tableColumn id="7" xr3:uid="{9754BD88-AFD1-4BCB-AF69-DA7B55E3A053}" name="2" dataDxfId="520"/>
    <tableColumn id="8" xr3:uid="{851C8CA8-D257-4BFB-B6BE-D82354200CA7}" name="3" dataDxfId="519"/>
    <tableColumn id="9" xr3:uid="{AE769B63-903F-46E5-A3F0-8DA27C689974}" name="4" dataDxfId="518"/>
    <tableColumn id="10" xr3:uid="{D09A5961-EE10-491A-BFFE-C5ABD80598A8}" name="5" dataDxfId="517"/>
    <tableColumn id="11" xr3:uid="{EC4AF483-303E-4488-AFA2-DD9A058F071A}" name="6" dataDxfId="516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515"/>
    <tableColumn id="13" xr3:uid="{377D024A-00DD-4A77-A549-5C6BEBE894D0}" name="19" dataDxfId="514"/>
    <tableColumn id="14" xr3:uid="{8FABF999-C8BA-4B7D-980A-2659F766178B}" name="20" dataDxfId="513"/>
    <tableColumn id="15" xr3:uid="{06AC6AD7-A191-47DD-AE3F-9A0525AF8DD6}" name="21" dataDxfId="512"/>
    <tableColumn id="16" xr3:uid="{BB465107-63D7-443B-8989-EF197F62D322}" name="22" dataDxfId="511"/>
    <tableColumn id="17" xr3:uid="{3DFE5CBD-1315-4CBA-A14E-1763583D7BEC}" name="23" dataDxfId="510"/>
    <tableColumn id="18" xr3:uid="{5DB3135E-36A1-4F0D-890E-50AC461B96C4}" name="24" dataDxfId="509"/>
    <tableColumn id="19" xr3:uid="{57CA79FE-F6A3-4697-8926-36322AD1BC6C}" name="25" dataDxfId="508"/>
    <tableColumn id="20" xr3:uid="{A99C4302-A806-4344-ABAF-AF753E7EF30D}" name="26" dataDxfId="507"/>
    <tableColumn id="21" xr3:uid="{D1C3F20A-0988-4CC4-8D06-ED3EE15A7AB1}" name="27" dataDxfId="506"/>
    <tableColumn id="22" xr3:uid="{ECEC5739-F3E4-44C4-9408-4DAA6DE5069C}" name="28" dataDxfId="505"/>
    <tableColumn id="23" xr3:uid="{CD77FB96-6C17-47A0-82BA-2ABEA1725A41}" name="29" dataDxfId="504"/>
    <tableColumn id="24" xr3:uid="{87D0EFA1-B9FB-444F-B737-EE4C1B838FBC}" name="30" dataDxfId="503"/>
    <tableColumn id="25" xr3:uid="{BF0F5A29-80D1-482F-9C53-48E4478A5F1D}" name="31" dataDxfId="502"/>
    <tableColumn id="3" xr3:uid="{51B2E01F-098B-4EAB-AB37-99A7A456DDF6}" name="CARTERA" dataDxfId="501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499" headerRowBorderDxfId="500" tableBorderDxfId="498">
  <autoFilter ref="A2:K91" xr:uid="{816CEBCE-101B-42C2-A45C-8113A647428A}"/>
  <tableColumns count="11">
    <tableColumn id="1" xr3:uid="{596664E6-24CF-4AF3-A84D-121AC4745B4C}" name="SUPER" dataDxfId="497"/>
    <tableColumn id="6" xr3:uid="{CA4B13E9-2CAB-42E2-A028-4DFB844CF726}" name="ASESOR_CRR" dataDxfId="496"/>
    <tableColumn id="2" xr3:uid="{B3C2F90C-6F59-4998-9F82-960596BF09D8}" name="META" dataDxfId="495">
      <calculatedColumnFormula>VLOOKUP(D1_AGOSTO_2025[[#This Row],[SUPER]],DATA_AGOSTO_2025[[SUPERVISOR]:[META]],3,0)</calculatedColumnFormula>
    </tableColumn>
    <tableColumn id="3" xr3:uid="{6CE379C4-19C8-4C90-81DB-EA83E873B03A}" name="ALCANCE" dataDxfId="494"/>
    <tableColumn id="7" xr3:uid="{28AC502F-3113-4B59-AA88-4F9E0E7D938B}" name="SUPER2" dataDxfId="493"/>
    <tableColumn id="4" xr3:uid="{9AE19661-0B03-4D03-9661-4B81FCE456D3}" name="ASESOR" dataDxfId="492"/>
    <tableColumn id="5" xr3:uid="{9CCAC285-FD2E-415B-BE6E-AD7E20CECF29}" name="RECUPERO" dataDxfId="491">
      <calculatedColumnFormula>VLOOKUP(D1_AGOSTO_2025[[#This Row],[ASESOR]],$E$95:$F$176,2,0)</calculatedColumnFormula>
    </tableColumn>
    <tableColumn id="8" xr3:uid="{043E81D5-B688-480A-9A28-C451E6CC8ACE}" name="DNI" dataDxfId="490"/>
    <tableColumn id="9" xr3:uid="{1F9CE105-EFA8-4FFE-9C5C-0AB581B961DE}" name="FECHA DE INICIO" dataDxfId="489"/>
    <tableColumn id="10" xr3:uid="{6CA7DA08-8CCF-441D-AE86-422E2259780A}" name="ESTADO" dataDxfId="488"/>
    <tableColumn id="11" xr3:uid="{9109CC4D-CC03-42BB-8F60-09A0400B4073}" name="SEGMENTO" dataDxfId="487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86" headerRowBorderDxfId="485" tableBorderDxfId="484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83">
      <calculatedColumnFormula>DATA_AGOSTO_2025[[#This Row],[RECUPERO]]/DATA_AGOSTO_2025[[#This Row],[META]]</calculatedColumnFormula>
    </tableColumn>
    <tableColumn id="3" xr3:uid="{88C3CECE-F881-4C05-BA2B-95B253894A39}" name="CLASIFICACIÓN" dataDxfId="482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81"/>
    <tableColumn id="6" xr3:uid="{40820BC6-7E2D-416A-AC23-B4520FC0957D}" name="RECUPERO" dataDxfId="480">
      <calculatedColumnFormula>SUM(DATA_AGOSTO_2025[[#This Row],[1]:[31]])</calculatedColumnFormula>
    </tableColumn>
    <tableColumn id="7" xr3:uid="{F7BC8835-EC2E-4047-8AE9-C742ABE03445}" name="META" dataDxfId="479"/>
    <tableColumn id="5" xr3:uid="{22298E20-98EB-421A-8978-F019348D2A10}" name="ASER_" dataDxfId="478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77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76" dataDxfId="474" headerRowBorderDxfId="475" tableBorderDxfId="473" totalsRowBorderDxfId="472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71"/>
    <tableColumn id="1" xr3:uid="{D853C78B-294B-4C5B-87F9-8B837DBCA858}" name="RECUPERO SUPERVISOR" dataDxfId="470">
      <calculatedColumnFormula>MAX(DITE_AGOSTO_2025[[#This Row],[1]:[31]])</calculatedColumnFormula>
    </tableColumn>
    <tableColumn id="2" xr3:uid="{A6B49739-8C7F-42B7-AB2B-2D9B8785D8A7}" name="ALCANCE SUPERVISOR" dataDxfId="469">
      <calculatedColumnFormula>DITE_AGOSTO_2025[[#This Row],[RECUPERO SUPERVISOR]]/DITE_AGOSTO_2025[[#This Row],[META SUPER]]</calculatedColumnFormula>
    </tableColumn>
    <tableColumn id="4" xr3:uid="{96D2A1C2-9EA3-4132-B41A-8B57BBB00DD3}" name="SUPER" dataDxfId="468"/>
    <tableColumn id="6" xr3:uid="{49EEE6CA-AF7B-4615-AE46-CA713F4E9209}" name="1" dataDxfId="467"/>
    <tableColumn id="7" xr3:uid="{61649C96-BFE5-4D18-BCE1-727E2E74D883}" name="2" dataDxfId="466"/>
    <tableColumn id="8" xr3:uid="{3D095B63-6086-4E9E-85B2-511507890CD8}" name="3" dataDxfId="465"/>
    <tableColumn id="9" xr3:uid="{36CD21E6-51F3-49C9-8448-36B269029EF6}" name="4" dataDxfId="464"/>
    <tableColumn id="10" xr3:uid="{D4DBAD01-5AE1-474A-AF64-A98DFD56153A}" name="5" dataDxfId="463"/>
    <tableColumn id="11" xr3:uid="{FDF3CA30-E7DF-4684-9747-03744CC16AAE}" name="6" dataDxfId="462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61"/>
    <tableColumn id="13" xr3:uid="{55EA3D15-E74B-4AB3-B0D5-B387C3EAAB83}" name="19" dataDxfId="460"/>
    <tableColumn id="14" xr3:uid="{507E3CA9-692F-4A2D-BA96-B401D04EEDD0}" name="20" dataDxfId="459"/>
    <tableColumn id="15" xr3:uid="{E5F719C0-0646-408A-976E-C57966E876F4}" name="21" dataDxfId="458"/>
    <tableColumn id="16" xr3:uid="{8AC2AE0D-50EC-4387-A0A4-A1F2DF092A3C}" name="22" dataDxfId="457"/>
    <tableColumn id="17" xr3:uid="{7B1EE470-E258-4B37-BEC3-E798950632D8}" name="23" dataDxfId="456"/>
    <tableColumn id="18" xr3:uid="{F77C3800-E94B-4C32-A796-122D364094EA}" name="24" dataDxfId="455"/>
    <tableColumn id="19" xr3:uid="{0DA4161D-30F3-4E97-BCBB-4C1E891B36FB}" name="25" dataDxfId="454"/>
    <tableColumn id="20" xr3:uid="{94B916D9-415F-4F66-A6C0-0EE398A152E9}" name="26" dataDxfId="453"/>
    <tableColumn id="21" xr3:uid="{D814BC25-89A4-4A6B-B889-6BF06DD3D2EC}" name="27" dataDxfId="452"/>
    <tableColumn id="22" xr3:uid="{7DEFEDE7-498F-4CCF-A7C2-F63ACE1BA092}" name="28" dataDxfId="451"/>
    <tableColumn id="23" xr3:uid="{CA36A7C5-BBBD-47FB-AAB4-1F5CBDA1EE93}" name="29" dataDxfId="450"/>
    <tableColumn id="24" xr3:uid="{958DFD93-9566-47EC-807E-E21861CB1F39}" name="30" dataDxfId="449"/>
    <tableColumn id="25" xr3:uid="{C690FBB6-6A9F-4B4D-AEF8-49C27DFF4FCF}" name="31" dataDxfId="448"/>
    <tableColumn id="3" xr3:uid="{C5283215-E8BB-41D8-B093-AA31F8252394}" name="CARTERA" dataDxfId="447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45" headerRowBorderDxfId="446" tableBorderDxfId="444">
  <autoFilter ref="A2:I80" xr:uid="{111BC5E6-A71D-437E-ABD5-0E09FCDEF3FD}"/>
  <tableColumns count="9">
    <tableColumn id="1" xr3:uid="{EABDBA5F-3C1B-4AC8-8F40-8C9EED5560F3}" name="SUPER" dataDxfId="443"/>
    <tableColumn id="6" xr3:uid="{C37701A2-99CA-45B9-AA89-63D54C88C5B9}" name="ASESOR_CRR" dataDxfId="442"/>
    <tableColumn id="2" xr3:uid="{8360BA59-782B-4699-ABEA-458A3C9299AD}" name="RECUP" dataDxfId="441"/>
    <tableColumn id="3" xr3:uid="{BD5C8833-8CBB-40D9-BC66-F164208CFEC0}" name="ALCANCE" dataDxfId="440"/>
    <tableColumn id="7" xr3:uid="{07FA8551-F17A-4D20-BAC6-4B128B0ECF57}" name="SUPER2" dataDxfId="439"/>
    <tableColumn id="4" xr3:uid="{91470BB1-1A8E-4802-9D93-28E5A1DF6790}" name="ASESOR" dataDxfId="438"/>
    <tableColumn id="5" xr3:uid="{2B49EE5D-87EB-458C-99B1-7F94B8EDDE4B}" name="RECUPERO" dataDxfId="437"/>
    <tableColumn id="8" xr3:uid="{1A69791E-D827-4498-A9B8-C02ED9E8C0C0}" name="DNI" dataDxfId="436"/>
    <tableColumn id="9" xr3:uid="{17EC964E-623C-4526-9375-D1DFD0BBB147}" name="FECHA DE INGRESO" dataDxfId="435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34" headerRowBorderDxfId="433" tableBorderDxfId="432">
  <autoFilter ref="J8:O86" xr:uid="{91775BD2-E36D-479B-95DE-48127C3410BC}"/>
  <tableColumns count="6">
    <tableColumn id="2" xr3:uid="{033A6CF7-EC22-4EEE-8FF0-8C343161421D}" name="AL_AC" dataDxfId="431"/>
    <tableColumn id="3" xr3:uid="{2234E43A-FB04-4BD5-A5FB-BE681630D39D}" name="CLASIFICACIÓN" dataDxfId="430"/>
    <tableColumn id="1" xr3:uid="{E68E03C4-584B-48EC-AA41-D10E171DF6E2}" name="SUPERVISOR" dataDxfId="429"/>
    <tableColumn id="6" xr3:uid="{8FEE60A3-7153-47ED-82A3-25E3E95BD5B9}" name="RECUPERO" dataDxfId="428"/>
    <tableColumn id="5" xr3:uid="{96DEFE26-B796-4F9F-BB26-62A9B1295009}" name="META" dataDxfId="427"/>
    <tableColumn id="4" xr3:uid="{98491906-C3E6-4CCF-96D0-36184A648156}" name="ASER_" dataDxfId="426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25" dataDxfId="423" headerRowBorderDxfId="424" tableBorderDxfId="422" totalsRowBorderDxfId="421">
  <autoFilter ref="Q8:AQ16" xr:uid="{B03330B9-97D2-48C8-8B43-740321917DA5}"/>
  <tableColumns count="27">
    <tableColumn id="5" xr3:uid="{4E3B6BB8-3B21-487C-8667-D21D7F0B0DDF}" name="META SUPER" dataDxfId="420"/>
    <tableColumn id="1" xr3:uid="{C390EAAF-612A-443A-A32B-07A66CB5EF93}" name="RECUPERO SUPERVISOR" dataDxfId="419"/>
    <tableColumn id="2" xr3:uid="{BF66D468-0BA9-433F-A558-DB3EB49638C0}" name="ALCANCE SUPERVISOR" dataDxfId="418"/>
    <tableColumn id="4" xr3:uid="{833C2FF4-09CC-46A1-B127-078899129ED2}" name="SUPER" dataDxfId="417"/>
    <tableColumn id="6" xr3:uid="{7268ABE3-61CC-4084-9F8D-F9F866838337}" name="1-Set" dataDxfId="416"/>
    <tableColumn id="7" xr3:uid="{934984E8-2516-4844-B21B-29330A07EEE9}" name="2-Set" dataDxfId="415"/>
    <tableColumn id="8" xr3:uid="{5F8B97B9-8D43-4455-9D8F-E58FD0EDAC17}" name="3-Set" dataDxfId="414"/>
    <tableColumn id="9" xr3:uid="{85D24C9E-9252-4D30-9E54-18DBF77A6C70}" name="4-Set" dataDxfId="413"/>
    <tableColumn id="10" xr3:uid="{5A78F08C-1794-450A-88A4-F02CE65D2409}" name="5-Set" dataDxfId="412"/>
    <tableColumn id="11" xr3:uid="{C9868C58-D704-4A31-95DB-6D8FBCC63D90}" name="8-Set" dataDxfId="411"/>
    <tableColumn id="12" xr3:uid="{5A69AB6F-1CBE-456F-9AB1-9CFA02551564}" name="9-Set" dataDxfId="410"/>
    <tableColumn id="13" xr3:uid="{2FB09AC7-C3A6-45CD-8892-0B683DF946C3}" name="10-Set" dataDxfId="409"/>
    <tableColumn id="14" xr3:uid="{B8720ED9-AC2B-41EC-BFA3-A12BF9C966CC}" name="11-Set" dataDxfId="408"/>
    <tableColumn id="15" xr3:uid="{31CBBA73-A7BD-468C-BD0B-435687D2ACAD}" name="12-Set" dataDxfId="407"/>
    <tableColumn id="16" xr3:uid="{02C13EA1-381F-4C2D-B917-AF0FF1A9F773}" name="15-Set" dataDxfId="406"/>
    <tableColumn id="17" xr3:uid="{E6B04D90-5126-40CD-BDA1-E2B120BAD73C}" name="16-Set" dataDxfId="405"/>
    <tableColumn id="18" xr3:uid="{7CB5014E-CB0D-4F8A-A9D7-BD9A166A1B37}" name="17-Set" dataDxfId="404"/>
    <tableColumn id="19" xr3:uid="{040ABF10-1BFC-447A-AE21-D052CBC2ED82}" name="18-Set" dataDxfId="403"/>
    <tableColumn id="20" xr3:uid="{44DFBCB9-0C1E-48F5-ACC2-AC0990D1520D}" name="19-Set" dataDxfId="402"/>
    <tableColumn id="21" xr3:uid="{AFFC2ABC-F24F-4F16-B5DD-03747097DBCC}" name="22-Set" dataDxfId="401"/>
    <tableColumn id="22" xr3:uid="{E8A652BF-A601-498B-965E-DF95F032A19E}" name="23-Set" dataDxfId="400"/>
    <tableColumn id="23" xr3:uid="{E1A1F3EC-A932-4B54-BD80-6B3004BAC18C}" name="24-Set" dataDxfId="399"/>
    <tableColumn id="24" xr3:uid="{7F5C1B88-4DF8-4775-AEFB-F5F5D12AD778}" name="25-Set" dataDxfId="398"/>
    <tableColumn id="25" xr3:uid="{B40C371A-A255-4AD7-B43D-47350B1FF421}" name="26-Set" dataDxfId="397"/>
    <tableColumn id="26" xr3:uid="{AFFE8D31-2DD6-4039-8ED5-AD63D5758F88}" name="29-Set" dataDxfId="396"/>
    <tableColumn id="27" xr3:uid="{041693B7-E11C-4B55-8C93-8CFB39922E84}" name="30-Set" dataDxfId="395"/>
    <tableColumn id="3" xr3:uid="{1DAB60E5-FA3D-4422-89D0-AD46643BF45E}" name="CARTERA" dataDxfId="394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93"/>
    <tableColumn id="5" xr3:uid="{2D06A3B4-3271-49A3-9C7C-FFC311CAB0D8}" name="ASESOR"/>
    <tableColumn id="6" xr3:uid="{7C83291E-5126-4377-B991-EBB23328360F}" name="RECUPERO" dataDxfId="392">
      <calculatedColumnFormula>VLOOKUP(D1_OCTUBRE_2025[[#This Row],[ASESOR]],F78:$G$155,2,0)</calculatedColumnFormula>
    </tableColumn>
    <tableColumn id="8" xr3:uid="{7F2D2756-92A6-4522-A15C-2F10A82AAD95}" name="DNI" dataDxfId="391"/>
    <tableColumn id="9" xr3:uid="{B01E98C6-A76C-417B-B7FA-B0F1C8C2C7C6}" name="FECHA DE INICIO" dataDxfId="390"/>
    <tableColumn id="10" xr3:uid="{DEB6156D-2B0C-4157-8EE4-0EE1578CCF4A}" name="ESTADO" dataDxfId="389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88" tableBorderDxfId="387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86">
      <calculatedColumnFormula>DATA_OCTUBRE_2025[[#This Row],[RECUPERO]]/DATA_OCTUBRE_2025[[#This Row],[META]]</calculatedColumnFormula>
    </tableColumn>
    <tableColumn id="3" xr3:uid="{EE681579-D463-48E9-A57F-B73D04925E37}" name="CLASIFICACIÓN" dataDxfId="385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84"/>
    <tableColumn id="6" xr3:uid="{3B45E8CF-4BCD-492C-B1A3-3E157855AA4E}" name="RECUPERO" dataDxfId="383">
      <calculatedColumnFormula>SUM(DATA_OCTUBRE_2025[[#This Row],[1]:[31]])</calculatedColumnFormula>
    </tableColumn>
    <tableColumn id="7" xr3:uid="{2D762908-0860-493B-A482-9514EAD41E9B}" name="META" dataDxfId="382"/>
    <tableColumn id="4" xr3:uid="{B03F71B4-D73E-47CB-8F19-B1EBCB980D51}" name="ASER_" dataDxfId="381"/>
    <tableColumn id="8" xr3:uid="{DADEF8E1-B4EF-4A54-BDEA-772F65B2659B}" name="1" dataDxfId="380"/>
    <tableColumn id="9" xr3:uid="{09759773-B387-4885-980B-3377FCF2784C}" name="2" dataDxfId="379"/>
    <tableColumn id="10" xr3:uid="{0BEF3C74-7822-4935-9DEF-DBB8EF94B2E8}" name="3" dataDxfId="378"/>
    <tableColumn id="11" xr3:uid="{AB623BA8-8BC3-4899-82B4-0D2F75C64AC1}" name="4" dataDxfId="377"/>
    <tableColumn id="12" xr3:uid="{F3FF380C-FA1C-400D-953D-2426EC1D78FF}" name="5" dataDxfId="376"/>
    <tableColumn id="13" xr3:uid="{513A526B-B8DC-4F0A-BB71-A3C5DCBEE598}" name="6" dataDxfId="375"/>
    <tableColumn id="14" xr3:uid="{FE79AC7F-62E7-4115-BE1B-AAF936521653}" name="7" dataDxfId="374"/>
    <tableColumn id="15" xr3:uid="{68C170E4-F271-468B-91F8-3408D287CC52}" name="8" dataDxfId="373"/>
    <tableColumn id="16" xr3:uid="{AD7DCB27-1227-49CE-B962-67316F312A49}" name="9" dataDxfId="372"/>
    <tableColumn id="17" xr3:uid="{A28A426F-20DF-4E28-817D-D45F6DE67B10}" name="10" dataDxfId="371"/>
    <tableColumn id="18" xr3:uid="{E8A185AF-1E28-4F0F-9855-74F54DBD006B}" name="11" dataDxfId="370"/>
    <tableColumn id="19" xr3:uid="{63732328-29EA-40C6-ACD8-4B4DD4B4CF86}" name="12" dataDxfId="369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68"/>
    <tableColumn id="21" xr3:uid="{C17C4587-18F5-4FBD-868F-EBEC86A07A20}" name="23" dataDxfId="367"/>
    <tableColumn id="22" xr3:uid="{A943FEC5-F867-455B-820F-28C4395DB276}" name="24" dataDxfId="366"/>
    <tableColumn id="23" xr3:uid="{A8FFD2FC-7F1E-4386-AF41-D5EEEF19CDD0}" name="25" dataDxfId="365"/>
    <tableColumn id="24" xr3:uid="{ADF6FE87-D285-4286-AA45-3909EFB078E5}" name="26" dataDxfId="364"/>
    <tableColumn id="25" xr3:uid="{2F0BE83F-F151-4F99-839F-143CA77B5B85}" name="27" dataDxfId="363"/>
    <tableColumn id="26" xr3:uid="{380107E6-E719-4EEB-80BE-3FC920AAB0D8}" name="28" dataDxfId="362"/>
    <tableColumn id="27" xr3:uid="{E4578405-DBB6-4571-976F-D9686E90472D}" name="29" dataDxfId="361"/>
    <tableColumn id="28" xr3:uid="{C03A0B6A-D740-474A-B5C0-16AD1C50D0EF}" name="30" dataDxfId="360"/>
    <tableColumn id="29" xr3:uid="{ABC45238-95B8-44E1-B32D-323E0E09BD1E}" name="31" dataDxfId="359"/>
    <tableColumn id="5" xr3:uid="{DFC53255-43CA-45C9-9269-4215B54AB062}" name="CARTERA ASESOR" dataDxfId="358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57" dataDxfId="355" headerRowBorderDxfId="356" tableBorderDxfId="354" totalsRowBorderDxfId="353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52">
      <calculatedColumnFormula>VLOOKUP($M$3&amp;$N$3&amp;DITE_OCTUBRE_2025[[#This Row],[SUPER]],TablaMeta[],5,0)</calculatedColumnFormula>
    </tableColumn>
    <tableColumn id="1" xr3:uid="{2B34CFC4-0C9F-41CE-999A-2588C7446A9F}" name="RECUPERO SUPERVISOR" dataDxfId="351">
      <calculatedColumnFormula>MAX(DITE_OCTUBRE_2025[[#This Row],[1]:[31]])</calculatedColumnFormula>
    </tableColumn>
    <tableColumn id="2" xr3:uid="{12F44D75-C159-4886-875E-F84E5B64A541}" name="ALCANCE SUPERVISOR" dataDxfId="350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49"/>
    <tableColumn id="6" xr3:uid="{949DC2F4-4585-4646-A396-157D2DF8052D}" name="1" dataDxfId="348"/>
    <tableColumn id="7" xr3:uid="{97391D14-7779-42A7-9DB8-C0989C430B43}" name="2" dataDxfId="347"/>
    <tableColumn id="8" xr3:uid="{6354D769-4310-45AC-8145-E44CED72B4A9}" name="3" dataDxfId="346"/>
    <tableColumn id="9" xr3:uid="{4656D04C-0F05-4626-AF66-C82B40AEFAD8}" name="4" dataDxfId="345"/>
    <tableColumn id="10" xr3:uid="{7D1ED70B-0155-4C0E-8A2F-37B332A6F313}" name="5" dataDxfId="344"/>
    <tableColumn id="11" xr3:uid="{0111FAC8-499F-4CC3-8375-0BF99A4C35FA}" name="6" dataDxfId="343"/>
    <tableColumn id="12" xr3:uid="{C0C00B80-78A4-43E2-93D4-3EE00B3626FF}" name="7" dataDxfId="342"/>
    <tableColumn id="13" xr3:uid="{83880E56-1497-4302-8CA7-1D39E0DC1A97}" name="8" dataDxfId="341"/>
    <tableColumn id="14" xr3:uid="{BE01EA14-2F15-437D-A238-21FF4B75A0DE}" name="9" dataDxfId="340"/>
    <tableColumn id="15" xr3:uid="{EB92F6CE-8ACE-4537-AECA-46B61474948E}" name="10" dataDxfId="339"/>
    <tableColumn id="16" xr3:uid="{6D6490DB-3DEB-438C-AB40-C97EC626F0BE}" name="11" dataDxfId="338"/>
    <tableColumn id="17" xr3:uid="{0392FF10-F85D-41D2-8460-C3A186218696}" name="12" dataDxfId="337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36"/>
    <tableColumn id="19" xr3:uid="{3D252296-5BDD-4576-BACF-EBAA4EDD5204}" name="23" dataDxfId="335"/>
    <tableColumn id="20" xr3:uid="{23EB3C4F-7D5A-4D3B-8B24-D8DE6128BA5F}" name="24" dataDxfId="334"/>
    <tableColumn id="21" xr3:uid="{129CAF30-1851-4238-9880-454B24575BB9}" name="25" dataDxfId="333"/>
    <tableColumn id="22" xr3:uid="{72C02609-42DC-4EDE-B4E1-44D533A24355}" name="26" dataDxfId="332"/>
    <tableColumn id="23" xr3:uid="{9123D15C-9492-4356-8328-1BE17F140523}" name="27" dataDxfId="331"/>
    <tableColumn id="24" xr3:uid="{9D5D7ED1-F248-4C81-8326-BBA9C067C915}" name="28" dataDxfId="330"/>
    <tableColumn id="25" xr3:uid="{AF14494A-3DA5-4A85-BD20-353698E70147}" name="29" dataDxfId="329"/>
    <tableColumn id="26" xr3:uid="{B48EAE26-54B8-4E0C-A4A1-6956DA0D148E}" name="30" dataDxfId="328"/>
    <tableColumn id="27" xr3:uid="{85AC05C5-FE82-41A6-837C-F1F547FD8C2F}" name="31" dataDxfId="327"/>
    <tableColumn id="3" xr3:uid="{1CA2638D-96F9-4A0C-980A-6DAE6545AFFA}" name="CARTERA" dataDxfId="326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25" tableBorderDxfId="324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23">
      <calculatedColumnFormula>DATA_NOVIEMBRE_2025[[#This Row],[RECUPERO]]/DATA_NOVIEMBRE_2025[[#This Row],[META]]</calculatedColumnFormula>
    </tableColumn>
    <tableColumn id="3" xr3:uid="{855F5F44-294A-4871-9840-A24614956994}" name="CLASIFICACIÓN" dataDxfId="322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21"/>
    <tableColumn id="6" xr3:uid="{C0A22187-40B7-435A-ABDA-27944F0D7030}" name="RECUPERO" dataDxfId="320">
      <calculatedColumnFormula>SUM(DATA_NOVIEMBRE_2025[[#This Row],[1]:[31]])</calculatedColumnFormula>
    </tableColumn>
    <tableColumn id="7" xr3:uid="{72E7F13E-9273-4AED-98D2-5508FB4A326C}" name="META" dataDxfId="319"/>
    <tableColumn id="30" xr3:uid="{CFEB99FE-9EED-4763-A696-5BC3DA916AC5}" name="ASER_"/>
    <tableColumn id="8" xr3:uid="{00AE5065-FE4D-45E6-A294-E826836A1E33}" name="1" dataDxfId="318"/>
    <tableColumn id="9" xr3:uid="{EF6C35AD-ACD8-4C7F-8937-91D53147656D}" name="2" dataDxfId="317"/>
    <tableColumn id="10" xr3:uid="{CF32F196-CA95-4750-A946-3E0AC1A85184}" name="3" dataDxfId="316"/>
    <tableColumn id="11" xr3:uid="{9F563EAD-A249-4851-B979-F5575DE957AB}" name="4" dataDxfId="315"/>
    <tableColumn id="12" xr3:uid="{D6A6323F-D160-499D-BD7C-7C323AE07CB0}" name="5" dataDxfId="314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313"/>
    <tableColumn id="14" xr3:uid="{46BCBBD6-EB67-46A1-A356-989FA4845EF7}" name="17" dataDxfId="312"/>
    <tableColumn id="15" xr3:uid="{B50A5F7B-5C7E-48C1-80DA-278B6510B811}" name="18" dataDxfId="311"/>
    <tableColumn id="16" xr3:uid="{05796B28-1DD1-422E-9658-78C2FB73FD83}" name="19" dataDxfId="310"/>
    <tableColumn id="17" xr3:uid="{DB0D6520-FFC2-440C-B97F-9604384ED84D}" name="20" dataDxfId="309"/>
    <tableColumn id="18" xr3:uid="{50423629-1D31-4CC8-B9D0-046394DFED68}" name="21" dataDxfId="308"/>
    <tableColumn id="19" xr3:uid="{80B70DB0-A059-4A28-A799-0529D6BF1263}" name="22" dataDxfId="307"/>
    <tableColumn id="20" xr3:uid="{CE0AE96C-2D78-4B18-ADD7-C86E26CE69AB}" name="23" dataDxfId="306"/>
    <tableColumn id="21" xr3:uid="{D6CA8ADF-F50B-4822-B7AD-A49AC8CD28E8}" name="24" dataDxfId="305"/>
    <tableColumn id="22" xr3:uid="{8D2522DF-F1BC-4031-89AD-8B4B3515396A}" name="25" dataDxfId="304"/>
    <tableColumn id="23" xr3:uid="{293ABA54-17AB-40AD-A5F9-E0308A358390}" name="26" dataDxfId="303"/>
    <tableColumn id="24" xr3:uid="{099B62F0-F67D-4CF2-8C6A-AD383B297F15}" name="27" dataDxfId="302"/>
    <tableColumn id="25" xr3:uid="{104E6C24-1381-41DA-BF76-0DD6D49DF0C1}" name="28" dataDxfId="301"/>
    <tableColumn id="26" xr3:uid="{095F601D-F187-4396-A356-C09936718FF5}" name="29" dataDxfId="300"/>
    <tableColumn id="27" xr3:uid="{4F9FCA77-406D-4319-913A-82D308726F04}" name="30" dataDxfId="299"/>
    <tableColumn id="28" xr3:uid="{5825F9EE-936A-4C38-B210-9DA3DA553F75}" name="31" dataDxfId="298"/>
    <tableColumn id="1" xr3:uid="{D8CEB774-F634-4903-AC1C-0BF18BDD3A03}" name="CARTERA ASESOR" dataDxfId="297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296"/>
    <tableColumn id="2" xr3:uid="{7E004A30-FB94-4ABB-88FD-3005F8FA00C6}" name="ASESOR_CRR" dataDxfId="295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94"/>
    <tableColumn id="7" xr3:uid="{AA9D9715-8EBE-4ECB-8BB4-3F41AF689173}" name="SUPER2" dataDxfId="293"/>
    <tableColumn id="5" xr3:uid="{DDD5C800-04E2-4D8A-8C83-C410D5DF7F70}" name="ASESOR" dataDxfId="292"/>
    <tableColumn id="6" xr3:uid="{88DDFA81-E306-4531-9C28-1EEEFB91AC37}" name="RECUPERO" dataDxfId="291">
      <calculatedColumnFormula>VLOOKUP(D1_NOVIEMBRE_2025[[#This Row],[ASESOR]],$F$70:$G$130,2,0)</calculatedColumnFormula>
    </tableColumn>
    <tableColumn id="9" xr3:uid="{B4E0C179-9219-4DFF-AA71-3C7E15DC0CCB}" name="DNI" dataDxfId="290"/>
    <tableColumn id="10" xr3:uid="{A57DDDED-46A0-4CB6-B58A-B5F5FD8B6714}" name="FECHA DE INICIO" dataDxfId="289"/>
    <tableColumn id="8" xr3:uid="{6D0B725E-AD90-4FB1-ACD9-0C7E61DBD30D}" name="ESTADO" dataDxfId="288"/>
    <tableColumn id="11" xr3:uid="{14A41DD1-83BC-4380-9872-12E024A570EF}" name="SEGMENTO" dataDxfId="287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86" dataDxfId="285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84"/>
    <tableColumn id="2" xr3:uid="{39564DF7-490C-4B42-BA0D-A0C7965369AD}" name="RECUPERO SUPERVISOR" dataDxfId="283">
      <calculatedColumnFormula>MAX(DITE_NOVIEMBRE_2025[[#This Row],[1]:[31]])</calculatedColumnFormula>
    </tableColumn>
    <tableColumn id="3" xr3:uid="{714DADEA-706C-4919-B3C2-F0BF1111E161}" name="ALCANCE SUPERVISOR" dataDxfId="282">
      <calculatedColumnFormula>DITE_NOVIEMBRE_2025[[#This Row],[RECUPERO SUPERVISOR]]/DITE_NOVIEMBRE_2025[[#This Row],[META SUPER]]</calculatedColumnFormula>
    </tableColumn>
    <tableColumn id="1" xr3:uid="{9452BB90-F5DE-4B57-AF8A-BBAB41BDA625}" name="SUPER" dataDxfId="281"/>
    <tableColumn id="6" xr3:uid="{87C598B5-62D4-4EE7-861E-EEAA52C00585}" name="1" dataDxfId="280"/>
    <tableColumn id="7" xr3:uid="{633891A0-1EBF-4F76-A7F4-F66318664C43}" name="2" dataDxfId="279"/>
    <tableColumn id="8" xr3:uid="{0592F328-9F13-4B6C-80C9-E9F1845891CB}" name="3" dataDxfId="278"/>
    <tableColumn id="9" xr3:uid="{AE7882D8-BBFD-45AE-B2CB-28F66322BAEE}" name="4" dataDxfId="277"/>
    <tableColumn id="10" xr3:uid="{05F48497-7C3E-4EF2-8908-E3DDE502B309}" name="5" dataDxfId="276"/>
    <tableColumn id="11" xr3:uid="{BD05847D-8156-476D-9D43-53BF9B333675}" name="6" dataDxfId="275"/>
    <tableColumn id="12" xr3:uid="{407098C8-B89E-46C0-9B9A-DA4AD2929032}" name="7" dataDxfId="274"/>
    <tableColumn id="13" xr3:uid="{91FC56B9-68A8-46E6-AF86-C055E5241ADE}" name="8" dataDxfId="273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72"/>
    <tableColumn id="15" xr3:uid="{6D9CB553-B7A7-4211-8DDF-E67D0F75BD0A}" name="20" dataDxfId="271"/>
    <tableColumn id="16" xr3:uid="{C060B537-6CE4-430B-8A22-7A540BACE464}" name="21" dataDxfId="270"/>
    <tableColumn id="17" xr3:uid="{4C8D59DE-F0E8-4B3F-8552-A394ADA4C013}" name="22" dataDxfId="269"/>
    <tableColumn id="18" xr3:uid="{3AB7DFB9-4558-4621-AB3C-3891ECC67DB4}" name="23" dataDxfId="268"/>
    <tableColumn id="19" xr3:uid="{ECC2D027-50E3-4374-BA37-6384A463E763}" name="24" dataDxfId="267"/>
    <tableColumn id="20" xr3:uid="{03C4446D-2883-4E24-87C6-489668916C57}" name="25" dataDxfId="266"/>
    <tableColumn id="21" xr3:uid="{1D103BD3-6849-47BB-B1AD-9FF31C3432E4}" name="26" dataDxfId="265"/>
    <tableColumn id="22" xr3:uid="{E2A6B954-BE7E-4918-9A92-245143E3726C}" name="27" dataDxfId="264"/>
    <tableColumn id="23" xr3:uid="{3BE5D700-08A4-480A-8651-AFBBD596763A}" name="28" dataDxfId="263"/>
    <tableColumn id="24" xr3:uid="{16A1ECF5-0D22-4B11-B95E-D5BF2A42B1A3}" name="29" dataDxfId="262"/>
    <tableColumn id="25" xr3:uid="{AACA19B9-FD00-4B90-8B58-181F058F24E3}" name="30" dataDxfId="261"/>
    <tableColumn id="26" xr3:uid="{2DE2D547-EE6E-49C4-858B-C4D674245BFC}" name="31" dataDxfId="260"/>
    <tableColumn id="4" xr3:uid="{9AD4619F-F825-4B54-8AE2-92E8B9E9E57F}" name="CARTERA" dataDxfId="259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58" tableBorderDxfId="257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56">
      <calculatedColumnFormula>DATA_DICIEMBRE_2025[[#This Row],[RECUPERO]]/DATA_DICIEMBRE_2025[[#This Row],[META]]</calculatedColumnFormula>
    </tableColumn>
    <tableColumn id="2" xr3:uid="{B5D97F6A-AE7C-4FC3-8428-5737699DFEB1}" name="CLASIFICACIÓN" dataDxfId="255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54"/>
    <tableColumn id="1" xr3:uid="{47FCFB9B-5515-45CC-BFF9-2785144AD854}" name="RECUPERO" dataDxfId="253">
      <calculatedColumnFormula>SUM(DATA_DICIEMBRE_2025[[#This Row],[1]:[31]])</calculatedColumnFormula>
    </tableColumn>
    <tableColumn id="6" xr3:uid="{ED7BE75E-3624-4159-BFE7-645CEA862C3E}" name="META" dataDxfId="252"/>
    <tableColumn id="7" xr3:uid="{AD05A858-B012-4836-80E5-BF630A338442}" name="ASER_" dataDxfId="251"/>
    <tableColumn id="4" xr3:uid="{6792E8BB-5B6A-4E20-BC71-7F342FD1DE33}" name="1" dataDxfId="250"/>
    <tableColumn id="8" xr3:uid="{AFF95CFC-A6A6-4F82-9A47-D8F9735B080F}" name="2" dataDxfId="249"/>
    <tableColumn id="9" xr3:uid="{3EE2031A-4396-4C20-9B21-B423FD7A4983}" name="3" dataDxfId="248"/>
    <tableColumn id="10" xr3:uid="{98A61AE3-7932-414B-AE75-E4B9F37090B7}" name="4" dataDxfId="247"/>
    <tableColumn id="11" xr3:uid="{2B37FA03-0832-40E1-966B-188EC131A687}" name="5" dataDxfId="246"/>
    <tableColumn id="12" xr3:uid="{9A4E011C-C4A7-4F49-AD1B-BB28BEA4BF8C}" name="6" dataDxfId="245"/>
    <tableColumn id="13" xr3:uid="{EFB94F58-F00C-45C8-B4D0-E0C1802DF92E}" name="7" dataDxfId="244"/>
    <tableColumn id="14" xr3:uid="{F8800705-9DF6-4EEA-8D67-8321AE1E80D1}" name="8" dataDxfId="243"/>
    <tableColumn id="15" xr3:uid="{7B6D79FE-5D1B-462C-8037-0CACAB6F3911}" name="9" dataDxfId="242"/>
    <tableColumn id="16" xr3:uid="{E0E24420-1BF8-4BED-A5CC-D5EF1C7DF685}" name="10" dataDxfId="241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40"/>
    <tableColumn id="18" xr3:uid="{388429A9-C1D2-4EE1-BB12-A7C9C48AA9F0}" name="23" dataDxfId="239"/>
    <tableColumn id="19" xr3:uid="{6D1522B5-D820-4F42-ADD5-A6062E68E06A}" name="24" dataDxfId="238"/>
    <tableColumn id="20" xr3:uid="{A78EF6CB-6A5A-488F-8EC5-34C0267191BD}" name="25" dataDxfId="237"/>
    <tableColumn id="21" xr3:uid="{0817989E-B5E4-435D-99FF-C9E1A1D429CD}" name="26" dataDxfId="236"/>
    <tableColumn id="22" xr3:uid="{5AE7BF00-6E17-4434-AFC3-A082971963E9}" name="27" dataDxfId="235"/>
    <tableColumn id="23" xr3:uid="{AC4528BB-516C-4650-8587-2267B9400C8D}" name="28" dataDxfId="234"/>
    <tableColumn id="24" xr3:uid="{AB7921F2-B36A-4ABC-9DBC-BB0EC20ACC62}" name="29" dataDxfId="233"/>
    <tableColumn id="25" xr3:uid="{5D1446EA-3DB7-4807-AE25-EB2149040D6D}" name="30" dataDxfId="232"/>
    <tableColumn id="26" xr3:uid="{B5F2A170-57DC-49D6-9752-24386332D295}" name="31" dataDxfId="231"/>
    <tableColumn id="27" xr3:uid="{D1831881-0F77-44D4-82FA-57779D5E74BA}" name="CARTERA ASESOR" dataDxfId="230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229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228"/>
    <tableColumn id="2" xr3:uid="{C1D8B208-A530-42D3-A6B3-202247844AC6}" name="ASESOR_CRR" dataDxfId="227"/>
    <tableColumn id="5" xr3:uid="{0E2E2A96-2FDE-425E-A454-24F26F26F817}" name="META" dataDxfId="226">
      <calculatedColumnFormula>VLOOKUP(D1_DICIEMBRE_2025[[#This Row],[SUPER]],DATA_DICIEMBRE_2025[[SUPERVISOR]:[META]],3,0)</calculatedColumnFormula>
    </tableColumn>
    <tableColumn id="6" xr3:uid="{99265ED5-3CFF-4A20-97B4-3560EE99C717}" name="ALCANCE" dataDxfId="225">
      <calculatedColumnFormula>D1_DICIEMBRE_2025[[#This Row],[RECUPERO]]/D1_DICIEMBRE_2025[[#This Row],[META]]</calculatedColumnFormula>
    </tableColumn>
    <tableColumn id="7" xr3:uid="{374D40BE-0CEA-496A-A350-4762CACC979E}" name="SUPER2" dataDxfId="224"/>
    <tableColumn id="3" xr3:uid="{CE2FC99C-C2FA-4CF8-B4D5-38DB34F6C4C0}" name="ASESOR"/>
    <tableColumn id="4" xr3:uid="{1034AC9B-8A72-4332-A474-8471A1B8C391}" name="RECUPERO" dataDxfId="223"/>
    <tableColumn id="8" xr3:uid="{51D1D4C9-F574-4F9F-BB5F-619CFC8367F6}" name="DNI" dataDxfId="222"/>
    <tableColumn id="9" xr3:uid="{1F94989E-BD68-4711-BF6F-AABBC6D00AD3}" name="FECHA DE INICIO" dataDxfId="221"/>
    <tableColumn id="10" xr3:uid="{26BBC886-44C6-4729-85D8-0B926A843BA1}" name="ESTADO" dataDxfId="220"/>
    <tableColumn id="11" xr3:uid="{B8649A5B-760E-4178-AFFE-25BA3537578F}" name="SEGMENTO" dataDxfId="219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218" dataDxfId="216" headerRowBorderDxfId="217" tableBorderDxfId="215" totalsRowBorderDxfId="214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213"/>
    <tableColumn id="3" xr3:uid="{DED03312-7BDA-4CEA-9273-AA5DB2237A5F}" name="RECUPERO SUPERVISOR" dataDxfId="212">
      <calculatedColumnFormula>MAX(DITE_DICIEMBRE_2025[[#This Row],[1]:[31]])</calculatedColumnFormula>
    </tableColumn>
    <tableColumn id="4" xr3:uid="{5A956735-F760-4B1F-B874-402D928B71EA}" name="ALCANCE SUPERVISOR" dataDxfId="211">
      <calculatedColumnFormula>DITE_DICIEMBRE_2025[[#This Row],[RECUPERO SUPERVISOR]]/AZ9</calculatedColumnFormula>
    </tableColumn>
    <tableColumn id="1" xr3:uid="{ED2A948C-9442-4C47-9BE9-277A3D6239D3}" name="SUPER" dataDxfId="210"/>
    <tableColumn id="6" xr3:uid="{6E784300-7704-4F45-8E90-F7C2D4F71F66}" name="1" dataDxfId="209"/>
    <tableColumn id="7" xr3:uid="{EA789C05-CA47-4D66-B493-7D6222022389}" name="2" dataDxfId="208"/>
    <tableColumn id="36" xr3:uid="{E83A454A-CB07-409E-B2F9-FEFD108C0456}" name="3" dataDxfId="207"/>
    <tableColumn id="8" xr3:uid="{4ACB3C1D-600B-4503-9368-987BC1B3B0EA}" name="4" dataDxfId="206"/>
    <tableColumn id="9" xr3:uid="{B5C8B277-5A83-47A1-95FD-A620D749E785}" name="5" dataDxfId="205"/>
    <tableColumn id="10" xr3:uid="{FB101921-E892-41E0-B8B7-4141F51A83BB}" name="6" dataDxfId="204"/>
    <tableColumn id="11" xr3:uid="{C777EEA2-F048-439C-9EA1-0C4C731AA6E9}" name="7" dataDxfId="203"/>
    <tableColumn id="12" xr3:uid="{7AA80CD7-0570-4507-8C49-9CF331F01C83}" name="8" dataDxfId="202"/>
    <tableColumn id="13" xr3:uid="{F115F6D4-E69D-46D7-AD4B-F13AFDF74268}" name="9" dataDxfId="201"/>
    <tableColumn id="14" xr3:uid="{393E1035-13E1-4131-B853-53B4CA536CF0}" name="10" dataDxfId="200"/>
    <tableColumn id="15" xr3:uid="{7FF1CB48-1402-460C-BDDE-C67F81F66807}" name="11" dataDxfId="199"/>
    <tableColumn id="32" xr3:uid="{8F13018F-0746-40A8-8063-7F1351A273EA}" name="12" dataDxfId="198"/>
    <tableColumn id="33" xr3:uid="{5FD9BED8-7FEA-4B06-9B27-A0BFD046EB49}" name="13" dataDxfId="197"/>
    <tableColumn id="35" xr3:uid="{8D88E3F7-E581-49D0-B55A-812661F85CB6}" name="14" dataDxfId="196"/>
    <tableColumn id="34" xr3:uid="{98E6CACB-4217-4732-B54A-899D22A2EAF6}" name="15" dataDxfId="195"/>
    <tableColumn id="29" xr3:uid="{7C19F65B-AFA4-4BDB-849B-78B44514C8F1}" name="16" dataDxfId="194"/>
    <tableColumn id="30" xr3:uid="{5B8DAC84-4B56-4ED2-BCA8-C8513518494E}" name="17" dataDxfId="193"/>
    <tableColumn id="31" xr3:uid="{6135134A-5BCC-4221-AD87-B5C8D80AB6D3}" name="18" dataDxfId="192"/>
    <tableColumn id="26" xr3:uid="{2569A07A-57D5-45E4-94CF-9442436AFDAE}" name="19" dataDxfId="191"/>
    <tableColumn id="27" xr3:uid="{828CBD1E-742A-4B46-99B1-A5B0163441D5}" name="20" dataDxfId="190"/>
    <tableColumn id="28" xr3:uid="{773F208D-F15B-4823-A2FA-144A370D1B7A}" name="21" dataDxfId="189"/>
    <tableColumn id="16" xr3:uid="{419173FA-3C44-4167-9CA2-3C07CF180C9B}" name="22" dataDxfId="188"/>
    <tableColumn id="17" xr3:uid="{A8A10E2B-AFD7-46D0-8149-9A05D1EC2C03}" name="23" dataDxfId="187"/>
    <tableColumn id="18" xr3:uid="{CF29209E-568F-4788-AE4E-864CF179A3F5}" name="24" dataDxfId="186"/>
    <tableColumn id="19" xr3:uid="{C33D5154-B635-4235-8170-2F374C119543}" name="25" dataDxfId="185"/>
    <tableColumn id="20" xr3:uid="{70E870EC-47B5-4461-AC8F-7662212D49E0}" name="26" dataDxfId="184"/>
    <tableColumn id="21" xr3:uid="{2215DAF3-2DFC-47A4-940A-DC348054A7EB}" name="27" dataDxfId="183"/>
    <tableColumn id="22" xr3:uid="{BE707551-BD9D-4E46-9F38-1BF8DA272627}" name="28" dataDxfId="182"/>
    <tableColumn id="23" xr3:uid="{BA6108F0-3F12-4B54-8E19-7FF232FA9893}" name="29" dataDxfId="181"/>
    <tableColumn id="24" xr3:uid="{B18366FB-64C7-4779-8DB9-91A30E111223}" name="30" dataDxfId="180"/>
    <tableColumn id="25" xr3:uid="{8BD30A4B-DE19-4C3A-8A9E-7FFE10B8C56B}" name="31" dataDxfId="179"/>
    <tableColumn id="5" xr3:uid="{1A8ADD20-D8A3-4981-B322-7C16CBD19ABB}" name="CARTERA" dataDxfId="178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177"/>
    <tableColumn id="2" xr3:uid="{09FFA9EA-077A-4B1E-BBB0-BEFE3719755F}" name="ASESOR_CRR" dataDxfId="176"/>
    <tableColumn id="3" xr3:uid="{B2B98848-02EC-4CE4-B2C4-CF726670ADA0}" name="META" dataDxfId="175"/>
    <tableColumn id="4" xr3:uid="{843076CD-455D-4677-9B9B-753164881BDC}" name="ALCANCE" dataDxfId="174"/>
    <tableColumn id="5" xr3:uid="{27191708-D634-47D0-B6EF-7903B523F721}" name="SUPER2" dataDxfId="173"/>
    <tableColumn id="6" xr3:uid="{F95ADB27-E512-47F7-962C-D178A524B971}" name="ASESOR"/>
    <tableColumn id="7" xr3:uid="{32C145E4-25CE-4365-A7D9-EB2FB110C794}" name="RECUPERO" dataDxfId="172"/>
    <tableColumn id="8" xr3:uid="{20773954-0FEB-4980-9B49-FA8A9DD97C3C}" name="DNI" dataDxfId="171"/>
    <tableColumn id="9" xr3:uid="{0ACD1DB4-5167-41A6-9528-D0663730532D}" name="FECHA DE INICIO" dataDxfId="170"/>
    <tableColumn id="10" xr3:uid="{4C5570D8-15F0-4535-849A-56408975F639}" name="ESTADO" dataDxfId="169"/>
    <tableColumn id="11" xr3:uid="{2AF8D525-4A26-4F67-9B32-FE9919E49C0C}" name="SEGMENTO" dataDxfId="168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67" headerRowBorderDxfId="166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65">
      <calculatedColumnFormula>DATA_ENERO_2026[[#This Row],[RECUPERO]]/DATA_ENERO_2026[[#This Row],[META]]</calculatedColumnFormula>
    </tableColumn>
    <tableColumn id="2" xr3:uid="{7E513578-A5D7-4721-8AB2-4CF3CDD2FC39}" name="CLASIFICACIÓN" dataDxfId="164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63"/>
    <tableColumn id="4" xr3:uid="{41268A33-B17E-413A-B074-C6D8798C61CA}" name="RECUPERO" dataDxfId="162">
      <calculatedColumnFormula>SUM(DATA_ENERO_2026[[#This Row],[1]:[31]])</calculatedColumnFormula>
    </tableColumn>
    <tableColumn id="5" xr3:uid="{62F2A8A0-46E7-4D7F-AB57-24AB0CDE4B51}" name="META" dataDxfId="161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60" headerRowBorderDxfId="159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58"/>
    <tableColumn id="2" xr3:uid="{15ACA161-61F0-4530-82A1-17E6DBF20240}" name="RECUPERO SUPERVISOR" dataDxfId="157">
      <calculatedColumnFormula>MAX(DITE_ENERO_2026[[#This Row],[1]:[31]])</calculatedColumnFormula>
    </tableColumn>
    <tableColumn id="3" xr3:uid="{778859E8-B3B0-4937-8B5F-DE4BE24B1DFD}" name="ALCANCE SUPERVISOR" dataDxfId="156">
      <calculatedColumnFormula>DITE_ENERO_2026[[#This Row],[RECUPERO SUPERVISOR]]/DITE_ENERO_2026[[#This Row],[META SUPER]]</calculatedColumnFormula>
    </tableColumn>
    <tableColumn id="4" xr3:uid="{2A98F79A-DD24-4D83-8BA6-82D08E13FF65}" name="SUPER" dataDxfId="155"/>
    <tableColumn id="5" xr3:uid="{3F9C0B21-F246-40F5-B83B-6E1442CF2131}" name="1" dataDxfId="154"/>
    <tableColumn id="6" xr3:uid="{82FC80A9-9A41-42BE-ADC0-0CD59C900786}" name="2" dataDxfId="153"/>
    <tableColumn id="36" xr3:uid="{CA81CA44-827C-45E8-AC06-DC9981750310}" name="3" dataDxfId="152"/>
    <tableColumn id="35" xr3:uid="{4D1DEC94-6331-4F09-BA9E-B7A8C033B218}" name="4" dataDxfId="151"/>
    <tableColumn id="34" xr3:uid="{DB9BA0C3-7EE6-4EF0-BFE4-DFA6138CC954}" name="5" dataDxfId="150"/>
    <tableColumn id="33" xr3:uid="{555EB36D-2BD4-463A-AA30-BC4E2AF59577}" name="6" dataDxfId="149"/>
    <tableColumn id="32" xr3:uid="{CD594F14-E668-4171-B224-2D1EB8F12904}" name="7" dataDxfId="148"/>
    <tableColumn id="31" xr3:uid="{CE1693BC-730F-4221-A5EC-B12B2C08D967}" name="8" dataDxfId="147"/>
    <tableColumn id="30" xr3:uid="{D62E1F60-4782-4F2D-B690-7D11A373BFEE}" name="9" dataDxfId="146"/>
    <tableColumn id="29" xr3:uid="{67AA1F0E-6FD5-4227-8FC3-54350952F274}" name="10" dataDxfId="145"/>
    <tableColumn id="28" xr3:uid="{D4CCC202-871A-430E-A7C4-8C2E1F633660}" name="11" dataDxfId="144"/>
    <tableColumn id="7" xr3:uid="{77D5DF82-95A0-430A-9509-AA047E6F6BB6}" name="12" dataDxfId="143"/>
    <tableColumn id="8" xr3:uid="{45052ACC-BEA6-4143-B55C-D2927C794547}" name="13" dataDxfId="142"/>
    <tableColumn id="9" xr3:uid="{A76A60E2-ABB3-4CA9-876C-F0E146A4EE28}" name="14" dataDxfId="141"/>
    <tableColumn id="10" xr3:uid="{5361F0A7-C153-4400-A683-ADB185B2D1E4}" name="15" dataDxfId="140"/>
    <tableColumn id="11" xr3:uid="{5C1E0CB3-E70D-4999-8E10-8E327EB2D410}" name="16" dataDxfId="139"/>
    <tableColumn id="12" xr3:uid="{4E264E92-011A-4E01-B78E-20B2B900F7FB}" name="17" dataDxfId="138"/>
    <tableColumn id="13" xr3:uid="{4DE23C2E-4F9B-4579-9BCE-93EAD290F9A8}" name="18" dataDxfId="137"/>
    <tableColumn id="14" xr3:uid="{ADE81A92-9983-4367-83CB-C4FA26CF8415}" name="19" dataDxfId="136"/>
    <tableColumn id="15" xr3:uid="{28467DBF-6C6B-430A-98CA-67317F73CD23}" name="20" dataDxfId="135"/>
    <tableColumn id="16" xr3:uid="{19E54854-D1FF-45D4-94D2-82215DE354F0}" name="21" dataDxfId="134"/>
    <tableColumn id="17" xr3:uid="{1F67BAFC-1AE0-4A70-9864-2C684E0743C1}" name="22" dataDxfId="133"/>
    <tableColumn id="18" xr3:uid="{4887B78E-B1D4-490D-BDE4-66011785EB0B}" name="23" dataDxfId="132"/>
    <tableColumn id="19" xr3:uid="{A4E77FFD-C128-4F89-ACB7-5A19C9AC8068}" name="24" dataDxfId="131"/>
    <tableColumn id="20" xr3:uid="{3166AEA9-9CE1-49E0-85A7-B06251784AF0}" name="25" dataDxfId="130"/>
    <tableColumn id="21" xr3:uid="{D0F8CB31-F152-441F-95C0-C8F116F8FBD4}" name="26" dataDxfId="129"/>
    <tableColumn id="22" xr3:uid="{F8CD3E26-00FA-4CB1-AB01-D0E528D7E8B4}" name="27" dataDxfId="128"/>
    <tableColumn id="23" xr3:uid="{19608BA9-8EEF-49C7-B4A7-B9B3571F8643}" name="28" dataDxfId="127"/>
    <tableColumn id="24" xr3:uid="{FAD90248-66B1-421C-B230-68841EB2A0B9}" name="29" dataDxfId="126"/>
    <tableColumn id="25" xr3:uid="{9307F5B0-B35B-4416-BE7C-74E539966F44}" name="30" dataDxfId="125"/>
    <tableColumn id="26" xr3:uid="{0FA7DA7F-AD3E-4DD3-B407-DD15600893BE}" name="31" dataDxfId="124"/>
    <tableColumn id="27" xr3:uid="{CAD2B4E3-016B-42FA-AD88-18A28731A184}" name="CARTERA" dataDxfId="123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122" tableBorderDxfId="121">
  <autoFilter ref="M8:AX59" xr:uid="{D9CF28BD-D91E-4BE6-BD3B-BCADCA049C93}"/>
  <tableColumns count="38">
    <tableColumn id="5" xr3:uid="{A121E4E8-FA4D-47D4-9A77-06F28AAE4E54}" name="AL_AC" dataDxfId="120">
      <calculatedColumnFormula>DATA_FEBRERO_2026[[#This Row],[RECUPERO]]/DATA_FEBRERO_2026[[#This Row],[META]]</calculatedColumnFormula>
    </tableColumn>
    <tableColumn id="2" xr3:uid="{34ED75F7-6C69-4661-9178-0FEC57ED1324}" name="CLASIFICACIÓN" dataDxfId="119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118">
      <calculatedColumnFormula>IFERROR(VLOOKUP(DATA_FEBRERO_2026[[#This Row],[ASER_]],$B:$G,4,0),"")</calculatedColumnFormula>
    </tableColumn>
    <tableColumn id="1" xr3:uid="{9BC79FD6-44BC-4708-987B-14B90F71C5E5}" name="RECUPERO" dataDxfId="117">
      <calculatedColumnFormula>SUM(DATA_FEBRERO_2026[[#This Row],[1]:[31]])</calculatedColumnFormula>
    </tableColumn>
    <tableColumn id="6" xr3:uid="{018AE36B-77F5-47D3-A72E-855E3B4EA24D}" name="META" dataDxfId="116">
      <calculatedColumnFormula>VLOOKUP(DATA_FEBRERO_2026[[#This Row],[ASER_]],D1_FEBRERO_2026[[ASESOR_CRR]:[META]],2,0)</calculatedColumnFormula>
    </tableColumn>
    <tableColumn id="7" xr3:uid="{D07B538A-1223-4282-911D-0D8C6D33F252}" name="ASER_" dataDxfId="115"/>
    <tableColumn id="4" xr3:uid="{978EBDF4-AB0F-45EB-8F17-7A1040F8BBBE}" name="1" dataDxfId="114"/>
    <tableColumn id="8" xr3:uid="{1276421E-A9BD-4193-946B-2B02A7972B4A}" name="2" dataDxfId="113"/>
    <tableColumn id="9" xr3:uid="{31AFF576-CA16-4044-A433-CF00527C2D07}" name="3" dataDxfId="112"/>
    <tableColumn id="10" xr3:uid="{E8F5F7F4-A4CF-4AAC-A43C-A3FCD8C1BC19}" name="4" dataDxfId="111"/>
    <tableColumn id="11" xr3:uid="{188BA638-2000-41D9-B5E6-9165523ED42D}" name="5" dataDxfId="110"/>
    <tableColumn id="12" xr3:uid="{C225C63B-52FC-44AB-96F6-9151E73D6699}" name="6" dataDxfId="109"/>
    <tableColumn id="13" xr3:uid="{67E1F5CE-2C28-4FA3-9034-A737F1B2D7A4}" name="7" dataDxfId="108"/>
    <tableColumn id="14" xr3:uid="{BF6E4C42-64F4-4C86-87D7-0EB0DF723F0A}" name="8" dataDxfId="107"/>
    <tableColumn id="15" xr3:uid="{77DEB661-03C1-4274-9B6F-379D81B3710E}" name="9" dataDxfId="106"/>
    <tableColumn id="35" xr3:uid="{A13630BC-1BB6-4707-83E3-E2A6FD2FAFF3}" name="10" dataDxfId="105"/>
    <tableColumn id="36" xr3:uid="{5B83E5AF-B52C-4B3F-9B8E-974AD7242CB6}" name="11" dataDxfId="104"/>
    <tableColumn id="38" xr3:uid="{EFCD2EF3-DC69-46DB-8A4C-D03EFA19868F}" name="12" dataDxfId="103"/>
    <tableColumn id="37" xr3:uid="{283914E6-F846-42D8-BFA5-7E5CF71F8E39}" name="13" dataDxfId="102"/>
    <tableColumn id="32" xr3:uid="{506D1094-3E71-477B-9E3B-FD71CD452A13}" name="14" dataDxfId="101"/>
    <tableColumn id="33" xr3:uid="{51A0C186-4F1F-4B6E-A04E-6DA5B01E5817}" name="15" dataDxfId="100"/>
    <tableColumn id="34" xr3:uid="{83A09A26-D26C-4BF1-9870-7E24692CCAB5}" name="16" dataDxfId="99"/>
    <tableColumn id="26" xr3:uid="{F0CECF60-FD0C-487B-964E-F3D195A081A6}" name="17" dataDxfId="98"/>
    <tableColumn id="30" xr3:uid="{87E5481D-2747-411F-8715-2B1A58E5072E}" name="18" dataDxfId="97"/>
    <tableColumn id="31" xr3:uid="{56B820E5-7529-456B-BFFB-66FC13160FC7}" name="19" dataDxfId="96"/>
    <tableColumn id="16" xr3:uid="{943E3451-A77C-49F4-A8CD-FB3A234BB921}" name="20" dataDxfId="95"/>
    <tableColumn id="17" xr3:uid="{08A06D07-4057-4995-AD95-02726747926A}" name="21" dataDxfId="94"/>
    <tableColumn id="18" xr3:uid="{3CA4B4CF-845B-4625-A447-E9930B6C4C90}" name="22" dataDxfId="93"/>
    <tableColumn id="19" xr3:uid="{E2FCBDE7-CAF6-4719-A2E2-E3DFA5938EA9}" name="23" dataDxfId="92"/>
    <tableColumn id="20" xr3:uid="{8D68A4E9-C605-423B-B28C-8947CEDED2E3}" name="24" dataDxfId="91"/>
    <tableColumn id="21" xr3:uid="{E2A95743-C4CF-4116-BC14-7F1E8AF5B934}" name="25" dataDxfId="90"/>
    <tableColumn id="22" xr3:uid="{D4E75B42-4A90-4E6B-91F6-47924749D8CD}" name="26" dataDxfId="89"/>
    <tableColumn id="23" xr3:uid="{24EC0407-9580-4B34-8870-6246EA8347AA}" name="27" dataDxfId="88"/>
    <tableColumn id="24" xr3:uid="{9A472190-4164-4FC7-BF8C-D0120ACA1D92}" name="28" dataDxfId="87"/>
    <tableColumn id="25" xr3:uid="{67A0A5BC-662A-45DE-932F-9EB3EAF965DB}" name="29" dataDxfId="86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85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84">
  <autoFilter ref="A2:K58" xr:uid="{09401265-E178-4F26-958C-8E013ABD7F63}"/>
  <tableColumns count="11">
    <tableColumn id="1" xr3:uid="{FF4304D3-C1B3-4117-B1D1-7473C26439FA}" name="SUPER" dataDxfId="83">
      <calculatedColumnFormula>D1_FEBRERO_2026[[#This Row],[SUPER2]]</calculatedColumnFormula>
    </tableColumn>
    <tableColumn id="2" xr3:uid="{67ED5510-50EF-4F29-9E94-9FBEBF9785CA}" name="ASESOR_CRR" dataDxfId="82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81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80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79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78"/>
    <tableColumn id="11" xr3:uid="{43FBB121-21C6-4560-8A31-396504B80F85}" name="DNI" dataDxfId="77"/>
    <tableColumn id="12" xr3:uid="{050FC1E9-9233-41A1-8E92-B7BA6485722C}" name="FECHA DE INICIO" dataDxfId="76"/>
    <tableColumn id="8" xr3:uid="{5BBA9A50-BA4F-49CE-B7C8-1095BCBFEC60}" name="ESTADO" dataDxfId="75"/>
    <tableColumn id="9" xr3:uid="{898E5137-590F-493E-82A2-9DB1422BE516}" name="SEGMENTO" dataDxfId="74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73" dataDxfId="71" headerRowBorderDxfId="72" tableBorderDxfId="70" totalsRowBorderDxfId="69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68">
      <calculatedColumnFormula>VLOOKUP($M$3&amp;$N$3&amp;DITE_FEBRERO_2026[[#This Row],[SUPER]],TablaMeta[],5,0)</calculatedColumnFormula>
    </tableColumn>
    <tableColumn id="3" xr3:uid="{6B6BAC5B-8599-4731-A182-2C4F7DEEFEAE}" name="RECUPERO SUPERVISOR" dataDxfId="67">
      <calculatedColumnFormula>MAX(DITE_FEBRERO_2026[[#This Row],[SUPER]:[CARTERA]])</calculatedColumnFormula>
    </tableColumn>
    <tableColumn id="4" xr3:uid="{4933F2AB-4AE8-41EB-9B81-DB478EB8720C}" name="ALCANCE SUPERVISOR" dataDxfId="66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65"/>
    <tableColumn id="6" xr3:uid="{1385D33D-7CDB-4253-9C4B-559ACF4D4DAA}" name="1" dataDxfId="64"/>
    <tableColumn id="7" xr3:uid="{51AE8FE4-77E7-44A5-9C70-47F9BABA0830}" name="2" dataDxfId="63"/>
    <tableColumn id="27" xr3:uid="{1D246E4C-3547-4D3F-8436-3907FD9391BF}" name="3" dataDxfId="62"/>
    <tableColumn id="26" xr3:uid="{ACC21055-7F68-4EBE-A98E-8B2EBA670DAF}" name="4" dataDxfId="61"/>
    <tableColumn id="8" xr3:uid="{0453D1F4-77C1-4D27-8BF6-C892F06D8037}" name="5" dataDxfId="60"/>
    <tableColumn id="9" xr3:uid="{7FE05B03-2694-4042-93D1-1E8A18BEC10D}" name="6" dataDxfId="59"/>
    <tableColumn id="10" xr3:uid="{07F638D2-254F-4B29-9B2B-FA43C127E0CD}" name="7" dataDxfId="58"/>
    <tableColumn id="11" xr3:uid="{F53CCC3D-E418-4E84-9766-30CCCCAEF94C}" name="8" dataDxfId="57"/>
    <tableColumn id="12" xr3:uid="{9789EB55-C896-45E1-8B38-057DF9C6F8FF}" name="9" dataDxfId="56"/>
    <tableColumn id="13" xr3:uid="{2F4E85B1-BA28-448A-A8F3-8873A4197781}" name="10" dataDxfId="55"/>
    <tableColumn id="14" xr3:uid="{E386891B-028C-4934-99EC-39A6D8E87A77}" name="11" dataDxfId="54"/>
    <tableColumn id="15" xr3:uid="{3F90131C-5E3B-4375-AAC9-BE39D3073700}" name="12" dataDxfId="53"/>
    <tableColumn id="16" xr3:uid="{176424CB-4A73-4E0A-BAEC-1B002E427751}" name="13" dataDxfId="52"/>
    <tableColumn id="17" xr3:uid="{20013F01-EA55-4DBF-93AD-78228648A78B}" name="14" dataDxfId="51"/>
    <tableColumn id="18" xr3:uid="{A3E1B7CD-FD3B-4A3B-BA09-FB0B2522F474}" name="15" dataDxfId="50"/>
    <tableColumn id="19" xr3:uid="{25BB1268-DEAB-4394-AB3D-5028E517E118}" name="16" dataDxfId="49"/>
    <tableColumn id="20" xr3:uid="{1E99825A-7369-447C-81C1-6F57CF76B414}" name="17" dataDxfId="48"/>
    <tableColumn id="21" xr3:uid="{A76460CB-F28F-4034-BFB5-822E2F8ACDEE}" name="18" dataDxfId="47"/>
    <tableColumn id="22" xr3:uid="{45579674-F34E-4238-9155-A84E93C0EEDC}" name="19" dataDxfId="46"/>
    <tableColumn id="23" xr3:uid="{4A9727A5-6162-4A6C-980C-9485FB632B2C}" name="20" dataDxfId="45"/>
    <tableColumn id="24" xr3:uid="{839F012E-3965-47C4-A48B-B6ACC97A3F38}" name="21" dataDxfId="44"/>
    <tableColumn id="36" xr3:uid="{1C64A10A-7FC4-4258-A62B-43B06212544A}" name="22" dataDxfId="43"/>
    <tableColumn id="35" xr3:uid="{FFBDF276-626A-447A-A0F4-E7E78EDC17B4}" name="23" dataDxfId="42"/>
    <tableColumn id="34" xr3:uid="{7E693F8F-B376-48A1-9691-2B1EFFEC77E7}" name="24" dataDxfId="41"/>
    <tableColumn id="33" xr3:uid="{BBD3ABB0-0FEA-4DF0-B0B7-E417E6BF40E1}" name="25" dataDxfId="40"/>
    <tableColumn id="32" xr3:uid="{6F3706DA-AAB4-46A8-B7AB-36C461B04704}" name="26" dataDxfId="39"/>
    <tableColumn id="31" xr3:uid="{8771DA1E-DC48-4640-98D0-9BF514ABF088}" name="27" dataDxfId="38"/>
    <tableColumn id="30" xr3:uid="{F6F48FE7-4B31-45F6-9C90-C56A1AFDE462}" name="28" dataDxfId="37"/>
    <tableColumn id="29" xr3:uid="{7BDABDE2-32A4-4ABF-AF09-62502F6B7D68}" name="29" dataDxfId="36"/>
    <tableColumn id="28" xr3:uid="{552C8688-2A69-47D3-AFF3-7B94E4A5A563}" name="30" dataDxfId="35"/>
    <tableColumn id="25" xr3:uid="{7D18929B-B74F-4405-83F4-DF4F5C13E3E8}" name="31" dataDxfId="34"/>
    <tableColumn id="5" xr3:uid="{AE5733E5-56DE-4157-A3B4-7F889627B2A1}" name="CARTERA" dataDxfId="33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O61" totalsRowShown="0" headerRowBorderDxfId="1085" tableBorderDxfId="1084">
  <autoFilter ref="M8:AO61" xr:uid="{C43AC382-896C-48E3-967E-003D8C3BB4E1}"/>
  <tableColumns count="29">
    <tableColumn id="5" xr3:uid="{3070F4BF-8DA0-42C9-A329-60BF3937C6CD}" name="AL_AC" dataDxfId="1083">
      <calculatedColumnFormula>DATA_MARZO_2026[[#This Row],[RECUPERO]]/DATA_MARZO_2026[[#This Row],[META]]</calculatedColumnFormula>
    </tableColumn>
    <tableColumn id="2" xr3:uid="{6F4F1AB6-BBA7-498F-8826-77193C5F7DE1}" name="CLASIFICACIÓN" dataDxfId="1082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81">
      <calculatedColumnFormula>IFERROR(VLOOKUP(DATA_MARZO_2026[[#This Row],[ASER_]],$B:$G,4,0),"")</calculatedColumnFormula>
    </tableColumn>
    <tableColumn id="1" xr3:uid="{9CEE94D1-F610-44F2-BECC-051BA76BFF42}" name="RECUPERO" dataDxfId="1080">
      <calculatedColumnFormula>VLOOKUP(DATA_MARZO_2026[[#This Row],[ASER_]],D1_MARZO_2026[[ASESOR_CRR]:[RECUPERO]],6,0)</calculatedColumnFormula>
    </tableColumn>
    <tableColumn id="6" xr3:uid="{3562AB11-2CE4-4155-B81B-115DFB69AAAB}" name="META" dataDxfId="1079">
      <calculatedColumnFormula>VLOOKUP(DATA_MARZO_2026[[#This Row],[ASER_]],D1_MARZO_2026[[ASESOR_CRR]:[META]],2,0)</calculatedColumnFormula>
    </tableColumn>
    <tableColumn id="7" xr3:uid="{AC7A2592-ACAD-4ED6-8351-E4B65FF33302}" name="ASER_" dataDxfId="1078"/>
    <tableColumn id="4" xr3:uid="{DA0D3C8E-070D-4088-AECD-5F2EBC6508EA}" name="2" dataDxfId="1077"/>
    <tableColumn id="8" xr3:uid="{D7FBF1F2-5A46-485F-925D-86EC9088EE46}" name="3" dataDxfId="1076"/>
    <tableColumn id="9" xr3:uid="{98D48677-E650-4067-8686-1CC9080B6D71}" name="4" dataDxfId="1075"/>
    <tableColumn id="10" xr3:uid="{A974A4A9-21AF-43B2-9C93-C6F103E8C411}" name="5" dataDxfId="1074"/>
    <tableColumn id="11" xr3:uid="{D058D028-4AAB-47B9-A7D3-876CEDD146AA}" name="6" dataDxfId="1073"/>
    <tableColumn id="12" xr3:uid="{307618CA-E43D-42A3-8C03-88388003A5BF}" name="9" dataDxfId="1072"/>
    <tableColumn id="13" xr3:uid="{65D16E27-3C15-4385-9A4F-B28821EF4DF6}" name="10" dataDxfId="1071"/>
    <tableColumn id="14" xr3:uid="{5A29EA5C-756B-4F6D-B764-BBEF2AB98C7D}" name="11" dataDxfId="1070"/>
    <tableColumn id="15" xr3:uid="{3B9CE493-BFF8-40F7-8EBA-E6D80D76579A}" name="12" dataDxfId="1069"/>
    <tableColumn id="35" xr3:uid="{937A2A56-212E-4F5D-82A6-A611A736B874}" name="13" dataDxfId="1068"/>
    <tableColumn id="36" xr3:uid="{BDD4E521-FEB6-4C6D-A99C-4DEF1151ECB2}" name="16" dataDxfId="1067"/>
    <tableColumn id="38" xr3:uid="{8A3F13C2-2724-40B9-B643-549845061201}" name="17" dataDxfId="1066"/>
    <tableColumn id="37" xr3:uid="{1B44AA59-76C8-45D9-8D04-DE465519029A}" name="18" dataDxfId="1065"/>
    <tableColumn id="32" xr3:uid="{671123B0-2D4B-4251-A9E4-5E6081CC9B0D}" name="19" dataDxfId="1064"/>
    <tableColumn id="33" xr3:uid="{60129480-1A31-44E0-9812-1991A66734F8}" name="20" dataDxfId="1063"/>
    <tableColumn id="34" xr3:uid="{FDFC525F-FDF7-4915-B1C4-C85C973F5DA2}" name="23" dataDxfId="1062"/>
    <tableColumn id="26" xr3:uid="{B6EB21BB-98AE-4702-A51D-97935B8D2065}" name="24" dataDxfId="1061"/>
    <tableColumn id="30" xr3:uid="{60395B11-6EC8-498F-AE14-A906778E013B}" name="25" dataDxfId="1060"/>
    <tableColumn id="31" xr3:uid="{D6095057-15EB-4616-A6CE-8131684C14BF}" name="26" dataDxfId="1059"/>
    <tableColumn id="16" xr3:uid="{AEBDE2A8-76B9-42D9-9059-4EA0D9C9EF1E}" name="27" dataDxfId="1058"/>
    <tableColumn id="17" xr3:uid="{0874DB56-268A-4369-AFDE-AC61ECA55C23}" name="30" dataDxfId="1057"/>
    <tableColumn id="18" xr3:uid="{E7197C37-94F8-4DE8-B898-F87CE13A355A}" name="31" dataDxfId="1056"/>
    <tableColumn id="29" xr3:uid="{D20EC82C-02AB-47E1-8B4F-0454088553EB}" name="CARTERA ASESOR" dataDxfId="1055">
      <calculatedColumnFormula>VLOOKUP($M$3&amp;$N$3&amp;DATA_MARZO_2026[[#This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K59" totalsRowShown="0" headerRowDxfId="1054">
  <autoFilter ref="A2:K59" xr:uid="{AB1967BC-98FE-49B9-B96E-7F91454A75DF}"/>
  <tableColumns count="11">
    <tableColumn id="1" xr3:uid="{E8C9BFA3-A821-4545-B3F0-1D85338E10F0}" name="SUPER" dataDxfId="1053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052">
      <calculatedColumnFormula array="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calculatedColumnFormula>
    </tableColumn>
    <tableColumn id="5" xr3:uid="{7C7088C3-8DB2-45AA-8DFC-FF615EA517B7}" name="META" dataDxfId="1051">
      <calculatedColumnFormula array="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calculatedColumnFormula>
    </tableColumn>
    <tableColumn id="6" xr3:uid="{504193EF-8C81-4E3C-85B4-7DDC31010511}" name="ALCANCE" dataDxfId="1050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1049">
      <calculatedColumnFormula>D1_MARZO_2026[[#This Row],[SUPER]]</calculatedColumnFormula>
    </tableColumn>
    <tableColumn id="3" xr3:uid="{F1B64A76-95A5-4F5B-B635-6563315B9D26}" name="ASESOR"/>
    <tableColumn id="4" xr3:uid="{5F21D798-6962-4BF2-AAD7-57B722912C07}" name="RECUPERO" dataDxfId="1048"/>
    <tableColumn id="11" xr3:uid="{F601E667-9F29-4288-9F5A-767AD7CB84C9}" name="DNI" dataDxfId="1047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046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045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044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Q8:BQ13" totalsRowShown="0" headerRowDxfId="1043" dataDxfId="1041" headerRowBorderDxfId="1042" tableBorderDxfId="1040" totalsRowBorderDxfId="1039">
  <autoFilter ref="AQ8:BQ13" xr:uid="{D9D89D51-DAB1-406D-9BCC-FA9DDE7F1EF0}"/>
  <sortState xmlns:xlrd2="http://schemas.microsoft.com/office/spreadsheetml/2017/richdata2" ref="AQ9:BQ13">
    <sortCondition descending="1" ref="AT8:AT13"/>
  </sortState>
  <tableColumns count="27">
    <tableColumn id="2" xr3:uid="{08060355-86C1-47A6-9DB1-6B46E3007B8A}" name="META SUPER" dataDxfId="1038">
      <calculatedColumnFormula>VLOOKUP($M$3&amp;$N$3&amp;DITE_MARZO_2026[[#This Row],[SUPER]],TablaMeta[],5,0)</calculatedColumnFormula>
    </tableColumn>
    <tableColumn id="3" xr3:uid="{FDF7E5B8-6E43-422A-BFC9-1CCD7EE7F4E8}" name="RECUPERO SUPERVISOR" dataDxfId="1037">
      <calculatedColumnFormula>MAX(DITE_MARZO_2026[[#This Row],[SUPER]:[CARTERA]])</calculatedColumnFormula>
    </tableColumn>
    <tableColumn id="4" xr3:uid="{F9F9E33D-CF47-4A7B-B383-5185C72E6DBF}" name="ALCANCE SUPERVISOR" dataDxfId="1036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1035"/>
    <tableColumn id="6" xr3:uid="{C6BD95E9-37E9-4C3B-8FAC-71C063D3CCCF}" name="2" dataDxfId="1034"/>
    <tableColumn id="7" xr3:uid="{154D80CB-9358-4F70-B790-869141CEED69}" name="3" dataDxfId="1033"/>
    <tableColumn id="27" xr3:uid="{B1E200F5-8C17-45BD-9A07-4B3CFCF2F55B}" name="4" dataDxfId="1032"/>
    <tableColumn id="26" xr3:uid="{C4A34376-F48F-4D30-891F-680F0DC972B5}" name="5" dataDxfId="1031"/>
    <tableColumn id="8" xr3:uid="{B8634A52-4E10-47C7-A2E2-7268D75FF3B1}" name="6" dataDxfId="1030"/>
    <tableColumn id="9" xr3:uid="{50F52F97-2FFF-429B-8205-9821B5E2DDA3}" name="9" dataDxfId="1029"/>
    <tableColumn id="10" xr3:uid="{6CA0D076-C021-4ECD-9708-296693BD3D20}" name="10" dataDxfId="1028"/>
    <tableColumn id="11" xr3:uid="{60AC6543-9932-43CA-8508-68010867604A}" name="11" dataDxfId="1027"/>
    <tableColumn id="12" xr3:uid="{0838B302-CF6C-41FA-9981-2C61DC3D728B}" name="12" dataDxfId="1026"/>
    <tableColumn id="13" xr3:uid="{26042530-89B3-48FD-877D-23191B67C000}" name="13" dataDxfId="1025"/>
    <tableColumn id="14" xr3:uid="{995CAE1C-81F5-4376-9FBF-9057F92CEBA2}" name="16" dataDxfId="1024"/>
    <tableColumn id="15" xr3:uid="{CE078F22-32E6-477A-8610-B39D8802D198}" name="17" dataDxfId="1023"/>
    <tableColumn id="16" xr3:uid="{E61DEB3E-541F-4914-B1D0-C31E52B10974}" name="18" dataDxfId="1022"/>
    <tableColumn id="17" xr3:uid="{EC1E57C1-8228-4A17-A0ED-ACC28C9F0842}" name="19" dataDxfId="1021"/>
    <tableColumn id="18" xr3:uid="{2DA8EC35-62DF-44D7-9B0C-1DA9FD7CFD91}" name="20" dataDxfId="1020"/>
    <tableColumn id="19" xr3:uid="{302180D2-EA42-43C4-9FEA-201681FA861E}" name="23" dataDxfId="1019"/>
    <tableColumn id="20" xr3:uid="{451825B8-387D-40FA-8E98-2EFAE991267E}" name="24" dataDxfId="1018"/>
    <tableColumn id="21" xr3:uid="{026C2977-2F45-419E-AE54-92E82A6FE474}" name="25" dataDxfId="1017"/>
    <tableColumn id="22" xr3:uid="{3BBAF7E2-3A2C-4E90-AE74-EEF9947AB60E}" name="26" dataDxfId="1016"/>
    <tableColumn id="23" xr3:uid="{8879B076-C842-409F-9B19-61F59EF05584}" name="27" dataDxfId="1015"/>
    <tableColumn id="24" xr3:uid="{AF13A28F-47F7-4494-B809-B096327E1B45}" name="30" dataDxfId="1014"/>
    <tableColumn id="36" xr3:uid="{D43F8CE1-A8B1-4D66-A39D-62621FD08D95}" name="31" dataDxfId="1013"/>
    <tableColumn id="5" xr3:uid="{E0FECB44-CCD1-447F-A9BF-090DD9D8B323}" name="CARTERA" dataDxfId="1012">
      <calculatedColumnFormula>VLOOKUP($M$3&amp;$N$3&amp;DITE_MARZO_2026[[#This Row],[SUPER]],TablaMeta[],7,0)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2" tableType="queryTable" totalsRowShown="0">
  <autoFilter ref="A1:G102" xr:uid="{0607F3E9-4FEE-4CE6-B9AE-D177C1FED03F}"/>
  <sortState xmlns:xlrd2="http://schemas.microsoft.com/office/spreadsheetml/2017/richdata2" ref="A2:G102">
    <sortCondition ref="C1:C102"/>
  </sortState>
  <tableColumns count="7">
    <tableColumn id="1" xr3:uid="{DAE8BCEE-6D37-4FD7-ABBF-371E73A498E4}" uniqueName="1" name="alias" queryTableFieldId="1" dataDxfId="32"/>
    <tableColumn id="2" xr3:uid="{4006F32F-EE4A-427A-AF49-74D52FBF6D53}" uniqueName="2" name="PUESTO REAL" queryTableFieldId="10"/>
    <tableColumn id="3" xr3:uid="{E33DD98B-2314-40D0-9DFA-F987324F30A3}" uniqueName="3" name="FEC_NAC" queryTableFieldId="3" dataDxfId="0"/>
    <tableColumn id="4" xr3:uid="{8397B954-43F8-46B6-880D-47B541CAB0B9}" uniqueName="4" name="NOMBRE" queryTableFieldId="4" dataDxfId="31"/>
    <tableColumn id="8" xr3:uid="{C558150D-EEDC-4907-8F09-51F784EDF9BF}" uniqueName="8" name="PUESTO" queryTableFieldId="8" dataDxfId="30"/>
    <tableColumn id="7" xr3:uid="{C74AABE2-4219-45A4-BAE7-8D08B65D7B0D}" uniqueName="7" name="MES" queryTableFieldId="7" dataDxfId="29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8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403" tableType="queryTable" totalsRowShown="0">
  <autoFilter ref="A1:J403" xr:uid="{D00BB622-375D-40B1-BDB9-BF21F38BF1B6}"/>
  <tableColumns count="10">
    <tableColumn id="1" xr3:uid="{74DC8A6E-5A2D-484F-A76B-6E9216604DDA}" uniqueName="1" name="FECHA" queryTableFieldId="1" dataDxfId="27"/>
    <tableColumn id="2" xr3:uid="{4CE5A949-AEFE-46EE-A6C7-63B5F40645ED}" uniqueName="2" name="ASESOR" queryTableFieldId="2" dataDxfId="26"/>
    <tableColumn id="3" xr3:uid="{FC855FAD-67D1-4191-8099-B240DE5A7E19}" uniqueName="3" name="DNI" queryTableFieldId="3"/>
    <tableColumn id="4" xr3:uid="{B28762A1-8785-4BA1-B48A-2105A7540479}" uniqueName="4" name="EQUIPO" queryTableFieldId="4" dataDxfId="25"/>
    <tableColumn id="5" xr3:uid="{4F3B4D22-3444-4707-91B7-A75F49F6498B}" uniqueName="5" name="CONDICION" queryTableFieldId="5" dataDxfId="24"/>
    <tableColumn id="6" xr3:uid="{8D887E6F-5C9F-49FF-A6D9-8DCCAC8D9020}" uniqueName="6" name="TIPO" queryTableFieldId="6" dataDxfId="23"/>
    <tableColumn id="7" xr3:uid="{36632EEE-E592-453A-A97A-3195965F4742}" uniqueName="7" name="FECHA DE INGRESO" queryTableFieldId="7" dataDxfId="2"/>
    <tableColumn id="8" xr3:uid="{D33CB618-ED5B-4D3C-80A3-516C71713539}" uniqueName="8" name="MESES ANTIGÜEDAD" queryTableFieldId="8"/>
    <tableColumn id="9" xr3:uid="{705D9621-0524-4854-8C27-BF2096F130C6}" uniqueName="9" name="SEGMENTO" queryTableFieldId="9" dataDxfId="22"/>
    <tableColumn id="10" xr3:uid="{EA137E28-70F4-408B-9000-9FD7EB104A9B}" uniqueName="10" name="FECHA DE CESE" queryTableFieldId="10" dataDxfId="1"/>
  </tableColumns>
  <tableStyleInfo name="TableStyleLight14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93" totalsRowShown="0" headerRowDxfId="21" headerRowBorderDxfId="20" tableBorderDxfId="19" totalsRowBorderDxfId="18">
  <autoFilter ref="A1:G193" xr:uid="{C41E08BB-0323-438E-BFE0-76BBB5F11D04}"/>
  <tableColumns count="7">
    <tableColumn id="1" xr3:uid="{392AC838-52ED-4D24-AEEF-DBB8AB8874AD}" name="CONCAT" dataDxfId="17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6"/>
    <tableColumn id="2" xr3:uid="{6AF5A16E-DFBE-42B7-BDA1-6E8694A629C3}" name="mes" dataDxfId="15"/>
    <tableColumn id="4" xr3:uid="{10D1F902-532A-4C8C-AB27-C2F522F14EA7}" name="Equipo" dataDxfId="14"/>
    <tableColumn id="5" xr3:uid="{75A35478-8934-432E-843B-D174D5C58C71}" name="Meta_Equipo" dataDxfId="13"/>
    <tableColumn id="6" xr3:uid="{C4DF57EE-8F57-44C8-ABE6-43EEF1F9DA62}" name="Meta_Asesor" dataDxfId="12"/>
    <tableColumn id="3" xr3:uid="{95E3CE54-9C14-4F51-963D-FFEEB667B07A}" name="SEGG" dataDxfId="1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447</v>
      </c>
      <c r="I3" s="56">
        <v>45133</v>
      </c>
      <c r="J3" s="56" t="s">
        <v>518</v>
      </c>
      <c r="K3" s="56"/>
      <c r="L3" s="56"/>
      <c r="M3" s="33">
        <v>2024</v>
      </c>
      <c r="N3" s="33" t="s">
        <v>149</v>
      </c>
      <c r="O3" s="33">
        <v>20</v>
      </c>
    </row>
    <row r="4" spans="1:87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425</v>
      </c>
      <c r="I4" s="56">
        <v>44301</v>
      </c>
      <c r="J4" s="56" t="s">
        <v>518</v>
      </c>
      <c r="K4" s="56"/>
      <c r="L4" s="56"/>
      <c r="N4" s="5"/>
    </row>
    <row r="5" spans="1:87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457</v>
      </c>
      <c r="I5" s="56">
        <v>43035</v>
      </c>
      <c r="J5" s="56" t="s">
        <v>518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438</v>
      </c>
      <c r="I6" s="56">
        <v>45334</v>
      </c>
      <c r="J6" s="56" t="s">
        <v>518</v>
      </c>
      <c r="K6" s="56"/>
      <c r="L6" s="56"/>
      <c r="N6" s="5"/>
    </row>
    <row r="7" spans="1:87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426</v>
      </c>
      <c r="I7" s="56">
        <v>44735</v>
      </c>
      <c r="J7" s="56" t="s">
        <v>518</v>
      </c>
      <c r="K7" s="56"/>
      <c r="L7" s="56"/>
      <c r="M7" s="1"/>
      <c r="N7" s="5"/>
    </row>
    <row r="8" spans="1:87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502</v>
      </c>
      <c r="I8" s="56">
        <v>45399</v>
      </c>
      <c r="J8" s="56" t="s">
        <v>518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550</v>
      </c>
      <c r="T8" s="13" t="s">
        <v>520</v>
      </c>
      <c r="U8" s="13" t="s">
        <v>542</v>
      </c>
      <c r="V8" s="13" t="s">
        <v>546</v>
      </c>
      <c r="W8" s="13" t="s">
        <v>521</v>
      </c>
      <c r="X8" s="13" t="s">
        <v>522</v>
      </c>
      <c r="Y8" s="13" t="s">
        <v>523</v>
      </c>
      <c r="Z8" s="13" t="s">
        <v>524</v>
      </c>
      <c r="AA8" s="13" t="s">
        <v>525</v>
      </c>
      <c r="AB8" s="13" t="s">
        <v>543</v>
      </c>
      <c r="AC8" s="13" t="s">
        <v>547</v>
      </c>
      <c r="AD8" s="13" t="s">
        <v>526</v>
      </c>
      <c r="AE8" s="13" t="s">
        <v>527</v>
      </c>
      <c r="AF8" s="13" t="s">
        <v>528</v>
      </c>
      <c r="AG8" s="13" t="s">
        <v>529</v>
      </c>
      <c r="AH8" s="13" t="s">
        <v>530</v>
      </c>
      <c r="AI8" s="13" t="s">
        <v>544</v>
      </c>
      <c r="AJ8" s="13" t="s">
        <v>548</v>
      </c>
      <c r="AK8" s="13" t="s">
        <v>531</v>
      </c>
      <c r="AL8" s="13" t="s">
        <v>532</v>
      </c>
      <c r="AM8" s="13" t="s">
        <v>533</v>
      </c>
      <c r="AN8" s="13" t="s">
        <v>534</v>
      </c>
      <c r="AO8" s="13" t="s">
        <v>535</v>
      </c>
      <c r="AP8" s="13" t="s">
        <v>545</v>
      </c>
      <c r="AQ8" s="13" t="s">
        <v>549</v>
      </c>
      <c r="AR8" s="13" t="s">
        <v>536</v>
      </c>
      <c r="AS8" s="13" t="s">
        <v>537</v>
      </c>
      <c r="AT8" s="13" t="s">
        <v>538</v>
      </c>
      <c r="AU8" s="13" t="s">
        <v>539</v>
      </c>
      <c r="AV8" s="13" t="s">
        <v>540</v>
      </c>
      <c r="AW8" s="13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550</v>
      </c>
      <c r="BE8" s="19" t="s">
        <v>520</v>
      </c>
      <c r="BF8" s="19" t="s">
        <v>542</v>
      </c>
      <c r="BG8" s="19" t="s">
        <v>546</v>
      </c>
      <c r="BH8" s="19" t="s">
        <v>521</v>
      </c>
      <c r="BI8" s="19" t="s">
        <v>522</v>
      </c>
      <c r="BJ8" s="19" t="s">
        <v>523</v>
      </c>
      <c r="BK8" s="19" t="s">
        <v>524</v>
      </c>
      <c r="BL8" s="19" t="s">
        <v>525</v>
      </c>
      <c r="BM8" s="19" t="s">
        <v>543</v>
      </c>
      <c r="BN8" s="19" t="s">
        <v>547</v>
      </c>
      <c r="BO8" s="19" t="s">
        <v>526</v>
      </c>
      <c r="BP8" s="19" t="s">
        <v>527</v>
      </c>
      <c r="BQ8" s="19" t="s">
        <v>528</v>
      </c>
      <c r="BR8" s="19" t="s">
        <v>529</v>
      </c>
      <c r="BS8" s="19" t="s">
        <v>530</v>
      </c>
      <c r="BT8" s="19" t="s">
        <v>544</v>
      </c>
      <c r="BU8" s="19" t="s">
        <v>548</v>
      </c>
      <c r="BV8" s="19" t="s">
        <v>531</v>
      </c>
      <c r="BW8" s="19" t="s">
        <v>532</v>
      </c>
      <c r="BX8" s="19" t="s">
        <v>533</v>
      </c>
      <c r="BY8" s="19" t="s">
        <v>534</v>
      </c>
      <c r="BZ8" s="19" t="s">
        <v>535</v>
      </c>
      <c r="CA8" s="19" t="s">
        <v>545</v>
      </c>
      <c r="CB8" s="19" t="s">
        <v>549</v>
      </c>
      <c r="CC8" s="19" t="s">
        <v>536</v>
      </c>
      <c r="CD8" s="19" t="s">
        <v>537</v>
      </c>
      <c r="CE8" s="19" t="s">
        <v>538</v>
      </c>
      <c r="CF8" s="19" t="s">
        <v>539</v>
      </c>
      <c r="CG8" s="19" t="s">
        <v>540</v>
      </c>
      <c r="CH8" s="19" t="s">
        <v>541</v>
      </c>
      <c r="CI8" s="18" t="s">
        <v>134</v>
      </c>
    </row>
    <row r="9" spans="1:87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395</v>
      </c>
      <c r="I9" s="56">
        <v>44461</v>
      </c>
      <c r="J9" s="56" t="s">
        <v>518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</row>
    <row r="10" spans="1:87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396</v>
      </c>
      <c r="I10" s="56">
        <v>44811</v>
      </c>
      <c r="J10" s="56" t="s">
        <v>518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</row>
    <row r="11" spans="1:87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397</v>
      </c>
      <c r="I11" s="56">
        <v>44811</v>
      </c>
      <c r="J11" s="56" t="s">
        <v>518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</row>
    <row r="12" spans="1:87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448</v>
      </c>
      <c r="I12" s="56">
        <v>45133</v>
      </c>
      <c r="J12" s="56" t="s">
        <v>518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</row>
    <row r="13" spans="1:87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414</v>
      </c>
      <c r="I13" s="56">
        <v>44357</v>
      </c>
      <c r="J13" s="56" t="s">
        <v>518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</row>
    <row r="14" spans="1:87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415</v>
      </c>
      <c r="I14" s="56">
        <v>44673</v>
      </c>
      <c r="J14" s="56" t="s">
        <v>518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</row>
    <row r="15" spans="1:87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427</v>
      </c>
      <c r="I15" s="56">
        <v>44909</v>
      </c>
      <c r="J15" s="56" t="s">
        <v>518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</row>
    <row r="16" spans="1:87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449</v>
      </c>
      <c r="I16" s="56">
        <v>45285</v>
      </c>
      <c r="J16" s="56" t="s">
        <v>518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440</v>
      </c>
      <c r="I17" s="56">
        <v>45429</v>
      </c>
      <c r="J17" s="56" t="s">
        <v>518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441</v>
      </c>
      <c r="I18" s="56">
        <v>45506</v>
      </c>
      <c r="J18" s="56" t="s">
        <v>518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458</v>
      </c>
      <c r="I19" s="56">
        <v>45299</v>
      </c>
      <c r="J19" s="56" t="s">
        <v>518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450</v>
      </c>
      <c r="I20" s="56">
        <v>45334</v>
      </c>
      <c r="J20" s="56" t="s">
        <v>518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479</v>
      </c>
      <c r="I21" s="56">
        <v>44657</v>
      </c>
      <c r="J21" s="56" t="s">
        <v>518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404</v>
      </c>
      <c r="I22" s="56">
        <v>45334</v>
      </c>
      <c r="J22" s="56" t="s">
        <v>518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405</v>
      </c>
      <c r="I23" s="56">
        <v>44870</v>
      </c>
      <c r="J23" s="56" t="s">
        <v>518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398</v>
      </c>
      <c r="I24" s="56">
        <v>44811</v>
      </c>
      <c r="J24" s="56" t="s">
        <v>518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406</v>
      </c>
      <c r="I25" s="56">
        <v>45530</v>
      </c>
      <c r="J25" s="56" t="s">
        <v>518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399</v>
      </c>
      <c r="I26" s="56">
        <v>45449</v>
      </c>
      <c r="J26" s="56" t="s">
        <v>518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430</v>
      </c>
      <c r="I27" s="56">
        <v>45423</v>
      </c>
      <c r="J27" s="56" t="s">
        <v>518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475</v>
      </c>
      <c r="I28" s="56">
        <v>45721</v>
      </c>
      <c r="J28" s="56" t="s">
        <v>518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431</v>
      </c>
      <c r="I29" s="56">
        <v>45399</v>
      </c>
      <c r="J29" s="56" t="s">
        <v>518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451</v>
      </c>
      <c r="I30" s="56">
        <v>44937</v>
      </c>
      <c r="J30" s="56" t="s">
        <v>518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459</v>
      </c>
      <c r="I31" s="56">
        <v>45590</v>
      </c>
      <c r="J31" s="56" t="s">
        <v>518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452</v>
      </c>
      <c r="I32" s="56">
        <v>42814</v>
      </c>
      <c r="J32" s="56" t="s">
        <v>518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407</v>
      </c>
      <c r="I33" s="56">
        <v>44259</v>
      </c>
      <c r="J33" s="56" t="s">
        <v>518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442</v>
      </c>
      <c r="I34" s="56">
        <v>45082</v>
      </c>
      <c r="J34" s="56" t="s">
        <v>518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400</v>
      </c>
      <c r="I35" s="56">
        <v>45075</v>
      </c>
      <c r="J35" s="56" t="s">
        <v>518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568</v>
      </c>
      <c r="G36" s="3">
        <v>500</v>
      </c>
      <c r="H36" t="s">
        <v>570</v>
      </c>
      <c r="I36" s="56">
        <v>45512</v>
      </c>
      <c r="J36" s="56" t="s">
        <v>518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454</v>
      </c>
      <c r="I37" s="56">
        <v>45021</v>
      </c>
      <c r="J37" s="56" t="s">
        <v>518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443</v>
      </c>
      <c r="I38" s="56">
        <v>45142</v>
      </c>
      <c r="J38" s="56" t="s">
        <v>518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416</v>
      </c>
      <c r="I39" s="56">
        <v>43132</v>
      </c>
      <c r="J39" s="56" t="s">
        <v>518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408</v>
      </c>
      <c r="I40" s="56">
        <v>44748</v>
      </c>
      <c r="J40" s="56" t="s">
        <v>518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409</v>
      </c>
      <c r="I41" s="56">
        <v>44840</v>
      </c>
      <c r="J41" s="56" t="s">
        <v>518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417</v>
      </c>
      <c r="I42" s="56">
        <v>44748</v>
      </c>
      <c r="J42" s="56" t="s">
        <v>518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568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410</v>
      </c>
      <c r="I43" s="56">
        <v>45344</v>
      </c>
      <c r="J43" s="56" t="s">
        <v>518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418</v>
      </c>
      <c r="I44" s="56">
        <v>45523</v>
      </c>
      <c r="J44" s="56" t="s">
        <v>518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455</v>
      </c>
      <c r="I45" s="56">
        <v>44869</v>
      </c>
      <c r="J45" s="56" t="s">
        <v>518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558</v>
      </c>
      <c r="G46" s="3">
        <v>22661</v>
      </c>
      <c r="H46" t="s">
        <v>559</v>
      </c>
      <c r="I46" s="56">
        <v>45131</v>
      </c>
      <c r="J46" s="56" t="s">
        <v>518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461</v>
      </c>
      <c r="I47" s="56">
        <v>44111</v>
      </c>
      <c r="J47" s="56" t="s">
        <v>518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569</v>
      </c>
      <c r="G48" s="3">
        <v>16189</v>
      </c>
      <c r="H48" t="s">
        <v>571</v>
      </c>
      <c r="I48" s="56">
        <v>44830</v>
      </c>
      <c r="J48" s="56" t="s">
        <v>518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419</v>
      </c>
      <c r="I49" s="56">
        <v>45334</v>
      </c>
      <c r="J49" s="56" t="s">
        <v>518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432</v>
      </c>
      <c r="I50" s="56">
        <v>44687</v>
      </c>
      <c r="J50" s="56" t="s">
        <v>518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462</v>
      </c>
      <c r="I51" s="56">
        <v>44820</v>
      </c>
      <c r="J51" s="56" t="s">
        <v>518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433</v>
      </c>
      <c r="I52" s="56">
        <v>44510</v>
      </c>
      <c r="J52" s="56" t="s">
        <v>518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558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401</v>
      </c>
      <c r="I53" s="56">
        <v>44888</v>
      </c>
      <c r="J53" s="56" t="s">
        <v>518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420</v>
      </c>
      <c r="I54" s="56">
        <v>45441</v>
      </c>
      <c r="J54" s="56" t="s">
        <v>518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569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444</v>
      </c>
      <c r="I55" s="56">
        <v>44716</v>
      </c>
      <c r="J55" s="56" t="s">
        <v>518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554</v>
      </c>
      <c r="G56" s="3">
        <v>3930</v>
      </c>
      <c r="H56" t="s">
        <v>556</v>
      </c>
      <c r="I56" s="56">
        <v>44716</v>
      </c>
      <c r="J56" s="56" t="s">
        <v>518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421</v>
      </c>
      <c r="I57" s="56">
        <v>45471</v>
      </c>
      <c r="J57" s="56" t="s">
        <v>518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422</v>
      </c>
      <c r="I58" s="56">
        <v>44941</v>
      </c>
      <c r="J58" s="56" t="s">
        <v>518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402</v>
      </c>
      <c r="I59" s="56">
        <v>45334</v>
      </c>
      <c r="J59" s="56" t="s">
        <v>518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434</v>
      </c>
      <c r="I60" s="56">
        <v>44971</v>
      </c>
      <c r="J60" s="56" t="s">
        <v>518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445</v>
      </c>
      <c r="I61" s="56">
        <v>45371</v>
      </c>
      <c r="J61" s="56" t="s">
        <v>518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411</v>
      </c>
      <c r="I62" s="56">
        <v>44470</v>
      </c>
      <c r="J62" s="56" t="s">
        <v>518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554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463</v>
      </c>
      <c r="I63" s="56">
        <v>45316</v>
      </c>
      <c r="J63" s="56" t="s">
        <v>518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572</v>
      </c>
      <c r="G64" s="3">
        <v>1931</v>
      </c>
      <c r="H64" t="s">
        <v>573</v>
      </c>
      <c r="I64" s="56">
        <v>45454</v>
      </c>
      <c r="J64" s="56" t="s">
        <v>518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561</v>
      </c>
      <c r="G65" s="3">
        <v>300</v>
      </c>
      <c r="H65" t="s">
        <v>564</v>
      </c>
      <c r="I65" s="56">
        <v>45544</v>
      </c>
      <c r="J65" s="56" t="s">
        <v>518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435</v>
      </c>
      <c r="I66" s="56">
        <v>45451</v>
      </c>
      <c r="J66" s="56" t="s">
        <v>518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436</v>
      </c>
      <c r="I67" s="56">
        <v>45145</v>
      </c>
      <c r="J67" s="56" t="s">
        <v>518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464</v>
      </c>
      <c r="I68" s="56">
        <v>45399</v>
      </c>
      <c r="J68" s="56" t="s">
        <v>518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413</v>
      </c>
      <c r="I69" s="56">
        <v>44945</v>
      </c>
      <c r="J69" s="56" t="s">
        <v>518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437</v>
      </c>
      <c r="I70" s="56">
        <v>44748</v>
      </c>
      <c r="J70" s="56" t="s">
        <v>518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572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465</v>
      </c>
      <c r="I71" s="56">
        <v>44706</v>
      </c>
      <c r="J71" s="56" t="s">
        <v>518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561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424</v>
      </c>
      <c r="I72" s="56">
        <v>44819</v>
      </c>
      <c r="J72" s="56" t="s">
        <v>518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0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447</v>
      </c>
      <c r="I3" s="56">
        <v>45133</v>
      </c>
      <c r="J3" s="56" t="s">
        <v>518</v>
      </c>
      <c r="K3" s="56"/>
      <c r="L3" s="56"/>
      <c r="M3" s="33">
        <v>2024</v>
      </c>
      <c r="N3" s="33" t="s">
        <v>176</v>
      </c>
      <c r="O3" s="33">
        <v>21</v>
      </c>
    </row>
    <row r="4" spans="1:87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425</v>
      </c>
      <c r="I4" s="56">
        <v>44301</v>
      </c>
      <c r="J4" s="56" t="s">
        <v>518</v>
      </c>
      <c r="K4" s="56"/>
      <c r="L4" s="56"/>
      <c r="N4" s="5"/>
    </row>
    <row r="5" spans="1:87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457</v>
      </c>
      <c r="I5" s="56">
        <v>43035</v>
      </c>
      <c r="J5" s="56" t="s">
        <v>518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438</v>
      </c>
      <c r="I6" s="56">
        <v>45334</v>
      </c>
      <c r="J6" s="56" t="s">
        <v>518</v>
      </c>
      <c r="K6" s="56"/>
      <c r="L6" s="56"/>
      <c r="N6" s="5"/>
    </row>
    <row r="7" spans="1:87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439</v>
      </c>
      <c r="I7" s="56">
        <v>45323</v>
      </c>
      <c r="J7" s="56" t="s">
        <v>518</v>
      </c>
      <c r="K7" s="56"/>
      <c r="L7" s="56"/>
      <c r="M7" s="1"/>
      <c r="N7" s="5"/>
    </row>
    <row r="8" spans="1:87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426</v>
      </c>
      <c r="I8" s="56">
        <v>44735</v>
      </c>
      <c r="J8" s="56" t="s">
        <v>518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550</v>
      </c>
      <c r="T8" s="13" t="s">
        <v>520</v>
      </c>
      <c r="U8" s="13" t="s">
        <v>542</v>
      </c>
      <c r="V8" s="13" t="s">
        <v>546</v>
      </c>
      <c r="W8" s="13" t="s">
        <v>521</v>
      </c>
      <c r="X8" s="13" t="s">
        <v>522</v>
      </c>
      <c r="Y8" s="13" t="s">
        <v>523</v>
      </c>
      <c r="Z8" s="13" t="s">
        <v>524</v>
      </c>
      <c r="AA8" s="13" t="s">
        <v>525</v>
      </c>
      <c r="AB8" s="13" t="s">
        <v>543</v>
      </c>
      <c r="AC8" s="13" t="s">
        <v>547</v>
      </c>
      <c r="AD8" s="13" t="s">
        <v>526</v>
      </c>
      <c r="AE8" s="13" t="s">
        <v>527</v>
      </c>
      <c r="AF8" s="13" t="s">
        <v>528</v>
      </c>
      <c r="AG8" s="13" t="s">
        <v>529</v>
      </c>
      <c r="AH8" s="13" t="s">
        <v>530</v>
      </c>
      <c r="AI8" s="13" t="s">
        <v>544</v>
      </c>
      <c r="AJ8" s="13" t="s">
        <v>548</v>
      </c>
      <c r="AK8" s="13" t="s">
        <v>531</v>
      </c>
      <c r="AL8" s="13" t="s">
        <v>532</v>
      </c>
      <c r="AM8" s="13" t="s">
        <v>533</v>
      </c>
      <c r="AN8" s="13" t="s">
        <v>534</v>
      </c>
      <c r="AO8" s="13" t="s">
        <v>535</v>
      </c>
      <c r="AP8" s="13" t="s">
        <v>545</v>
      </c>
      <c r="AQ8" s="13" t="s">
        <v>549</v>
      </c>
      <c r="AR8" s="13" t="s">
        <v>536</v>
      </c>
      <c r="AS8" s="13" t="s">
        <v>537</v>
      </c>
      <c r="AT8" s="13" t="s">
        <v>538</v>
      </c>
      <c r="AU8" s="13" t="s">
        <v>539</v>
      </c>
      <c r="AV8" s="13" t="s">
        <v>540</v>
      </c>
      <c r="AW8" s="13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550</v>
      </c>
      <c r="BE8" s="19" t="s">
        <v>520</v>
      </c>
      <c r="BF8" s="19" t="s">
        <v>542</v>
      </c>
      <c r="BG8" s="19" t="s">
        <v>546</v>
      </c>
      <c r="BH8" s="19" t="s">
        <v>521</v>
      </c>
      <c r="BI8" s="19" t="s">
        <v>522</v>
      </c>
      <c r="BJ8" s="19" t="s">
        <v>523</v>
      </c>
      <c r="BK8" s="19" t="s">
        <v>524</v>
      </c>
      <c r="BL8" s="19" t="s">
        <v>525</v>
      </c>
      <c r="BM8" s="19" t="s">
        <v>543</v>
      </c>
      <c r="BN8" s="19" t="s">
        <v>547</v>
      </c>
      <c r="BO8" s="19" t="s">
        <v>526</v>
      </c>
      <c r="BP8" s="19" t="s">
        <v>527</v>
      </c>
      <c r="BQ8" s="19" t="s">
        <v>528</v>
      </c>
      <c r="BR8" s="19" t="s">
        <v>529</v>
      </c>
      <c r="BS8" s="19" t="s">
        <v>530</v>
      </c>
      <c r="BT8" s="19" t="s">
        <v>544</v>
      </c>
      <c r="BU8" s="19" t="s">
        <v>548</v>
      </c>
      <c r="BV8" s="19" t="s">
        <v>531</v>
      </c>
      <c r="BW8" s="19" t="s">
        <v>532</v>
      </c>
      <c r="BX8" s="19" t="s">
        <v>533</v>
      </c>
      <c r="BY8" s="19" t="s">
        <v>534</v>
      </c>
      <c r="BZ8" s="19" t="s">
        <v>535</v>
      </c>
      <c r="CA8" s="19" t="s">
        <v>545</v>
      </c>
      <c r="CB8" s="19" t="s">
        <v>549</v>
      </c>
      <c r="CC8" s="19" t="s">
        <v>536</v>
      </c>
      <c r="CD8" s="19" t="s">
        <v>537</v>
      </c>
      <c r="CE8" s="19" t="s">
        <v>538</v>
      </c>
      <c r="CF8" s="19" t="s">
        <v>539</v>
      </c>
      <c r="CG8" s="19" t="s">
        <v>540</v>
      </c>
      <c r="CH8" s="19" t="s">
        <v>541</v>
      </c>
      <c r="CI8" s="18" t="s">
        <v>134</v>
      </c>
    </row>
    <row r="9" spans="1:87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502</v>
      </c>
      <c r="I9" s="56">
        <v>45399</v>
      </c>
      <c r="J9" s="56" t="s">
        <v>518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</row>
    <row r="10" spans="1:87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395</v>
      </c>
      <c r="I10" s="56">
        <v>44461</v>
      </c>
      <c r="J10" s="56" t="s">
        <v>518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</row>
    <row r="11" spans="1:87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396</v>
      </c>
      <c r="I11" s="56">
        <v>44811</v>
      </c>
      <c r="J11" s="56" t="s">
        <v>518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</row>
    <row r="12" spans="1:87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397</v>
      </c>
      <c r="I12" s="56">
        <v>44811</v>
      </c>
      <c r="J12" s="56" t="s">
        <v>518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</row>
    <row r="13" spans="1:87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448</v>
      </c>
      <c r="I13" s="56">
        <v>45133</v>
      </c>
      <c r="J13" s="56" t="s">
        <v>518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</row>
    <row r="14" spans="1:87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414</v>
      </c>
      <c r="I14" s="56">
        <v>44357</v>
      </c>
      <c r="J14" s="56" t="s">
        <v>518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</row>
    <row r="15" spans="1:87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415</v>
      </c>
      <c r="I15" s="56">
        <v>44673</v>
      </c>
      <c r="J15" s="56" t="s">
        <v>518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</row>
    <row r="16" spans="1:87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403</v>
      </c>
      <c r="I16" s="56">
        <v>45304</v>
      </c>
      <c r="J16" s="56" t="s">
        <v>518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427</v>
      </c>
      <c r="I17" s="56">
        <v>44909</v>
      </c>
      <c r="J17" s="56" t="s">
        <v>518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449</v>
      </c>
      <c r="I18" s="56">
        <v>45285</v>
      </c>
      <c r="J18" s="56" t="s">
        <v>518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440</v>
      </c>
      <c r="I19" s="56">
        <v>45429</v>
      </c>
      <c r="J19" s="56" t="s">
        <v>518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441</v>
      </c>
      <c r="I20" s="56">
        <v>45506</v>
      </c>
      <c r="J20" s="56" t="s">
        <v>518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458</v>
      </c>
      <c r="I21" s="56">
        <v>45299</v>
      </c>
      <c r="J21" s="56" t="s">
        <v>518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450</v>
      </c>
      <c r="I22" s="56">
        <v>45334</v>
      </c>
      <c r="J22" s="56" t="s">
        <v>518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479</v>
      </c>
      <c r="I23" s="56">
        <v>44657</v>
      </c>
      <c r="J23" s="56" t="s">
        <v>518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404</v>
      </c>
      <c r="I24" s="56">
        <v>45334</v>
      </c>
      <c r="J24" s="56" t="s">
        <v>518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405</v>
      </c>
      <c r="I25" s="56">
        <v>44870</v>
      </c>
      <c r="J25" s="56" t="s">
        <v>518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398</v>
      </c>
      <c r="I26" s="56">
        <v>44811</v>
      </c>
      <c r="J26" s="56" t="s">
        <v>518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406</v>
      </c>
      <c r="I27" s="56">
        <v>45530</v>
      </c>
      <c r="J27" s="56" t="s">
        <v>518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430</v>
      </c>
      <c r="I28" s="56">
        <v>45423</v>
      </c>
      <c r="J28" s="56" t="s">
        <v>518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475</v>
      </c>
      <c r="I29" s="56">
        <v>45721</v>
      </c>
      <c r="J29" s="56" t="s">
        <v>518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431</v>
      </c>
      <c r="I30" s="56">
        <v>45399</v>
      </c>
      <c r="J30" s="56" t="s">
        <v>518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451</v>
      </c>
      <c r="I31" s="56">
        <v>44937</v>
      </c>
      <c r="J31" s="56" t="s">
        <v>518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459</v>
      </c>
      <c r="I32" s="56">
        <v>45590</v>
      </c>
      <c r="J32" s="56" t="s">
        <v>518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452</v>
      </c>
      <c r="I33" s="56">
        <v>42814</v>
      </c>
      <c r="J33" s="56" t="s">
        <v>518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407</v>
      </c>
      <c r="I34" s="56">
        <v>44259</v>
      </c>
      <c r="J34" s="56" t="s">
        <v>518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442</v>
      </c>
      <c r="I35" s="56">
        <v>45082</v>
      </c>
      <c r="J35" s="56" t="s">
        <v>518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400</v>
      </c>
      <c r="I36" s="56">
        <v>45075</v>
      </c>
      <c r="J36" s="56" t="s">
        <v>518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568</v>
      </c>
      <c r="G37" s="3">
        <v>13600</v>
      </c>
      <c r="H37" t="s">
        <v>570</v>
      </c>
      <c r="I37" s="56">
        <v>45512</v>
      </c>
      <c r="J37" s="56" t="s">
        <v>518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454</v>
      </c>
      <c r="I38" s="56">
        <v>45021</v>
      </c>
      <c r="J38" s="56" t="s">
        <v>518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443</v>
      </c>
      <c r="I39" s="56">
        <v>45142</v>
      </c>
      <c r="J39" s="56" t="s">
        <v>518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416</v>
      </c>
      <c r="I40" s="56">
        <v>43132</v>
      </c>
      <c r="J40" s="56" t="s">
        <v>518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408</v>
      </c>
      <c r="I41" s="56">
        <v>44748</v>
      </c>
      <c r="J41" s="56" t="s">
        <v>518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460</v>
      </c>
      <c r="I42" s="56">
        <v>0</v>
      </c>
      <c r="J42" s="56" t="s">
        <v>518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409</v>
      </c>
      <c r="I43" s="56">
        <v>44840</v>
      </c>
      <c r="J43" s="56" t="s">
        <v>518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568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417</v>
      </c>
      <c r="I44" s="56">
        <v>44748</v>
      </c>
      <c r="J44" s="56" t="s">
        <v>518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410</v>
      </c>
      <c r="I45" s="56">
        <v>45344</v>
      </c>
      <c r="J45" s="56" t="s">
        <v>518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418</v>
      </c>
      <c r="I46" s="56">
        <v>45523</v>
      </c>
      <c r="J46" s="56" t="s">
        <v>518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455</v>
      </c>
      <c r="I47" s="56">
        <v>44869</v>
      </c>
      <c r="J47" s="56" t="s">
        <v>518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558</v>
      </c>
      <c r="G48" s="3">
        <v>67343</v>
      </c>
      <c r="H48" t="s">
        <v>559</v>
      </c>
      <c r="I48" s="56">
        <v>45131</v>
      </c>
      <c r="J48" s="56" t="s">
        <v>518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461</v>
      </c>
      <c r="I49" s="56">
        <v>44111</v>
      </c>
      <c r="J49" s="56" t="s">
        <v>518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569</v>
      </c>
      <c r="G50" s="3">
        <v>3836</v>
      </c>
      <c r="H50" t="s">
        <v>571</v>
      </c>
      <c r="I50" s="56">
        <v>44830</v>
      </c>
      <c r="J50" s="56" t="s">
        <v>518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456</v>
      </c>
      <c r="I51" s="56">
        <v>45364</v>
      </c>
      <c r="J51" s="56" t="s">
        <v>518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419</v>
      </c>
      <c r="I52" s="56">
        <v>45334</v>
      </c>
      <c r="J52" s="56" t="s">
        <v>518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432</v>
      </c>
      <c r="I53" s="56">
        <v>44687</v>
      </c>
      <c r="J53" s="56" t="s">
        <v>518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462</v>
      </c>
      <c r="I54" s="56">
        <v>44820</v>
      </c>
      <c r="J54" s="56" t="s">
        <v>518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558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433</v>
      </c>
      <c r="I55" s="56">
        <v>44510</v>
      </c>
      <c r="J55" s="56" t="s">
        <v>518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401</v>
      </c>
      <c r="I56" s="56">
        <v>44888</v>
      </c>
      <c r="J56" s="56" t="s">
        <v>518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569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420</v>
      </c>
      <c r="I57" s="56">
        <v>45441</v>
      </c>
      <c r="J57" s="56" t="s">
        <v>518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444</v>
      </c>
      <c r="I58" s="56">
        <v>44716</v>
      </c>
      <c r="J58" s="56" t="s">
        <v>518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554</v>
      </c>
      <c r="G59" s="3">
        <v>8065</v>
      </c>
      <c r="H59" t="s">
        <v>556</v>
      </c>
      <c r="I59" s="56">
        <v>44716</v>
      </c>
      <c r="J59" s="56" t="s">
        <v>518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421</v>
      </c>
      <c r="I60" s="56">
        <v>45471</v>
      </c>
      <c r="J60" s="56" t="s">
        <v>518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422</v>
      </c>
      <c r="I61" s="56">
        <v>44941</v>
      </c>
      <c r="J61" s="56" t="s">
        <v>518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402</v>
      </c>
      <c r="I62" s="56">
        <v>45334</v>
      </c>
      <c r="J62" s="56" t="s">
        <v>518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434</v>
      </c>
      <c r="I63" s="56">
        <v>44971</v>
      </c>
      <c r="J63" s="56" t="s">
        <v>518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445</v>
      </c>
      <c r="I64" s="56">
        <v>45371</v>
      </c>
      <c r="J64" s="56" t="s">
        <v>518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411</v>
      </c>
      <c r="I65" s="56">
        <v>44470</v>
      </c>
      <c r="J65" s="56" t="s">
        <v>518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554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555</v>
      </c>
      <c r="G66" s="3">
        <v>9580</v>
      </c>
      <c r="H66" t="s">
        <v>557</v>
      </c>
      <c r="I66" s="56">
        <v>45343</v>
      </c>
      <c r="J66" s="56" t="s">
        <v>518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446</v>
      </c>
      <c r="I67" s="56">
        <v>45348</v>
      </c>
      <c r="J67" s="56" t="s">
        <v>518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463</v>
      </c>
      <c r="I68" s="56">
        <v>45316</v>
      </c>
      <c r="J68" s="56" t="s">
        <v>518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435</v>
      </c>
      <c r="I69" s="56">
        <v>45451</v>
      </c>
      <c r="J69" s="56" t="s">
        <v>518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436</v>
      </c>
      <c r="I70" s="56">
        <v>45145</v>
      </c>
      <c r="J70" s="56" t="s">
        <v>518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423</v>
      </c>
      <c r="I71" s="56">
        <v>45175</v>
      </c>
      <c r="J71" s="56" t="s">
        <v>518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464</v>
      </c>
      <c r="I72" s="56">
        <v>45399</v>
      </c>
      <c r="J72" s="56" t="s">
        <v>518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555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413</v>
      </c>
      <c r="I73" s="56">
        <v>44945</v>
      </c>
      <c r="J73" s="56" t="s">
        <v>518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437</v>
      </c>
      <c r="I74" s="56">
        <v>44748</v>
      </c>
      <c r="J74" s="56" t="s">
        <v>518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465</v>
      </c>
      <c r="I75" s="56">
        <v>44706</v>
      </c>
      <c r="J75" s="56" t="s">
        <v>518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424</v>
      </c>
      <c r="I76" s="56">
        <v>44819</v>
      </c>
      <c r="J76" s="56" t="s">
        <v>518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9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395</v>
      </c>
      <c r="I3" s="56">
        <v>44461</v>
      </c>
      <c r="J3" s="56" t="s">
        <v>518</v>
      </c>
      <c r="K3" s="56"/>
      <c r="L3" s="56"/>
      <c r="M3" s="33">
        <v>2025</v>
      </c>
      <c r="N3" s="33" t="s">
        <v>139</v>
      </c>
      <c r="O3" s="33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396</v>
      </c>
      <c r="I4" s="56">
        <v>44811</v>
      </c>
      <c r="J4" s="56" t="s">
        <v>518</v>
      </c>
      <c r="K4" s="56"/>
      <c r="L4" s="56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397</v>
      </c>
      <c r="I5" s="56">
        <v>44811</v>
      </c>
      <c r="J5" s="56" t="s">
        <v>518</v>
      </c>
      <c r="K5" s="56"/>
      <c r="L5" s="56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398</v>
      </c>
      <c r="I6" s="56">
        <v>44811</v>
      </c>
      <c r="J6" s="56" t="s">
        <v>518</v>
      </c>
      <c r="K6" s="56"/>
      <c r="L6" s="56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399</v>
      </c>
      <c r="I7" s="56">
        <v>45457</v>
      </c>
      <c r="J7" s="56" t="s">
        <v>518</v>
      </c>
      <c r="K7" s="56"/>
      <c r="L7" s="56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400</v>
      </c>
      <c r="I8" s="56">
        <v>45075</v>
      </c>
      <c r="J8" s="56" t="s">
        <v>518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550</v>
      </c>
      <c r="T8" s="71" t="s">
        <v>520</v>
      </c>
      <c r="U8" s="71" t="s">
        <v>542</v>
      </c>
      <c r="V8" s="71" t="s">
        <v>546</v>
      </c>
      <c r="W8" s="71" t="s">
        <v>521</v>
      </c>
      <c r="X8" s="71" t="s">
        <v>522</v>
      </c>
      <c r="Y8" s="71" t="s">
        <v>523</v>
      </c>
      <c r="Z8" s="71" t="s">
        <v>524</v>
      </c>
      <c r="AA8" s="71" t="s">
        <v>525</v>
      </c>
      <c r="AB8" s="71" t="s">
        <v>543</v>
      </c>
      <c r="AC8" s="71" t="s">
        <v>547</v>
      </c>
      <c r="AD8" s="71" t="s">
        <v>526</v>
      </c>
      <c r="AE8" s="71" t="s">
        <v>527</v>
      </c>
      <c r="AF8" s="71" t="s">
        <v>528</v>
      </c>
      <c r="AG8" s="71" t="s">
        <v>529</v>
      </c>
      <c r="AH8" s="71" t="s">
        <v>530</v>
      </c>
      <c r="AI8" s="71" t="s">
        <v>544</v>
      </c>
      <c r="AJ8" s="71" t="s">
        <v>548</v>
      </c>
      <c r="AK8" s="71" t="s">
        <v>531</v>
      </c>
      <c r="AL8" s="71" t="s">
        <v>532</v>
      </c>
      <c r="AM8" s="71" t="s">
        <v>533</v>
      </c>
      <c r="AN8" s="71" t="s">
        <v>534</v>
      </c>
      <c r="AO8" s="71" t="s">
        <v>535</v>
      </c>
      <c r="AP8" s="71" t="s">
        <v>545</v>
      </c>
      <c r="AQ8" s="71" t="s">
        <v>549</v>
      </c>
      <c r="AR8" s="71" t="s">
        <v>536</v>
      </c>
      <c r="AS8" s="71" t="s">
        <v>537</v>
      </c>
      <c r="AT8" s="71" t="s">
        <v>538</v>
      </c>
      <c r="AU8" s="71" t="s">
        <v>539</v>
      </c>
      <c r="AV8" s="71" t="s">
        <v>540</v>
      </c>
      <c r="AW8" s="71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401</v>
      </c>
      <c r="I9" s="56">
        <v>44888</v>
      </c>
      <c r="J9" s="56" t="s">
        <v>518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402</v>
      </c>
      <c r="I10" s="56">
        <v>45334</v>
      </c>
      <c r="J10" s="56" t="s">
        <v>518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403</v>
      </c>
      <c r="I11" s="56">
        <v>45304</v>
      </c>
      <c r="J11" s="56" t="s">
        <v>518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404</v>
      </c>
      <c r="I12" s="56">
        <v>45334</v>
      </c>
      <c r="J12" s="56" t="s">
        <v>518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405</v>
      </c>
      <c r="I13" s="56">
        <v>44870</v>
      </c>
      <c r="J13" s="56" t="s">
        <v>518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406</v>
      </c>
      <c r="I14" s="56">
        <v>45530</v>
      </c>
      <c r="J14" s="56" t="s">
        <v>518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407</v>
      </c>
      <c r="I15" s="56">
        <v>44259</v>
      </c>
      <c r="J15" s="56" t="s">
        <v>518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408</v>
      </c>
      <c r="I16" s="56">
        <v>44748</v>
      </c>
      <c r="J16" s="56" t="s">
        <v>518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409</v>
      </c>
      <c r="I17" s="56">
        <v>44840</v>
      </c>
      <c r="J17" s="56" t="s">
        <v>518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410</v>
      </c>
      <c r="I18" s="56">
        <v>45344</v>
      </c>
      <c r="J18" s="56" t="s">
        <v>518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411</v>
      </c>
      <c r="I19" s="56">
        <v>44470</v>
      </c>
      <c r="J19" s="56" t="s">
        <v>518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412</v>
      </c>
      <c r="I20" s="56">
        <v>45668</v>
      </c>
      <c r="J20" s="56" t="s">
        <v>518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413</v>
      </c>
      <c r="I21" s="56">
        <v>44945</v>
      </c>
      <c r="J21" s="56" t="s">
        <v>518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414</v>
      </c>
      <c r="I22" s="56">
        <v>44357</v>
      </c>
      <c r="J22" s="56" t="s">
        <v>518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415</v>
      </c>
      <c r="I23" s="56">
        <v>44673</v>
      </c>
      <c r="J23" s="56" t="s">
        <v>518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416</v>
      </c>
      <c r="I24" s="56">
        <v>43132</v>
      </c>
      <c r="J24" s="56" t="s">
        <v>518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417</v>
      </c>
      <c r="I25" s="56">
        <v>44748</v>
      </c>
      <c r="J25" s="56" t="s">
        <v>518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418</v>
      </c>
      <c r="I26" s="56">
        <v>45523</v>
      </c>
      <c r="J26" s="56" t="s">
        <v>518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419</v>
      </c>
      <c r="I27" s="56">
        <v>45334</v>
      </c>
      <c r="J27" s="56" t="s">
        <v>518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420</v>
      </c>
      <c r="I28" s="56">
        <v>45441</v>
      </c>
      <c r="J28" s="56" t="s">
        <v>518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421</v>
      </c>
      <c r="I29" s="56">
        <v>45471</v>
      </c>
      <c r="J29" s="56" t="s">
        <v>518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422</v>
      </c>
      <c r="I30" s="56">
        <v>44941</v>
      </c>
      <c r="J30" s="56" t="s">
        <v>518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423</v>
      </c>
      <c r="I31" s="56">
        <v>45175</v>
      </c>
      <c r="J31" s="56" t="s">
        <v>518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424</v>
      </c>
      <c r="I32" s="56">
        <v>44819</v>
      </c>
      <c r="J32" s="56" t="s">
        <v>518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425</v>
      </c>
      <c r="I33" s="56">
        <v>44301</v>
      </c>
      <c r="J33" s="56" t="s">
        <v>518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426</v>
      </c>
      <c r="I34" s="56">
        <v>44735</v>
      </c>
      <c r="J34" s="56" t="s">
        <v>518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427</v>
      </c>
      <c r="I35" s="56">
        <v>44909</v>
      </c>
      <c r="J35" s="56" t="s">
        <v>518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428</v>
      </c>
      <c r="I36" s="56">
        <v>45675</v>
      </c>
      <c r="J36" s="56" t="s">
        <v>518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429</v>
      </c>
      <c r="I37" s="56">
        <v>45674</v>
      </c>
      <c r="J37" s="56" t="s">
        <v>518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430</v>
      </c>
      <c r="I38" s="56">
        <v>45423</v>
      </c>
      <c r="J38" s="56" t="s">
        <v>518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431</v>
      </c>
      <c r="I39" s="56">
        <v>45399</v>
      </c>
      <c r="J39" s="56" t="s">
        <v>518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432</v>
      </c>
      <c r="I40" s="56">
        <v>44687</v>
      </c>
      <c r="J40" s="56" t="s">
        <v>518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433</v>
      </c>
      <c r="I41" s="56">
        <v>44510</v>
      </c>
      <c r="J41" s="56" t="s">
        <v>518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434</v>
      </c>
      <c r="I42" s="56">
        <v>44971</v>
      </c>
      <c r="J42" s="56" t="s">
        <v>518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435</v>
      </c>
      <c r="I43" s="56">
        <v>45451</v>
      </c>
      <c r="J43" s="56" t="s">
        <v>518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436</v>
      </c>
      <c r="I44" s="56">
        <v>45145</v>
      </c>
      <c r="J44" s="56" t="s">
        <v>518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437</v>
      </c>
      <c r="I45" s="56">
        <v>44748</v>
      </c>
      <c r="J45" s="56" t="s">
        <v>518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438</v>
      </c>
      <c r="I46" s="56">
        <v>45334</v>
      </c>
      <c r="J46" s="56" t="s">
        <v>518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439</v>
      </c>
      <c r="I47" s="56">
        <v>45323</v>
      </c>
      <c r="J47" s="56" t="s">
        <v>518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440</v>
      </c>
      <c r="I48" s="56">
        <v>45429</v>
      </c>
      <c r="J48" s="56" t="s">
        <v>518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441</v>
      </c>
      <c r="I49" s="56">
        <v>45506</v>
      </c>
      <c r="J49" s="56" t="s">
        <v>518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442</v>
      </c>
      <c r="I50" s="56">
        <v>45082</v>
      </c>
      <c r="J50" s="56" t="s">
        <v>518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443</v>
      </c>
      <c r="I51" s="56">
        <v>45142</v>
      </c>
      <c r="J51" s="56" t="s">
        <v>518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444</v>
      </c>
      <c r="I52" s="56">
        <v>44716</v>
      </c>
      <c r="J52" s="56" t="s">
        <v>518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445</v>
      </c>
      <c r="I53" s="56">
        <v>45371</v>
      </c>
      <c r="J53" s="56" t="s">
        <v>518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446</v>
      </c>
      <c r="I54" s="56">
        <v>45348</v>
      </c>
      <c r="J54" s="56" t="s">
        <v>518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558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447</v>
      </c>
      <c r="I55" s="56">
        <v>45133</v>
      </c>
      <c r="J55" s="56" t="s">
        <v>518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448</v>
      </c>
      <c r="I56" s="56">
        <v>45133</v>
      </c>
      <c r="J56" s="56" t="s">
        <v>518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449</v>
      </c>
      <c r="I57" s="56">
        <v>45285</v>
      </c>
      <c r="J57" s="56" t="s">
        <v>518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450</v>
      </c>
      <c r="I58" s="56">
        <v>45334</v>
      </c>
      <c r="J58" s="56" t="s">
        <v>518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451</v>
      </c>
      <c r="I59" s="56">
        <v>44937</v>
      </c>
      <c r="J59" s="56" t="s">
        <v>518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452</v>
      </c>
      <c r="I60" s="56">
        <v>42814</v>
      </c>
      <c r="J60" s="56" t="s">
        <v>518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453</v>
      </c>
      <c r="I61" s="56">
        <v>45671</v>
      </c>
      <c r="J61" s="56" t="s">
        <v>518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454</v>
      </c>
      <c r="I62" s="56">
        <v>45021</v>
      </c>
      <c r="J62" s="56" t="s">
        <v>518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455</v>
      </c>
      <c r="I63" s="56">
        <v>44869</v>
      </c>
      <c r="J63" s="56" t="s">
        <v>518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456</v>
      </c>
      <c r="I64" s="56">
        <v>45364</v>
      </c>
      <c r="J64" s="56" t="s">
        <v>518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554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457</v>
      </c>
      <c r="I65" s="56">
        <v>43035</v>
      </c>
      <c r="J65" s="56" t="s">
        <v>518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458</v>
      </c>
      <c r="I66" s="56">
        <v>45299</v>
      </c>
      <c r="J66" s="56" t="s">
        <v>518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459</v>
      </c>
      <c r="I67" s="56">
        <v>45590</v>
      </c>
      <c r="J67" s="56" t="s">
        <v>518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460</v>
      </c>
      <c r="I68" s="56">
        <v>0</v>
      </c>
      <c r="J68" s="56" t="s">
        <v>518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461</v>
      </c>
      <c r="I69" s="56">
        <v>44111</v>
      </c>
      <c r="J69" s="56" t="s">
        <v>518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462</v>
      </c>
      <c r="I70" s="56">
        <v>44820</v>
      </c>
      <c r="J70" s="56" t="s">
        <v>518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463</v>
      </c>
      <c r="I71" s="56">
        <v>45316</v>
      </c>
      <c r="J71" s="56" t="s">
        <v>518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464</v>
      </c>
      <c r="I72" s="56">
        <v>45399</v>
      </c>
      <c r="J72" s="56" t="s">
        <v>518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555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465</v>
      </c>
      <c r="I73" s="56">
        <v>44706</v>
      </c>
      <c r="J73" s="56" t="s">
        <v>518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554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554</v>
      </c>
      <c r="G74">
        <v>12973</v>
      </c>
      <c r="H74" t="s">
        <v>556</v>
      </c>
      <c r="I74" s="56">
        <v>44716</v>
      </c>
      <c r="J74" s="56" t="s">
        <v>518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555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555</v>
      </c>
      <c r="G75">
        <v>3270</v>
      </c>
      <c r="H75" t="s">
        <v>557</v>
      </c>
      <c r="I75" s="56">
        <v>45343</v>
      </c>
      <c r="J75" s="56" t="s">
        <v>518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558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558</v>
      </c>
      <c r="G76">
        <v>2025</v>
      </c>
      <c r="H76" t="s">
        <v>559</v>
      </c>
      <c r="I76" s="56">
        <v>45131</v>
      </c>
      <c r="J76" s="56" t="s">
        <v>518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457</v>
      </c>
      <c r="I3" s="56">
        <v>43035</v>
      </c>
      <c r="J3" t="s">
        <v>518</v>
      </c>
      <c r="L3" s="56"/>
      <c r="M3" s="33">
        <v>2025</v>
      </c>
      <c r="N3" s="33" t="s">
        <v>140</v>
      </c>
      <c r="O3" s="33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466</v>
      </c>
      <c r="I4" s="56">
        <v>45084</v>
      </c>
      <c r="J4" t="s">
        <v>518</v>
      </c>
      <c r="L4" s="56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458</v>
      </c>
      <c r="I5" s="56">
        <v>45299</v>
      </c>
      <c r="J5" t="s">
        <v>518</v>
      </c>
      <c r="L5" s="56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459</v>
      </c>
      <c r="I6" s="56">
        <v>45590</v>
      </c>
      <c r="J6" t="s">
        <v>518</v>
      </c>
      <c r="L6" s="56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461</v>
      </c>
      <c r="I7" s="56">
        <v>44111</v>
      </c>
      <c r="J7" t="s">
        <v>518</v>
      </c>
      <c r="L7" s="56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463</v>
      </c>
      <c r="I8" s="56">
        <v>45316</v>
      </c>
      <c r="J8" t="s">
        <v>518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550</v>
      </c>
      <c r="T8" s="71" t="s">
        <v>520</v>
      </c>
      <c r="U8" s="71" t="s">
        <v>542</v>
      </c>
      <c r="V8" s="71" t="s">
        <v>546</v>
      </c>
      <c r="W8" s="71" t="s">
        <v>521</v>
      </c>
      <c r="X8" s="71" t="s">
        <v>522</v>
      </c>
      <c r="Y8" s="71" t="s">
        <v>523</v>
      </c>
      <c r="Z8" s="71" t="s">
        <v>524</v>
      </c>
      <c r="AA8" s="71" t="s">
        <v>525</v>
      </c>
      <c r="AB8" s="71" t="s">
        <v>543</v>
      </c>
      <c r="AC8" s="71" t="s">
        <v>547</v>
      </c>
      <c r="AD8" s="71" t="s">
        <v>526</v>
      </c>
      <c r="AE8" s="71" t="s">
        <v>527</v>
      </c>
      <c r="AF8" s="71" t="s">
        <v>528</v>
      </c>
      <c r="AG8" s="71" t="s">
        <v>529</v>
      </c>
      <c r="AH8" s="71" t="s">
        <v>530</v>
      </c>
      <c r="AI8" s="71" t="s">
        <v>544</v>
      </c>
      <c r="AJ8" s="71" t="s">
        <v>548</v>
      </c>
      <c r="AK8" s="71" t="s">
        <v>531</v>
      </c>
      <c r="AL8" s="71" t="s">
        <v>532</v>
      </c>
      <c r="AM8" s="71" t="s">
        <v>533</v>
      </c>
      <c r="AN8" s="71" t="s">
        <v>534</v>
      </c>
      <c r="AO8" s="71" t="s">
        <v>535</v>
      </c>
      <c r="AP8" s="71" t="s">
        <v>545</v>
      </c>
      <c r="AQ8" s="71" t="s">
        <v>549</v>
      </c>
      <c r="AR8" s="71" t="s">
        <v>536</v>
      </c>
      <c r="AS8" s="71" t="s">
        <v>537</v>
      </c>
      <c r="AT8" s="71" t="s">
        <v>538</v>
      </c>
      <c r="AU8" s="71" t="s">
        <v>539</v>
      </c>
      <c r="AV8" s="71" t="s">
        <v>540</v>
      </c>
      <c r="AW8" s="71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464</v>
      </c>
      <c r="I9" s="56">
        <v>45399</v>
      </c>
      <c r="J9" t="s">
        <v>518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465</v>
      </c>
      <c r="I10" s="56">
        <v>44706</v>
      </c>
      <c r="J10" t="s">
        <v>518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424</v>
      </c>
      <c r="I11" s="56">
        <v>44819</v>
      </c>
      <c r="J11" t="s">
        <v>518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438</v>
      </c>
      <c r="I12" s="56">
        <v>45334</v>
      </c>
      <c r="J12" t="s">
        <v>518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439</v>
      </c>
      <c r="I13" s="56">
        <v>45323</v>
      </c>
      <c r="J13" t="s">
        <v>518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440</v>
      </c>
      <c r="I14" s="56">
        <v>45429</v>
      </c>
      <c r="J14" t="s">
        <v>518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441</v>
      </c>
      <c r="I15" s="56">
        <v>45506</v>
      </c>
      <c r="J15" t="s">
        <v>518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443</v>
      </c>
      <c r="I16" s="56">
        <v>45142</v>
      </c>
      <c r="J16" t="s">
        <v>518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432</v>
      </c>
      <c r="I17" s="56">
        <v>44687</v>
      </c>
      <c r="J17" t="s">
        <v>518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444</v>
      </c>
      <c r="I18" s="56">
        <v>44716</v>
      </c>
      <c r="J18" t="s">
        <v>518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445</v>
      </c>
      <c r="I19" s="56">
        <v>45371</v>
      </c>
      <c r="J19" t="s">
        <v>518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446</v>
      </c>
      <c r="I20" s="56">
        <v>45348</v>
      </c>
      <c r="J20" t="s">
        <v>518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403</v>
      </c>
      <c r="I21" s="56">
        <v>45304</v>
      </c>
      <c r="J21" t="s">
        <v>518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404</v>
      </c>
      <c r="I22" s="56">
        <v>45334</v>
      </c>
      <c r="J22" t="s">
        <v>518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405</v>
      </c>
      <c r="I23" s="56">
        <v>44870</v>
      </c>
      <c r="J23" t="s">
        <v>518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406</v>
      </c>
      <c r="I24" s="56">
        <v>45530</v>
      </c>
      <c r="J24" t="s">
        <v>518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407</v>
      </c>
      <c r="I25" s="56">
        <v>44259</v>
      </c>
      <c r="J25" t="s">
        <v>518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409</v>
      </c>
      <c r="I26" s="56">
        <v>44840</v>
      </c>
      <c r="J26" t="s">
        <v>518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410</v>
      </c>
      <c r="I27" s="56">
        <v>45344</v>
      </c>
      <c r="J27" t="s">
        <v>518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411</v>
      </c>
      <c r="I28" s="56">
        <v>44470</v>
      </c>
      <c r="J28" t="s">
        <v>518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467</v>
      </c>
      <c r="I29" s="56">
        <v>45714</v>
      </c>
      <c r="J29" t="s">
        <v>518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412</v>
      </c>
      <c r="I30" s="56">
        <v>45668</v>
      </c>
      <c r="J30" t="s">
        <v>518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413</v>
      </c>
      <c r="I31" s="56">
        <v>44945</v>
      </c>
      <c r="J31" t="s">
        <v>518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468</v>
      </c>
      <c r="I32" s="56">
        <v>44951</v>
      </c>
      <c r="J32" t="s">
        <v>518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396</v>
      </c>
      <c r="I33" s="56">
        <v>44811</v>
      </c>
      <c r="J33" t="s">
        <v>518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397</v>
      </c>
      <c r="I34" s="56">
        <v>44811</v>
      </c>
      <c r="J34" t="s">
        <v>518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398</v>
      </c>
      <c r="I35" s="56">
        <v>44811</v>
      </c>
      <c r="J35" t="s">
        <v>518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399</v>
      </c>
      <c r="I36" s="56">
        <v>45457</v>
      </c>
      <c r="J36" t="s">
        <v>518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400</v>
      </c>
      <c r="I37" s="56">
        <v>45075</v>
      </c>
      <c r="J37" t="s">
        <v>518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408</v>
      </c>
      <c r="I38" s="56">
        <v>44748</v>
      </c>
      <c r="J38" t="s">
        <v>518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401</v>
      </c>
      <c r="I39" s="56">
        <v>44888</v>
      </c>
      <c r="J39" t="s">
        <v>518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402</v>
      </c>
      <c r="I40" s="56">
        <v>45334</v>
      </c>
      <c r="J40" t="s">
        <v>518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469</v>
      </c>
      <c r="I41" s="56">
        <v>44566</v>
      </c>
      <c r="J41" t="s">
        <v>518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414</v>
      </c>
      <c r="I42" s="56">
        <v>44357</v>
      </c>
      <c r="J42" t="s">
        <v>518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415</v>
      </c>
      <c r="I43" s="56">
        <v>44673</v>
      </c>
      <c r="J43" t="s">
        <v>518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416</v>
      </c>
      <c r="I44" s="56">
        <v>43132</v>
      </c>
      <c r="J44" t="s">
        <v>518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417</v>
      </c>
      <c r="I45" s="56">
        <v>44748</v>
      </c>
      <c r="J45" t="s">
        <v>518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419</v>
      </c>
      <c r="I46" s="56">
        <v>45334</v>
      </c>
      <c r="J46" t="s">
        <v>518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470</v>
      </c>
      <c r="I47" s="56">
        <v>44993</v>
      </c>
      <c r="J47" t="s">
        <v>518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420</v>
      </c>
      <c r="I48" s="56">
        <v>45441</v>
      </c>
      <c r="J48" t="s">
        <v>518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421</v>
      </c>
      <c r="I49" s="56">
        <v>45471</v>
      </c>
      <c r="J49" t="s">
        <v>518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471</v>
      </c>
      <c r="I50" s="56">
        <v>45700</v>
      </c>
      <c r="J50" t="s">
        <v>518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423</v>
      </c>
      <c r="I51" s="56">
        <v>45175</v>
      </c>
      <c r="J51" t="s">
        <v>518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447</v>
      </c>
      <c r="I52" s="56">
        <v>45133</v>
      </c>
      <c r="J52" t="s">
        <v>518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448</v>
      </c>
      <c r="I53" s="56">
        <v>45133</v>
      </c>
      <c r="J53" t="s">
        <v>518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472</v>
      </c>
      <c r="I54" s="56">
        <v>44104</v>
      </c>
      <c r="J54" t="s">
        <v>518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449</v>
      </c>
      <c r="I55" s="56">
        <v>45285</v>
      </c>
      <c r="J55" t="s">
        <v>518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450</v>
      </c>
      <c r="I56" s="56">
        <v>45334</v>
      </c>
      <c r="J56" t="s">
        <v>518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451</v>
      </c>
      <c r="I57" s="56">
        <v>44937</v>
      </c>
      <c r="J57" t="s">
        <v>518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452</v>
      </c>
      <c r="I58" s="56">
        <v>42814</v>
      </c>
      <c r="J58" t="s">
        <v>518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453</v>
      </c>
      <c r="I59" s="56">
        <v>45671</v>
      </c>
      <c r="J59" t="s">
        <v>518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455</v>
      </c>
      <c r="I60" s="56">
        <v>44869</v>
      </c>
      <c r="J60" t="s">
        <v>518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456</v>
      </c>
      <c r="I61" s="56">
        <v>45364</v>
      </c>
      <c r="J61" t="s">
        <v>518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425</v>
      </c>
      <c r="I62" s="56">
        <v>44301</v>
      </c>
      <c r="J62" t="s">
        <v>518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426</v>
      </c>
      <c r="I63" s="56">
        <v>44735</v>
      </c>
      <c r="J63" t="s">
        <v>518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427</v>
      </c>
      <c r="I64" s="56">
        <v>44909</v>
      </c>
      <c r="J64" t="s">
        <v>518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428</v>
      </c>
      <c r="I65" s="56">
        <v>45675</v>
      </c>
      <c r="J65" t="s">
        <v>518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429</v>
      </c>
      <c r="I66" s="56">
        <v>45674</v>
      </c>
      <c r="J66" t="s">
        <v>518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430</v>
      </c>
      <c r="I67" s="56">
        <v>45423</v>
      </c>
      <c r="J67" t="s">
        <v>518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431</v>
      </c>
      <c r="I68" s="56">
        <v>45399</v>
      </c>
      <c r="J68" t="s">
        <v>518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433</v>
      </c>
      <c r="I69" s="56">
        <v>44510</v>
      </c>
      <c r="J69" t="s">
        <v>518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435</v>
      </c>
      <c r="I70" s="56">
        <v>45451</v>
      </c>
      <c r="J70" t="s">
        <v>518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436</v>
      </c>
      <c r="I71" s="56">
        <v>45145</v>
      </c>
      <c r="J71" t="s">
        <v>518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437</v>
      </c>
      <c r="I72" s="56">
        <v>44748</v>
      </c>
      <c r="J72" t="s">
        <v>518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457</v>
      </c>
      <c r="I3" s="56">
        <v>43035</v>
      </c>
      <c r="J3" t="s">
        <v>518</v>
      </c>
      <c r="K3" s="80"/>
      <c r="L3" s="56"/>
      <c r="M3" s="33">
        <v>2025</v>
      </c>
      <c r="N3" s="33" t="s">
        <v>141</v>
      </c>
      <c r="O3" s="33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473</v>
      </c>
      <c r="I4" s="56">
        <v>45727</v>
      </c>
      <c r="J4" t="s">
        <v>518</v>
      </c>
      <c r="L4" s="56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466</v>
      </c>
      <c r="I5" s="56">
        <v>45084</v>
      </c>
      <c r="J5" t="s">
        <v>518</v>
      </c>
      <c r="L5" s="56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458</v>
      </c>
      <c r="I6" s="56">
        <v>45299</v>
      </c>
      <c r="J6" t="s">
        <v>518</v>
      </c>
      <c r="L6" s="56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459</v>
      </c>
      <c r="I7" s="56">
        <v>45590</v>
      </c>
      <c r="J7" t="s">
        <v>518</v>
      </c>
      <c r="L7" s="56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461</v>
      </c>
      <c r="I8" s="56">
        <v>44111</v>
      </c>
      <c r="J8" t="s">
        <v>518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550</v>
      </c>
      <c r="T8" s="71" t="s">
        <v>520</v>
      </c>
      <c r="U8" s="71" t="s">
        <v>542</v>
      </c>
      <c r="V8" s="71" t="s">
        <v>546</v>
      </c>
      <c r="W8" s="71" t="s">
        <v>521</v>
      </c>
      <c r="X8" s="71" t="s">
        <v>522</v>
      </c>
      <c r="Y8" s="71" t="s">
        <v>523</v>
      </c>
      <c r="Z8" s="71" t="s">
        <v>524</v>
      </c>
      <c r="AA8" s="71" t="s">
        <v>525</v>
      </c>
      <c r="AB8" s="71" t="s">
        <v>543</v>
      </c>
      <c r="AC8" s="71" t="s">
        <v>547</v>
      </c>
      <c r="AD8" s="71" t="s">
        <v>526</v>
      </c>
      <c r="AE8" s="71" t="s">
        <v>527</v>
      </c>
      <c r="AF8" s="71" t="s">
        <v>528</v>
      </c>
      <c r="AG8" s="71" t="s">
        <v>529</v>
      </c>
      <c r="AH8" s="71" t="s">
        <v>530</v>
      </c>
      <c r="AI8" s="71" t="s">
        <v>544</v>
      </c>
      <c r="AJ8" s="71" t="s">
        <v>548</v>
      </c>
      <c r="AK8" s="71" t="s">
        <v>531</v>
      </c>
      <c r="AL8" s="71" t="s">
        <v>532</v>
      </c>
      <c r="AM8" s="71" t="s">
        <v>533</v>
      </c>
      <c r="AN8" s="71" t="s">
        <v>534</v>
      </c>
      <c r="AO8" s="71" t="s">
        <v>535</v>
      </c>
      <c r="AP8" s="71" t="s">
        <v>545</v>
      </c>
      <c r="AQ8" s="71" t="s">
        <v>549</v>
      </c>
      <c r="AR8" s="71" t="s">
        <v>536</v>
      </c>
      <c r="AS8" s="71" t="s">
        <v>537</v>
      </c>
      <c r="AT8" s="71" t="s">
        <v>538</v>
      </c>
      <c r="AU8" s="71" t="s">
        <v>539</v>
      </c>
      <c r="AV8" s="71" t="s">
        <v>540</v>
      </c>
      <c r="AW8" s="71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462</v>
      </c>
      <c r="I9" s="56">
        <v>44820</v>
      </c>
      <c r="J9" t="s">
        <v>518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474</v>
      </c>
      <c r="I10" s="56">
        <v>45727</v>
      </c>
      <c r="J10" t="s">
        <v>518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463</v>
      </c>
      <c r="I11" s="56">
        <v>45316</v>
      </c>
      <c r="J11" t="s">
        <v>518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465</v>
      </c>
      <c r="I12" s="56">
        <v>44706</v>
      </c>
      <c r="J12" t="s">
        <v>518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424</v>
      </c>
      <c r="I13" s="56">
        <v>44819</v>
      </c>
      <c r="J13" t="s">
        <v>518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438</v>
      </c>
      <c r="I14" s="56">
        <v>45334</v>
      </c>
      <c r="J14" t="s">
        <v>518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440</v>
      </c>
      <c r="I15" s="56">
        <v>45429</v>
      </c>
      <c r="J15" t="s">
        <v>518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443</v>
      </c>
      <c r="I16" s="56">
        <v>45142</v>
      </c>
      <c r="J16" t="s">
        <v>518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432</v>
      </c>
      <c r="I17" s="56">
        <v>44687</v>
      </c>
      <c r="J17" t="s">
        <v>518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444</v>
      </c>
      <c r="I18" s="56">
        <v>44716</v>
      </c>
      <c r="J18" t="s">
        <v>518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471</v>
      </c>
      <c r="I19" s="56">
        <v>45700</v>
      </c>
      <c r="J19" t="s">
        <v>518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445</v>
      </c>
      <c r="I20" s="56">
        <v>45371</v>
      </c>
      <c r="J20" t="s">
        <v>518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446</v>
      </c>
      <c r="I21" s="56">
        <v>45348</v>
      </c>
      <c r="J21" t="s">
        <v>518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403</v>
      </c>
      <c r="I22" s="56">
        <v>45304</v>
      </c>
      <c r="J22" t="s">
        <v>518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404</v>
      </c>
      <c r="I23" s="56">
        <v>45334</v>
      </c>
      <c r="J23" t="s">
        <v>518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405</v>
      </c>
      <c r="I24" s="56">
        <v>44870</v>
      </c>
      <c r="J24" t="s">
        <v>518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406</v>
      </c>
      <c r="I25" s="56">
        <v>45530</v>
      </c>
      <c r="J25" t="s">
        <v>518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475</v>
      </c>
      <c r="I26" s="56">
        <v>45721</v>
      </c>
      <c r="J26" t="s">
        <v>518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407</v>
      </c>
      <c r="I27" s="56">
        <v>44259</v>
      </c>
      <c r="J27" t="s">
        <v>518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409</v>
      </c>
      <c r="I28" s="56">
        <v>44840</v>
      </c>
      <c r="J28" t="s">
        <v>518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411</v>
      </c>
      <c r="I29" s="56">
        <v>44470</v>
      </c>
      <c r="J29" t="s">
        <v>518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413</v>
      </c>
      <c r="I30" s="56">
        <v>44945</v>
      </c>
      <c r="J30" t="s">
        <v>518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468</v>
      </c>
      <c r="I31" s="56">
        <v>44951</v>
      </c>
      <c r="J31" t="s">
        <v>518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396</v>
      </c>
      <c r="I32" s="56">
        <v>44811</v>
      </c>
      <c r="J32" t="s">
        <v>518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397</v>
      </c>
      <c r="I33" s="56">
        <v>44811</v>
      </c>
      <c r="J33" t="s">
        <v>518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398</v>
      </c>
      <c r="I34" s="56">
        <v>44811</v>
      </c>
      <c r="J34" t="s">
        <v>518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399</v>
      </c>
      <c r="I35" s="56">
        <v>45457</v>
      </c>
      <c r="J35" t="s">
        <v>518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400</v>
      </c>
      <c r="I36" s="56">
        <v>45075</v>
      </c>
      <c r="J36" t="s">
        <v>518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408</v>
      </c>
      <c r="I37" s="56">
        <v>44748</v>
      </c>
      <c r="J37" t="s">
        <v>518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401</v>
      </c>
      <c r="I38" s="56">
        <v>44888</v>
      </c>
      <c r="J38" t="s">
        <v>518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402</v>
      </c>
      <c r="I39" s="56">
        <v>45334</v>
      </c>
      <c r="J39" t="s">
        <v>518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469</v>
      </c>
      <c r="I40" s="56">
        <v>44566</v>
      </c>
      <c r="J40" t="s">
        <v>518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414</v>
      </c>
      <c r="I41" s="56">
        <v>44357</v>
      </c>
      <c r="J41" t="s">
        <v>518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415</v>
      </c>
      <c r="I42" s="56">
        <v>44673</v>
      </c>
      <c r="J42" t="s">
        <v>518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441</v>
      </c>
      <c r="I43" s="56">
        <v>45506</v>
      </c>
      <c r="J43" t="s">
        <v>518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416</v>
      </c>
      <c r="I44" s="56">
        <v>43132</v>
      </c>
      <c r="J44" t="s">
        <v>518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417</v>
      </c>
      <c r="I45" s="56">
        <v>44748</v>
      </c>
      <c r="J45" t="s">
        <v>518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419</v>
      </c>
      <c r="I46" s="56">
        <v>45334</v>
      </c>
      <c r="J46" t="s">
        <v>518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470</v>
      </c>
      <c r="I47" s="56">
        <v>44993</v>
      </c>
      <c r="J47" t="s">
        <v>518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420</v>
      </c>
      <c r="I48" s="56">
        <v>45441</v>
      </c>
      <c r="J48" t="s">
        <v>518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421</v>
      </c>
      <c r="I49" s="56">
        <v>45471</v>
      </c>
      <c r="J49" t="s">
        <v>518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422</v>
      </c>
      <c r="I50" s="56">
        <v>44941</v>
      </c>
      <c r="J50" t="s">
        <v>518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476</v>
      </c>
      <c r="I51" s="56">
        <v>45727</v>
      </c>
      <c r="J51" t="s">
        <v>518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423</v>
      </c>
      <c r="I52" s="56">
        <v>45175</v>
      </c>
      <c r="J52" t="s">
        <v>518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425</v>
      </c>
      <c r="I53" s="56">
        <v>44301</v>
      </c>
      <c r="J53" t="s">
        <v>518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426</v>
      </c>
      <c r="I54" s="56">
        <v>44735</v>
      </c>
      <c r="J54" t="s">
        <v>518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427</v>
      </c>
      <c r="I55" s="56">
        <v>44909</v>
      </c>
      <c r="J55" t="s">
        <v>518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477</v>
      </c>
      <c r="I56" s="56">
        <v>45727</v>
      </c>
      <c r="J56" t="s">
        <v>518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428</v>
      </c>
      <c r="I57" s="56">
        <v>45675</v>
      </c>
      <c r="J57" t="s">
        <v>518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429</v>
      </c>
      <c r="I58" s="56">
        <v>45674</v>
      </c>
      <c r="J58" t="s">
        <v>518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430</v>
      </c>
      <c r="I59" s="56">
        <v>45423</v>
      </c>
      <c r="J59" t="s">
        <v>518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431</v>
      </c>
      <c r="I60" s="56">
        <v>45399</v>
      </c>
      <c r="J60" t="s">
        <v>518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434</v>
      </c>
      <c r="I61" s="56">
        <v>44971</v>
      </c>
      <c r="J61" t="s">
        <v>518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435</v>
      </c>
      <c r="I62" s="56">
        <v>45451</v>
      </c>
      <c r="J62" t="s">
        <v>518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436</v>
      </c>
      <c r="I63" s="56">
        <v>45145</v>
      </c>
      <c r="J63" t="s">
        <v>518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437</v>
      </c>
      <c r="I64" s="56">
        <v>44748</v>
      </c>
      <c r="J64" t="s">
        <v>518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447</v>
      </c>
      <c r="I65" s="56">
        <v>45133</v>
      </c>
      <c r="J65" t="s">
        <v>518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448</v>
      </c>
      <c r="I66" s="56">
        <v>45133</v>
      </c>
      <c r="J66" t="s">
        <v>518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472</v>
      </c>
      <c r="I67" s="56">
        <v>44104</v>
      </c>
      <c r="J67" t="s">
        <v>518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449</v>
      </c>
      <c r="I68" s="56">
        <v>45285</v>
      </c>
      <c r="J68" t="s">
        <v>518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450</v>
      </c>
      <c r="I69" s="56">
        <v>45334</v>
      </c>
      <c r="J69" t="s">
        <v>518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451</v>
      </c>
      <c r="I70" s="56">
        <v>44937</v>
      </c>
      <c r="J70" t="s">
        <v>518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452</v>
      </c>
      <c r="I71" s="56">
        <v>42814</v>
      </c>
      <c r="J71" t="s">
        <v>518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454</v>
      </c>
      <c r="I72" s="56">
        <v>45021</v>
      </c>
      <c r="J72" t="s">
        <v>518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455</v>
      </c>
      <c r="I73" s="56">
        <v>44869</v>
      </c>
      <c r="J73" t="s">
        <v>518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456</v>
      </c>
      <c r="I74" s="56">
        <v>45364</v>
      </c>
      <c r="J74" t="s">
        <v>518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439</v>
      </c>
      <c r="I75" s="56">
        <v>45323</v>
      </c>
      <c r="J75" t="s">
        <v>518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453</v>
      </c>
      <c r="I76" s="56">
        <v>45671</v>
      </c>
      <c r="J76" t="s">
        <v>518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433</v>
      </c>
      <c r="I77" s="56">
        <v>44510</v>
      </c>
      <c r="J77" t="s">
        <v>518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412</v>
      </c>
      <c r="I78" s="56">
        <v>45668</v>
      </c>
      <c r="J78" t="s">
        <v>518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442</v>
      </c>
      <c r="I79" s="56">
        <v>45082</v>
      </c>
      <c r="J79" t="s">
        <v>518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438</v>
      </c>
      <c r="I3" s="56">
        <v>45334</v>
      </c>
      <c r="J3" t="s">
        <v>518</v>
      </c>
      <c r="L3" s="56"/>
      <c r="M3" s="33">
        <v>2025</v>
      </c>
      <c r="N3" s="33" t="s">
        <v>142</v>
      </c>
      <c r="O3" s="33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473</v>
      </c>
      <c r="I4" s="56">
        <v>45727</v>
      </c>
      <c r="J4" t="s">
        <v>518</v>
      </c>
      <c r="L4" s="56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458</v>
      </c>
      <c r="I5" s="56">
        <v>45299</v>
      </c>
      <c r="J5" t="s">
        <v>518</v>
      </c>
      <c r="L5" s="56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461</v>
      </c>
      <c r="I6" s="56">
        <v>44111</v>
      </c>
      <c r="J6" t="s">
        <v>518</v>
      </c>
      <c r="L6" s="56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462</v>
      </c>
      <c r="I7" s="56">
        <v>44820</v>
      </c>
      <c r="J7" t="s">
        <v>518</v>
      </c>
      <c r="L7" s="56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474</v>
      </c>
      <c r="I8" s="56">
        <v>45727</v>
      </c>
      <c r="J8" t="s">
        <v>518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550</v>
      </c>
      <c r="T8" s="71" t="s">
        <v>520</v>
      </c>
      <c r="U8" s="71" t="s">
        <v>542</v>
      </c>
      <c r="V8" s="71" t="s">
        <v>546</v>
      </c>
      <c r="W8" s="71" t="s">
        <v>521</v>
      </c>
      <c r="X8" s="71" t="s">
        <v>522</v>
      </c>
      <c r="Y8" s="71" t="s">
        <v>523</v>
      </c>
      <c r="Z8" s="71" t="s">
        <v>524</v>
      </c>
      <c r="AA8" s="71" t="s">
        <v>525</v>
      </c>
      <c r="AB8" s="71" t="s">
        <v>543</v>
      </c>
      <c r="AC8" s="71" t="s">
        <v>547</v>
      </c>
      <c r="AD8" s="71" t="s">
        <v>526</v>
      </c>
      <c r="AE8" s="71" t="s">
        <v>527</v>
      </c>
      <c r="AF8" s="71" t="s">
        <v>528</v>
      </c>
      <c r="AG8" s="71" t="s">
        <v>529</v>
      </c>
      <c r="AH8" s="71" t="s">
        <v>530</v>
      </c>
      <c r="AI8" s="71" t="s">
        <v>544</v>
      </c>
      <c r="AJ8" s="71" t="s">
        <v>548</v>
      </c>
      <c r="AK8" s="71" t="s">
        <v>531</v>
      </c>
      <c r="AL8" s="71" t="s">
        <v>532</v>
      </c>
      <c r="AM8" s="71" t="s">
        <v>533</v>
      </c>
      <c r="AN8" s="71" t="s">
        <v>534</v>
      </c>
      <c r="AO8" s="71" t="s">
        <v>535</v>
      </c>
      <c r="AP8" s="71" t="s">
        <v>545</v>
      </c>
      <c r="AQ8" s="71" t="s">
        <v>549</v>
      </c>
      <c r="AR8" s="71" t="s">
        <v>536</v>
      </c>
      <c r="AS8" s="71" t="s">
        <v>537</v>
      </c>
      <c r="AT8" s="71" t="s">
        <v>538</v>
      </c>
      <c r="AU8" s="71" t="s">
        <v>539</v>
      </c>
      <c r="AV8" s="71" t="s">
        <v>540</v>
      </c>
      <c r="AW8" s="71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435</v>
      </c>
      <c r="I9" s="56">
        <v>45451</v>
      </c>
      <c r="J9" t="s">
        <v>518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424</v>
      </c>
      <c r="I10" s="56">
        <v>44819</v>
      </c>
      <c r="J10" t="s">
        <v>518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478</v>
      </c>
      <c r="I11" s="56">
        <v>45775</v>
      </c>
      <c r="J11" t="s">
        <v>518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459</v>
      </c>
      <c r="I12" s="56">
        <v>45590</v>
      </c>
      <c r="J12" t="s">
        <v>518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454</v>
      </c>
      <c r="I13" s="56">
        <v>45021</v>
      </c>
      <c r="J13" t="s">
        <v>518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444</v>
      </c>
      <c r="I14" s="56">
        <v>44716</v>
      </c>
      <c r="J14" t="s">
        <v>518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402</v>
      </c>
      <c r="I15" s="56">
        <v>45334</v>
      </c>
      <c r="J15" t="s">
        <v>518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471</v>
      </c>
      <c r="I16" s="56">
        <v>45700</v>
      </c>
      <c r="J16" t="s">
        <v>518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446</v>
      </c>
      <c r="I17" s="56">
        <v>45348</v>
      </c>
      <c r="J17" t="s">
        <v>518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463</v>
      </c>
      <c r="I18" s="56">
        <v>45316</v>
      </c>
      <c r="J18" t="s">
        <v>518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405</v>
      </c>
      <c r="I19" s="56">
        <v>44870</v>
      </c>
      <c r="J19" t="s">
        <v>518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398</v>
      </c>
      <c r="I20" s="56">
        <v>44811</v>
      </c>
      <c r="J20" t="s">
        <v>518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409</v>
      </c>
      <c r="I21" s="56">
        <v>44840</v>
      </c>
      <c r="J21" t="s">
        <v>518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432</v>
      </c>
      <c r="I22" s="56">
        <v>44687</v>
      </c>
      <c r="J22" t="s">
        <v>518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401</v>
      </c>
      <c r="I23" s="56">
        <v>44888</v>
      </c>
      <c r="J23" t="s">
        <v>518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445</v>
      </c>
      <c r="I24" s="56">
        <v>45371</v>
      </c>
      <c r="J24" t="s">
        <v>518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465</v>
      </c>
      <c r="I25" s="56">
        <v>44706</v>
      </c>
      <c r="J25" t="s">
        <v>518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457</v>
      </c>
      <c r="I26" s="56">
        <v>43035</v>
      </c>
      <c r="J26" t="s">
        <v>518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396</v>
      </c>
      <c r="I27" s="56">
        <v>44811</v>
      </c>
      <c r="J27" t="s">
        <v>518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397</v>
      </c>
      <c r="I28" s="56">
        <v>44811</v>
      </c>
      <c r="J28" t="s">
        <v>518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466</v>
      </c>
      <c r="I29" s="56">
        <v>45084</v>
      </c>
      <c r="J29" t="s">
        <v>518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399</v>
      </c>
      <c r="I30" s="56">
        <v>45457</v>
      </c>
      <c r="J30" t="s">
        <v>518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456</v>
      </c>
      <c r="I31" s="56">
        <v>45364</v>
      </c>
      <c r="J31" t="s">
        <v>518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434</v>
      </c>
      <c r="I32" s="56">
        <v>44971</v>
      </c>
      <c r="J32" t="s">
        <v>518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469</v>
      </c>
      <c r="I33" s="56">
        <v>44566</v>
      </c>
      <c r="J33" t="s">
        <v>518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447</v>
      </c>
      <c r="I34" s="56">
        <v>45133</v>
      </c>
      <c r="J34" t="s">
        <v>518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441</v>
      </c>
      <c r="I35" s="56">
        <v>45506</v>
      </c>
      <c r="J35" t="s">
        <v>518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479</v>
      </c>
      <c r="I36" s="56">
        <v>45748</v>
      </c>
      <c r="J36" t="s">
        <v>518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416</v>
      </c>
      <c r="I37" s="56">
        <v>43132</v>
      </c>
      <c r="J37" t="s">
        <v>518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417</v>
      </c>
      <c r="I38" s="56">
        <v>44748</v>
      </c>
      <c r="J38" t="s">
        <v>518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419</v>
      </c>
      <c r="I39" s="56">
        <v>45334</v>
      </c>
      <c r="J39" t="s">
        <v>518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470</v>
      </c>
      <c r="I40" s="56">
        <v>44993</v>
      </c>
      <c r="J40" t="s">
        <v>518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422</v>
      </c>
      <c r="I41" s="56">
        <v>44941</v>
      </c>
      <c r="J41" t="s">
        <v>518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476</v>
      </c>
      <c r="I42" s="56">
        <v>45727</v>
      </c>
      <c r="J42" t="s">
        <v>518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423</v>
      </c>
      <c r="I43" s="56">
        <v>45175</v>
      </c>
      <c r="J43" t="s">
        <v>518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425</v>
      </c>
      <c r="I44" s="56">
        <v>44301</v>
      </c>
      <c r="J44" t="s">
        <v>518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426</v>
      </c>
      <c r="I45" s="56">
        <v>44735</v>
      </c>
      <c r="J45" t="s">
        <v>518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472</v>
      </c>
      <c r="I46" s="56">
        <v>44104</v>
      </c>
      <c r="J46" t="s">
        <v>518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403</v>
      </c>
      <c r="I47" s="56">
        <v>45304</v>
      </c>
      <c r="J47" t="s">
        <v>518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430</v>
      </c>
      <c r="I48" s="56">
        <v>45423</v>
      </c>
      <c r="J48" t="s">
        <v>518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431</v>
      </c>
      <c r="I49" s="56">
        <v>45399</v>
      </c>
      <c r="J49" t="s">
        <v>518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443</v>
      </c>
      <c r="I50" s="56">
        <v>45142</v>
      </c>
      <c r="J50" t="s">
        <v>518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408</v>
      </c>
      <c r="I51" s="56">
        <v>44748</v>
      </c>
      <c r="J51" t="s">
        <v>518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436</v>
      </c>
      <c r="I52" s="56">
        <v>45145</v>
      </c>
      <c r="J52" t="s">
        <v>518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448</v>
      </c>
      <c r="I53" s="56">
        <v>45133</v>
      </c>
      <c r="J53" t="s">
        <v>518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477</v>
      </c>
      <c r="I54" s="56">
        <v>45727</v>
      </c>
      <c r="J54" t="s">
        <v>518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450</v>
      </c>
      <c r="I55" s="56">
        <v>45334</v>
      </c>
      <c r="J55" t="s">
        <v>518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429</v>
      </c>
      <c r="I56" s="56">
        <v>45674</v>
      </c>
      <c r="J56" t="s">
        <v>518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451</v>
      </c>
      <c r="I57" s="56">
        <v>44937</v>
      </c>
      <c r="J57" t="s">
        <v>518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455</v>
      </c>
      <c r="I58" s="56">
        <v>44869</v>
      </c>
      <c r="J58" t="s">
        <v>518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413</v>
      </c>
      <c r="I59" s="56">
        <v>44945</v>
      </c>
      <c r="J59" t="s">
        <v>518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468</v>
      </c>
      <c r="I60" s="56">
        <v>44951</v>
      </c>
      <c r="J60" t="s">
        <v>518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480</v>
      </c>
      <c r="I61" s="56">
        <v>45772</v>
      </c>
      <c r="J61" t="s">
        <v>518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427</v>
      </c>
      <c r="I62" s="56">
        <v>44909</v>
      </c>
      <c r="J62" t="s">
        <v>518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449</v>
      </c>
      <c r="I63" s="56">
        <v>45285</v>
      </c>
      <c r="J63" t="s">
        <v>518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404</v>
      </c>
      <c r="I64" s="56">
        <v>45334</v>
      </c>
      <c r="J64" t="s">
        <v>518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428</v>
      </c>
      <c r="I65" s="56">
        <v>45675</v>
      </c>
      <c r="J65" t="s">
        <v>518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406</v>
      </c>
      <c r="I66" s="56">
        <v>45530</v>
      </c>
      <c r="J66" t="s">
        <v>518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475</v>
      </c>
      <c r="I67" s="56">
        <v>45721</v>
      </c>
      <c r="J67" t="s">
        <v>518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411</v>
      </c>
      <c r="I68" s="56">
        <v>44470</v>
      </c>
      <c r="J68" t="s">
        <v>518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437</v>
      </c>
      <c r="I69" s="56">
        <v>44748</v>
      </c>
      <c r="J69" t="s">
        <v>518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438</v>
      </c>
      <c r="I3" s="56">
        <v>45334</v>
      </c>
      <c r="J3" t="s">
        <v>518</v>
      </c>
      <c r="L3" s="56"/>
      <c r="M3" s="33">
        <v>2025</v>
      </c>
      <c r="N3" s="33" t="s">
        <v>143</v>
      </c>
      <c r="O3" s="33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473</v>
      </c>
      <c r="I4" s="56">
        <v>45727</v>
      </c>
      <c r="J4" t="s">
        <v>518</v>
      </c>
      <c r="L4" s="56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458</v>
      </c>
      <c r="I5" s="56">
        <v>45299</v>
      </c>
      <c r="J5" t="s">
        <v>518</v>
      </c>
      <c r="L5" s="56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407</v>
      </c>
      <c r="I6" s="56">
        <v>44259</v>
      </c>
      <c r="J6" t="s">
        <v>518</v>
      </c>
      <c r="L6" s="56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461</v>
      </c>
      <c r="I7" s="56">
        <v>44111</v>
      </c>
      <c r="J7" t="s">
        <v>518</v>
      </c>
      <c r="L7" s="56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462</v>
      </c>
      <c r="I8" s="56">
        <v>44820</v>
      </c>
      <c r="J8" t="s">
        <v>518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550</v>
      </c>
      <c r="T8" s="71" t="s">
        <v>520</v>
      </c>
      <c r="U8" s="71" t="s">
        <v>542</v>
      </c>
      <c r="V8" s="71" t="s">
        <v>546</v>
      </c>
      <c r="W8" s="71" t="s">
        <v>521</v>
      </c>
      <c r="X8" s="71" t="s">
        <v>522</v>
      </c>
      <c r="Y8" s="71" t="s">
        <v>523</v>
      </c>
      <c r="Z8" s="71" t="s">
        <v>524</v>
      </c>
      <c r="AA8" s="71" t="s">
        <v>525</v>
      </c>
      <c r="AB8" s="71" t="s">
        <v>543</v>
      </c>
      <c r="AC8" s="71" t="s">
        <v>547</v>
      </c>
      <c r="AD8" s="71" t="s">
        <v>526</v>
      </c>
      <c r="AE8" s="71" t="s">
        <v>527</v>
      </c>
      <c r="AF8" s="71" t="s">
        <v>528</v>
      </c>
      <c r="AG8" s="71" t="s">
        <v>529</v>
      </c>
      <c r="AH8" s="71" t="s">
        <v>530</v>
      </c>
      <c r="AI8" s="71" t="s">
        <v>544</v>
      </c>
      <c r="AJ8" s="71" t="s">
        <v>548</v>
      </c>
      <c r="AK8" s="71" t="s">
        <v>531</v>
      </c>
      <c r="AL8" s="71" t="s">
        <v>532</v>
      </c>
      <c r="AM8" s="71" t="s">
        <v>533</v>
      </c>
      <c r="AN8" s="71" t="s">
        <v>534</v>
      </c>
      <c r="AO8" s="71" t="s">
        <v>535</v>
      </c>
      <c r="AP8" s="71" t="s">
        <v>545</v>
      </c>
      <c r="AQ8" s="71" t="s">
        <v>549</v>
      </c>
      <c r="AR8" s="71" t="s">
        <v>536</v>
      </c>
      <c r="AS8" s="71" t="s">
        <v>537</v>
      </c>
      <c r="AT8" s="71" t="s">
        <v>538</v>
      </c>
      <c r="AU8" s="71" t="s">
        <v>539</v>
      </c>
      <c r="AV8" s="71" t="s">
        <v>540</v>
      </c>
      <c r="AW8" s="71" t="s">
        <v>541</v>
      </c>
      <c r="AX8" s="65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474</v>
      </c>
      <c r="I9" s="56">
        <v>45727</v>
      </c>
      <c r="J9" t="s">
        <v>518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435</v>
      </c>
      <c r="I10" s="56">
        <v>45451</v>
      </c>
      <c r="J10" t="s">
        <v>518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424</v>
      </c>
      <c r="I11" s="56">
        <v>44819</v>
      </c>
      <c r="J11" t="s">
        <v>518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481</v>
      </c>
      <c r="I12" s="56">
        <v>45798</v>
      </c>
      <c r="J12" t="s">
        <v>518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427</v>
      </c>
      <c r="I13" s="56">
        <v>44909</v>
      </c>
      <c r="J13" t="s">
        <v>518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459</v>
      </c>
      <c r="I14" s="56">
        <v>45590</v>
      </c>
      <c r="J14" t="s">
        <v>518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454</v>
      </c>
      <c r="I15" s="56">
        <v>45021</v>
      </c>
      <c r="J15" t="s">
        <v>518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444</v>
      </c>
      <c r="I16" s="56">
        <v>44716</v>
      </c>
      <c r="J16" t="s">
        <v>518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402</v>
      </c>
      <c r="I17" s="56">
        <v>45334</v>
      </c>
      <c r="J17" t="s">
        <v>518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471</v>
      </c>
      <c r="I18" s="56">
        <v>45700</v>
      </c>
      <c r="J18" t="s">
        <v>518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446</v>
      </c>
      <c r="I19" s="56">
        <v>45348</v>
      </c>
      <c r="J19" t="s">
        <v>518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404</v>
      </c>
      <c r="I20" s="56">
        <v>45334</v>
      </c>
      <c r="J20" t="s">
        <v>518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405</v>
      </c>
      <c r="I21" s="56">
        <v>44870</v>
      </c>
      <c r="J21" t="s">
        <v>518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398</v>
      </c>
      <c r="I22" s="56">
        <v>44811</v>
      </c>
      <c r="J22" t="s">
        <v>518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409</v>
      </c>
      <c r="I23" s="56">
        <v>44840</v>
      </c>
      <c r="J23" t="s">
        <v>518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432</v>
      </c>
      <c r="I24" s="56">
        <v>44687</v>
      </c>
      <c r="J24" t="s">
        <v>518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401</v>
      </c>
      <c r="I25" s="56">
        <v>44888</v>
      </c>
      <c r="J25" t="s">
        <v>518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445</v>
      </c>
      <c r="I26" s="56">
        <v>45371</v>
      </c>
      <c r="J26" t="s">
        <v>518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482</v>
      </c>
      <c r="I27" s="56">
        <v>45798</v>
      </c>
      <c r="J27" t="s">
        <v>518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465</v>
      </c>
      <c r="I28" s="56">
        <v>44706</v>
      </c>
      <c r="J28" t="s">
        <v>518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457</v>
      </c>
      <c r="I29" s="56">
        <v>43035</v>
      </c>
      <c r="J29" t="s">
        <v>518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395</v>
      </c>
      <c r="I30" s="56">
        <v>44461</v>
      </c>
      <c r="J30" t="s">
        <v>518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396</v>
      </c>
      <c r="I31" s="56">
        <v>44811</v>
      </c>
      <c r="J31" t="s">
        <v>518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397</v>
      </c>
      <c r="I32" s="56">
        <v>44811</v>
      </c>
      <c r="J32" t="s">
        <v>518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466</v>
      </c>
      <c r="I33" s="56">
        <v>45084</v>
      </c>
      <c r="J33" t="s">
        <v>518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399</v>
      </c>
      <c r="I34" s="56">
        <v>45457</v>
      </c>
      <c r="J34" t="s">
        <v>518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456</v>
      </c>
      <c r="I35" s="56">
        <v>45364</v>
      </c>
      <c r="J35" t="s">
        <v>518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434</v>
      </c>
      <c r="I36" s="56">
        <v>44971</v>
      </c>
      <c r="J36" t="s">
        <v>518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469</v>
      </c>
      <c r="I37" s="56">
        <v>44566</v>
      </c>
      <c r="J37" t="s">
        <v>518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447</v>
      </c>
      <c r="I38" s="56">
        <v>45133</v>
      </c>
      <c r="J38" t="s">
        <v>518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415</v>
      </c>
      <c r="I39" s="56">
        <v>44673</v>
      </c>
      <c r="J39" t="s">
        <v>518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441</v>
      </c>
      <c r="I40" s="56">
        <v>45506</v>
      </c>
      <c r="J40" t="s">
        <v>518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479</v>
      </c>
      <c r="I41" s="56">
        <v>45748</v>
      </c>
      <c r="J41" t="s">
        <v>518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483</v>
      </c>
      <c r="I42" s="56">
        <v>45804</v>
      </c>
      <c r="J42" t="s">
        <v>518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416</v>
      </c>
      <c r="I43" s="56">
        <v>43132</v>
      </c>
      <c r="J43" t="s">
        <v>518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417</v>
      </c>
      <c r="I44" s="56">
        <v>44748</v>
      </c>
      <c r="J44" t="s">
        <v>518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418</v>
      </c>
      <c r="I45" s="56">
        <v>45523</v>
      </c>
      <c r="J45" t="s">
        <v>518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419</v>
      </c>
      <c r="I46" s="56">
        <v>45334</v>
      </c>
      <c r="J46" t="s">
        <v>518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470</v>
      </c>
      <c r="I47" s="56">
        <v>44993</v>
      </c>
      <c r="J47" t="s">
        <v>518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422</v>
      </c>
      <c r="I48" s="56">
        <v>44941</v>
      </c>
      <c r="J48" t="s">
        <v>518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423</v>
      </c>
      <c r="I49" s="56">
        <v>45175</v>
      </c>
      <c r="J49" t="s">
        <v>518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484</v>
      </c>
      <c r="I50" s="56">
        <v>45803</v>
      </c>
      <c r="J50" t="s">
        <v>518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449</v>
      </c>
      <c r="I51" s="56">
        <v>45285</v>
      </c>
      <c r="J51" t="s">
        <v>518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428</v>
      </c>
      <c r="I52" s="56">
        <v>45675</v>
      </c>
      <c r="J52" t="s">
        <v>518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443</v>
      </c>
      <c r="I53" s="56">
        <v>45142</v>
      </c>
      <c r="J53" t="s">
        <v>518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455</v>
      </c>
      <c r="I54" s="56">
        <v>44869</v>
      </c>
      <c r="J54" t="s">
        <v>518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485</v>
      </c>
      <c r="I55" s="56">
        <v>45805</v>
      </c>
      <c r="J55" t="s">
        <v>518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411</v>
      </c>
      <c r="I56" s="56">
        <v>44470</v>
      </c>
      <c r="J56" t="s">
        <v>518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468</v>
      </c>
      <c r="I57" s="56">
        <v>44951</v>
      </c>
      <c r="J57" t="s">
        <v>518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480</v>
      </c>
      <c r="I58" s="56">
        <v>45772</v>
      </c>
      <c r="J58" t="s">
        <v>518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425</v>
      </c>
      <c r="I59" s="56">
        <v>44301</v>
      </c>
      <c r="J59" t="s">
        <v>518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448</v>
      </c>
      <c r="I60" s="56">
        <v>45133</v>
      </c>
      <c r="J60" t="s">
        <v>518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403</v>
      </c>
      <c r="I61" s="56">
        <v>45304</v>
      </c>
      <c r="J61" t="s">
        <v>518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440</v>
      </c>
      <c r="I62" s="56">
        <v>45429</v>
      </c>
      <c r="J62" t="s">
        <v>518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450</v>
      </c>
      <c r="I63" s="56">
        <v>45334</v>
      </c>
      <c r="J63" t="s">
        <v>518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431</v>
      </c>
      <c r="I64" s="56">
        <v>45399</v>
      </c>
      <c r="J64" t="s">
        <v>518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451</v>
      </c>
      <c r="I65" s="56">
        <v>44937</v>
      </c>
      <c r="J65" t="s">
        <v>518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486</v>
      </c>
      <c r="I66" s="56">
        <v>45785</v>
      </c>
      <c r="J66" t="s">
        <v>518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487</v>
      </c>
      <c r="I67" s="56">
        <v>45793</v>
      </c>
      <c r="J67" t="s">
        <v>518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437</v>
      </c>
      <c r="I68" s="56">
        <v>44748</v>
      </c>
      <c r="J68" t="s">
        <v>518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426</v>
      </c>
      <c r="I69" s="56">
        <v>44735</v>
      </c>
      <c r="J69" t="s">
        <v>518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472</v>
      </c>
      <c r="I70" s="56">
        <v>44104</v>
      </c>
      <c r="J70" t="s">
        <v>518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429</v>
      </c>
      <c r="I71" s="56">
        <v>45674</v>
      </c>
      <c r="J71" t="s">
        <v>518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406</v>
      </c>
      <c r="I72" s="56">
        <v>45530</v>
      </c>
      <c r="J72" t="s">
        <v>518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430</v>
      </c>
      <c r="I73" s="56">
        <v>45423</v>
      </c>
      <c r="J73" t="s">
        <v>518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452</v>
      </c>
      <c r="I74" s="56">
        <v>42814</v>
      </c>
      <c r="J74" t="s">
        <v>518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488</v>
      </c>
      <c r="I75" s="56">
        <v>45800</v>
      </c>
      <c r="J75" t="s">
        <v>518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489</v>
      </c>
      <c r="I76" s="56">
        <v>45800</v>
      </c>
      <c r="J76" t="s">
        <v>518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436</v>
      </c>
      <c r="I77" s="56">
        <v>45145</v>
      </c>
      <c r="J77" t="s">
        <v>518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413</v>
      </c>
      <c r="I78" s="56">
        <v>44945</v>
      </c>
      <c r="J78" t="s">
        <v>518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69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395</v>
      </c>
      <c r="I3" s="68">
        <v>44459</v>
      </c>
      <c r="J3" s="68" t="s">
        <v>517</v>
      </c>
      <c r="L3" s="56"/>
      <c r="M3" s="33">
        <v>2025</v>
      </c>
      <c r="N3" s="33" t="s">
        <v>144</v>
      </c>
      <c r="O3" s="33">
        <v>21</v>
      </c>
    </row>
    <row r="4" spans="1:87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432</v>
      </c>
      <c r="I4" s="68">
        <v>44685</v>
      </c>
      <c r="J4" s="68" t="s">
        <v>517</v>
      </c>
      <c r="L4" s="56"/>
    </row>
    <row r="5" spans="1:87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425</v>
      </c>
      <c r="I5" s="68">
        <v>44824</v>
      </c>
      <c r="J5" s="68" t="s">
        <v>517</v>
      </c>
      <c r="L5" s="56"/>
    </row>
    <row r="6" spans="1:87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447</v>
      </c>
      <c r="I6" s="68">
        <v>45132</v>
      </c>
      <c r="J6" s="68" t="s">
        <v>517</v>
      </c>
      <c r="L6" s="56"/>
    </row>
    <row r="7" spans="1:87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443</v>
      </c>
      <c r="I7" s="68">
        <v>45141</v>
      </c>
      <c r="J7" s="68" t="s">
        <v>517</v>
      </c>
      <c r="L7" s="56"/>
    </row>
    <row r="8" spans="1:87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430</v>
      </c>
      <c r="I8" s="68">
        <v>45427</v>
      </c>
      <c r="J8" s="6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550</v>
      </c>
      <c r="T8" s="71" t="s">
        <v>520</v>
      </c>
      <c r="U8" s="71" t="s">
        <v>542</v>
      </c>
      <c r="V8" s="71" t="s">
        <v>546</v>
      </c>
      <c r="W8" s="71" t="s">
        <v>521</v>
      </c>
      <c r="X8" s="71" t="s">
        <v>522</v>
      </c>
      <c r="Y8" s="71" t="s">
        <v>523</v>
      </c>
      <c r="Z8" s="71" t="s">
        <v>524</v>
      </c>
      <c r="AA8" s="71" t="s">
        <v>525</v>
      </c>
      <c r="AB8" s="71" t="s">
        <v>543</v>
      </c>
      <c r="AC8" s="71" t="s">
        <v>547</v>
      </c>
      <c r="AD8" s="71" t="s">
        <v>526</v>
      </c>
      <c r="AE8" s="71" t="s">
        <v>527</v>
      </c>
      <c r="AF8" s="71" t="s">
        <v>528</v>
      </c>
      <c r="AG8" s="71" t="s">
        <v>529</v>
      </c>
      <c r="AH8" s="71" t="s">
        <v>530</v>
      </c>
      <c r="AI8" s="71" t="s">
        <v>544</v>
      </c>
      <c r="AJ8" s="71" t="s">
        <v>548</v>
      </c>
      <c r="AK8" s="71" t="s">
        <v>531</v>
      </c>
      <c r="AL8" s="71" t="s">
        <v>532</v>
      </c>
      <c r="AM8" s="71" t="s">
        <v>533</v>
      </c>
      <c r="AN8" s="71" t="s">
        <v>534</v>
      </c>
      <c r="AO8" s="71" t="s">
        <v>535</v>
      </c>
      <c r="AP8" s="71" t="s">
        <v>545</v>
      </c>
      <c r="AQ8" s="71" t="s">
        <v>549</v>
      </c>
      <c r="AR8" s="71" t="s">
        <v>536</v>
      </c>
      <c r="AS8" s="71" t="s">
        <v>537</v>
      </c>
      <c r="AT8" s="71" t="s">
        <v>538</v>
      </c>
      <c r="AU8" s="71" t="s">
        <v>539</v>
      </c>
      <c r="AV8" s="71" t="s">
        <v>540</v>
      </c>
      <c r="AW8" s="71" t="s">
        <v>541</v>
      </c>
      <c r="AX8" s="65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461</v>
      </c>
      <c r="I9" s="56">
        <v>44111</v>
      </c>
      <c r="J9" t="s">
        <v>518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458</v>
      </c>
      <c r="I10" s="56">
        <v>45299</v>
      </c>
      <c r="J10" t="s">
        <v>518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407</v>
      </c>
      <c r="I11" s="56">
        <v>44259</v>
      </c>
      <c r="J11" t="s">
        <v>518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462</v>
      </c>
      <c r="I12" s="56">
        <v>44820</v>
      </c>
      <c r="J12" t="s">
        <v>518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424</v>
      </c>
      <c r="I13" s="56">
        <v>44819</v>
      </c>
      <c r="J13" t="s">
        <v>518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438</v>
      </c>
      <c r="I14" s="56">
        <v>45334</v>
      </c>
      <c r="J14" t="s">
        <v>518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474</v>
      </c>
      <c r="I15" s="56">
        <v>45727</v>
      </c>
      <c r="J15" t="s">
        <v>518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490</v>
      </c>
      <c r="I16" s="56">
        <v>45819</v>
      </c>
      <c r="J16" t="s">
        <v>518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473</v>
      </c>
      <c r="I17" s="56">
        <v>45727</v>
      </c>
      <c r="J17" t="s">
        <v>518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446</v>
      </c>
      <c r="I18" s="56">
        <v>45348</v>
      </c>
      <c r="J18" t="s">
        <v>518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427</v>
      </c>
      <c r="I19" s="56">
        <v>44909</v>
      </c>
      <c r="J19" t="s">
        <v>518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444</v>
      </c>
      <c r="I20" s="56">
        <v>44716</v>
      </c>
      <c r="J20" t="s">
        <v>518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459</v>
      </c>
      <c r="I21" s="56">
        <v>45590</v>
      </c>
      <c r="J21" t="s">
        <v>518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454</v>
      </c>
      <c r="I22" s="56">
        <v>45021</v>
      </c>
      <c r="J22" t="s">
        <v>518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402</v>
      </c>
      <c r="I23" s="56">
        <v>45334</v>
      </c>
      <c r="J23" t="s">
        <v>518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463</v>
      </c>
      <c r="I24" s="56">
        <v>45316</v>
      </c>
      <c r="J24" t="s">
        <v>518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471</v>
      </c>
      <c r="I25" s="56">
        <v>45700</v>
      </c>
      <c r="J25" t="s">
        <v>518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481</v>
      </c>
      <c r="I26" s="56">
        <v>45798</v>
      </c>
      <c r="J26" t="s">
        <v>518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398</v>
      </c>
      <c r="I27" s="56">
        <v>44811</v>
      </c>
      <c r="J27" t="s">
        <v>518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445</v>
      </c>
      <c r="I28" s="56">
        <v>45371</v>
      </c>
      <c r="J28" t="s">
        <v>518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465</v>
      </c>
      <c r="I29" s="56">
        <v>44706</v>
      </c>
      <c r="J29" t="s">
        <v>518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401</v>
      </c>
      <c r="I30" s="56">
        <v>44888</v>
      </c>
      <c r="J30" t="s">
        <v>518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405</v>
      </c>
      <c r="I31" s="56">
        <v>44870</v>
      </c>
      <c r="J31" t="s">
        <v>518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409</v>
      </c>
      <c r="I32" s="56">
        <v>44840</v>
      </c>
      <c r="J32" t="s">
        <v>518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482</v>
      </c>
      <c r="I33" s="56">
        <v>45798</v>
      </c>
      <c r="J33" t="s">
        <v>518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404</v>
      </c>
      <c r="I34" s="56">
        <v>45334</v>
      </c>
      <c r="J34" t="s">
        <v>518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457</v>
      </c>
      <c r="I35" s="56">
        <v>43035</v>
      </c>
      <c r="J35" t="s">
        <v>518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434</v>
      </c>
      <c r="I36" s="56">
        <v>44971</v>
      </c>
      <c r="J36" t="s">
        <v>518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466</v>
      </c>
      <c r="I37" s="56">
        <v>45084</v>
      </c>
      <c r="J37" t="s">
        <v>518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469</v>
      </c>
      <c r="I38" s="56">
        <v>44566</v>
      </c>
      <c r="J38" t="s">
        <v>518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397</v>
      </c>
      <c r="I39" s="56">
        <v>44811</v>
      </c>
      <c r="J39" t="s">
        <v>518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399</v>
      </c>
      <c r="I40" s="56">
        <v>45457</v>
      </c>
      <c r="J40" t="s">
        <v>518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456</v>
      </c>
      <c r="I41" s="56">
        <v>45364</v>
      </c>
      <c r="J41" t="s">
        <v>518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396</v>
      </c>
      <c r="I42" s="56">
        <v>44811</v>
      </c>
      <c r="J42" t="s">
        <v>518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418</v>
      </c>
      <c r="I43" s="56">
        <v>45523</v>
      </c>
      <c r="J43" t="s">
        <v>518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479</v>
      </c>
      <c r="I44" s="56">
        <v>45748</v>
      </c>
      <c r="J44" t="s">
        <v>518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417</v>
      </c>
      <c r="I45" s="56">
        <v>44748</v>
      </c>
      <c r="J45" t="s">
        <v>518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415</v>
      </c>
      <c r="I46" s="56">
        <v>44673</v>
      </c>
      <c r="J46" t="s">
        <v>518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419</v>
      </c>
      <c r="I47" s="56">
        <v>45334</v>
      </c>
      <c r="J47" t="s">
        <v>518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423</v>
      </c>
      <c r="I48" s="56">
        <v>45175</v>
      </c>
      <c r="J48" t="s">
        <v>518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416</v>
      </c>
      <c r="I49" s="56">
        <v>43132</v>
      </c>
      <c r="J49" t="s">
        <v>518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441</v>
      </c>
      <c r="I50" s="56">
        <v>45506</v>
      </c>
      <c r="J50" t="s">
        <v>518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483</v>
      </c>
      <c r="I51" s="56">
        <v>45804</v>
      </c>
      <c r="J51" t="s">
        <v>518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422</v>
      </c>
      <c r="I52" s="56">
        <v>44941</v>
      </c>
      <c r="J52" t="s">
        <v>518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470</v>
      </c>
      <c r="I53" s="56">
        <v>44993</v>
      </c>
      <c r="J53" t="s">
        <v>518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449</v>
      </c>
      <c r="I54" s="56">
        <v>45285</v>
      </c>
      <c r="J54" t="s">
        <v>518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428</v>
      </c>
      <c r="I55" s="56">
        <v>45675</v>
      </c>
      <c r="J55" t="s">
        <v>518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468</v>
      </c>
      <c r="I56" s="56">
        <v>44951</v>
      </c>
      <c r="J56" t="s">
        <v>518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411</v>
      </c>
      <c r="I57" s="56">
        <v>44470</v>
      </c>
      <c r="J57" t="s">
        <v>518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485</v>
      </c>
      <c r="I58" s="56">
        <v>45805</v>
      </c>
      <c r="J58" t="s">
        <v>518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480</v>
      </c>
      <c r="I59" s="56">
        <v>45772</v>
      </c>
      <c r="J59" t="s">
        <v>518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491</v>
      </c>
      <c r="I60" s="56">
        <v>45818</v>
      </c>
      <c r="J60" t="s">
        <v>518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408</v>
      </c>
      <c r="I61" s="56">
        <v>44748</v>
      </c>
      <c r="J61" t="s">
        <v>518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455</v>
      </c>
      <c r="I62" s="56">
        <v>44869</v>
      </c>
      <c r="J62" t="s">
        <v>518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484</v>
      </c>
      <c r="I63" s="56">
        <v>45803</v>
      </c>
      <c r="J63" t="s">
        <v>518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450</v>
      </c>
      <c r="I64" s="56">
        <v>45334</v>
      </c>
      <c r="J64" t="s">
        <v>518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448</v>
      </c>
      <c r="I65" s="56">
        <v>45133</v>
      </c>
      <c r="J65" t="s">
        <v>518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403</v>
      </c>
      <c r="I66" s="56">
        <v>45304</v>
      </c>
      <c r="J66" t="s">
        <v>518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435</v>
      </c>
      <c r="I67" s="56">
        <v>45451</v>
      </c>
      <c r="J67" t="s">
        <v>518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451</v>
      </c>
      <c r="I68" s="56">
        <v>44937</v>
      </c>
      <c r="J68" t="s">
        <v>518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440</v>
      </c>
      <c r="I69" s="56">
        <v>45429</v>
      </c>
      <c r="J69" t="s">
        <v>518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431</v>
      </c>
      <c r="I70" s="56">
        <v>45399</v>
      </c>
      <c r="J70" t="s">
        <v>518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487</v>
      </c>
      <c r="I71" s="56">
        <v>45793</v>
      </c>
      <c r="J71" t="s">
        <v>518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437</v>
      </c>
      <c r="I72" s="56">
        <v>44748</v>
      </c>
      <c r="J72" t="s">
        <v>518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492</v>
      </c>
      <c r="I73" s="56">
        <v>38525</v>
      </c>
      <c r="J73" t="s">
        <v>518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426</v>
      </c>
      <c r="I74" s="56">
        <v>44735</v>
      </c>
      <c r="J74" t="s">
        <v>518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413</v>
      </c>
      <c r="I75" s="56">
        <v>44945</v>
      </c>
      <c r="J75" t="s">
        <v>518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406</v>
      </c>
      <c r="I76" s="56">
        <v>45530</v>
      </c>
      <c r="J76" t="s">
        <v>518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436</v>
      </c>
      <c r="I77" s="56">
        <v>45145</v>
      </c>
      <c r="J77" t="s">
        <v>518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452</v>
      </c>
      <c r="I78" s="56">
        <v>42814</v>
      </c>
      <c r="J78" t="s">
        <v>518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472</v>
      </c>
      <c r="I79" s="56">
        <v>44104</v>
      </c>
      <c r="J79" t="s">
        <v>518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429</v>
      </c>
      <c r="I80" s="56">
        <v>45674</v>
      </c>
      <c r="J80" t="s">
        <v>518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489</v>
      </c>
      <c r="I81" s="56">
        <v>45800</v>
      </c>
      <c r="J81" t="s">
        <v>518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493</v>
      </c>
      <c r="I82" s="56">
        <v>45832</v>
      </c>
      <c r="J82" t="s">
        <v>518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464</v>
      </c>
      <c r="I83" s="56">
        <v>45399</v>
      </c>
      <c r="J83" t="s">
        <v>518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6"/>
    </row>
    <row r="2" spans="1:87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392</v>
      </c>
      <c r="I2" s="58" t="s">
        <v>575</v>
      </c>
      <c r="J2" s="60" t="s">
        <v>516</v>
      </c>
      <c r="K2" s="60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424</v>
      </c>
      <c r="I3" s="56">
        <v>44819</v>
      </c>
      <c r="J3" t="s">
        <v>518</v>
      </c>
      <c r="L3" s="56"/>
      <c r="M3" s="33">
        <v>2025</v>
      </c>
      <c r="N3" s="33" t="s">
        <v>145</v>
      </c>
      <c r="O3" s="33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461</v>
      </c>
      <c r="I4" s="56">
        <v>44111</v>
      </c>
      <c r="J4" t="s">
        <v>518</v>
      </c>
      <c r="L4" s="56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458</v>
      </c>
      <c r="I5" s="56">
        <v>45299</v>
      </c>
      <c r="J5" t="s">
        <v>518</v>
      </c>
      <c r="L5" s="56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462</v>
      </c>
      <c r="I6" s="56">
        <v>44820</v>
      </c>
      <c r="J6" t="s">
        <v>518</v>
      </c>
      <c r="L6" s="56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450</v>
      </c>
      <c r="I7" s="56">
        <v>45334</v>
      </c>
      <c r="J7" t="s">
        <v>518</v>
      </c>
      <c r="L7" s="56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407</v>
      </c>
      <c r="I8" s="56">
        <v>44259</v>
      </c>
      <c r="J8" t="s">
        <v>518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550</v>
      </c>
      <c r="T8" s="71" t="s">
        <v>520</v>
      </c>
      <c r="U8" s="71" t="s">
        <v>542</v>
      </c>
      <c r="V8" s="71" t="s">
        <v>546</v>
      </c>
      <c r="W8" s="71" t="s">
        <v>521</v>
      </c>
      <c r="X8" s="71" t="s">
        <v>522</v>
      </c>
      <c r="Y8" s="71" t="s">
        <v>523</v>
      </c>
      <c r="Z8" s="71" t="s">
        <v>524</v>
      </c>
      <c r="AA8" s="71" t="s">
        <v>525</v>
      </c>
      <c r="AB8" s="71" t="s">
        <v>543</v>
      </c>
      <c r="AC8" s="71" t="s">
        <v>547</v>
      </c>
      <c r="AD8" s="71" t="s">
        <v>526</v>
      </c>
      <c r="AE8" s="71" t="s">
        <v>527</v>
      </c>
      <c r="AF8" s="71" t="s">
        <v>528</v>
      </c>
      <c r="AG8" s="71" t="s">
        <v>529</v>
      </c>
      <c r="AH8" s="71" t="s">
        <v>530</v>
      </c>
      <c r="AI8" s="71" t="s">
        <v>544</v>
      </c>
      <c r="AJ8" s="71" t="s">
        <v>548</v>
      </c>
      <c r="AK8" s="71" t="s">
        <v>531</v>
      </c>
      <c r="AL8" s="71" t="s">
        <v>532</v>
      </c>
      <c r="AM8" s="71" t="s">
        <v>533</v>
      </c>
      <c r="AN8" s="71" t="s">
        <v>534</v>
      </c>
      <c r="AO8" s="71" t="s">
        <v>535</v>
      </c>
      <c r="AP8" s="71" t="s">
        <v>545</v>
      </c>
      <c r="AQ8" s="71" t="s">
        <v>549</v>
      </c>
      <c r="AR8" s="71" t="s">
        <v>536</v>
      </c>
      <c r="AS8" s="71" t="s">
        <v>537</v>
      </c>
      <c r="AT8" s="71" t="s">
        <v>538</v>
      </c>
      <c r="AU8" s="71" t="s">
        <v>539</v>
      </c>
      <c r="AV8" s="71" t="s">
        <v>540</v>
      </c>
      <c r="AW8" s="71" t="s">
        <v>541</v>
      </c>
      <c r="AX8" s="65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432</v>
      </c>
      <c r="I9" s="56">
        <v>44687</v>
      </c>
      <c r="J9" t="s">
        <v>518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494</v>
      </c>
      <c r="I10" s="56">
        <v>45845</v>
      </c>
      <c r="J10" t="s">
        <v>518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428</v>
      </c>
      <c r="I11" s="56">
        <v>45675</v>
      </c>
      <c r="J11" t="s">
        <v>518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464</v>
      </c>
      <c r="I12" s="56">
        <v>45399</v>
      </c>
      <c r="J12" t="s">
        <v>518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446</v>
      </c>
      <c r="I13" s="56">
        <v>45348</v>
      </c>
      <c r="J13" t="s">
        <v>518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444</v>
      </c>
      <c r="I14" s="56">
        <v>44716</v>
      </c>
      <c r="J14" t="s">
        <v>518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457</v>
      </c>
      <c r="I15" s="56">
        <v>43035</v>
      </c>
      <c r="J15" t="s">
        <v>518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402</v>
      </c>
      <c r="I16" s="56">
        <v>45334</v>
      </c>
      <c r="J16" t="s">
        <v>518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471</v>
      </c>
      <c r="I17" s="56">
        <v>45700</v>
      </c>
      <c r="J17" t="s">
        <v>518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427</v>
      </c>
      <c r="I18" s="56">
        <v>44909</v>
      </c>
      <c r="J18" t="s">
        <v>518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459</v>
      </c>
      <c r="I19" s="56">
        <v>45590</v>
      </c>
      <c r="J19" t="s">
        <v>518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454</v>
      </c>
      <c r="I20" s="56">
        <v>45021</v>
      </c>
      <c r="J20" t="s">
        <v>518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439</v>
      </c>
      <c r="I21" s="56">
        <v>45323</v>
      </c>
      <c r="J21" t="s">
        <v>518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463</v>
      </c>
      <c r="I22" s="56">
        <v>45316</v>
      </c>
      <c r="J22" t="s">
        <v>518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449</v>
      </c>
      <c r="I23" s="56">
        <v>45285</v>
      </c>
      <c r="J23" t="s">
        <v>518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404</v>
      </c>
      <c r="I24" s="56">
        <v>45334</v>
      </c>
      <c r="J24" t="s">
        <v>518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465</v>
      </c>
      <c r="I25" s="56">
        <v>44706</v>
      </c>
      <c r="J25" t="s">
        <v>518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401</v>
      </c>
      <c r="I26" s="56">
        <v>44888</v>
      </c>
      <c r="J26" t="s">
        <v>518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405</v>
      </c>
      <c r="I27" s="56">
        <v>44870</v>
      </c>
      <c r="J27" t="s">
        <v>518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445</v>
      </c>
      <c r="I28" s="56">
        <v>45371</v>
      </c>
      <c r="J28" t="s">
        <v>518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426</v>
      </c>
      <c r="I29" s="56">
        <v>44735</v>
      </c>
      <c r="J29" t="s">
        <v>518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448</v>
      </c>
      <c r="I30" s="56">
        <v>45133</v>
      </c>
      <c r="J30" t="s">
        <v>518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398</v>
      </c>
      <c r="I31" s="56">
        <v>44811</v>
      </c>
      <c r="J31" t="s">
        <v>518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482</v>
      </c>
      <c r="I32" s="56">
        <v>45798</v>
      </c>
      <c r="J32" t="s">
        <v>518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397</v>
      </c>
      <c r="I33" s="56">
        <v>44811</v>
      </c>
      <c r="J33" t="s">
        <v>518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434</v>
      </c>
      <c r="I34" s="56">
        <v>44971</v>
      </c>
      <c r="J34" t="s">
        <v>518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399</v>
      </c>
      <c r="I35" s="56">
        <v>45457</v>
      </c>
      <c r="J35" t="s">
        <v>518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466</v>
      </c>
      <c r="I36" s="56">
        <v>45084</v>
      </c>
      <c r="J36" t="s">
        <v>518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396</v>
      </c>
      <c r="I37" s="56">
        <v>44811</v>
      </c>
      <c r="J37" t="s">
        <v>518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430</v>
      </c>
      <c r="I38" s="56">
        <v>45423</v>
      </c>
      <c r="J38" t="s">
        <v>518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456</v>
      </c>
      <c r="I39" s="56">
        <v>45364</v>
      </c>
      <c r="J39" t="s">
        <v>518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395</v>
      </c>
      <c r="I40" s="56">
        <v>44461</v>
      </c>
      <c r="J40" t="s">
        <v>518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469</v>
      </c>
      <c r="I41" s="56">
        <v>44566</v>
      </c>
      <c r="J41" t="s">
        <v>518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419</v>
      </c>
      <c r="I42" s="56">
        <v>45334</v>
      </c>
      <c r="J42" t="s">
        <v>518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413</v>
      </c>
      <c r="I43" s="56">
        <v>44945</v>
      </c>
      <c r="J43" t="s">
        <v>518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417</v>
      </c>
      <c r="I44" s="56">
        <v>44748</v>
      </c>
      <c r="J44" t="s">
        <v>518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455</v>
      </c>
      <c r="I45" s="56">
        <v>44869</v>
      </c>
      <c r="J45" t="s">
        <v>518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422</v>
      </c>
      <c r="I46" s="56">
        <v>44941</v>
      </c>
      <c r="J46" t="s">
        <v>518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423</v>
      </c>
      <c r="I47" s="56">
        <v>45175</v>
      </c>
      <c r="J47" t="s">
        <v>518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416</v>
      </c>
      <c r="I48" s="56">
        <v>43132</v>
      </c>
      <c r="J48" t="s">
        <v>518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485</v>
      </c>
      <c r="I49" s="56">
        <v>45805</v>
      </c>
      <c r="J49" t="s">
        <v>518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440</v>
      </c>
      <c r="I50" s="56">
        <v>45429</v>
      </c>
      <c r="J50" t="s">
        <v>518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406</v>
      </c>
      <c r="I51" s="56">
        <v>45530</v>
      </c>
      <c r="J51" t="s">
        <v>518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468</v>
      </c>
      <c r="I52" s="56">
        <v>44951</v>
      </c>
      <c r="J52" t="s">
        <v>518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447</v>
      </c>
      <c r="I53" s="56">
        <v>45133</v>
      </c>
      <c r="J53" t="s">
        <v>518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479</v>
      </c>
      <c r="I54" s="56">
        <v>45748</v>
      </c>
      <c r="J54" t="s">
        <v>518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425</v>
      </c>
      <c r="I55" s="56">
        <v>44301</v>
      </c>
      <c r="J55" t="s">
        <v>518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435</v>
      </c>
      <c r="I56" s="56">
        <v>45451</v>
      </c>
      <c r="J56" t="s">
        <v>518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472</v>
      </c>
      <c r="I57" s="56">
        <v>44104</v>
      </c>
      <c r="J57" t="s">
        <v>518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415</v>
      </c>
      <c r="I58" s="56">
        <v>44673</v>
      </c>
      <c r="J58" t="s">
        <v>518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470</v>
      </c>
      <c r="I59" s="56">
        <v>44993</v>
      </c>
      <c r="J59" t="s">
        <v>518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408</v>
      </c>
      <c r="I60" s="56">
        <v>44748</v>
      </c>
      <c r="J60" t="s">
        <v>518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474</v>
      </c>
      <c r="I61" s="56">
        <v>45727</v>
      </c>
      <c r="J61" t="s">
        <v>518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411</v>
      </c>
      <c r="I62" s="56">
        <v>44470</v>
      </c>
      <c r="J62" t="s">
        <v>518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443</v>
      </c>
      <c r="I63" s="56">
        <v>45142</v>
      </c>
      <c r="J63" t="s">
        <v>518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441</v>
      </c>
      <c r="I64" s="56">
        <v>45506</v>
      </c>
      <c r="J64" t="s">
        <v>518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483</v>
      </c>
      <c r="I65" s="56">
        <v>45804</v>
      </c>
      <c r="J65" t="s">
        <v>518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403</v>
      </c>
      <c r="I66" s="56">
        <v>45304</v>
      </c>
      <c r="J66" t="s">
        <v>518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437</v>
      </c>
      <c r="I67" s="56">
        <v>44748</v>
      </c>
      <c r="J67" t="s">
        <v>518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451</v>
      </c>
      <c r="I68" s="56">
        <v>44937</v>
      </c>
      <c r="J68" t="s">
        <v>518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431</v>
      </c>
      <c r="I69" s="56">
        <v>45399</v>
      </c>
      <c r="J69" t="s">
        <v>518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489</v>
      </c>
      <c r="I70" s="56">
        <v>45800</v>
      </c>
      <c r="J70" t="s">
        <v>518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487</v>
      </c>
      <c r="I71" s="56">
        <v>45793</v>
      </c>
      <c r="J71" t="s">
        <v>518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410</v>
      </c>
      <c r="I72" s="56">
        <v>45344</v>
      </c>
      <c r="J72" t="s">
        <v>518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492</v>
      </c>
      <c r="I73" s="56">
        <v>38525</v>
      </c>
      <c r="J73" t="s">
        <v>518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495</v>
      </c>
      <c r="I74" s="56">
        <v>45853</v>
      </c>
      <c r="J74" t="s">
        <v>518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436</v>
      </c>
      <c r="I75" s="56">
        <v>45145</v>
      </c>
      <c r="J75" t="s">
        <v>518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409</v>
      </c>
      <c r="I76" s="56">
        <v>44840</v>
      </c>
      <c r="J76" t="s">
        <v>518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452</v>
      </c>
      <c r="I77" s="56">
        <v>42814</v>
      </c>
      <c r="J77" t="s">
        <v>518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418</v>
      </c>
      <c r="I78" s="56">
        <v>45523</v>
      </c>
      <c r="J78" t="s">
        <v>518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473</v>
      </c>
      <c r="I79" s="56">
        <v>45727</v>
      </c>
      <c r="J79" t="s">
        <v>518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480</v>
      </c>
      <c r="I80" s="56">
        <v>45772</v>
      </c>
      <c r="J80" t="s">
        <v>518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429</v>
      </c>
      <c r="I81" s="56">
        <v>45674</v>
      </c>
      <c r="J81" t="s">
        <v>518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490</v>
      </c>
      <c r="I82" s="56">
        <v>45819</v>
      </c>
      <c r="J82" t="s">
        <v>518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491</v>
      </c>
      <c r="I83" s="56">
        <v>45818</v>
      </c>
      <c r="J83" t="s">
        <v>518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481</v>
      </c>
      <c r="I84" s="56">
        <v>45798</v>
      </c>
      <c r="J84" t="s">
        <v>518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496</v>
      </c>
      <c r="I85" s="56">
        <v>45862</v>
      </c>
      <c r="J85" t="s">
        <v>518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392</v>
      </c>
      <c r="I2" s="70" t="s">
        <v>575</v>
      </c>
      <c r="J2" s="60" t="s">
        <v>516</v>
      </c>
      <c r="K2" s="60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411</v>
      </c>
      <c r="I3" s="68">
        <v>44470</v>
      </c>
      <c r="J3" s="68" t="s">
        <v>517</v>
      </c>
      <c r="L3" s="56"/>
      <c r="M3" s="33">
        <v>2025</v>
      </c>
      <c r="N3" s="33" t="s">
        <v>146</v>
      </c>
      <c r="O3" s="33">
        <v>20</v>
      </c>
    </row>
    <row r="4" spans="1:87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444</v>
      </c>
      <c r="I4" s="68">
        <v>44714</v>
      </c>
      <c r="J4" s="68" t="s">
        <v>517</v>
      </c>
      <c r="L4" s="56"/>
    </row>
    <row r="5" spans="1:87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424</v>
      </c>
      <c r="I5" s="68">
        <v>44817</v>
      </c>
      <c r="J5" s="68" t="s">
        <v>517</v>
      </c>
      <c r="L5" s="56"/>
    </row>
    <row r="6" spans="1:87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409</v>
      </c>
      <c r="I6" s="68">
        <v>44838</v>
      </c>
      <c r="J6" s="68" t="s">
        <v>517</v>
      </c>
      <c r="L6" s="56"/>
    </row>
    <row r="7" spans="1:87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413</v>
      </c>
      <c r="I7" s="68">
        <v>44943</v>
      </c>
      <c r="J7" s="68" t="s">
        <v>517</v>
      </c>
      <c r="L7" s="56"/>
    </row>
    <row r="8" spans="1:87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469</v>
      </c>
      <c r="I8" s="68">
        <v>45145</v>
      </c>
      <c r="J8" s="6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550</v>
      </c>
      <c r="T8" s="71" t="s">
        <v>520</v>
      </c>
      <c r="U8" s="71" t="s">
        <v>542</v>
      </c>
      <c r="V8" s="71" t="s">
        <v>546</v>
      </c>
      <c r="W8" s="71" t="s">
        <v>521</v>
      </c>
      <c r="X8" s="71" t="s">
        <v>522</v>
      </c>
      <c r="Y8" s="71" t="s">
        <v>523</v>
      </c>
      <c r="Z8" s="71" t="s">
        <v>524</v>
      </c>
      <c r="AA8" s="71" t="s">
        <v>525</v>
      </c>
      <c r="AB8" s="71" t="s">
        <v>543</v>
      </c>
      <c r="AC8" s="71" t="s">
        <v>547</v>
      </c>
      <c r="AD8" s="71" t="s">
        <v>526</v>
      </c>
      <c r="AE8" s="71" t="s">
        <v>527</v>
      </c>
      <c r="AF8" s="71" t="s">
        <v>528</v>
      </c>
      <c r="AG8" s="71" t="s">
        <v>529</v>
      </c>
      <c r="AH8" s="71" t="s">
        <v>530</v>
      </c>
      <c r="AI8" s="71" t="s">
        <v>544</v>
      </c>
      <c r="AJ8" s="71" t="s">
        <v>548</v>
      </c>
      <c r="AK8" s="71" t="s">
        <v>531</v>
      </c>
      <c r="AL8" s="71" t="s">
        <v>532</v>
      </c>
      <c r="AM8" s="71" t="s">
        <v>533</v>
      </c>
      <c r="AN8" s="71" t="s">
        <v>534</v>
      </c>
      <c r="AO8" s="71" t="s">
        <v>535</v>
      </c>
      <c r="AP8" s="71" t="s">
        <v>545</v>
      </c>
      <c r="AQ8" s="71" t="s">
        <v>549</v>
      </c>
      <c r="AR8" s="71" t="s">
        <v>536</v>
      </c>
      <c r="AS8" s="71" t="s">
        <v>537</v>
      </c>
      <c r="AT8" s="71" t="s">
        <v>538</v>
      </c>
      <c r="AU8" s="71" t="s">
        <v>539</v>
      </c>
      <c r="AV8" s="71" t="s">
        <v>540</v>
      </c>
      <c r="AW8" s="71" t="s">
        <v>541</v>
      </c>
      <c r="AX8" s="65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449</v>
      </c>
      <c r="I9" s="68">
        <v>45281</v>
      </c>
      <c r="J9" s="68" t="s">
        <v>517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</row>
    <row r="10" spans="1:87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441</v>
      </c>
      <c r="I10" s="68">
        <v>45511</v>
      </c>
      <c r="J10" s="68" t="s">
        <v>517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461</v>
      </c>
      <c r="I11" s="56">
        <v>44111</v>
      </c>
      <c r="J11" t="s">
        <v>518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450</v>
      </c>
      <c r="I12" s="56">
        <v>45334</v>
      </c>
      <c r="J12" t="s">
        <v>518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458</v>
      </c>
      <c r="I13" s="56">
        <v>45299</v>
      </c>
      <c r="J13" t="s">
        <v>518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407</v>
      </c>
      <c r="I14" s="56">
        <v>44259</v>
      </c>
      <c r="J14" t="s">
        <v>518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462</v>
      </c>
      <c r="I15" s="56">
        <v>44820</v>
      </c>
      <c r="J15" t="s">
        <v>518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432</v>
      </c>
      <c r="I16" s="56">
        <v>44687</v>
      </c>
      <c r="J16" t="s">
        <v>518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428</v>
      </c>
      <c r="I17" s="56">
        <v>45675</v>
      </c>
      <c r="J17" t="s">
        <v>518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494</v>
      </c>
      <c r="I18" s="56">
        <v>45845</v>
      </c>
      <c r="J18" t="s">
        <v>518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464</v>
      </c>
      <c r="I19" s="56">
        <v>45399</v>
      </c>
      <c r="J19" t="s">
        <v>518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497</v>
      </c>
      <c r="I20" s="56">
        <v>45875</v>
      </c>
      <c r="J20" t="s">
        <v>518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446</v>
      </c>
      <c r="I21" s="56">
        <v>45348</v>
      </c>
      <c r="J21" t="s">
        <v>518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459</v>
      </c>
      <c r="I22" s="56">
        <v>45590</v>
      </c>
      <c r="J22" t="s">
        <v>518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439</v>
      </c>
      <c r="I23" s="56">
        <v>45323</v>
      </c>
      <c r="J23" t="s">
        <v>518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402</v>
      </c>
      <c r="I24" s="56">
        <v>45334</v>
      </c>
      <c r="J24" t="s">
        <v>518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457</v>
      </c>
      <c r="I25" s="56">
        <v>43035</v>
      </c>
      <c r="J25" t="s">
        <v>518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427</v>
      </c>
      <c r="I26" s="56">
        <v>44909</v>
      </c>
      <c r="J26" t="s">
        <v>518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471</v>
      </c>
      <c r="I27" s="56">
        <v>45700</v>
      </c>
      <c r="J27" t="s">
        <v>518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454</v>
      </c>
      <c r="I28" s="56">
        <v>45021</v>
      </c>
      <c r="J28" t="s">
        <v>518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463</v>
      </c>
      <c r="I29" s="56">
        <v>45316</v>
      </c>
      <c r="J29" t="s">
        <v>518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498</v>
      </c>
      <c r="I30" s="56">
        <v>44644</v>
      </c>
      <c r="J30" t="s">
        <v>518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465</v>
      </c>
      <c r="I31" s="56">
        <v>44706</v>
      </c>
      <c r="J31" t="s">
        <v>518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401</v>
      </c>
      <c r="I32" s="56">
        <v>44888</v>
      </c>
      <c r="J32" t="s">
        <v>518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445</v>
      </c>
      <c r="I33" s="56">
        <v>45371</v>
      </c>
      <c r="J33" t="s">
        <v>518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404</v>
      </c>
      <c r="I34" s="56">
        <v>45334</v>
      </c>
      <c r="J34" t="s">
        <v>518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398</v>
      </c>
      <c r="I35" s="56">
        <v>44811</v>
      </c>
      <c r="J35" t="s">
        <v>518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405</v>
      </c>
      <c r="I36" s="56">
        <v>44870</v>
      </c>
      <c r="J36" t="s">
        <v>518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426</v>
      </c>
      <c r="I37" s="56">
        <v>44735</v>
      </c>
      <c r="J37" t="s">
        <v>518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499</v>
      </c>
      <c r="I38" s="56">
        <v>45882</v>
      </c>
      <c r="J38" t="s">
        <v>518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448</v>
      </c>
      <c r="I39" s="56">
        <v>45133</v>
      </c>
      <c r="J39" t="s">
        <v>518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395</v>
      </c>
      <c r="I40" s="56">
        <v>44461</v>
      </c>
      <c r="J40" t="s">
        <v>518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399</v>
      </c>
      <c r="I41" s="56">
        <v>45457</v>
      </c>
      <c r="J41" t="s">
        <v>518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434</v>
      </c>
      <c r="I42" s="56">
        <v>44971</v>
      </c>
      <c r="J42" t="s">
        <v>518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397</v>
      </c>
      <c r="I43" s="56">
        <v>44811</v>
      </c>
      <c r="J43" t="s">
        <v>518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456</v>
      </c>
      <c r="I44" s="56">
        <v>45364</v>
      </c>
      <c r="J44" t="s">
        <v>518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430</v>
      </c>
      <c r="I45" s="56">
        <v>45423</v>
      </c>
      <c r="J45" t="s">
        <v>518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466</v>
      </c>
      <c r="I46" s="56">
        <v>45084</v>
      </c>
      <c r="J46" t="s">
        <v>518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436</v>
      </c>
      <c r="I47" s="56">
        <v>45145</v>
      </c>
      <c r="J47" t="s">
        <v>518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453</v>
      </c>
      <c r="I48" s="56">
        <v>45671</v>
      </c>
      <c r="J48" t="s">
        <v>518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419</v>
      </c>
      <c r="I49" s="56">
        <v>45334</v>
      </c>
      <c r="J49" t="s">
        <v>518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423</v>
      </c>
      <c r="I50" s="56">
        <v>45175</v>
      </c>
      <c r="J50" t="s">
        <v>518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416</v>
      </c>
      <c r="I51" s="56">
        <v>43132</v>
      </c>
      <c r="J51" t="s">
        <v>518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417</v>
      </c>
      <c r="I52" s="56">
        <v>44748</v>
      </c>
      <c r="J52" t="s">
        <v>518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406</v>
      </c>
      <c r="I53" s="56">
        <v>45530</v>
      </c>
      <c r="J53" t="s">
        <v>518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440</v>
      </c>
      <c r="I54" s="56">
        <v>45429</v>
      </c>
      <c r="J54" t="s">
        <v>518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485</v>
      </c>
      <c r="I55" s="56">
        <v>45805</v>
      </c>
      <c r="J55" t="s">
        <v>518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455</v>
      </c>
      <c r="I56" s="56">
        <v>44869</v>
      </c>
      <c r="J56" t="s">
        <v>518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468</v>
      </c>
      <c r="I57" s="56">
        <v>44951</v>
      </c>
      <c r="J57" t="s">
        <v>518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422</v>
      </c>
      <c r="I58" s="56">
        <v>44941</v>
      </c>
      <c r="J58" t="s">
        <v>518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500</v>
      </c>
      <c r="I59" s="56">
        <v>45896</v>
      </c>
      <c r="J59" t="s">
        <v>518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415</v>
      </c>
      <c r="I60" s="56">
        <v>44673</v>
      </c>
      <c r="J60" t="s">
        <v>518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447</v>
      </c>
      <c r="I61" s="56">
        <v>45133</v>
      </c>
      <c r="J61" t="s">
        <v>518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479</v>
      </c>
      <c r="I62" s="56">
        <v>45748</v>
      </c>
      <c r="J62" t="s">
        <v>518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425</v>
      </c>
      <c r="I63" s="56">
        <v>44301</v>
      </c>
      <c r="J63" t="s">
        <v>518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474</v>
      </c>
      <c r="I64" s="56">
        <v>45727</v>
      </c>
      <c r="J64" t="s">
        <v>518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435</v>
      </c>
      <c r="I65" s="56">
        <v>45451</v>
      </c>
      <c r="J65" t="s">
        <v>518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443</v>
      </c>
      <c r="I66" s="56">
        <v>45142</v>
      </c>
      <c r="J66" t="s">
        <v>518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470</v>
      </c>
      <c r="I67" s="56">
        <v>44993</v>
      </c>
      <c r="J67" t="s">
        <v>518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408</v>
      </c>
      <c r="I68" s="56">
        <v>44748</v>
      </c>
      <c r="J68" t="s">
        <v>518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472</v>
      </c>
      <c r="I69" s="56">
        <v>44104</v>
      </c>
      <c r="J69" t="s">
        <v>518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431</v>
      </c>
      <c r="I70" s="56">
        <v>45399</v>
      </c>
      <c r="J70" t="s">
        <v>518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483</v>
      </c>
      <c r="I71" s="56">
        <v>45804</v>
      </c>
      <c r="J71" t="s">
        <v>518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403</v>
      </c>
      <c r="I72" s="56">
        <v>45304</v>
      </c>
      <c r="J72" t="s">
        <v>518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410</v>
      </c>
      <c r="I73" s="56">
        <v>45344</v>
      </c>
      <c r="J73" t="s">
        <v>518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487</v>
      </c>
      <c r="I74" s="56">
        <v>45793</v>
      </c>
      <c r="J74" t="s">
        <v>518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437</v>
      </c>
      <c r="I75" s="56">
        <v>44748</v>
      </c>
      <c r="J75" t="s">
        <v>518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492</v>
      </c>
      <c r="I76" s="56">
        <v>38525</v>
      </c>
      <c r="J76" t="s">
        <v>518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501</v>
      </c>
      <c r="I77" s="56">
        <v>45889</v>
      </c>
      <c r="J77" t="s">
        <v>518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502</v>
      </c>
      <c r="I78" s="56">
        <v>45399</v>
      </c>
      <c r="J78" t="s">
        <v>518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503</v>
      </c>
      <c r="I79" s="56">
        <v>45896</v>
      </c>
      <c r="J79" t="s">
        <v>518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495</v>
      </c>
      <c r="I80" s="56">
        <v>45853</v>
      </c>
      <c r="J80" t="s">
        <v>518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418</v>
      </c>
      <c r="I81" s="56">
        <v>45523</v>
      </c>
      <c r="J81" t="s">
        <v>518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452</v>
      </c>
      <c r="I82" s="56">
        <v>42814</v>
      </c>
      <c r="J82" t="s">
        <v>518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429</v>
      </c>
      <c r="I83" s="56">
        <v>45674</v>
      </c>
      <c r="J83" t="s">
        <v>518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496</v>
      </c>
      <c r="I84" s="56">
        <v>45862</v>
      </c>
      <c r="J84" t="s">
        <v>518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473</v>
      </c>
      <c r="I85" s="56">
        <v>45727</v>
      </c>
      <c r="J85" t="s">
        <v>518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491</v>
      </c>
      <c r="I86" s="56">
        <v>45818</v>
      </c>
      <c r="J86" t="s">
        <v>518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490</v>
      </c>
      <c r="I87" s="56">
        <v>45819</v>
      </c>
      <c r="J87" t="s">
        <v>518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504</v>
      </c>
      <c r="I88" s="56">
        <v>45875</v>
      </c>
      <c r="J88" t="s">
        <v>518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480</v>
      </c>
      <c r="I89" s="56">
        <v>45772</v>
      </c>
      <c r="J89" t="s">
        <v>518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505</v>
      </c>
      <c r="I90" s="56">
        <v>45895</v>
      </c>
      <c r="J90" t="s">
        <v>518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489</v>
      </c>
      <c r="I91" s="56">
        <v>45800</v>
      </c>
      <c r="J91" t="s">
        <v>518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392</v>
      </c>
      <c r="I2" s="57" t="s">
        <v>394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501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483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437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428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497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487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480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504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474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408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406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455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472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491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470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468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440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431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452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430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473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498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506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411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405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499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403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399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485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454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426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404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435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456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466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434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407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469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453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494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500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444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413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458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419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401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432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422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439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395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479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445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443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457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447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470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415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425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441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427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465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402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446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424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507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502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410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462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450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418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409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429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423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415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490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449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416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505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69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401</v>
      </c>
      <c r="I3" s="68">
        <v>44886</v>
      </c>
      <c r="J3" s="68" t="s">
        <v>517</v>
      </c>
      <c r="K3" s="56"/>
      <c r="L3" s="56"/>
      <c r="M3" s="33">
        <v>2025</v>
      </c>
      <c r="N3" s="33" t="s">
        <v>148</v>
      </c>
      <c r="O3" s="33">
        <v>22</v>
      </c>
    </row>
    <row r="4" spans="1:87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416</v>
      </c>
      <c r="I4" s="68">
        <v>45112</v>
      </c>
      <c r="J4" s="68" t="s">
        <v>517</v>
      </c>
      <c r="K4" s="56"/>
      <c r="L4" s="56"/>
    </row>
    <row r="5" spans="1:87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446</v>
      </c>
      <c r="I5" s="68">
        <v>45344</v>
      </c>
      <c r="J5" s="68" t="s">
        <v>517</v>
      </c>
      <c r="K5" s="56"/>
      <c r="L5" s="56"/>
    </row>
    <row r="6" spans="1:87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406</v>
      </c>
      <c r="I6" s="68">
        <v>45526</v>
      </c>
      <c r="J6" s="68" t="s">
        <v>517</v>
      </c>
      <c r="K6" s="56"/>
      <c r="L6" s="56"/>
    </row>
    <row r="7" spans="1:87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399</v>
      </c>
      <c r="I7" s="68">
        <v>45457</v>
      </c>
      <c r="J7" s="68" t="s">
        <v>517</v>
      </c>
      <c r="K7" s="56"/>
      <c r="L7" s="56"/>
    </row>
    <row r="8" spans="1:87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470</v>
      </c>
      <c r="I8" s="68">
        <v>44993</v>
      </c>
      <c r="J8" s="68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550</v>
      </c>
      <c r="T8" s="13" t="s">
        <v>520</v>
      </c>
      <c r="U8" s="13" t="s">
        <v>542</v>
      </c>
      <c r="V8" s="13" t="s">
        <v>546</v>
      </c>
      <c r="W8" s="13" t="s">
        <v>521</v>
      </c>
      <c r="X8" s="13" t="s">
        <v>522</v>
      </c>
      <c r="Y8" s="13" t="s">
        <v>523</v>
      </c>
      <c r="Z8" s="13" t="s">
        <v>524</v>
      </c>
      <c r="AA8" s="13" t="s">
        <v>525</v>
      </c>
      <c r="AB8" s="13" t="s">
        <v>543</v>
      </c>
      <c r="AC8" s="13" t="s">
        <v>547</v>
      </c>
      <c r="AD8" s="13" t="s">
        <v>526</v>
      </c>
      <c r="AE8" s="13" t="s">
        <v>527</v>
      </c>
      <c r="AF8" s="13" t="s">
        <v>528</v>
      </c>
      <c r="AG8" s="13" t="s">
        <v>529</v>
      </c>
      <c r="AH8" s="13" t="s">
        <v>530</v>
      </c>
      <c r="AI8" s="13" t="s">
        <v>544</v>
      </c>
      <c r="AJ8" s="13" t="s">
        <v>548</v>
      </c>
      <c r="AK8" s="13" t="s">
        <v>531</v>
      </c>
      <c r="AL8" s="13" t="s">
        <v>532</v>
      </c>
      <c r="AM8" s="13" t="s">
        <v>533</v>
      </c>
      <c r="AN8" s="13" t="s">
        <v>534</v>
      </c>
      <c r="AO8" s="13" t="s">
        <v>535</v>
      </c>
      <c r="AP8" s="13" t="s">
        <v>545</v>
      </c>
      <c r="AQ8" s="13" t="s">
        <v>549</v>
      </c>
      <c r="AR8" s="13" t="s">
        <v>536</v>
      </c>
      <c r="AS8" s="13" t="s">
        <v>537</v>
      </c>
      <c r="AT8" s="13" t="s">
        <v>538</v>
      </c>
      <c r="AU8" s="13" t="s">
        <v>539</v>
      </c>
      <c r="AV8" s="13" t="s">
        <v>540</v>
      </c>
      <c r="AW8" s="13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461</v>
      </c>
      <c r="I9" s="56">
        <v>44111</v>
      </c>
      <c r="J9" s="56" t="s">
        <v>518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483</v>
      </c>
      <c r="I10" s="56">
        <v>45804</v>
      </c>
      <c r="J10" s="56" t="s">
        <v>518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437</v>
      </c>
      <c r="I11" s="56">
        <v>44748</v>
      </c>
      <c r="J11" s="56" t="s">
        <v>518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487</v>
      </c>
      <c r="I12" s="56">
        <v>45793</v>
      </c>
      <c r="J12" s="56" t="s">
        <v>518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497</v>
      </c>
      <c r="I13" s="56">
        <v>45875</v>
      </c>
      <c r="J13" s="56" t="s">
        <v>518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501</v>
      </c>
      <c r="I14" s="56">
        <v>45889</v>
      </c>
      <c r="J14" s="56" t="s">
        <v>518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455</v>
      </c>
      <c r="I15" s="56">
        <v>44869</v>
      </c>
      <c r="J15" s="56" t="s">
        <v>518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408</v>
      </c>
      <c r="I16" s="56">
        <v>44748</v>
      </c>
      <c r="J16" s="56" t="s">
        <v>518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473</v>
      </c>
      <c r="I17" s="56">
        <v>45727</v>
      </c>
      <c r="J17" s="56" t="s">
        <v>518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504</v>
      </c>
      <c r="I18" s="56">
        <v>45875</v>
      </c>
      <c r="J18" s="56" t="s">
        <v>518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440</v>
      </c>
      <c r="I19" s="56">
        <v>45429</v>
      </c>
      <c r="J19" s="56" t="s">
        <v>518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498</v>
      </c>
      <c r="I20" s="56">
        <v>44644</v>
      </c>
      <c r="J20" s="56" t="s">
        <v>518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417</v>
      </c>
      <c r="I21" s="56">
        <v>44748</v>
      </c>
      <c r="J21" s="56" t="s">
        <v>518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491</v>
      </c>
      <c r="I22" s="56">
        <v>45818</v>
      </c>
      <c r="J22" s="56" t="s">
        <v>518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430</v>
      </c>
      <c r="I23" s="56">
        <v>45423</v>
      </c>
      <c r="J23" s="56" t="s">
        <v>518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411</v>
      </c>
      <c r="I24" s="56">
        <v>44470</v>
      </c>
      <c r="J24" s="56" t="s">
        <v>518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502</v>
      </c>
      <c r="I25" s="56">
        <v>45399</v>
      </c>
      <c r="J25" s="56" t="s">
        <v>518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506</v>
      </c>
      <c r="I26" s="56">
        <v>45917</v>
      </c>
      <c r="J26" s="56" t="s">
        <v>518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452</v>
      </c>
      <c r="I27" s="56">
        <v>42814</v>
      </c>
      <c r="J27" s="56" t="s">
        <v>518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472</v>
      </c>
      <c r="I28" s="56">
        <v>44104</v>
      </c>
      <c r="J28" s="56" t="s">
        <v>518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454</v>
      </c>
      <c r="I29" s="56">
        <v>45021</v>
      </c>
      <c r="J29" s="56" t="s">
        <v>518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499</v>
      </c>
      <c r="I30" s="56">
        <v>45882</v>
      </c>
      <c r="J30" s="56" t="s">
        <v>518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404</v>
      </c>
      <c r="I31" s="56">
        <v>45334</v>
      </c>
      <c r="J31" s="56" t="s">
        <v>518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426</v>
      </c>
      <c r="I32" s="56">
        <v>44735</v>
      </c>
      <c r="J32" s="56" t="s">
        <v>518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485</v>
      </c>
      <c r="I33" s="56">
        <v>45805</v>
      </c>
      <c r="J33" s="56" t="s">
        <v>518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405</v>
      </c>
      <c r="I34" s="56">
        <v>44870</v>
      </c>
      <c r="J34" s="56" t="s">
        <v>518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436</v>
      </c>
      <c r="I35" s="56">
        <v>45145</v>
      </c>
      <c r="J35" s="56" t="s">
        <v>518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403</v>
      </c>
      <c r="I36" s="56">
        <v>45304</v>
      </c>
      <c r="J36" s="56" t="s">
        <v>518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466</v>
      </c>
      <c r="I37" s="56">
        <v>45084</v>
      </c>
      <c r="J37" s="56" t="s">
        <v>518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456</v>
      </c>
      <c r="I38" s="56">
        <v>45364</v>
      </c>
      <c r="J38" s="56" t="s">
        <v>518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469</v>
      </c>
      <c r="I39" s="56">
        <v>44566</v>
      </c>
      <c r="J39" s="56" t="s">
        <v>518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453</v>
      </c>
      <c r="I40" s="56">
        <v>45671</v>
      </c>
      <c r="J40" s="56" t="s">
        <v>518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407</v>
      </c>
      <c r="I41" s="56">
        <v>44259</v>
      </c>
      <c r="J41" s="56" t="s">
        <v>518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435</v>
      </c>
      <c r="I42" s="56">
        <v>45451</v>
      </c>
      <c r="J42" s="56" t="s">
        <v>518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494</v>
      </c>
      <c r="I43" s="56">
        <v>45845</v>
      </c>
      <c r="J43" s="56" t="s">
        <v>518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434</v>
      </c>
      <c r="I44" s="56">
        <v>44971</v>
      </c>
      <c r="J44" s="56" t="s">
        <v>518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444</v>
      </c>
      <c r="I45" s="56">
        <v>44716</v>
      </c>
      <c r="J45" s="56" t="s">
        <v>518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458</v>
      </c>
      <c r="I46" s="56">
        <v>45299</v>
      </c>
      <c r="J46" s="56" t="s">
        <v>518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413</v>
      </c>
      <c r="I47" s="56">
        <v>44945</v>
      </c>
      <c r="J47" s="56" t="s">
        <v>518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397</v>
      </c>
      <c r="I48" s="56">
        <v>44811</v>
      </c>
      <c r="J48" s="56" t="s">
        <v>518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500</v>
      </c>
      <c r="I49" s="56">
        <v>45896</v>
      </c>
      <c r="J49" s="56" t="s">
        <v>518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422</v>
      </c>
      <c r="I50" s="56">
        <v>44941</v>
      </c>
      <c r="J50" s="56" t="s">
        <v>518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432</v>
      </c>
      <c r="I51" s="56">
        <v>44687</v>
      </c>
      <c r="J51" s="56" t="s">
        <v>518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419</v>
      </c>
      <c r="I52" s="56">
        <v>45334</v>
      </c>
      <c r="J52" s="56" t="s">
        <v>518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395</v>
      </c>
      <c r="I53" s="56">
        <v>44461</v>
      </c>
      <c r="J53" s="56" t="s">
        <v>518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439</v>
      </c>
      <c r="I54" s="56">
        <v>45323</v>
      </c>
      <c r="J54" s="56" t="s">
        <v>518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425</v>
      </c>
      <c r="I55" s="56">
        <v>44301</v>
      </c>
      <c r="J55" s="56" t="s">
        <v>518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445</v>
      </c>
      <c r="I56" s="56">
        <v>45371</v>
      </c>
      <c r="J56" s="56" t="s">
        <v>518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457</v>
      </c>
      <c r="I57" s="56">
        <v>43035</v>
      </c>
      <c r="J57" s="56" t="s">
        <v>518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479</v>
      </c>
      <c r="I58" s="56">
        <v>45748</v>
      </c>
      <c r="J58" s="56" t="s">
        <v>518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447</v>
      </c>
      <c r="I59" s="56">
        <v>45133</v>
      </c>
      <c r="J59" s="56" t="s">
        <v>518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443</v>
      </c>
      <c r="I60" s="56">
        <v>45142</v>
      </c>
      <c r="J60" s="56" t="s">
        <v>518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427</v>
      </c>
      <c r="I61" s="56">
        <v>44909</v>
      </c>
      <c r="J61" s="56" t="s">
        <v>518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441</v>
      </c>
      <c r="I62" s="56">
        <v>45506</v>
      </c>
      <c r="J62" s="56" t="s">
        <v>518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424</v>
      </c>
      <c r="I63" s="56">
        <v>44819</v>
      </c>
      <c r="J63" s="56" t="s">
        <v>518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465</v>
      </c>
      <c r="I64" s="56">
        <v>44706</v>
      </c>
      <c r="J64" s="56" t="s">
        <v>518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428</v>
      </c>
      <c r="I65" s="56">
        <v>45675</v>
      </c>
      <c r="J65" s="56" t="s">
        <v>518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431</v>
      </c>
      <c r="I66" s="56">
        <v>45399</v>
      </c>
      <c r="J66" s="56" t="s">
        <v>518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462</v>
      </c>
      <c r="I67" s="56">
        <v>44820</v>
      </c>
      <c r="J67" s="56" t="s">
        <v>518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459</v>
      </c>
      <c r="I68" s="56">
        <v>45590</v>
      </c>
      <c r="J68" s="56" t="s">
        <v>518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449</v>
      </c>
      <c r="I69" s="56">
        <v>45285</v>
      </c>
      <c r="J69" s="56" t="s">
        <v>518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415</v>
      </c>
      <c r="I70" s="56">
        <v>44673</v>
      </c>
      <c r="J70" s="56" t="s">
        <v>518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423</v>
      </c>
      <c r="I71" s="56">
        <v>45175</v>
      </c>
      <c r="J71" s="56" t="s">
        <v>518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398</v>
      </c>
      <c r="I72" s="56">
        <v>44811</v>
      </c>
      <c r="J72" s="56" t="s">
        <v>518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450</v>
      </c>
      <c r="I73" s="56">
        <v>45334</v>
      </c>
      <c r="J73" s="56" t="s">
        <v>518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429</v>
      </c>
      <c r="I74" s="56">
        <v>45674</v>
      </c>
      <c r="J74" s="56" t="s">
        <v>518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409</v>
      </c>
      <c r="I75" s="56">
        <v>44840</v>
      </c>
      <c r="J75" s="56" t="s">
        <v>518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490</v>
      </c>
      <c r="I76" s="56">
        <v>45819</v>
      </c>
      <c r="J76" s="56" t="s">
        <v>518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505</v>
      </c>
      <c r="I77" s="56">
        <v>45895</v>
      </c>
      <c r="J77" s="56" t="s">
        <v>518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418</v>
      </c>
      <c r="I78" s="56">
        <v>45523</v>
      </c>
      <c r="J78" s="56" t="s">
        <v>518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410</v>
      </c>
      <c r="I79" s="56">
        <v>45344</v>
      </c>
      <c r="J79" s="56" t="s">
        <v>518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69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462</v>
      </c>
      <c r="I3" s="68">
        <v>44818</v>
      </c>
      <c r="J3" s="68" t="s">
        <v>517</v>
      </c>
      <c r="L3" s="56"/>
      <c r="M3" s="33">
        <v>2025</v>
      </c>
      <c r="N3" s="33" t="s">
        <v>149</v>
      </c>
      <c r="O3" s="33">
        <v>21</v>
      </c>
    </row>
    <row r="4" spans="1:87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455</v>
      </c>
      <c r="I4" s="68">
        <v>44867</v>
      </c>
      <c r="J4" s="68" t="s">
        <v>517</v>
      </c>
      <c r="L4" s="56"/>
    </row>
    <row r="5" spans="1:87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405</v>
      </c>
      <c r="I5" s="68">
        <v>44868</v>
      </c>
      <c r="J5" s="68" t="s">
        <v>517</v>
      </c>
      <c r="L5" s="56"/>
    </row>
    <row r="6" spans="1:87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423</v>
      </c>
      <c r="I6" s="68">
        <v>45173</v>
      </c>
      <c r="J6" s="68" t="s">
        <v>517</v>
      </c>
      <c r="L6" s="56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432</v>
      </c>
      <c r="I7" s="56">
        <v>44687</v>
      </c>
      <c r="J7" t="s">
        <v>518</v>
      </c>
      <c r="L7" s="56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453</v>
      </c>
      <c r="I8" s="56">
        <v>45671</v>
      </c>
      <c r="J8" t="s">
        <v>518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550</v>
      </c>
      <c r="T8" s="13" t="s">
        <v>520</v>
      </c>
      <c r="U8" s="13" t="s">
        <v>542</v>
      </c>
      <c r="V8" s="13" t="s">
        <v>546</v>
      </c>
      <c r="W8" s="13" t="s">
        <v>521</v>
      </c>
      <c r="X8" s="13" t="s">
        <v>522</v>
      </c>
      <c r="Y8" s="13" t="s">
        <v>523</v>
      </c>
      <c r="Z8" s="13" t="s">
        <v>524</v>
      </c>
      <c r="AA8" s="13" t="s">
        <v>525</v>
      </c>
      <c r="AB8" s="13" t="s">
        <v>543</v>
      </c>
      <c r="AC8" s="13" t="s">
        <v>547</v>
      </c>
      <c r="AD8" s="13" t="s">
        <v>526</v>
      </c>
      <c r="AE8" s="13" t="s">
        <v>527</v>
      </c>
      <c r="AF8" s="13" t="s">
        <v>528</v>
      </c>
      <c r="AG8" s="13" t="s">
        <v>529</v>
      </c>
      <c r="AH8" s="13" t="s">
        <v>530</v>
      </c>
      <c r="AI8" s="13" t="s">
        <v>544</v>
      </c>
      <c r="AJ8" s="13" t="s">
        <v>548</v>
      </c>
      <c r="AK8" s="13" t="s">
        <v>531</v>
      </c>
      <c r="AL8" s="13" t="s">
        <v>532</v>
      </c>
      <c r="AM8" s="13" t="s">
        <v>533</v>
      </c>
      <c r="AN8" s="13" t="s">
        <v>534</v>
      </c>
      <c r="AO8" s="13" t="s">
        <v>535</v>
      </c>
      <c r="AP8" s="13" t="s">
        <v>545</v>
      </c>
      <c r="AQ8" s="13" t="s">
        <v>549</v>
      </c>
      <c r="AR8" s="13" t="s">
        <v>536</v>
      </c>
      <c r="AS8" s="13" t="s">
        <v>537</v>
      </c>
      <c r="AT8" s="13" t="s">
        <v>538</v>
      </c>
      <c r="AU8" s="13" t="s">
        <v>539</v>
      </c>
      <c r="AV8" s="13" t="s">
        <v>540</v>
      </c>
      <c r="AW8" s="13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550</v>
      </c>
      <c r="BE8" s="19" t="s">
        <v>520</v>
      </c>
      <c r="BF8" s="19" t="s">
        <v>542</v>
      </c>
      <c r="BG8" s="19" t="s">
        <v>546</v>
      </c>
      <c r="BH8" s="19" t="s">
        <v>521</v>
      </c>
      <c r="BI8" s="19" t="s">
        <v>522</v>
      </c>
      <c r="BJ8" s="19" t="s">
        <v>523</v>
      </c>
      <c r="BK8" s="19" t="s">
        <v>524</v>
      </c>
      <c r="BL8" s="19" t="s">
        <v>525</v>
      </c>
      <c r="BM8" s="19" t="s">
        <v>543</v>
      </c>
      <c r="BN8" s="19" t="s">
        <v>547</v>
      </c>
      <c r="BO8" s="19" t="s">
        <v>526</v>
      </c>
      <c r="BP8" s="19" t="s">
        <v>527</v>
      </c>
      <c r="BQ8" s="19" t="s">
        <v>528</v>
      </c>
      <c r="BR8" s="19" t="s">
        <v>529</v>
      </c>
      <c r="BS8" s="19" t="s">
        <v>530</v>
      </c>
      <c r="BT8" s="19" t="s">
        <v>544</v>
      </c>
      <c r="BU8" s="19" t="s">
        <v>548</v>
      </c>
      <c r="BV8" s="19" t="s">
        <v>531</v>
      </c>
      <c r="BW8" s="19" t="s">
        <v>532</v>
      </c>
      <c r="BX8" s="19" t="s">
        <v>533</v>
      </c>
      <c r="BY8" s="19" t="s">
        <v>534</v>
      </c>
      <c r="BZ8" s="19" t="s">
        <v>535</v>
      </c>
      <c r="CA8" s="19" t="s">
        <v>545</v>
      </c>
      <c r="CB8" s="19" t="s">
        <v>549</v>
      </c>
      <c r="CC8" s="19" t="s">
        <v>536</v>
      </c>
      <c r="CD8" s="19" t="s">
        <v>537</v>
      </c>
      <c r="CE8" s="19" t="s">
        <v>538</v>
      </c>
      <c r="CF8" s="19" t="s">
        <v>539</v>
      </c>
      <c r="CG8" s="19" t="s">
        <v>540</v>
      </c>
      <c r="CH8" s="19" t="s">
        <v>541</v>
      </c>
      <c r="CI8" s="18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469</v>
      </c>
      <c r="I9" s="56">
        <v>44566</v>
      </c>
      <c r="J9" t="s">
        <v>518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409</v>
      </c>
      <c r="I10" s="56">
        <v>44840</v>
      </c>
      <c r="J10" t="s">
        <v>518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491</v>
      </c>
      <c r="I11" s="56">
        <v>45818</v>
      </c>
      <c r="J11" t="s">
        <v>518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490</v>
      </c>
      <c r="I12" s="56">
        <v>45819</v>
      </c>
      <c r="J12" t="s">
        <v>518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505</v>
      </c>
      <c r="I13" s="56">
        <v>45895</v>
      </c>
      <c r="J13" t="s">
        <v>518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422</v>
      </c>
      <c r="I14" s="56">
        <v>44941</v>
      </c>
      <c r="J14" t="s">
        <v>518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426</v>
      </c>
      <c r="I15" s="56">
        <v>44735</v>
      </c>
      <c r="J15" t="s">
        <v>518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452</v>
      </c>
      <c r="I16" s="56">
        <v>42814</v>
      </c>
      <c r="J16" t="s">
        <v>518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456</v>
      </c>
      <c r="I17" s="56">
        <v>45364</v>
      </c>
      <c r="J17" t="s">
        <v>518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485</v>
      </c>
      <c r="I18" s="56">
        <v>45805</v>
      </c>
      <c r="J18" t="s">
        <v>518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431</v>
      </c>
      <c r="I19" s="56">
        <v>45399</v>
      </c>
      <c r="J19" t="s">
        <v>518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425</v>
      </c>
      <c r="I20" s="56">
        <v>44301</v>
      </c>
      <c r="J20" t="s">
        <v>518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436</v>
      </c>
      <c r="I21" s="56">
        <v>45145</v>
      </c>
      <c r="J21" t="s">
        <v>518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437</v>
      </c>
      <c r="I22" s="56">
        <v>44748</v>
      </c>
      <c r="J22" t="s">
        <v>518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428</v>
      </c>
      <c r="I23" s="56">
        <v>45675</v>
      </c>
      <c r="J23" t="s">
        <v>518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442</v>
      </c>
      <c r="I24" s="56">
        <v>45082</v>
      </c>
      <c r="J24" t="s">
        <v>518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466</v>
      </c>
      <c r="I25" s="56">
        <v>45084</v>
      </c>
      <c r="J25" t="s">
        <v>518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411</v>
      </c>
      <c r="I26" s="56">
        <v>44470</v>
      </c>
      <c r="J26" t="s">
        <v>518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443</v>
      </c>
      <c r="I27" s="56">
        <v>45142</v>
      </c>
      <c r="J27" t="s">
        <v>518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429</v>
      </c>
      <c r="I28" s="56">
        <v>45674</v>
      </c>
      <c r="J28" t="s">
        <v>518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502</v>
      </c>
      <c r="I29" s="56">
        <v>45399</v>
      </c>
      <c r="J29" t="s">
        <v>518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506</v>
      </c>
      <c r="I30" s="56">
        <v>45917</v>
      </c>
      <c r="J30" t="s">
        <v>518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473</v>
      </c>
      <c r="I31" s="56">
        <v>45727</v>
      </c>
      <c r="J31" t="s">
        <v>518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447</v>
      </c>
      <c r="I32" s="56">
        <v>45133</v>
      </c>
      <c r="J32" t="s">
        <v>518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450</v>
      </c>
      <c r="I33" s="56">
        <v>45334</v>
      </c>
      <c r="J33" t="s">
        <v>518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427</v>
      </c>
      <c r="I34" s="56">
        <v>44909</v>
      </c>
      <c r="J34" t="s">
        <v>518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413</v>
      </c>
      <c r="I35" s="56">
        <v>44945</v>
      </c>
      <c r="J35" t="s">
        <v>518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418</v>
      </c>
      <c r="I36" s="56">
        <v>45523</v>
      </c>
      <c r="J36" t="s">
        <v>518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417</v>
      </c>
      <c r="I37" s="56">
        <v>44748</v>
      </c>
      <c r="J37" t="s">
        <v>518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445</v>
      </c>
      <c r="I38" s="56">
        <v>45371</v>
      </c>
      <c r="J38" t="s">
        <v>518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407</v>
      </c>
      <c r="I39" s="56">
        <v>44259</v>
      </c>
      <c r="J39" t="s">
        <v>518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441</v>
      </c>
      <c r="I40" s="56">
        <v>45506</v>
      </c>
      <c r="J40" t="s">
        <v>518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397</v>
      </c>
      <c r="I41" s="56">
        <v>44811</v>
      </c>
      <c r="J41" t="s">
        <v>518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415</v>
      </c>
      <c r="I42" s="56">
        <v>44673</v>
      </c>
      <c r="J42" t="s">
        <v>518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454</v>
      </c>
      <c r="I43" s="56">
        <v>45021</v>
      </c>
      <c r="J43" t="s">
        <v>518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403</v>
      </c>
      <c r="I44" s="56">
        <v>45304</v>
      </c>
      <c r="J44" t="s">
        <v>518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459</v>
      </c>
      <c r="I45" s="56">
        <v>45590</v>
      </c>
      <c r="J45" t="s">
        <v>518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465</v>
      </c>
      <c r="I46" s="56">
        <v>44706</v>
      </c>
      <c r="J46" t="s">
        <v>518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439</v>
      </c>
      <c r="I47" s="56">
        <v>45323</v>
      </c>
      <c r="J47" t="s">
        <v>518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446</v>
      </c>
      <c r="I48" s="56">
        <v>45348</v>
      </c>
      <c r="J48" t="s">
        <v>518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444</v>
      </c>
      <c r="I49" s="56">
        <v>44716</v>
      </c>
      <c r="J49" t="s">
        <v>518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449</v>
      </c>
      <c r="I50" s="56">
        <v>45285</v>
      </c>
      <c r="J50" t="s">
        <v>518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479</v>
      </c>
      <c r="I51" s="56">
        <v>45748</v>
      </c>
      <c r="J51" t="s">
        <v>518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457</v>
      </c>
      <c r="I52" s="56">
        <v>43035</v>
      </c>
      <c r="J52" t="s">
        <v>518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498</v>
      </c>
      <c r="I53" s="56">
        <v>44644</v>
      </c>
      <c r="J53" t="s">
        <v>518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440</v>
      </c>
      <c r="I54" s="56">
        <v>45429</v>
      </c>
      <c r="J54" t="s">
        <v>518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416</v>
      </c>
      <c r="I55" s="56">
        <v>43132</v>
      </c>
      <c r="J55" t="s">
        <v>518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419</v>
      </c>
      <c r="I56" s="56">
        <v>45334</v>
      </c>
      <c r="J56" t="s">
        <v>518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461</v>
      </c>
      <c r="I57" s="56">
        <v>44111</v>
      </c>
      <c r="J57" t="s">
        <v>518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395</v>
      </c>
      <c r="I58" s="56">
        <v>44461</v>
      </c>
      <c r="J58" t="s">
        <v>518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406</v>
      </c>
      <c r="I59" s="56">
        <v>45530</v>
      </c>
      <c r="J59" t="s">
        <v>518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398</v>
      </c>
      <c r="I60" s="56">
        <v>44811</v>
      </c>
      <c r="J60" t="s">
        <v>518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458</v>
      </c>
      <c r="I61" s="56">
        <v>45299</v>
      </c>
      <c r="J61" t="s">
        <v>518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404</v>
      </c>
      <c r="I62" s="56">
        <v>45334</v>
      </c>
      <c r="J62" t="s">
        <v>518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401</v>
      </c>
      <c r="I63" s="56">
        <v>44888</v>
      </c>
      <c r="J63" t="s">
        <v>518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483</v>
      </c>
      <c r="I64" s="56">
        <v>45804</v>
      </c>
      <c r="J64" t="s">
        <v>518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424</v>
      </c>
      <c r="I65" s="56">
        <v>44819</v>
      </c>
      <c r="J65" t="s">
        <v>518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501</v>
      </c>
      <c r="I66" s="56">
        <v>45889</v>
      </c>
      <c r="J66" t="s">
        <v>518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K2" sqref="K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4"/>
      <c r="B1" s="34"/>
      <c r="C1" s="35"/>
      <c r="D1" s="35"/>
      <c r="E1" s="35"/>
      <c r="H1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447</v>
      </c>
      <c r="I3" s="56">
        <v>45133</v>
      </c>
      <c r="J3" s="56" t="s">
        <v>518</v>
      </c>
      <c r="K3" s="56"/>
      <c r="L3" s="56"/>
      <c r="M3" s="33">
        <v>2025</v>
      </c>
      <c r="N3" s="33" t="s">
        <v>176</v>
      </c>
      <c r="O3" s="33">
        <v>20</v>
      </c>
    </row>
    <row r="4" spans="1:87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425</v>
      </c>
      <c r="I4" s="56">
        <v>44301</v>
      </c>
      <c r="J4" s="56" t="s">
        <v>518</v>
      </c>
      <c r="K4" s="56"/>
      <c r="L4" s="56"/>
      <c r="N4" s="5"/>
    </row>
    <row r="5" spans="1:87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457</v>
      </c>
      <c r="I5" s="56">
        <v>43035</v>
      </c>
      <c r="J5" s="56" t="s">
        <v>518</v>
      </c>
      <c r="K5" s="56"/>
      <c r="L5" s="56"/>
      <c r="N5" s="5"/>
      <c r="BB5" s="45"/>
    </row>
    <row r="6" spans="1:87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439</v>
      </c>
      <c r="I6" s="56">
        <v>45323</v>
      </c>
      <c r="J6" s="56" t="s">
        <v>518</v>
      </c>
      <c r="K6" s="56"/>
      <c r="L6" s="56"/>
      <c r="N6" s="5"/>
    </row>
    <row r="7" spans="1:87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426</v>
      </c>
      <c r="I7" s="56">
        <v>44735</v>
      </c>
      <c r="J7" s="56" t="s">
        <v>518</v>
      </c>
      <c r="K7" s="56"/>
      <c r="L7" s="56"/>
      <c r="M7" s="1"/>
      <c r="N7" s="5"/>
    </row>
    <row r="8" spans="1:87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508</v>
      </c>
      <c r="I8" s="56">
        <v>45995</v>
      </c>
      <c r="J8" s="56" t="s">
        <v>518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550</v>
      </c>
      <c r="T8" s="13" t="s">
        <v>520</v>
      </c>
      <c r="U8" s="13" t="s">
        <v>542</v>
      </c>
      <c r="V8" s="13" t="s">
        <v>546</v>
      </c>
      <c r="W8" s="13" t="s">
        <v>521</v>
      </c>
      <c r="X8" s="13" t="s">
        <v>522</v>
      </c>
      <c r="Y8" s="13" t="s">
        <v>523</v>
      </c>
      <c r="Z8" s="13" t="s">
        <v>524</v>
      </c>
      <c r="AA8" s="13" t="s">
        <v>525</v>
      </c>
      <c r="AB8" s="13" t="s">
        <v>543</v>
      </c>
      <c r="AC8" s="13" t="s">
        <v>547</v>
      </c>
      <c r="AD8" s="13" t="s">
        <v>526</v>
      </c>
      <c r="AE8" s="13" t="s">
        <v>527</v>
      </c>
      <c r="AF8" s="13" t="s">
        <v>528</v>
      </c>
      <c r="AG8" s="13" t="s">
        <v>529</v>
      </c>
      <c r="AH8" s="13" t="s">
        <v>530</v>
      </c>
      <c r="AI8" s="13" t="s">
        <v>544</v>
      </c>
      <c r="AJ8" s="13" t="s">
        <v>548</v>
      </c>
      <c r="AK8" s="13" t="s">
        <v>531</v>
      </c>
      <c r="AL8" s="13" t="s">
        <v>532</v>
      </c>
      <c r="AM8" s="13" t="s">
        <v>533</v>
      </c>
      <c r="AN8" s="13" t="s">
        <v>534</v>
      </c>
      <c r="AO8" s="13" t="s">
        <v>535</v>
      </c>
      <c r="AP8" s="13" t="s">
        <v>545</v>
      </c>
      <c r="AQ8" s="13" t="s">
        <v>549</v>
      </c>
      <c r="AR8" s="13" t="s">
        <v>536</v>
      </c>
      <c r="AS8" s="13" t="s">
        <v>537</v>
      </c>
      <c r="AT8" s="13" t="s">
        <v>538</v>
      </c>
      <c r="AU8" s="13" t="s">
        <v>539</v>
      </c>
      <c r="AV8" s="13" t="s">
        <v>540</v>
      </c>
      <c r="AW8" s="13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550</v>
      </c>
      <c r="BE8" s="19" t="s">
        <v>520</v>
      </c>
      <c r="BF8" s="19" t="s">
        <v>542</v>
      </c>
      <c r="BG8" s="19" t="s">
        <v>546</v>
      </c>
      <c r="BH8" s="19" t="s">
        <v>521</v>
      </c>
      <c r="BI8" s="19" t="s">
        <v>522</v>
      </c>
      <c r="BJ8" s="19" t="s">
        <v>523</v>
      </c>
      <c r="BK8" s="19" t="s">
        <v>524</v>
      </c>
      <c r="BL8" s="19" t="s">
        <v>525</v>
      </c>
      <c r="BM8" s="19" t="s">
        <v>543</v>
      </c>
      <c r="BN8" s="19" t="s">
        <v>547</v>
      </c>
      <c r="BO8" s="19" t="s">
        <v>526</v>
      </c>
      <c r="BP8" s="19" t="s">
        <v>527</v>
      </c>
      <c r="BQ8" s="19" t="s">
        <v>528</v>
      </c>
      <c r="BR8" s="19" t="s">
        <v>529</v>
      </c>
      <c r="BS8" s="19" t="s">
        <v>530</v>
      </c>
      <c r="BT8" s="19" t="s">
        <v>544</v>
      </c>
      <c r="BU8" s="19" t="s">
        <v>548</v>
      </c>
      <c r="BV8" s="19" t="s">
        <v>531</v>
      </c>
      <c r="BW8" s="19" t="s">
        <v>532</v>
      </c>
      <c r="BX8" s="19" t="s">
        <v>533</v>
      </c>
      <c r="BY8" s="19" t="s">
        <v>534</v>
      </c>
      <c r="BZ8" s="19" t="s">
        <v>535</v>
      </c>
      <c r="CA8" s="19" t="s">
        <v>545</v>
      </c>
      <c r="CB8" s="19" t="s">
        <v>549</v>
      </c>
      <c r="CC8" s="19" t="s">
        <v>536</v>
      </c>
      <c r="CD8" s="19" t="s">
        <v>537</v>
      </c>
      <c r="CE8" s="19" t="s">
        <v>538</v>
      </c>
      <c r="CF8" s="19" t="s">
        <v>539</v>
      </c>
      <c r="CG8" s="19" t="s">
        <v>540</v>
      </c>
      <c r="CH8" s="19" t="s">
        <v>541</v>
      </c>
      <c r="CI8" s="18" t="s">
        <v>134</v>
      </c>
    </row>
    <row r="9" spans="1:87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415</v>
      </c>
      <c r="I9" s="56">
        <v>44673</v>
      </c>
      <c r="J9" s="56" t="s">
        <v>518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</row>
    <row r="10" spans="1:87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403</v>
      </c>
      <c r="I10" s="56">
        <v>45304</v>
      </c>
      <c r="J10" s="56" t="s">
        <v>518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</row>
    <row r="11" spans="1:87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427</v>
      </c>
      <c r="I11" s="56">
        <v>44909</v>
      </c>
      <c r="J11" s="56" t="s">
        <v>518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</row>
    <row r="12" spans="1:87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449</v>
      </c>
      <c r="I12" s="56">
        <v>45285</v>
      </c>
      <c r="J12" s="56" t="s">
        <v>518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</row>
    <row r="13" spans="1:87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440</v>
      </c>
      <c r="I13" s="56">
        <v>45429</v>
      </c>
      <c r="J13" s="56" t="s">
        <v>518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</row>
    <row r="14" spans="1:87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441</v>
      </c>
      <c r="I14" s="56">
        <v>45506</v>
      </c>
      <c r="J14" s="56" t="s">
        <v>518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466</v>
      </c>
      <c r="I15" s="56">
        <v>45084</v>
      </c>
      <c r="J15" s="56" t="s">
        <v>518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87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458</v>
      </c>
      <c r="I16" s="56">
        <v>45299</v>
      </c>
      <c r="J16" s="56" t="s">
        <v>518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450</v>
      </c>
      <c r="I17" s="56">
        <v>45334</v>
      </c>
      <c r="J17" s="56" t="s">
        <v>518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405</v>
      </c>
      <c r="I18" s="56">
        <v>44870</v>
      </c>
      <c r="J18" s="56" t="s">
        <v>518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429</v>
      </c>
      <c r="I19" s="56">
        <v>45674</v>
      </c>
      <c r="J19" s="56" t="s">
        <v>518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398</v>
      </c>
      <c r="I20" s="56">
        <v>44811</v>
      </c>
      <c r="J20" s="56" t="s">
        <v>518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406</v>
      </c>
      <c r="I21" s="56">
        <v>45530</v>
      </c>
      <c r="J21" s="56" t="s">
        <v>518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431</v>
      </c>
      <c r="I22" s="56">
        <v>45399</v>
      </c>
      <c r="J22" s="56" t="s">
        <v>518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506</v>
      </c>
      <c r="I23" s="56">
        <v>45917</v>
      </c>
      <c r="J23" s="56" t="s">
        <v>518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459</v>
      </c>
      <c r="I24" s="56">
        <v>45590</v>
      </c>
      <c r="J24" s="56" t="s">
        <v>518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452</v>
      </c>
      <c r="I25" s="56">
        <v>42814</v>
      </c>
      <c r="J25" s="56" t="s">
        <v>518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407</v>
      </c>
      <c r="I26" s="56">
        <v>44259</v>
      </c>
      <c r="J26" s="56" t="s">
        <v>518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442</v>
      </c>
      <c r="I27" s="56">
        <v>45082</v>
      </c>
      <c r="J27" s="56" t="s">
        <v>518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453</v>
      </c>
      <c r="I28" s="56">
        <v>45671</v>
      </c>
      <c r="J28" s="56" t="s">
        <v>518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454</v>
      </c>
      <c r="I29" s="56">
        <v>45021</v>
      </c>
      <c r="J29" s="56" t="s">
        <v>518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416</v>
      </c>
      <c r="I30" s="56">
        <v>43132</v>
      </c>
      <c r="J30" s="56" t="s">
        <v>518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409</v>
      </c>
      <c r="I31" s="56">
        <v>44840</v>
      </c>
      <c r="J31" s="56" t="s">
        <v>518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417</v>
      </c>
      <c r="I32" s="56">
        <v>44748</v>
      </c>
      <c r="J32" s="56" t="s">
        <v>518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418</v>
      </c>
      <c r="I33" s="56">
        <v>45523</v>
      </c>
      <c r="J33" s="56" t="s">
        <v>518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455</v>
      </c>
      <c r="I34" s="56">
        <v>44869</v>
      </c>
      <c r="J34" s="56" t="s">
        <v>518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461</v>
      </c>
      <c r="I35" s="56">
        <v>44111</v>
      </c>
      <c r="J35" s="56" t="s">
        <v>518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456</v>
      </c>
      <c r="I36" s="56">
        <v>45364</v>
      </c>
      <c r="J36" s="56" t="s">
        <v>518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419</v>
      </c>
      <c r="I37" s="56">
        <v>45334</v>
      </c>
      <c r="J37" s="56" t="s">
        <v>518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432</v>
      </c>
      <c r="I38" s="56">
        <v>44687</v>
      </c>
      <c r="J38" s="56" t="s">
        <v>518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462</v>
      </c>
      <c r="I39" s="56">
        <v>44820</v>
      </c>
      <c r="J39" s="56" t="s">
        <v>518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401</v>
      </c>
      <c r="I40" s="56">
        <v>44888</v>
      </c>
      <c r="J40" s="56" t="s">
        <v>518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485</v>
      </c>
      <c r="I41" s="56">
        <v>45805</v>
      </c>
      <c r="J41" s="56" t="s">
        <v>518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444</v>
      </c>
      <c r="I42" s="56">
        <v>44716</v>
      </c>
      <c r="J42" s="56" t="s">
        <v>518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491</v>
      </c>
      <c r="I43" s="56">
        <v>45818</v>
      </c>
      <c r="J43" s="56" t="s">
        <v>518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445</v>
      </c>
      <c r="I44" s="56">
        <v>45371</v>
      </c>
      <c r="J44" s="56" t="s">
        <v>518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469</v>
      </c>
      <c r="I45" s="56">
        <v>44566</v>
      </c>
      <c r="J45" s="56" t="s">
        <v>518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501</v>
      </c>
      <c r="I46" s="56">
        <v>45889</v>
      </c>
      <c r="J46" s="56" t="s">
        <v>518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446</v>
      </c>
      <c r="I47" s="56">
        <v>45348</v>
      </c>
      <c r="J47" s="56" t="s">
        <v>518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436</v>
      </c>
      <c r="I48" s="56">
        <v>45145</v>
      </c>
      <c r="J48" s="56" t="s">
        <v>518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423</v>
      </c>
      <c r="I49" s="56">
        <v>45175</v>
      </c>
      <c r="J49" s="56" t="s">
        <v>518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413</v>
      </c>
      <c r="I50" s="56">
        <v>44945</v>
      </c>
      <c r="J50" s="56" t="s">
        <v>518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437</v>
      </c>
      <c r="I51" s="56">
        <v>44748</v>
      </c>
      <c r="J51" s="56" t="s">
        <v>518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465</v>
      </c>
      <c r="I52" s="56">
        <v>44706</v>
      </c>
      <c r="J52" s="56" t="s">
        <v>518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424</v>
      </c>
      <c r="I53" s="56">
        <v>44819</v>
      </c>
      <c r="J53" s="56" t="s">
        <v>518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8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A2" zoomScale="70" zoomScaleNormal="70" workbookViewId="0">
      <selection activeCell="K14" sqref="K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565</v>
      </c>
      <c r="D3" s="63">
        <v>0</v>
      </c>
      <c r="E3" s="63" t="s">
        <v>125</v>
      </c>
      <c r="F3" s="62" t="s">
        <v>49</v>
      </c>
      <c r="G3" s="62"/>
      <c r="H3" s="66" t="s">
        <v>452</v>
      </c>
      <c r="I3" s="64">
        <v>43313</v>
      </c>
      <c r="J3" s="64" t="s">
        <v>517</v>
      </c>
      <c r="K3" s="64"/>
      <c r="L3" s="56"/>
      <c r="M3" s="33">
        <v>2026</v>
      </c>
      <c r="N3" s="33" t="s">
        <v>139</v>
      </c>
      <c r="O3" s="33">
        <v>22</v>
      </c>
    </row>
    <row r="4" spans="1:87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565</v>
      </c>
      <c r="D4" s="63">
        <v>0</v>
      </c>
      <c r="E4" s="63" t="s">
        <v>4</v>
      </c>
      <c r="F4" s="62" t="s">
        <v>61</v>
      </c>
      <c r="G4" s="62"/>
      <c r="H4" s="66" t="s">
        <v>427</v>
      </c>
      <c r="I4" s="64">
        <v>44907</v>
      </c>
      <c r="J4" s="64" t="s">
        <v>517</v>
      </c>
      <c r="K4" s="64"/>
      <c r="L4" s="56"/>
      <c r="N4" s="5"/>
    </row>
    <row r="5" spans="1:87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565</v>
      </c>
      <c r="D5" s="63">
        <v>0</v>
      </c>
      <c r="E5" s="63" t="s">
        <v>3</v>
      </c>
      <c r="F5" s="62" t="s">
        <v>22</v>
      </c>
      <c r="G5" s="62"/>
      <c r="H5" s="66" t="s">
        <v>458</v>
      </c>
      <c r="I5" s="64">
        <v>45295</v>
      </c>
      <c r="J5" s="64" t="s">
        <v>517</v>
      </c>
      <c r="K5" s="64"/>
      <c r="L5" s="56"/>
      <c r="N5" s="5"/>
      <c r="BY5" s="45"/>
    </row>
    <row r="6" spans="1:87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447</v>
      </c>
      <c r="I6" s="61">
        <v>45132</v>
      </c>
      <c r="J6" s="61" t="s">
        <v>518</v>
      </c>
      <c r="K6" s="61"/>
      <c r="L6" s="56"/>
      <c r="N6" s="5"/>
    </row>
    <row r="7" spans="1:87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457</v>
      </c>
      <c r="I7" s="61">
        <v>43119</v>
      </c>
      <c r="J7" s="61" t="s">
        <v>518</v>
      </c>
      <c r="K7" s="61"/>
      <c r="L7" s="56"/>
      <c r="M7" s="1"/>
      <c r="N7" s="5"/>
    </row>
    <row r="8" spans="1:87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438</v>
      </c>
      <c r="I8" s="61">
        <v>46024</v>
      </c>
      <c r="J8" s="61" t="s">
        <v>518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550</v>
      </c>
      <c r="T8" s="13" t="s">
        <v>520</v>
      </c>
      <c r="U8" s="13" t="s">
        <v>542</v>
      </c>
      <c r="V8" s="13" t="s">
        <v>546</v>
      </c>
      <c r="W8" s="13" t="s">
        <v>521</v>
      </c>
      <c r="X8" s="13" t="s">
        <v>522</v>
      </c>
      <c r="Y8" s="13" t="s">
        <v>523</v>
      </c>
      <c r="Z8" s="13" t="s">
        <v>524</v>
      </c>
      <c r="AA8" s="13" t="s">
        <v>525</v>
      </c>
      <c r="AB8" s="13" t="s">
        <v>543</v>
      </c>
      <c r="AC8" s="13" t="s">
        <v>547</v>
      </c>
      <c r="AD8" s="13" t="s">
        <v>526</v>
      </c>
      <c r="AE8" s="13" t="s">
        <v>527</v>
      </c>
      <c r="AF8" s="13" t="s">
        <v>528</v>
      </c>
      <c r="AG8" s="13" t="s">
        <v>529</v>
      </c>
      <c r="AH8" s="13" t="s">
        <v>530</v>
      </c>
      <c r="AI8" s="13" t="s">
        <v>544</v>
      </c>
      <c r="AJ8" s="13" t="s">
        <v>548</v>
      </c>
      <c r="AK8" s="13" t="s">
        <v>531</v>
      </c>
      <c r="AL8" s="13" t="s">
        <v>532</v>
      </c>
      <c r="AM8" s="13" t="s">
        <v>533</v>
      </c>
      <c r="AN8" s="13" t="s">
        <v>534</v>
      </c>
      <c r="AO8" s="13" t="s">
        <v>535</v>
      </c>
      <c r="AP8" s="13" t="s">
        <v>545</v>
      </c>
      <c r="AQ8" s="13" t="s">
        <v>549</v>
      </c>
      <c r="AR8" s="13" t="s">
        <v>536</v>
      </c>
      <c r="AS8" s="13" t="s">
        <v>537</v>
      </c>
      <c r="AT8" s="13" t="s">
        <v>538</v>
      </c>
      <c r="AU8" s="13" t="s">
        <v>539</v>
      </c>
      <c r="AV8" s="13" t="s">
        <v>540</v>
      </c>
      <c r="AW8" s="13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550</v>
      </c>
      <c r="BE8" s="19" t="s">
        <v>520</v>
      </c>
      <c r="BF8" s="19" t="s">
        <v>542</v>
      </c>
      <c r="BG8" s="19" t="s">
        <v>546</v>
      </c>
      <c r="BH8" s="19" t="s">
        <v>521</v>
      </c>
      <c r="BI8" s="19" t="s">
        <v>522</v>
      </c>
      <c r="BJ8" s="19" t="s">
        <v>523</v>
      </c>
      <c r="BK8" s="19" t="s">
        <v>524</v>
      </c>
      <c r="BL8" s="19" t="s">
        <v>525</v>
      </c>
      <c r="BM8" s="19" t="s">
        <v>543</v>
      </c>
      <c r="BN8" s="19" t="s">
        <v>547</v>
      </c>
      <c r="BO8" s="19" t="s">
        <v>526</v>
      </c>
      <c r="BP8" s="19" t="s">
        <v>527</v>
      </c>
      <c r="BQ8" s="19" t="s">
        <v>528</v>
      </c>
      <c r="BR8" s="19" t="s">
        <v>529</v>
      </c>
      <c r="BS8" s="19" t="s">
        <v>530</v>
      </c>
      <c r="BT8" s="19" t="s">
        <v>544</v>
      </c>
      <c r="BU8" s="19" t="s">
        <v>548</v>
      </c>
      <c r="BV8" s="19" t="s">
        <v>531</v>
      </c>
      <c r="BW8" s="19" t="s">
        <v>532</v>
      </c>
      <c r="BX8" s="19" t="s">
        <v>533</v>
      </c>
      <c r="BY8" s="19" t="s">
        <v>534</v>
      </c>
      <c r="BZ8" s="19" t="s">
        <v>535</v>
      </c>
      <c r="CA8" s="19" t="s">
        <v>545</v>
      </c>
      <c r="CB8" s="19" t="s">
        <v>549</v>
      </c>
      <c r="CC8" s="19" t="s">
        <v>536</v>
      </c>
      <c r="CD8" s="19" t="s">
        <v>537</v>
      </c>
      <c r="CE8" s="19" t="s">
        <v>538</v>
      </c>
      <c r="CF8" s="19" t="s">
        <v>539</v>
      </c>
      <c r="CG8" s="19" t="s">
        <v>540</v>
      </c>
      <c r="CH8" s="19" t="s">
        <v>541</v>
      </c>
      <c r="CI8" s="18" t="s">
        <v>134</v>
      </c>
    </row>
    <row r="9" spans="1:87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439</v>
      </c>
      <c r="I9" s="61">
        <v>45854</v>
      </c>
      <c r="J9" s="61" t="s">
        <v>518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</row>
    <row r="10" spans="1:87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426</v>
      </c>
      <c r="I10" s="61">
        <v>44733</v>
      </c>
      <c r="J10" s="61" t="s">
        <v>518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</row>
    <row r="11" spans="1:87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508</v>
      </c>
      <c r="I11" s="61">
        <v>45992</v>
      </c>
      <c r="J11" s="61" t="s">
        <v>518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</row>
    <row r="12" spans="1:87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415</v>
      </c>
      <c r="I12" s="61">
        <v>44671</v>
      </c>
      <c r="J12" s="61" t="s">
        <v>518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</row>
    <row r="13" spans="1:87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403</v>
      </c>
      <c r="I13" s="61">
        <v>45302</v>
      </c>
      <c r="J13" s="61" t="s">
        <v>518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209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</row>
    <row r="14" spans="1:87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449</v>
      </c>
      <c r="I14" s="61">
        <v>45281</v>
      </c>
      <c r="J14" s="61" t="s">
        <v>518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440</v>
      </c>
      <c r="I15" s="61">
        <v>45433</v>
      </c>
      <c r="J15" s="61" t="s">
        <v>518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209</v>
      </c>
      <c r="BR15" s="45"/>
      <c r="BT15" s="45"/>
      <c r="BU15" s="45"/>
      <c r="BW15" s="45"/>
    </row>
    <row r="16" spans="1:87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441</v>
      </c>
      <c r="I16" s="61">
        <v>45511</v>
      </c>
      <c r="J16" s="61" t="s">
        <v>518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393</v>
      </c>
      <c r="G17" s="36">
        <v>6131</v>
      </c>
      <c r="H17" s="34" t="s">
        <v>551</v>
      </c>
      <c r="I17" s="61">
        <v>46038</v>
      </c>
      <c r="J17" s="61" t="s">
        <v>518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209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466</v>
      </c>
      <c r="I18" s="61">
        <v>45691</v>
      </c>
      <c r="J18" s="56" t="s">
        <v>518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450</v>
      </c>
      <c r="I19" s="61">
        <v>45334</v>
      </c>
      <c r="J19" s="56" t="s">
        <v>518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209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479</v>
      </c>
      <c r="I20" s="61">
        <v>46027</v>
      </c>
      <c r="J20" s="56" t="s">
        <v>518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393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405</v>
      </c>
      <c r="I21" s="61">
        <v>44868</v>
      </c>
      <c r="J21" s="56" t="s">
        <v>518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429</v>
      </c>
      <c r="I22" s="61">
        <v>45678</v>
      </c>
      <c r="J22" s="56" t="s">
        <v>518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398</v>
      </c>
      <c r="I23" s="61">
        <v>44809</v>
      </c>
      <c r="J23" s="56" t="s">
        <v>518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209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406</v>
      </c>
      <c r="I24" s="61">
        <v>45526</v>
      </c>
      <c r="J24" s="56" t="s">
        <v>518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431</v>
      </c>
      <c r="I25" s="61">
        <v>45398</v>
      </c>
      <c r="J25" s="56" t="s">
        <v>518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407</v>
      </c>
      <c r="I26" s="61">
        <v>44257</v>
      </c>
      <c r="J26" s="56" t="s">
        <v>518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442</v>
      </c>
      <c r="I27" s="61">
        <v>45971</v>
      </c>
      <c r="J27" s="56" t="s">
        <v>518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453</v>
      </c>
      <c r="I28" s="61">
        <v>45882</v>
      </c>
      <c r="J28" s="56" t="s">
        <v>518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209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454</v>
      </c>
      <c r="I29" s="61">
        <v>45019</v>
      </c>
      <c r="J29" s="56" t="s">
        <v>518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209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416</v>
      </c>
      <c r="I30" s="61">
        <v>45112</v>
      </c>
      <c r="J30" s="56" t="s">
        <v>518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409</v>
      </c>
      <c r="I31" s="61">
        <v>44838</v>
      </c>
      <c r="J31" s="56" t="s">
        <v>518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417</v>
      </c>
      <c r="I32" s="61">
        <v>44746</v>
      </c>
      <c r="J32" s="56" t="s">
        <v>518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418</v>
      </c>
      <c r="I33" s="61">
        <v>45789</v>
      </c>
      <c r="J33" s="56" t="s">
        <v>518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209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455</v>
      </c>
      <c r="I34" s="61">
        <v>44867</v>
      </c>
      <c r="J34" s="56" t="s">
        <v>518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461</v>
      </c>
      <c r="I35" s="61">
        <v>44109</v>
      </c>
      <c r="J35" s="56" t="s">
        <v>518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209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456</v>
      </c>
      <c r="I36" s="61">
        <v>45363</v>
      </c>
      <c r="J36" s="56" t="s">
        <v>518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209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419</v>
      </c>
      <c r="I37" s="61">
        <v>45334</v>
      </c>
      <c r="J37" s="56" t="s">
        <v>518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432</v>
      </c>
      <c r="I38" s="61">
        <v>44685</v>
      </c>
      <c r="J38" s="56" t="s">
        <v>518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462</v>
      </c>
      <c r="I39" s="61">
        <v>44818</v>
      </c>
      <c r="J39" s="56" t="s">
        <v>518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209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401</v>
      </c>
      <c r="I40" s="61">
        <v>44886</v>
      </c>
      <c r="J40" s="56" t="s">
        <v>518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553</v>
      </c>
      <c r="I41" s="61">
        <v>46029</v>
      </c>
      <c r="J41" s="56" t="s">
        <v>518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209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485</v>
      </c>
      <c r="I42" s="61">
        <v>45800</v>
      </c>
      <c r="J42" s="56" t="s">
        <v>518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209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444</v>
      </c>
      <c r="I43" s="61">
        <v>44714</v>
      </c>
      <c r="J43" s="56" t="s">
        <v>518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552</v>
      </c>
      <c r="I44" s="61">
        <v>46024</v>
      </c>
      <c r="J44" s="56" t="s">
        <v>518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491</v>
      </c>
      <c r="I45" s="61">
        <v>45813</v>
      </c>
      <c r="J45" s="56" t="s">
        <v>518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209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445</v>
      </c>
      <c r="I46" s="61">
        <v>45369</v>
      </c>
      <c r="J46" s="56" t="s">
        <v>518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469</v>
      </c>
      <c r="I47" s="61">
        <v>45145</v>
      </c>
      <c r="J47" s="56" t="s">
        <v>518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501</v>
      </c>
      <c r="I48" s="61">
        <v>45884</v>
      </c>
      <c r="J48" s="56" t="s">
        <v>518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514</v>
      </c>
      <c r="G49" s="36">
        <v>14400</v>
      </c>
      <c r="H49" s="34" t="s">
        <v>515</v>
      </c>
      <c r="I49" s="61">
        <v>46041</v>
      </c>
      <c r="J49" s="56" t="s">
        <v>518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209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446</v>
      </c>
      <c r="I50" s="61">
        <v>45344</v>
      </c>
      <c r="J50" s="56" t="s">
        <v>518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209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436</v>
      </c>
      <c r="I51" s="61">
        <v>45141</v>
      </c>
      <c r="J51" s="56" t="s">
        <v>518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423</v>
      </c>
      <c r="I52" s="61">
        <v>45173</v>
      </c>
      <c r="J52" s="56" t="s">
        <v>518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514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413</v>
      </c>
      <c r="I53" s="61">
        <v>44943</v>
      </c>
      <c r="J53" s="56" t="s">
        <v>518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437</v>
      </c>
      <c r="I54" s="61">
        <v>44746</v>
      </c>
      <c r="J54" s="56" t="s">
        <v>518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465</v>
      </c>
      <c r="I55" s="61">
        <v>44704</v>
      </c>
      <c r="J55" s="56" t="s">
        <v>518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209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424</v>
      </c>
      <c r="I56" s="61">
        <v>44817</v>
      </c>
      <c r="J56" s="56" t="s">
        <v>518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209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209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7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topLeftCell="A9" zoomScale="70" zoomScaleNormal="70" workbookViewId="0">
      <selection activeCell="C19" sqref="C19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403</v>
      </c>
      <c r="I3" s="64">
        <v>45302</v>
      </c>
      <c r="J3" s="64" t="s">
        <v>517</v>
      </c>
      <c r="K3" s="61"/>
      <c r="L3" s="56"/>
      <c r="M3" s="33">
        <v>2026</v>
      </c>
      <c r="N3" s="33" t="s">
        <v>140</v>
      </c>
      <c r="O3" s="33">
        <v>21</v>
      </c>
    </row>
    <row r="4" spans="1:87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450</v>
      </c>
      <c r="I4" s="64">
        <v>45334</v>
      </c>
      <c r="J4" s="64" t="s">
        <v>517</v>
      </c>
      <c r="K4" s="61"/>
      <c r="L4" s="56"/>
      <c r="N4" s="5"/>
      <c r="S4" s="45"/>
    </row>
    <row r="5" spans="1:87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456</v>
      </c>
      <c r="I5" s="64">
        <v>45363</v>
      </c>
      <c r="J5" s="64" t="s">
        <v>517</v>
      </c>
      <c r="K5" s="61"/>
      <c r="L5" s="56"/>
      <c r="N5" s="5"/>
      <c r="S5" s="45"/>
      <c r="BQ5" s="45"/>
    </row>
    <row r="6" spans="1:87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5"/>
      <c r="H6" s="66" t="s">
        <v>445</v>
      </c>
      <c r="I6" s="68">
        <v>45369</v>
      </c>
      <c r="J6" s="68" t="s">
        <v>517</v>
      </c>
      <c r="K6" s="61"/>
      <c r="L6" s="56"/>
      <c r="N6" s="5"/>
      <c r="S6" s="45"/>
    </row>
    <row r="7" spans="1:87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5"/>
      <c r="H7" s="66" t="s">
        <v>466</v>
      </c>
      <c r="I7" s="68">
        <v>45691</v>
      </c>
      <c r="J7" s="68" t="s">
        <v>517</v>
      </c>
      <c r="K7" s="61"/>
      <c r="L7" s="56"/>
      <c r="M7" s="1"/>
      <c r="N7" s="5"/>
    </row>
    <row r="8" spans="1:87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447</v>
      </c>
      <c r="I8" s="61">
        <v>45132</v>
      </c>
      <c r="J8" s="61" t="s">
        <v>518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550</v>
      </c>
      <c r="T8" s="13" t="s">
        <v>520</v>
      </c>
      <c r="U8" s="13" t="s">
        <v>542</v>
      </c>
      <c r="V8" s="13" t="s">
        <v>546</v>
      </c>
      <c r="W8" s="13" t="s">
        <v>521</v>
      </c>
      <c r="X8" s="13" t="s">
        <v>522</v>
      </c>
      <c r="Y8" s="13" t="s">
        <v>523</v>
      </c>
      <c r="Z8" s="13" t="s">
        <v>524</v>
      </c>
      <c r="AA8" s="13" t="s">
        <v>525</v>
      </c>
      <c r="AB8" s="13" t="s">
        <v>543</v>
      </c>
      <c r="AC8" s="13" t="s">
        <v>547</v>
      </c>
      <c r="AD8" s="13" t="s">
        <v>526</v>
      </c>
      <c r="AE8" s="13" t="s">
        <v>527</v>
      </c>
      <c r="AF8" s="13" t="s">
        <v>528</v>
      </c>
      <c r="AG8" s="13" t="s">
        <v>529</v>
      </c>
      <c r="AH8" s="13" t="s">
        <v>530</v>
      </c>
      <c r="AI8" s="13" t="s">
        <v>544</v>
      </c>
      <c r="AJ8" s="13" t="s">
        <v>548</v>
      </c>
      <c r="AK8" s="13" t="s">
        <v>531</v>
      </c>
      <c r="AL8" s="13" t="s">
        <v>532</v>
      </c>
      <c r="AM8" s="13" t="s">
        <v>533</v>
      </c>
      <c r="AN8" s="13" t="s">
        <v>534</v>
      </c>
      <c r="AO8" s="13" t="s">
        <v>535</v>
      </c>
      <c r="AP8" s="13" t="s">
        <v>545</v>
      </c>
      <c r="AQ8" s="13" t="s">
        <v>549</v>
      </c>
      <c r="AR8" s="13" t="s">
        <v>536</v>
      </c>
      <c r="AS8" s="13" t="s">
        <v>537</v>
      </c>
      <c r="AT8" s="13" t="s">
        <v>538</v>
      </c>
      <c r="AU8" s="13" t="s">
        <v>539</v>
      </c>
      <c r="AV8" s="13" t="s">
        <v>540</v>
      </c>
      <c r="AW8" s="13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550</v>
      </c>
      <c r="BE8" s="19" t="s">
        <v>520</v>
      </c>
      <c r="BF8" s="19" t="s">
        <v>542</v>
      </c>
      <c r="BG8" s="19" t="s">
        <v>546</v>
      </c>
      <c r="BH8" s="19" t="s">
        <v>521</v>
      </c>
      <c r="BI8" s="19" t="s">
        <v>522</v>
      </c>
      <c r="BJ8" s="19" t="s">
        <v>523</v>
      </c>
      <c r="BK8" s="19" t="s">
        <v>524</v>
      </c>
      <c r="BL8" s="19" t="s">
        <v>525</v>
      </c>
      <c r="BM8" s="19" t="s">
        <v>543</v>
      </c>
      <c r="BN8" s="19" t="s">
        <v>547</v>
      </c>
      <c r="BO8" s="19" t="s">
        <v>526</v>
      </c>
      <c r="BP8" s="19" t="s">
        <v>527</v>
      </c>
      <c r="BQ8" s="19" t="s">
        <v>528</v>
      </c>
      <c r="BR8" s="19" t="s">
        <v>529</v>
      </c>
      <c r="BS8" s="19" t="s">
        <v>530</v>
      </c>
      <c r="BT8" s="19" t="s">
        <v>544</v>
      </c>
      <c r="BU8" s="19" t="s">
        <v>548</v>
      </c>
      <c r="BV8" s="19" t="s">
        <v>531</v>
      </c>
      <c r="BW8" s="19" t="s">
        <v>532</v>
      </c>
      <c r="BX8" s="19" t="s">
        <v>533</v>
      </c>
      <c r="BY8" s="19" t="s">
        <v>534</v>
      </c>
      <c r="BZ8" s="19" t="s">
        <v>535</v>
      </c>
      <c r="CA8" s="19" t="s">
        <v>545</v>
      </c>
      <c r="CB8" s="19" t="s">
        <v>549</v>
      </c>
      <c r="CC8" s="19" t="s">
        <v>536</v>
      </c>
      <c r="CD8" s="19" t="s">
        <v>537</v>
      </c>
      <c r="CE8" s="19" t="s">
        <v>538</v>
      </c>
      <c r="CF8" s="19" t="s">
        <v>539</v>
      </c>
      <c r="CG8" s="19" t="s">
        <v>540</v>
      </c>
      <c r="CH8" s="19" t="s">
        <v>541</v>
      </c>
      <c r="CI8" s="18" t="s">
        <v>134</v>
      </c>
    </row>
    <row r="9" spans="1:87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457</v>
      </c>
      <c r="I9" s="61">
        <v>43101</v>
      </c>
      <c r="J9" s="61" t="s">
        <v>518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>
        <f>VLOOKUP($M$3&amp;$N$3&amp;DATA_FEBRERO_2026[[#This Row],[SUPERVISOR]],TablaMeta[],7,0)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</row>
    <row r="10" spans="1:87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438</v>
      </c>
      <c r="I10" s="61">
        <v>46024</v>
      </c>
      <c r="J10" s="61" t="s">
        <v>518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>
        <f>VLOOKUP($M$3&amp;$N$3&amp;DATA_FEBRERO_2026[[#This Row],[SUPERVISOR]],TablaMeta[],7,0)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</row>
    <row r="11" spans="1:87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439</v>
      </c>
      <c r="I11" s="61">
        <v>45854</v>
      </c>
      <c r="J11" s="61" t="s">
        <v>518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>
        <f>VLOOKUP($M$3&amp;$N$3&amp;DATA_FEBRERO_2026[[#This Row],[SUPERVISOR]],TablaMeta[],7,0)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</row>
    <row r="12" spans="1:87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426</v>
      </c>
      <c r="I12" s="61">
        <v>44733</v>
      </c>
      <c r="J12" s="61" t="s">
        <v>518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>
        <f>VLOOKUP($M$3&amp;$N$3&amp;DATA_FEBRERO_2026[[#This Row],[SUPERVISOR]],TablaMeta[],7,0)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</row>
    <row r="13" spans="1:87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396</v>
      </c>
      <c r="I13" s="61">
        <v>46055</v>
      </c>
      <c r="J13" s="61" t="s">
        <v>518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>
        <f>VLOOKUP($M$3&amp;$N$3&amp;DATA_FEBRERO_2026[[#This Row],[SUPERVISOR]],TablaMeta[],7,0)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</row>
    <row r="14" spans="1:87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508</v>
      </c>
      <c r="I14" s="61">
        <v>45992</v>
      </c>
      <c r="J14" s="61" t="s">
        <v>518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>
        <f>VLOOKUP($M$3&amp;$N$3&amp;DATA_FEBRERO_2026[[#This Row],[SUPERVISOR]],TablaMeta[],7,0)</f>
        <v>S1</v>
      </c>
    </row>
    <row r="15" spans="1:87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415</v>
      </c>
      <c r="I15" s="61">
        <v>44671</v>
      </c>
      <c r="J15" s="61" t="s">
        <v>518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>
        <f>VLOOKUP($M$3&amp;$N$3&amp;DATA_FEBRERO_2026[[#This Row],[SUPERVISOR]],TablaMeta[],7,0)</f>
        <v>S2-3-4</v>
      </c>
      <c r="BI15" s="45"/>
      <c r="BK15" s="45"/>
      <c r="BL15" s="45"/>
      <c r="BN15" s="45"/>
    </row>
    <row r="16" spans="1:87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427</v>
      </c>
      <c r="I16" s="61">
        <v>44907</v>
      </c>
      <c r="J16" s="61" t="s">
        <v>518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>
        <f>VLOOKUP($M$3&amp;$N$3&amp;DATA_FEBRERO_2026[[#This Row],[SUPERVISOR]],TablaMeta[],7,0)</f>
        <v>S0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449</v>
      </c>
      <c r="I17" s="56">
        <v>45281</v>
      </c>
      <c r="J17" s="56" t="s">
        <v>518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>
        <f>VLOOKUP($M$3&amp;$N$3&amp;DATA_FEBRERO_2026[[#This Row],[SUPERVISOR]],TablaMeta[],7,0)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441</v>
      </c>
      <c r="I18" s="56">
        <v>45511</v>
      </c>
      <c r="J18" s="56" t="s">
        <v>518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>
        <f>VLOOKUP($M$3&amp;$N$3&amp;DATA_FEBRERO_2026[[#This Row],[SUPERVISOR]],TablaMeta[],7,0)</f>
        <v>S0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393</v>
      </c>
      <c r="G19" s="3">
        <v>18000</v>
      </c>
      <c r="H19" t="s">
        <v>551</v>
      </c>
      <c r="I19" s="56">
        <v>46038</v>
      </c>
      <c r="J19" s="56" t="s">
        <v>518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>
        <f>VLOOKUP($M$3&amp;$N$3&amp;DATA_FEBRERO_2026[[#This Row],[SUPERVISOR]],TablaMeta[],7,0)</f>
        <v>S0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512</v>
      </c>
      <c r="G20" s="3">
        <v>26813</v>
      </c>
      <c r="H20" t="s">
        <v>563</v>
      </c>
      <c r="I20" s="56">
        <v>46052</v>
      </c>
      <c r="J20" s="56" t="s">
        <v>518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393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>
        <f>VLOOKUP($M$3&amp;$N$3&amp;DATA_FEBRERO_2026[[#This Row],[SUPERVISOR]],TablaMeta[],7,0)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458</v>
      </c>
      <c r="I21" s="56">
        <v>45295</v>
      </c>
      <c r="J21" s="56" t="s">
        <v>518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512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>
        <f>VLOOKUP($M$3&amp;$N$3&amp;DATA_FEBRERO_2026[[#This Row],[SUPERVISOR]],TablaMeta[],7,0)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479</v>
      </c>
      <c r="I22" s="56">
        <v>46027</v>
      </c>
      <c r="J22" s="56" t="s">
        <v>518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>
        <f>VLOOKUP($M$3&amp;$N$3&amp;DATA_FEBRERO_2026[[#This Row],[SUPERVISOR]],TablaMeta[],7,0)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510</v>
      </c>
      <c r="G23" s="3">
        <v>32586</v>
      </c>
      <c r="H23" t="s">
        <v>562</v>
      </c>
      <c r="I23" s="56">
        <v>46052</v>
      </c>
      <c r="J23" s="56" t="s">
        <v>518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>
        <f>VLOOKUP($M$3&amp;$N$3&amp;DATA_FEBRERO_2026[[#This Row],[SUPERVISOR]],TablaMeta[],7,0)</f>
        <v>S0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405</v>
      </c>
      <c r="I24" s="56">
        <v>44868</v>
      </c>
      <c r="J24" s="56" t="s">
        <v>518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510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>
        <f>VLOOKUP($M$3&amp;$N$3&amp;DATA_FEBRERO_2026[[#This Row],[SUPERVISOR]],TablaMeta[],7,0)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429</v>
      </c>
      <c r="I25" s="56">
        <v>45678</v>
      </c>
      <c r="J25" s="56" t="s">
        <v>518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>
        <f>VLOOKUP($M$3&amp;$N$3&amp;DATA_FEBRERO_2026[[#This Row],[SUPERVISOR]],TablaMeta[],7,0)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398</v>
      </c>
      <c r="I26" s="56">
        <v>44809</v>
      </c>
      <c r="J26" s="56" t="s">
        <v>518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>
        <f>VLOOKUP($M$3&amp;$N$3&amp;DATA_FEBRERO_2026[[#This Row],[SUPERVISOR]],TablaMeta[],7,0)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406</v>
      </c>
      <c r="I27" s="56">
        <v>45526</v>
      </c>
      <c r="J27" s="56" t="s">
        <v>518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>
        <f>VLOOKUP($M$3&amp;$N$3&amp;DATA_FEBRERO_2026[[#This Row],[SUPERVISOR]],TablaMeta[],7,0)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431</v>
      </c>
      <c r="I28" s="56">
        <v>45398</v>
      </c>
      <c r="J28" s="56" t="s">
        <v>518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>
        <f>VLOOKUP($M$3&amp;$N$3&amp;DATA_FEBRERO_2026[[#This Row],[SUPERVISOR]],TablaMeta[],7,0)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452</v>
      </c>
      <c r="I29" s="56">
        <v>43313</v>
      </c>
      <c r="J29" s="56" t="s">
        <v>518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>
        <f>VLOOKUP($M$3&amp;$N$3&amp;DATA_FEBRERO_2026[[#This Row],[SUPERVISOR]],TablaMeta[],7,0)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407</v>
      </c>
      <c r="I30" s="56">
        <v>44257</v>
      </c>
      <c r="J30" s="56" t="s">
        <v>518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>
        <f>VLOOKUP($M$3&amp;$N$3&amp;DATA_FEBRERO_2026[[#This Row],[SUPERVISOR]],TablaMeta[],7,0)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442</v>
      </c>
      <c r="I31" s="56">
        <v>45971</v>
      </c>
      <c r="J31" s="56" t="s">
        <v>518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>
        <f>VLOOKUP($M$3&amp;$N$3&amp;DATA_FEBRERO_2026[[#This Row],[SUPERVISOR]],TablaMeta[],7,0)</f>
        <v>S0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453</v>
      </c>
      <c r="I32" s="56">
        <v>45882</v>
      </c>
      <c r="J32" s="56" t="s">
        <v>518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>
        <f>VLOOKUP($M$3&amp;$N$3&amp;DATA_FEBRERO_2026[[#This Row],[SUPERVISOR]],TablaMeta[],7,0)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454</v>
      </c>
      <c r="I33" s="56">
        <v>45019</v>
      </c>
      <c r="J33" s="56" t="s">
        <v>518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>
        <f>VLOOKUP($M$3&amp;$N$3&amp;DATA_FEBRERO_2026[[#This Row],[SUPERVISOR]],TablaMeta[],7,0)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416</v>
      </c>
      <c r="I34" s="56">
        <v>45112</v>
      </c>
      <c r="J34" s="56" t="s">
        <v>518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>
        <f>VLOOKUP($M$3&amp;$N$3&amp;DATA_FEBRERO_2026[[#This Row],[SUPERVISOR]],TablaMeta[],7,0)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566</v>
      </c>
      <c r="G35" s="3">
        <v>640</v>
      </c>
      <c r="H35" t="s">
        <v>567</v>
      </c>
      <c r="I35" s="56">
        <v>46064</v>
      </c>
      <c r="J35" s="56" t="s">
        <v>518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>
        <f>VLOOKUP($M$3&amp;$N$3&amp;DATA_FEBRERO_2026[[#This Row],[SUPERVISOR]],TablaMeta[],7,0)</f>
        <v>S0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409</v>
      </c>
      <c r="I36" s="56">
        <v>44838</v>
      </c>
      <c r="J36" s="56" t="s">
        <v>518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566</v>
      </c>
      <c r="AI36">
        <v>420</v>
      </c>
      <c r="AT36">
        <v>220</v>
      </c>
      <c r="AX36" t="str">
        <f>VLOOKUP($M$3&amp;$N$3&amp;DATA_FEBRERO_2026[[#This Row],[SUPERVISOR]],TablaMeta[],7,0)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417</v>
      </c>
      <c r="I37" s="56">
        <v>44746</v>
      </c>
      <c r="J37" s="56" t="s">
        <v>518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>
        <f>VLOOKUP($M$3&amp;$N$3&amp;DATA_FEBRERO_2026[[#This Row],[SUPERVISOR]],TablaMeta[],7,0)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418</v>
      </c>
      <c r="I38" s="56">
        <v>45789</v>
      </c>
      <c r="J38" s="56" t="s">
        <v>518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>
        <f>VLOOKUP($M$3&amp;$N$3&amp;DATA_FEBRERO_2026[[#This Row],[SUPERVISOR]],TablaMeta[],7,0)</f>
        <v>S0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455</v>
      </c>
      <c r="I39" s="56">
        <v>44867</v>
      </c>
      <c r="J39" s="56" t="s">
        <v>518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>
        <f>VLOOKUP($M$3&amp;$N$3&amp;DATA_FEBRERO_2026[[#This Row],[SUPERVISOR]],TablaMeta[],7,0)</f>
        <v>S0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461</v>
      </c>
      <c r="I40" s="56">
        <v>44109</v>
      </c>
      <c r="J40" s="56" t="s">
        <v>518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>
        <f>VLOOKUP($M$3&amp;$N$3&amp;DATA_FEBRERO_2026[[#This Row],[SUPERVISOR]],TablaMeta[],7,0)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419</v>
      </c>
      <c r="I41" s="56">
        <v>45334</v>
      </c>
      <c r="J41" s="56" t="s">
        <v>518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>
        <f>VLOOKUP($M$3&amp;$N$3&amp;DATA_FEBRERO_2026[[#This Row],[SUPERVISOR]],TablaMeta[],7,0)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432</v>
      </c>
      <c r="I42" s="56">
        <v>44685</v>
      </c>
      <c r="J42" s="56" t="s">
        <v>518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>
        <f>VLOOKUP($M$3&amp;$N$3&amp;DATA_FEBRERO_2026[[#This Row],[SUPERVISOR]],TablaMeta[],7,0)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462</v>
      </c>
      <c r="I43" s="56">
        <v>44818</v>
      </c>
      <c r="J43" s="56" t="s">
        <v>518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>
        <f>VLOOKUP($M$3&amp;$N$3&amp;DATA_FEBRERO_2026[[#This Row],[SUPERVISOR]],TablaMeta[],7,0)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401</v>
      </c>
      <c r="I44" s="56">
        <v>44886</v>
      </c>
      <c r="J44" s="56" t="s">
        <v>518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>
        <f>VLOOKUP($M$3&amp;$N$3&amp;DATA_FEBRERO_2026[[#This Row],[SUPERVISOR]],TablaMeta[],7,0)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553</v>
      </c>
      <c r="I45" s="56">
        <v>46029</v>
      </c>
      <c r="J45" s="56" t="s">
        <v>518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>
        <f>VLOOKUP($M$3&amp;$N$3&amp;DATA_FEBRERO_2026[[#This Row],[SUPERVISOR]],TablaMeta[],7,0)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485</v>
      </c>
      <c r="I46" s="56">
        <v>45800</v>
      </c>
      <c r="J46" s="56" t="s">
        <v>518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>
        <f>VLOOKUP($M$3&amp;$N$3&amp;DATA_FEBRERO_2026[[#This Row],[SUPERVISOR]],TablaMeta[],7,0)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444</v>
      </c>
      <c r="I47" s="56">
        <v>44714</v>
      </c>
      <c r="J47" s="56" t="s">
        <v>518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>
        <f>VLOOKUP($M$3&amp;$N$3&amp;DATA_FEBRERO_2026[[#This Row],[SUPERVISOR]],TablaMeta[],7,0)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552</v>
      </c>
      <c r="I48" s="56">
        <v>46024</v>
      </c>
      <c r="J48" s="56" t="s">
        <v>518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>
        <f>VLOOKUP($M$3&amp;$N$3&amp;DATA_FEBRERO_2026[[#This Row],[SUPERVISOR]],TablaMeta[],7,0)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491</v>
      </c>
      <c r="I49" s="56">
        <v>45813</v>
      </c>
      <c r="J49" s="56" t="s">
        <v>518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>
        <f>VLOOKUP($M$3&amp;$N$3&amp;DATA_FEBRERO_2026[[#This Row],[SUPERVISOR]],TablaMeta[],7,0)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469</v>
      </c>
      <c r="I50" s="56">
        <v>45145</v>
      </c>
      <c r="J50" s="56" t="s">
        <v>518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>
        <f>VLOOKUP($M$3&amp;$N$3&amp;DATA_FEBRERO_2026[[#This Row],[SUPERVISOR]],TablaMeta[],7,0)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501</v>
      </c>
      <c r="I51" s="56">
        <v>45884</v>
      </c>
      <c r="J51" s="56" t="s">
        <v>518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>
        <f>VLOOKUP($M$3&amp;$N$3&amp;DATA_FEBRERO_2026[[#This Row],[SUPERVISOR]],TablaMeta[],7,0)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446</v>
      </c>
      <c r="I52" s="56">
        <v>45344</v>
      </c>
      <c r="J52" s="56" t="s">
        <v>518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>
        <f>VLOOKUP($M$3&amp;$N$3&amp;DATA_FEBRERO_2026[[#This Row],[SUPERVISOR]],TablaMeta[],7,0)</f>
        <v>S0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436</v>
      </c>
      <c r="I53" s="56">
        <v>45141</v>
      </c>
      <c r="J53" s="56" t="s">
        <v>518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>
        <f>VLOOKUP($M$3&amp;$N$3&amp;DATA_FEBRERO_2026[[#This Row],[SUPERVISOR]],TablaMeta[],7,0)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423</v>
      </c>
      <c r="I54" s="56">
        <v>45173</v>
      </c>
      <c r="J54" s="56" t="s">
        <v>518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>
        <f>VLOOKUP($M$3&amp;$N$3&amp;DATA_FEBRERO_2026[[#This Row],[SUPERVISOR]],TablaMeta[],7,0)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413</v>
      </c>
      <c r="I55" s="56">
        <v>44943</v>
      </c>
      <c r="J55" s="56" t="s">
        <v>518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>
        <f>VLOOKUP($M$3&amp;$N$3&amp;DATA_FEBRERO_2026[[#This Row],[SUPERVISOR]],TablaMeta[],7,0)</f>
        <v>S0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437</v>
      </c>
      <c r="I56" s="56">
        <v>44746</v>
      </c>
      <c r="J56" s="56" t="s">
        <v>518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>
        <f>VLOOKUP($M$3&amp;$N$3&amp;DATA_FEBRERO_2026[[#This Row],[SUPERVISOR]],TablaMeta[],7,0)</f>
        <v>S0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465</v>
      </c>
      <c r="I57" s="56">
        <v>44704</v>
      </c>
      <c r="J57" s="56" t="s">
        <v>518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>
        <f>VLOOKUP($M$3&amp;$N$3&amp;DATA_FEBRERO_2026[[#This Row],[SUPERVISOR]],TablaMeta[],7,0)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424</v>
      </c>
      <c r="I58" s="56">
        <v>44817</v>
      </c>
      <c r="J58" s="56" t="s">
        <v>518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>
        <f>VLOOKUP($M$3&amp;$N$3&amp;DATA_FEBRERO_2026[[#This Row],[SUPERVISOR]],TablaMeta[],7,0)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>
        <f>VLOOKUP($M$3&amp;$N$3&amp;DATA_FEBRERO_2026[[#This Row],[SUPERVISOR]],TablaMeta[],7,0)</f>
        <v>S0</v>
      </c>
    </row>
  </sheetData>
  <conditionalFormatting sqref="E3:E58">
    <cfRule type="containsText" dxfId="6" priority="1" operator="containsText" text="kenneth">
      <formula>NOT(ISERROR(SEARCH("kenneth",E3)))</formula>
    </cfRule>
  </conditionalFormatting>
  <conditionalFormatting sqref="R9:R59">
    <cfRule type="duplicateValues" dxfId="5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abSelected="1" zoomScale="70" zoomScaleNormal="70" workbookViewId="0">
      <selection activeCell="I14" sqref="I14"/>
    </sheetView>
  </sheetViews>
  <sheetFormatPr baseColWidth="10" defaultRowHeight="15" x14ac:dyDescent="0.25"/>
  <cols>
    <col min="1" max="1" width="14.5703125" style="34" customWidth="1"/>
    <col min="2" max="2" width="30.28515625" style="34" customWidth="1"/>
    <col min="3" max="5" width="14.85546875" style="35" customWidth="1"/>
    <col min="6" max="6" width="30.28515625" customWidth="1"/>
    <col min="7" max="7" width="15" customWidth="1"/>
    <col min="8" max="8" width="15" style="34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23" width="12" hidden="1" customWidth="1"/>
    <col min="24" max="24" width="12" customWidth="1"/>
    <col min="25" max="40" width="13" customWidth="1"/>
    <col min="41" max="41" width="13" bestFit="1" customWidth="1"/>
    <col min="42" max="43" width="13" customWidth="1"/>
    <col min="44" max="44" width="20" customWidth="1"/>
    <col min="45" max="45" width="16" bestFit="1" customWidth="1"/>
    <col min="46" max="46" width="20" customWidth="1"/>
    <col min="47" max="47" width="16.7109375" hidden="1" customWidth="1"/>
    <col min="48" max="51" width="12" hidden="1" customWidth="1"/>
    <col min="52" max="53" width="12" customWidth="1"/>
    <col min="54" max="59" width="13" customWidth="1"/>
    <col min="60" max="60" width="13.42578125" customWidth="1"/>
    <col min="61" max="61" width="13" customWidth="1"/>
    <col min="62" max="63" width="13.42578125" customWidth="1"/>
    <col min="64" max="68" width="13.42578125" bestFit="1" customWidth="1"/>
  </cols>
  <sheetData>
    <row r="1" spans="1:69" x14ac:dyDescent="0.25">
      <c r="H1"/>
      <c r="J1" s="56"/>
      <c r="K1" s="56"/>
      <c r="L1" s="56"/>
      <c r="N1" s="5"/>
      <c r="O1"/>
    </row>
    <row r="2" spans="1:69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69" ht="26.25" x14ac:dyDescent="0.4">
      <c r="A3" s="62" t="str" cm="1">
        <f t="array" ref="A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ALEJANDRA QUISPE</v>
      </c>
      <c r="C3" s="62" t="str" cm="1">
        <f t="array" ref="C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/>
      </c>
      <c r="D3" s="63"/>
      <c r="E3" s="63" t="str">
        <f>D1_MARZO_2026[[#This Row],[SUPER]]</f>
        <v>LEONOR</v>
      </c>
      <c r="F3" s="62" t="s">
        <v>58</v>
      </c>
      <c r="G3" s="62"/>
      <c r="H3" s="62" cm="1">
        <f t="array" ref="H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L3" s="56"/>
      <c r="M3" s="33">
        <v>2026</v>
      </c>
      <c r="N3" s="33" t="s">
        <v>141</v>
      </c>
      <c r="O3" s="33">
        <v>22</v>
      </c>
    </row>
    <row r="4" spans="1:69" x14ac:dyDescent="0.25">
      <c r="A4" s="62" t="str" cm="1">
        <f t="array" ref="A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JENY LAZARO</v>
      </c>
      <c r="C4" s="62" t="str" cm="1">
        <f t="array" ref="C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/>
      </c>
      <c r="D4" s="63"/>
      <c r="E4" s="63" t="str">
        <f>D1_MARZO_2026[[#This Row],[SUPER]]</f>
        <v>KENNETH</v>
      </c>
      <c r="F4" s="62" t="s">
        <v>26</v>
      </c>
      <c r="G4" s="62"/>
      <c r="H4" s="62" cm="1">
        <f t="array" ref="H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O4"/>
      <c r="S4" s="45"/>
    </row>
    <row r="5" spans="1:69" x14ac:dyDescent="0.25">
      <c r="A5" s="62" t="str" cm="1">
        <f t="array" ref="A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VERONICA TASAYCO</v>
      </c>
      <c r="C5" s="62" t="str" cm="1">
        <f t="array" ref="C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/>
      </c>
      <c r="D5" s="63"/>
      <c r="E5" s="63" t="str">
        <f>D1_MARZO_2026[[#This Row],[SUPER]]</f>
        <v>JOHAN</v>
      </c>
      <c r="F5" s="62" t="s">
        <v>10</v>
      </c>
      <c r="G5" s="62"/>
      <c r="H5" s="62" cm="1">
        <f t="array" ref="H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O5"/>
      <c r="S5" s="45"/>
      <c r="BH5" s="45"/>
    </row>
    <row r="6" spans="1:69" x14ac:dyDescent="0.25">
      <c r="A6" s="66" t="str" cm="1">
        <f t="array" ref="A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HAROLD FLORES</v>
      </c>
      <c r="C6" s="62" t="str" cm="1">
        <f t="array" ref="C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/>
      </c>
      <c r="D6" s="63"/>
      <c r="E6" s="67" t="str">
        <f>D1_MARZO_2026[[#This Row],[SUPER]]</f>
        <v>JORGE</v>
      </c>
      <c r="F6" s="66" t="s">
        <v>42</v>
      </c>
      <c r="G6" s="75"/>
      <c r="H6" s="66" cm="1">
        <f t="array" ref="H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O6"/>
      <c r="S6" s="45"/>
    </row>
    <row r="7" spans="1:69" x14ac:dyDescent="0.25">
      <c r="A7" s="34" t="str" cm="1">
        <f t="array" ref="A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LISELY MERA</v>
      </c>
      <c r="C7" s="34" cm="1">
        <f t="array" ref="C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7" s="35">
        <f>IF(D1_MARZO_2026[[#This Row],[RECUPERO]]="VACACIONES","VACACIONES",IFERROR(D1_MARZO_2026[[#This Row],[RECUPERO]]/D1_MARZO_2026[[#This Row],[META]],""))</f>
        <v>0.72350000000000003</v>
      </c>
      <c r="E7" s="35" t="str">
        <f>D1_MARZO_2026[[#This Row],[SUPER]]</f>
        <v>JORGE</v>
      </c>
      <c r="F7" s="34" t="s">
        <v>23</v>
      </c>
      <c r="G7" s="36">
        <v>40516</v>
      </c>
      <c r="H7" s="34" cm="1">
        <f t="array" ref="H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  <c r="O7"/>
    </row>
    <row r="8" spans="1:69" x14ac:dyDescent="0.25">
      <c r="A8" s="34" t="str" cm="1">
        <f t="array" ref="A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EVELY TENORIO</v>
      </c>
      <c r="C8" s="34" cm="1">
        <f t="array" ref="C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8" s="35">
        <f>IF(D1_MARZO_2026[[#This Row],[RECUPERO]]="VACACIONES","VACACIONES",IFERROR(D1_MARZO_2026[[#This Row],[RECUPERO]]/D1_MARZO_2026[[#This Row],[META]],""))</f>
        <v>0.39732142857142855</v>
      </c>
      <c r="E8" s="35" t="str">
        <f>D1_MARZO_2026[[#This Row],[SUPER]]</f>
        <v>JORGE</v>
      </c>
      <c r="F8" s="34" t="s">
        <v>22</v>
      </c>
      <c r="G8" s="36">
        <v>22250</v>
      </c>
      <c r="H8" s="34" cm="1">
        <f t="array" ref="H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8" s="61" cm="1">
        <f t="array" ref="I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8" s="61" t="str" cm="1">
        <f t="array" ref="J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520</v>
      </c>
      <c r="T8" s="13" t="s">
        <v>542</v>
      </c>
      <c r="U8" s="13" t="s">
        <v>546</v>
      </c>
      <c r="V8" s="13" t="s">
        <v>521</v>
      </c>
      <c r="W8" s="13" t="s">
        <v>522</v>
      </c>
      <c r="X8" s="13" t="s">
        <v>525</v>
      </c>
      <c r="Y8" s="13" t="s">
        <v>543</v>
      </c>
      <c r="Z8" s="13" t="s">
        <v>547</v>
      </c>
      <c r="AA8" s="13" t="s">
        <v>526</v>
      </c>
      <c r="AB8" s="13" t="s">
        <v>527</v>
      </c>
      <c r="AC8" s="13" t="s">
        <v>530</v>
      </c>
      <c r="AD8" s="13" t="s">
        <v>544</v>
      </c>
      <c r="AE8" s="13" t="s">
        <v>548</v>
      </c>
      <c r="AF8" s="13" t="s">
        <v>531</v>
      </c>
      <c r="AG8" s="13" t="s">
        <v>532</v>
      </c>
      <c r="AH8" s="13" t="s">
        <v>535</v>
      </c>
      <c r="AI8" s="13" t="s">
        <v>545</v>
      </c>
      <c r="AJ8" s="13" t="s">
        <v>549</v>
      </c>
      <c r="AK8" s="13" t="s">
        <v>536</v>
      </c>
      <c r="AL8" s="13" t="s">
        <v>537</v>
      </c>
      <c r="AM8" s="13" t="s">
        <v>540</v>
      </c>
      <c r="AN8" s="13" t="s">
        <v>541</v>
      </c>
      <c r="AO8" s="14" t="s">
        <v>519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520</v>
      </c>
      <c r="AV8" s="19" t="s">
        <v>542</v>
      </c>
      <c r="AW8" s="19" t="s">
        <v>546</v>
      </c>
      <c r="AX8" s="19" t="s">
        <v>521</v>
      </c>
      <c r="AY8" s="19" t="s">
        <v>522</v>
      </c>
      <c r="AZ8" s="19" t="s">
        <v>525</v>
      </c>
      <c r="BA8" s="19" t="s">
        <v>543</v>
      </c>
      <c r="BB8" s="19" t="s">
        <v>547</v>
      </c>
      <c r="BC8" s="19" t="s">
        <v>526</v>
      </c>
      <c r="BD8" s="19" t="s">
        <v>527</v>
      </c>
      <c r="BE8" s="19" t="s">
        <v>530</v>
      </c>
      <c r="BF8" s="19" t="s">
        <v>544</v>
      </c>
      <c r="BG8" s="19" t="s">
        <v>548</v>
      </c>
      <c r="BH8" s="19" t="s">
        <v>531</v>
      </c>
      <c r="BI8" s="19" t="s">
        <v>532</v>
      </c>
      <c r="BJ8" s="19" t="s">
        <v>535</v>
      </c>
      <c r="BK8" s="19" t="s">
        <v>545</v>
      </c>
      <c r="BL8" s="19" t="s">
        <v>549</v>
      </c>
      <c r="BM8" s="19" t="s">
        <v>536</v>
      </c>
      <c r="BN8" s="19" t="s">
        <v>537</v>
      </c>
      <c r="BO8" s="19" t="s">
        <v>540</v>
      </c>
      <c r="BP8" s="19" t="s">
        <v>541</v>
      </c>
      <c r="BQ8" s="18" t="s">
        <v>134</v>
      </c>
    </row>
    <row r="9" spans="1:69" x14ac:dyDescent="0.25">
      <c r="A9" s="34" t="str" cm="1">
        <f t="array" ref="A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GIANFRANCO PINEDO</v>
      </c>
      <c r="C9" s="34" cm="1">
        <f t="array" ref="C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9" s="35">
        <f>IF(D1_MARZO_2026[[#This Row],[RECUPERO]]="VACACIONES","VACACIONES",IFERROR(D1_MARZO_2026[[#This Row],[RECUPERO]]/D1_MARZO_2026[[#This Row],[META]],""))</f>
        <v>0.20303571428571429</v>
      </c>
      <c r="E9" s="35" t="str">
        <f>D1_MARZO_2026[[#This Row],[SUPER]]</f>
        <v>JORGE</v>
      </c>
      <c r="F9" s="34" t="s">
        <v>13</v>
      </c>
      <c r="G9" s="36">
        <v>11370</v>
      </c>
      <c r="H9" s="34" cm="1">
        <f t="array" ref="H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DATA_MARZO_2026[[#This Row],[RECUPERO]]/DATA_MARZO_2026[[#This Row],[META]]</f>
        <v>5.833139534883721E-2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IFERROR(VLOOKUP(DATA_MARZO_2026[[#This Row],[ASER_]],$B:$G,4,0),"")</f>
        <v>KENNETH</v>
      </c>
      <c r="P9" s="6">
        <f>VLOOKUP(DATA_MARZO_2026[[#This Row],[ASER_]],D1_MARZO_2026[[ASESOR_CRR]:[RECUPERO]],6,0)</f>
        <v>5016.5</v>
      </c>
      <c r="Q9" s="6">
        <f>VLOOKUP(DATA_MARZO_2026[[#This Row],[ASER_]],D1_MARZO_2026[[ASESOR_CRR]:[META]],2,0)</f>
        <v>86000</v>
      </c>
      <c r="R9" t="s">
        <v>37</v>
      </c>
      <c r="S9">
        <v>266.5</v>
      </c>
      <c r="T9">
        <v>1000</v>
      </c>
      <c r="U9">
        <v>150</v>
      </c>
      <c r="V9">
        <v>3300</v>
      </c>
      <c r="W9">
        <v>0</v>
      </c>
      <c r="X9">
        <v>200</v>
      </c>
      <c r="Y9">
        <v>100</v>
      </c>
      <c r="Z9">
        <v>0</v>
      </c>
      <c r="AO9" t="str">
        <f>VLOOKUP($M$3&amp;$N$3&amp;DATA_MARZO_2026[[#This Row],[SUPERVISOR]],TablaMeta[],7,0)</f>
        <v>S0</v>
      </c>
      <c r="AQ9" s="10">
        <f>VLOOKUP($M$3&amp;$N$3&amp;DITE_MARZO_2026[[#This Row],[SUPER]],TablaMeta[],5,0)</f>
        <v>504401</v>
      </c>
      <c r="AR9" s="10">
        <f>MAX(DITE_MARZO_2026[[#This Row],[SUPER]:[CARTERA]])</f>
        <v>228975</v>
      </c>
      <c r="AS9" s="16">
        <f>IFERROR(DITE_MARZO_2026[[#This Row],[RECUPERO SUPERVISOR]]/DITE_MARZO_2026[[#This Row],[META SUPER]],"")</f>
        <v>0.4539542943015577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10" t="str">
        <f>VLOOKUP($M$3&amp;$N$3&amp;DITE_MARZO_2026[[#This Row],[SUPER]],TablaMeta[],7,0)</f>
        <v>S0</v>
      </c>
    </row>
    <row r="10" spans="1:69" x14ac:dyDescent="0.25">
      <c r="A10" s="34" t="str" cm="1">
        <f t="array" ref="A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ANDERSON RODRIGUEZ</v>
      </c>
      <c r="C10" s="34" cm="1">
        <f t="array" ref="C1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0" s="35">
        <f>IF(D1_MARZO_2026[[#This Row],[RECUPERO]]="VACACIONES","VACACIONES",IFERROR(D1_MARZO_2026[[#This Row],[RECUPERO]]/D1_MARZO_2026[[#This Row],[META]],""))</f>
        <v>0.17357142857142857</v>
      </c>
      <c r="E10" s="35" t="str">
        <f>D1_MARZO_2026[[#This Row],[SUPER]]</f>
        <v>JORGE</v>
      </c>
      <c r="F10" s="34" t="s">
        <v>15</v>
      </c>
      <c r="G10" s="36">
        <v>9720</v>
      </c>
      <c r="H10" s="34" cm="1">
        <f t="array" ref="H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0" s="61" cm="1">
        <f t="array" ref="I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0" s="61" t="str" cm="1">
        <f t="array" ref="J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DATA_MARZO_2026[[#This Row],[RECUPERO]]/DATA_MARZO_2026[[#This Row],[META]]</f>
        <v>0.22761627906976745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IFERROR(VLOOKUP(DATA_MARZO_2026[[#This Row],[ASER_]],$B:$G,4,0),"")</f>
        <v>KENNETH</v>
      </c>
      <c r="P10" s="6">
        <f>VLOOKUP(DATA_MARZO_2026[[#This Row],[ASER_]],D1_MARZO_2026[[ASESOR_CRR]:[RECUPERO]],6,0)</f>
        <v>19575</v>
      </c>
      <c r="Q10" s="6">
        <f>VLOOKUP(DATA_MARZO_2026[[#This Row],[ASER_]],D1_MARZO_2026[[ASESOR_CRR]:[META]],2,0)</f>
        <v>86000</v>
      </c>
      <c r="R10" t="s">
        <v>35</v>
      </c>
      <c r="S10">
        <v>1500</v>
      </c>
      <c r="T10">
        <v>2950</v>
      </c>
      <c r="U10">
        <v>500</v>
      </c>
      <c r="V10">
        <v>1350</v>
      </c>
      <c r="W10">
        <v>325</v>
      </c>
      <c r="X10">
        <v>4000</v>
      </c>
      <c r="Y10">
        <v>8600</v>
      </c>
      <c r="Z10">
        <v>350</v>
      </c>
      <c r="AO10" t="str">
        <f>VLOOKUP($M$3&amp;$N$3&amp;DATA_MARZO_2026[[#This Row],[SUPERVISOR]],TablaMeta[],7,0)</f>
        <v>S0</v>
      </c>
      <c r="AQ10" s="11">
        <f>VLOOKUP($M$3&amp;$N$3&amp;DITE_MARZO_2026[[#This Row],[SUPER]],TablaMeta[],5,0)</f>
        <v>466781</v>
      </c>
      <c r="AR10" s="11">
        <f>MAX(DITE_MARZO_2026[[#This Row],[SUPER]:[CARTERA]])</f>
        <v>103268</v>
      </c>
      <c r="AS10" s="17">
        <f>IFERROR(DITE_MARZO_2026[[#This Row],[RECUPERO SUPERVISOR]]/DITE_MARZO_2026[[#This Row],[META SUPER]],"")</f>
        <v>0.22123436900816443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11" t="str">
        <f>VLOOKUP($M$3&amp;$N$3&amp;DITE_MARZO_2026[[#This Row],[SUPER]],TablaMeta[],7,0)</f>
        <v>S0</v>
      </c>
    </row>
    <row r="11" spans="1:69" x14ac:dyDescent="0.25">
      <c r="A11" s="34" t="str" cm="1">
        <f t="array" ref="A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BARRIONUEVO</v>
      </c>
      <c r="C11" s="34" cm="1">
        <f t="array" ref="C1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1" s="35">
        <f>IF(D1_MARZO_2026[[#This Row],[RECUPERO]]="VACACIONES","VACACIONES",IFERROR(D1_MARZO_2026[[#This Row],[RECUPERO]]/D1_MARZO_2026[[#This Row],[META]],""))</f>
        <v>0.14374999999999999</v>
      </c>
      <c r="E11" s="35" t="str">
        <f>D1_MARZO_2026[[#This Row],[SUPER]]</f>
        <v>JORGE</v>
      </c>
      <c r="F11" s="34" t="s">
        <v>207</v>
      </c>
      <c r="G11" s="36">
        <v>8050</v>
      </c>
      <c r="H11" s="34" cm="1">
        <f t="array" ref="H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11" s="61" cm="1">
        <f t="array" ref="I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11" s="61" t="str" cm="1">
        <f t="array" ref="J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DATA_MARZO_2026[[#This Row],[RECUPERO]]/DATA_MARZO_2026[[#This Row],[META]]</f>
        <v>0.13215116279069766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&gt;0%</v>
      </c>
      <c r="O11" s="55" t="str">
        <f>IFERROR(VLOOKUP(DATA_MARZO_2026[[#This Row],[ASER_]],$B:$G,4,0),"")</f>
        <v>KENNETH</v>
      </c>
      <c r="P11" s="6">
        <f>VLOOKUP(DATA_MARZO_2026[[#This Row],[ASER_]],D1_MARZO_2026[[ASESOR_CRR]:[RECUPERO]],6,0)</f>
        <v>11365</v>
      </c>
      <c r="Q11" s="6">
        <f>VLOOKUP(DATA_MARZO_2026[[#This Row],[ASER_]],D1_MARZO_2026[[ASESOR_CRR]:[META]],2,0)</f>
        <v>86000</v>
      </c>
      <c r="R11" t="s">
        <v>97</v>
      </c>
      <c r="S11">
        <v>300</v>
      </c>
      <c r="T11">
        <v>450</v>
      </c>
      <c r="U11">
        <v>895</v>
      </c>
      <c r="V11">
        <v>4500</v>
      </c>
      <c r="W11">
        <v>4800</v>
      </c>
      <c r="X11">
        <v>0</v>
      </c>
      <c r="Y11">
        <v>420</v>
      </c>
      <c r="Z11">
        <v>0</v>
      </c>
      <c r="AO11" t="str">
        <f>VLOOKUP($M$3&amp;$N$3&amp;DATA_MARZO_2026[[#This Row],[SUPERVISOR]],TablaMeta[],7,0)</f>
        <v>S0</v>
      </c>
      <c r="AQ11" s="10">
        <f>VLOOKUP($M$3&amp;$N$3&amp;DITE_MARZO_2026[[#This Row],[SUPER]],TablaMeta[],5,0)</f>
        <v>609835</v>
      </c>
      <c r="AR11" s="10">
        <f>MAX(DITE_MARZO_2026[[#This Row],[SUPER]:[CARTERA]])</f>
        <v>114976.65</v>
      </c>
      <c r="AS11" s="16">
        <f>IFERROR(DITE_MARZO_2026[[#This Row],[RECUPERO SUPERVISOR]]/DITE_MARZO_2026[[#This Row],[META SUPER]],"")</f>
        <v>0.18853730927218018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10" t="str">
        <f>VLOOKUP($M$3&amp;$N$3&amp;DITE_MARZO_2026[[#This Row],[SUPER]],TablaMeta[],7,0)</f>
        <v>S1</v>
      </c>
    </row>
    <row r="12" spans="1:69" x14ac:dyDescent="0.25">
      <c r="A12" s="34" t="str" cm="1">
        <f t="array" ref="A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FRANCO HUAMANI</v>
      </c>
      <c r="C12" s="34" cm="1">
        <f t="array" ref="C1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2" s="35">
        <f>IF(D1_MARZO_2026[[#This Row],[RECUPERO]]="VACACIONES","VACACIONES",IFERROR(D1_MARZO_2026[[#This Row],[RECUPERO]]/D1_MARZO_2026[[#This Row],[META]],""))</f>
        <v>0.12189285714285714</v>
      </c>
      <c r="E12" s="35" t="str">
        <f>D1_MARZO_2026[[#This Row],[SUPER]]</f>
        <v>JORGE</v>
      </c>
      <c r="F12" s="34" t="s">
        <v>24</v>
      </c>
      <c r="G12" s="36">
        <v>6826</v>
      </c>
      <c r="H12" s="34" cm="1">
        <f t="array" ref="H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12" s="61" cm="1">
        <f t="array" ref="I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12" s="61" t="str" cm="1">
        <f t="array" ref="J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1" t="str" cm="1">
        <f t="array" ref="K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DATA_MARZO_2026[[#This Row],[RECUPERO]]/DATA_MARZO_2026[[#This Row],[META]]</f>
        <v>4.7622950819672133E-2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&gt;0%</v>
      </c>
      <c r="O12" s="55" t="str">
        <f>IFERROR(VLOOKUP(DATA_MARZO_2026[[#This Row],[ASER_]],$B:$G,4,0),"")</f>
        <v>KENNETH</v>
      </c>
      <c r="P12" s="6">
        <f>VLOOKUP(DATA_MARZO_2026[[#This Row],[ASER_]],D1_MARZO_2026[[ASESOR_CRR]:[RECUPERO]],6,0)</f>
        <v>1452.5</v>
      </c>
      <c r="Q12" s="6">
        <f>VLOOKUP(DATA_MARZO_2026[[#This Row],[ASER_]],D1_MARZO_2026[[ASESOR_CRR]:[META]],2,0)</f>
        <v>30500</v>
      </c>
      <c r="R12" t="s">
        <v>105</v>
      </c>
      <c r="S12">
        <v>0</v>
      </c>
      <c r="T12">
        <v>0</v>
      </c>
      <c r="U12">
        <v>1200</v>
      </c>
      <c r="V12">
        <v>252.5</v>
      </c>
      <c r="W12">
        <v>0</v>
      </c>
      <c r="X12">
        <v>0</v>
      </c>
      <c r="Y12">
        <v>0</v>
      </c>
      <c r="Z12">
        <v>0</v>
      </c>
      <c r="AO12" t="str">
        <f>VLOOKUP($M$3&amp;$N$3&amp;DATA_MARZO_2026[[#This Row],[SUPERVISOR]],TablaMeta[],7,0)</f>
        <v>S0</v>
      </c>
      <c r="AQ12" s="11">
        <f>VLOOKUP($M$3&amp;$N$3&amp;DITE_MARZO_2026[[#This Row],[SUPER]],TablaMeta[],5,0)</f>
        <v>609835</v>
      </c>
      <c r="AR12" s="11">
        <f>MAX(DITE_MARZO_2026[[#This Row],[SUPER]:[CARTERA]])</f>
        <v>96320</v>
      </c>
      <c r="AS12" s="17">
        <f>IFERROR(DITE_MARZO_2026[[#This Row],[RECUPERO SUPERVISOR]]/DITE_MARZO_2026[[#This Row],[META SUPER]],"")</f>
        <v>0.15794436199955725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11" t="str">
        <f>VLOOKUP($M$3&amp;$N$3&amp;DITE_MARZO_2026[[#This Row],[SUPER]],TablaMeta[],7,0)</f>
        <v>S1</v>
      </c>
    </row>
    <row r="13" spans="1:69" x14ac:dyDescent="0.25">
      <c r="A13" s="34" t="str" cm="1">
        <f t="array" ref="A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JHONATAN CHAVEZ</v>
      </c>
      <c r="C13" s="34" cm="1">
        <f t="array" ref="C1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3" s="35">
        <f>IF(D1_MARZO_2026[[#This Row],[RECUPERO]]="VACACIONES","VACACIONES",IFERROR(D1_MARZO_2026[[#This Row],[RECUPERO]]/D1_MARZO_2026[[#This Row],[META]],""))</f>
        <v>7.1571428571428578E-2</v>
      </c>
      <c r="E13" s="35" t="str">
        <f>D1_MARZO_2026[[#This Row],[SUPER]]</f>
        <v>JORGE</v>
      </c>
      <c r="F13" s="34" t="s">
        <v>65</v>
      </c>
      <c r="G13" s="36">
        <v>4008</v>
      </c>
      <c r="H13" s="34" cm="1">
        <f t="array" ref="H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3" s="61" cm="1">
        <f t="array" ref="I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3" s="61" t="str" cm="1">
        <f t="array" ref="J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61" t="str" cm="1">
        <f t="array" ref="K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DATA_MARZO_2026[[#This Row],[RECUPERO]]/DATA_MARZO_2026[[#This Row],[META]]</f>
        <v>0.25586885245901642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IFERROR(VLOOKUP(DATA_MARZO_2026[[#This Row],[ASER_]],$B:$G,4,0),"")</f>
        <v>KENNETH</v>
      </c>
      <c r="P13" s="6">
        <f>VLOOKUP(DATA_MARZO_2026[[#This Row],[ASER_]],D1_MARZO_2026[[ASESOR_CRR]:[RECUPERO]],6,0)</f>
        <v>7804</v>
      </c>
      <c r="Q13" s="6">
        <f>VLOOKUP(DATA_MARZO_2026[[#This Row],[ASER_]],D1_MARZO_2026[[ASESOR_CRR]:[META]],2,0)</f>
        <v>30500</v>
      </c>
      <c r="R13" t="s">
        <v>81</v>
      </c>
      <c r="S13">
        <v>509</v>
      </c>
      <c r="T13">
        <v>0</v>
      </c>
      <c r="U13">
        <v>345</v>
      </c>
      <c r="V13">
        <v>1100</v>
      </c>
      <c r="W13">
        <v>3650</v>
      </c>
      <c r="X13">
        <v>0</v>
      </c>
      <c r="Y13">
        <v>0</v>
      </c>
      <c r="Z13">
        <v>2200</v>
      </c>
      <c r="AO13" t="str">
        <f>VLOOKUP($M$3&amp;$N$3&amp;DATA_MARZO_2026[[#This Row],[SUPERVISOR]],TablaMeta[],7,0)</f>
        <v>S0</v>
      </c>
      <c r="AQ13" s="10">
        <f>VLOOKUP($M$3&amp;$N$3&amp;DITE_MARZO_2026[[#This Row],[SUPER]],TablaMeta[],5,0)</f>
        <v>268288</v>
      </c>
      <c r="AR13" s="10">
        <f>MAX(DITE_MARZO_2026[[#This Row],[SUPER]:[CARTERA]])</f>
        <v>69215</v>
      </c>
      <c r="AS13" s="16">
        <f>IFERROR(DITE_MARZO_2026[[#This Row],[RECUPERO SUPERVISOR]]/DITE_MARZO_2026[[#This Row],[META SUPER]],"")</f>
        <v>0.25798768487595419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/>
      <c r="BD13" s="46"/>
      <c r="BE13" s="46"/>
      <c r="BF13" s="45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10" t="str">
        <f>VLOOKUP($M$3&amp;$N$3&amp;DITE_MARZO_2026[[#This Row],[SUPER]],TablaMeta[],7,0)</f>
        <v>S2-3-4</v>
      </c>
    </row>
    <row r="14" spans="1:69" x14ac:dyDescent="0.25">
      <c r="A14" s="34" t="str" cm="1">
        <f t="array" ref="A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ELVIS GUERRERA</v>
      </c>
      <c r="C14" s="34" cm="1">
        <f t="array" ref="C1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4" s="35">
        <f>IF(D1_MARZO_2026[[#This Row],[RECUPERO]]="VACACIONES","VACACIONES",IFERROR(D1_MARZO_2026[[#This Row],[RECUPERO]]/D1_MARZO_2026[[#This Row],[META]],""))</f>
        <v>6.9785714285714284E-2</v>
      </c>
      <c r="E14" s="35" t="str">
        <f>D1_MARZO_2026[[#This Row],[SUPER]]</f>
        <v>JORGE</v>
      </c>
      <c r="F14" s="34" t="s">
        <v>393</v>
      </c>
      <c r="G14" s="36">
        <v>3908</v>
      </c>
      <c r="H14" s="34" cm="1">
        <f t="array" ref="H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14" s="61" cm="1">
        <f t="array" ref="I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14" s="61" t="str" cm="1">
        <f t="array" ref="J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61" t="str" cm="1">
        <f t="array" ref="K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DATA_MARZO_2026[[#This Row],[RECUPERO]]/DATA_MARZO_2026[[#This Row],[META]]</f>
        <v>3.9344262295081971E-2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IFERROR(VLOOKUP(DATA_MARZO_2026[[#This Row],[ASER_]],$B:$G,4,0),"")</f>
        <v>KENNETH</v>
      </c>
      <c r="P14" s="6">
        <f>VLOOKUP(DATA_MARZO_2026[[#This Row],[ASER_]],D1_MARZO_2026[[ASESOR_CRR]:[RECUPERO]],6,0)</f>
        <v>1200</v>
      </c>
      <c r="Q14" s="6">
        <f>VLOOKUP(DATA_MARZO_2026[[#This Row],[ASER_]],D1_MARZO_2026[[ASESOR_CRR]:[META]],2,0)</f>
        <v>30500</v>
      </c>
      <c r="R14" t="s">
        <v>19</v>
      </c>
      <c r="S14">
        <v>0</v>
      </c>
      <c r="T14">
        <v>0</v>
      </c>
      <c r="U14">
        <v>0</v>
      </c>
      <c r="V14">
        <v>200</v>
      </c>
      <c r="W14">
        <v>0</v>
      </c>
      <c r="X14">
        <v>0</v>
      </c>
      <c r="Y14">
        <v>0</v>
      </c>
      <c r="Z14">
        <v>1000</v>
      </c>
      <c r="AO14" t="str">
        <f>VLOOKUP($M$3&amp;$N$3&amp;DATA_MARZO_2026[[#This Row],[SUPERVISOR]],TablaMeta[],7,0)</f>
        <v>S0</v>
      </c>
    </row>
    <row r="15" spans="1:69" x14ac:dyDescent="0.25">
      <c r="A15" s="34" t="str" cm="1">
        <f t="array" ref="A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JENY QUINONES</v>
      </c>
      <c r="C15" s="34" cm="1">
        <f t="array" ref="C1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5" s="35">
        <f>IF(D1_MARZO_2026[[#This Row],[RECUPERO]]="VACACIONES","VACACIONES",IFERROR(D1_MARZO_2026[[#This Row],[RECUPERO]]/D1_MARZO_2026[[#This Row],[META]],""))</f>
        <v>5.7529464285714288E-2</v>
      </c>
      <c r="E15" s="35" t="str">
        <f>D1_MARZO_2026[[#This Row],[SUPER]]</f>
        <v>JORGE</v>
      </c>
      <c r="F15" s="34" t="s">
        <v>583</v>
      </c>
      <c r="G15" s="36">
        <v>3221.65</v>
      </c>
      <c r="H15" s="34" cm="1">
        <f t="array" ref="H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15" s="61" cm="1">
        <f t="array" ref="I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15" s="61" t="str" cm="1">
        <f t="array" ref="J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61" t="str" cm="1">
        <f t="array" ref="K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DATA_MARZO_2026[[#This Row],[RECUPERO]]/DATA_MARZO_2026[[#This Row],[META]]</f>
        <v>0.5679016393442623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IFERROR(VLOOKUP(DATA_MARZO_2026[[#This Row],[ASER_]],$B:$G,4,0),"")</f>
        <v>KENNETH</v>
      </c>
      <c r="P15" s="6">
        <f>VLOOKUP(DATA_MARZO_2026[[#This Row],[ASER_]],D1_MARZO_2026[[ASESOR_CRR]:[RECUPERO]],6,0)</f>
        <v>17321</v>
      </c>
      <c r="Q15" s="6">
        <f>VLOOKUP(DATA_MARZO_2026[[#This Row],[ASER_]],D1_MARZO_2026[[ASESOR_CRR]:[META]],2,0)</f>
        <v>30500</v>
      </c>
      <c r="R15" t="s">
        <v>50</v>
      </c>
      <c r="S15" s="47">
        <v>0</v>
      </c>
      <c r="T15">
        <v>0</v>
      </c>
      <c r="U15">
        <v>300</v>
      </c>
      <c r="V15">
        <v>0</v>
      </c>
      <c r="W15">
        <v>120</v>
      </c>
      <c r="X15">
        <v>6700</v>
      </c>
      <c r="Y15">
        <v>2601</v>
      </c>
      <c r="Z15">
        <v>7600</v>
      </c>
      <c r="AO15" t="str">
        <f>VLOOKUP($M$3&amp;$N$3&amp;DATA_MARZO_2026[[#This Row],[SUPERVISOR]],TablaMeta[],7,0)</f>
        <v>S0</v>
      </c>
      <c r="AZ15" s="45"/>
      <c r="BB15" s="45"/>
      <c r="BC15" s="45"/>
      <c r="BE15" s="45"/>
    </row>
    <row r="16" spans="1:69" x14ac:dyDescent="0.25">
      <c r="A16" s="34" t="str" cm="1">
        <f t="array" ref="A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MALORY MONTEBLANCO</v>
      </c>
      <c r="C16" s="34" cm="1">
        <f t="array" ref="C1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6" s="35">
        <f>IF(D1_MARZO_2026[[#This Row],[RECUPERO]]="VACACIONES","VACACIONES",IFERROR(D1_MARZO_2026[[#This Row],[RECUPERO]]/D1_MARZO_2026[[#This Row],[META]],""))</f>
        <v>4.9642857142857141E-2</v>
      </c>
      <c r="E16" s="35" t="str">
        <f>D1_MARZO_2026[[#This Row],[SUPER]]</f>
        <v>JORGE</v>
      </c>
      <c r="F16" t="s">
        <v>25</v>
      </c>
      <c r="G16" s="3">
        <v>2780</v>
      </c>
      <c r="H16" cm="1">
        <f t="array" ref="H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6" s="56" cm="1">
        <f t="array" ref="I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6" s="56" t="str" cm="1">
        <f t="array" ref="J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61" t="str" cm="1">
        <f t="array" ref="K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DATA_MARZO_2026[[#This Row],[RECUPERO]]/DATA_MARZO_2026[[#This Row],[META]]</f>
        <v>0.24668852459016394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&gt;0%</v>
      </c>
      <c r="O16" s="55" t="str">
        <f>IFERROR(VLOOKUP(DATA_MARZO_2026[[#This Row],[ASER_]],$B:$G,4,0),"")</f>
        <v>KENNETH</v>
      </c>
      <c r="P16" s="6">
        <f>VLOOKUP(DATA_MARZO_2026[[#This Row],[ASER_]],D1_MARZO_2026[[ASESOR_CRR]:[RECUPERO]],6,0)</f>
        <v>7524</v>
      </c>
      <c r="Q16" s="6">
        <f>VLOOKUP(DATA_MARZO_2026[[#This Row],[ASER_]],D1_MARZO_2026[[ASESOR_CRR]:[META]],2,0)</f>
        <v>30500</v>
      </c>
      <c r="R16" t="s">
        <v>11</v>
      </c>
      <c r="S16" s="47">
        <v>0</v>
      </c>
      <c r="T16">
        <v>150</v>
      </c>
      <c r="U16">
        <v>0</v>
      </c>
      <c r="V16">
        <v>300</v>
      </c>
      <c r="W16">
        <v>246</v>
      </c>
      <c r="X16">
        <v>5578</v>
      </c>
      <c r="Y16">
        <v>250</v>
      </c>
      <c r="Z16">
        <v>1000</v>
      </c>
      <c r="AO16" t="str">
        <f>VLOOKUP($M$3&amp;$N$3&amp;DATA_MARZO_2026[[#This Row],[SUPERVISOR]],TablaMeta[],7,0)</f>
        <v>S0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MARGARITA PIANCHACHI</v>
      </c>
      <c r="C17" s="34" cm="1">
        <f t="array" ref="C1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7" s="35">
        <f>IF(D1_MARZO_2026[[#This Row],[RECUPERO]]="VACACIONES","VACACIONES",IFERROR(D1_MARZO_2026[[#This Row],[RECUPERO]]/D1_MARZO_2026[[#This Row],[META]],""))</f>
        <v>1.1357142857142857E-2</v>
      </c>
      <c r="E17" s="35" t="str">
        <f>D1_MARZO_2026[[#This Row],[SUPER]]</f>
        <v>JORGE</v>
      </c>
      <c r="F17" t="s">
        <v>17</v>
      </c>
      <c r="G17" s="3">
        <v>636</v>
      </c>
      <c r="H17" cm="1">
        <f t="array" ref="H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17" s="56" cm="1">
        <f t="array" ref="I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17" s="56" t="str" cm="1">
        <f t="array" ref="J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61" t="str" cm="1">
        <f t="array" ref="K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DATA_MARZO_2026[[#This Row],[RECUPERO]]/DATA_MARZO_2026[[#This Row],[META]]</f>
        <v>0.40688524590163933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&gt;40%</v>
      </c>
      <c r="O17" s="55" t="str">
        <f>IFERROR(VLOOKUP(DATA_MARZO_2026[[#This Row],[ASER_]],$B:$G,4,0),"")</f>
        <v>KENNETH</v>
      </c>
      <c r="P17" s="6">
        <f>VLOOKUP(DATA_MARZO_2026[[#This Row],[ASER_]],D1_MARZO_2026[[ASESOR_CRR]:[RECUPERO]],6,0)</f>
        <v>12410</v>
      </c>
      <c r="Q17" s="6">
        <f>VLOOKUP(DATA_MARZO_2026[[#This Row],[ASER_]],D1_MARZO_2026[[ASESOR_CRR]:[META]],2,0)</f>
        <v>30500</v>
      </c>
      <c r="R17" t="s">
        <v>80</v>
      </c>
      <c r="S17" s="47">
        <v>0</v>
      </c>
      <c r="T17">
        <v>1000</v>
      </c>
      <c r="U17">
        <v>0</v>
      </c>
      <c r="V17">
        <v>860</v>
      </c>
      <c r="W17">
        <v>5000</v>
      </c>
      <c r="X17">
        <v>550</v>
      </c>
      <c r="Y17">
        <v>5000</v>
      </c>
      <c r="Z17">
        <v>0</v>
      </c>
      <c r="AO17" t="str">
        <f>VLOOKUP($M$3&amp;$N$3&amp;DATA_MARZO_2026[[#This Row],[SUPERVISOR]],TablaMeta[],7,0)</f>
        <v>S0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8" s="34" t="str" cm="1">
        <f t="array" ref="B1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ERIKA PANTA</v>
      </c>
      <c r="C18" s="34" cm="1">
        <f t="array" ref="C1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18" s="35">
        <f>IF(D1_MARZO_2026[[#This Row],[RECUPERO]]="VACACIONES","VACACIONES",IFERROR(D1_MARZO_2026[[#This Row],[RECUPERO]]/D1_MARZO_2026[[#This Row],[META]],""))</f>
        <v>0.61406249999999996</v>
      </c>
      <c r="E18" s="35" t="str">
        <f>D1_MARZO_2026[[#This Row],[SUPER]]</f>
        <v>LEONOR</v>
      </c>
      <c r="F18" t="s">
        <v>512</v>
      </c>
      <c r="G18" s="3">
        <v>9825</v>
      </c>
      <c r="H18" cm="1">
        <f t="array" ref="H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18" s="56" cm="1">
        <f t="array" ref="I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18" s="56" t="str" cm="1">
        <f t="array" ref="J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8" s="56"/>
      <c r="M18" s="5">
        <f>DATA_MARZO_2026[[#This Row],[RECUPERO]]/DATA_MARZO_2026[[#This Row],[META]]</f>
        <v>0.4524590163934426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&gt;40%</v>
      </c>
      <c r="O18" s="55" t="str">
        <f>IFERROR(VLOOKUP(DATA_MARZO_2026[[#This Row],[ASER_]],$B:$G,4,0),"")</f>
        <v>KENNETH</v>
      </c>
      <c r="P18" s="6">
        <f>VLOOKUP(DATA_MARZO_2026[[#This Row],[ASER_]],D1_MARZO_2026[[ASESOR_CRR]:[RECUPERO]],6,0)</f>
        <v>13800</v>
      </c>
      <c r="Q18" s="6">
        <f>VLOOKUP(DATA_MARZO_2026[[#This Row],[ASER_]],D1_MARZO_2026[[ASESOR_CRR]:[META]],2,0)</f>
        <v>30500</v>
      </c>
      <c r="R18" t="s">
        <v>34</v>
      </c>
      <c r="S18">
        <v>0</v>
      </c>
      <c r="T18">
        <v>1250</v>
      </c>
      <c r="U18">
        <v>1450</v>
      </c>
      <c r="V18">
        <v>0</v>
      </c>
      <c r="W18">
        <v>500</v>
      </c>
      <c r="X18">
        <v>1500</v>
      </c>
      <c r="Y18">
        <v>1100</v>
      </c>
      <c r="Z18">
        <v>8000</v>
      </c>
      <c r="AO18" t="str">
        <f>VLOOKUP($M$3&amp;$N$3&amp;DATA_MARZO_2026[[#This Row],[SUPERVISOR]],TablaMeta[],7,0)</f>
        <v>S0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9" s="34" t="str" cm="1">
        <f t="array" ref="B1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CHRISTIAN ALVARADO</v>
      </c>
      <c r="C19" s="34" cm="1">
        <f t="array" ref="C1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19" s="35">
        <f>IF(D1_MARZO_2026[[#This Row],[RECUPERO]]="VACACIONES","VACACIONES",IFERROR(D1_MARZO_2026[[#This Row],[RECUPERO]]/D1_MARZO_2026[[#This Row],[META]],""))</f>
        <v>0.4090625</v>
      </c>
      <c r="E19" s="35" t="str">
        <f>D1_MARZO_2026[[#This Row],[SUPER]]</f>
        <v>LEONOR</v>
      </c>
      <c r="F19" t="s">
        <v>41</v>
      </c>
      <c r="G19" s="3">
        <v>6545</v>
      </c>
      <c r="H19" cm="1">
        <f t="array" ref="H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19" s="56" cm="1">
        <f t="array" ref="I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19" s="56" t="str" cm="1">
        <f t="array" ref="J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9" s="56"/>
      <c r="M19" s="5">
        <f>DATA_MARZO_2026[[#This Row],[RECUPERO]]/DATA_MARZO_2026[[#This Row],[META]]</f>
        <v>0.8569230769230769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&gt;70%</v>
      </c>
      <c r="O19" s="55" t="str">
        <f>IFERROR(VLOOKUP(DATA_MARZO_2026[[#This Row],[ASER_]],$B:$G,4,0),"")</f>
        <v>SANDY</v>
      </c>
      <c r="P19" s="6">
        <f>VLOOKUP(DATA_MARZO_2026[[#This Row],[ASER_]],D1_MARZO_2026[[ASESOR_CRR]:[RECUPERO]],6,0)</f>
        <v>27850</v>
      </c>
      <c r="Q19" s="6">
        <f>VLOOKUP(DATA_MARZO_2026[[#This Row],[ASER_]],D1_MARZO_2026[[ASESOR_CRR]:[META]],2,0)</f>
        <v>32500</v>
      </c>
      <c r="R19" t="s">
        <v>96</v>
      </c>
      <c r="S19" s="45">
        <v>4400</v>
      </c>
      <c r="T19">
        <v>1970</v>
      </c>
      <c r="U19">
        <v>0</v>
      </c>
      <c r="V19">
        <v>0</v>
      </c>
      <c r="W19">
        <v>1480</v>
      </c>
      <c r="X19">
        <v>19000</v>
      </c>
      <c r="Y19">
        <v>0</v>
      </c>
      <c r="Z19">
        <v>1000</v>
      </c>
      <c r="AO19" t="str">
        <f>VLOOKUP($M$3&amp;$N$3&amp;DATA_MARZO_2026[[#This Row],[SUPERVISOR]],TablaMeta[],7,0)</f>
        <v>S0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0" s="34" t="str" cm="1">
        <f t="array" ref="B2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JESSYKA GARCIA</v>
      </c>
      <c r="C20" s="34" cm="1">
        <f t="array" ref="C2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20" s="35">
        <f>IF(D1_MARZO_2026[[#This Row],[RECUPERO]]="VACACIONES","VACACIONES",IFERROR(D1_MARZO_2026[[#This Row],[RECUPERO]]/D1_MARZO_2026[[#This Row],[META]],""))</f>
        <v>0.13250000000000001</v>
      </c>
      <c r="E20" s="35" t="str">
        <f>D1_MARZO_2026[[#This Row],[SUPER]]</f>
        <v>LEONOR</v>
      </c>
      <c r="F20" t="s">
        <v>582</v>
      </c>
      <c r="G20" s="3">
        <v>2120</v>
      </c>
      <c r="H20" cm="1">
        <f t="array" ref="H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0" s="56" cm="1">
        <f t="array" ref="I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0" s="56" t="str" cm="1">
        <f t="array" ref="J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0" s="56"/>
      <c r="M20" s="5">
        <f>DATA_MARZO_2026[[#This Row],[RECUPERO]]/DATA_MARZO_2026[[#This Row],[META]]</f>
        <v>0.59907692307692306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&gt;40%</v>
      </c>
      <c r="O20" s="55" t="str">
        <f>IFERROR(VLOOKUP(DATA_MARZO_2026[[#This Row],[ASER_]],$B:$G,4,0),"")</f>
        <v>SANDY</v>
      </c>
      <c r="P20" s="6">
        <f>VLOOKUP(DATA_MARZO_2026[[#This Row],[ASER_]],D1_MARZO_2026[[ASESOR_CRR]:[RECUPERO]],6,0)</f>
        <v>19470</v>
      </c>
      <c r="Q20" s="6">
        <f>VLOOKUP(DATA_MARZO_2026[[#This Row],[ASER_]],D1_MARZO_2026[[ASESOR_CRR]:[META]],2,0)</f>
        <v>32500</v>
      </c>
      <c r="R20" t="s">
        <v>79</v>
      </c>
      <c r="S20" s="45">
        <v>1100</v>
      </c>
      <c r="T20">
        <v>270</v>
      </c>
      <c r="U20">
        <v>1100</v>
      </c>
      <c r="V20">
        <v>12000</v>
      </c>
      <c r="W20">
        <v>0</v>
      </c>
      <c r="X20">
        <v>5000</v>
      </c>
      <c r="Y20">
        <v>0</v>
      </c>
      <c r="Z20">
        <v>0</v>
      </c>
      <c r="AO20" t="str">
        <f>VLOOKUP($M$3&amp;$N$3&amp;DATA_MARZO_2026[[#This Row],[SUPERVISOR]],TablaMeta[],7,0)</f>
        <v>S0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1" s="34" t="str" cm="1">
        <f t="array" ref="B2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JOSELIN MONTALVO</v>
      </c>
      <c r="C21" s="34" cm="1">
        <f t="array" ref="C2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21" s="35">
        <f>IF(D1_MARZO_2026[[#This Row],[RECUPERO]]="VACACIONES","VACACIONES",IFERROR(D1_MARZO_2026[[#This Row],[RECUPERO]]/D1_MARZO_2026[[#This Row],[META]],""))</f>
        <v>0.12</v>
      </c>
      <c r="E21" s="35" t="str">
        <f>D1_MARZO_2026[[#This Row],[SUPER]]</f>
        <v>LEONOR</v>
      </c>
      <c r="F21" t="s">
        <v>566</v>
      </c>
      <c r="G21" s="3">
        <v>1920</v>
      </c>
      <c r="H21" cm="1">
        <f t="array" ref="H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1" s="56" cm="1">
        <f t="array" ref="I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1" s="56" t="str" cm="1">
        <f t="array" ref="J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1" s="56"/>
      <c r="M21" s="5">
        <f>DATA_MARZO_2026[[#This Row],[RECUPERO]]/DATA_MARZO_2026[[#This Row],[META]]</f>
        <v>0.12558153846153847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&gt;0%</v>
      </c>
      <c r="O21" s="55" t="str">
        <f>IFERROR(VLOOKUP(DATA_MARZO_2026[[#This Row],[ASER_]],$B:$G,4,0),"")</f>
        <v>SANDY</v>
      </c>
      <c r="P21" s="6">
        <f>VLOOKUP(DATA_MARZO_2026[[#This Row],[ASER_]],D1_MARZO_2026[[ASESOR_CRR]:[RECUPERO]],6,0)</f>
        <v>4081.4</v>
      </c>
      <c r="Q21" s="6">
        <f>VLOOKUP(DATA_MARZO_2026[[#This Row],[ASER_]],D1_MARZO_2026[[ASESOR_CRR]:[META]],2,0)</f>
        <v>32500</v>
      </c>
      <c r="R21" t="s">
        <v>29</v>
      </c>
      <c r="S21">
        <v>383.4</v>
      </c>
      <c r="T21">
        <v>500</v>
      </c>
      <c r="U21">
        <v>0</v>
      </c>
      <c r="V21">
        <v>1778</v>
      </c>
      <c r="W21">
        <v>1220</v>
      </c>
      <c r="X21">
        <v>0</v>
      </c>
      <c r="Y21">
        <v>0</v>
      </c>
      <c r="Z21">
        <v>200</v>
      </c>
      <c r="AO21" t="str">
        <f>VLOOKUP($M$3&amp;$N$3&amp;DATA_MARZO_2026[[#This Row],[SUPERVISOR]],TablaMeta[],7,0)</f>
        <v>S0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2" s="34" t="str" cm="1">
        <f t="array" ref="B2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SONIA SULLA</v>
      </c>
      <c r="C22" s="34" cm="1">
        <f t="array" ref="C2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22" s="35">
        <f>IF(D1_MARZO_2026[[#This Row],[RECUPERO]]="VACACIONES","VACACIONES",IFERROR(D1_MARZO_2026[[#This Row],[RECUPERO]]/D1_MARZO_2026[[#This Row],[META]],""))</f>
        <v>9.5375000000000001E-2</v>
      </c>
      <c r="E22" s="35" t="str">
        <f>D1_MARZO_2026[[#This Row],[SUPER]]</f>
        <v>LEONOR</v>
      </c>
      <c r="F22" t="s">
        <v>574</v>
      </c>
      <c r="G22" s="3">
        <v>1526</v>
      </c>
      <c r="H22" cm="1">
        <f t="array" ref="H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22" s="56" cm="1">
        <f t="array" ref="I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22" s="56" t="str" cm="1">
        <f t="array" ref="J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2" s="56"/>
      <c r="M22" s="5">
        <f>DATA_MARZO_2026[[#This Row],[RECUPERO]]/DATA_MARZO_2026[[#This Row],[META]]</f>
        <v>0.5229538461538461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IFERROR(VLOOKUP(DATA_MARZO_2026[[#This Row],[ASER_]],$B:$G,4,0),"")</f>
        <v>SANDY</v>
      </c>
      <c r="P22" s="6">
        <f>VLOOKUP(DATA_MARZO_2026[[#This Row],[ASER_]],D1_MARZO_2026[[ASESOR_CRR]:[RECUPERO]],6,0)</f>
        <v>16996</v>
      </c>
      <c r="Q22" s="6">
        <f>VLOOKUP(DATA_MARZO_2026[[#This Row],[ASER_]],D1_MARZO_2026[[ASESOR_CRR]:[META]],2,0)</f>
        <v>32500</v>
      </c>
      <c r="R22" t="s">
        <v>68</v>
      </c>
      <c r="S22">
        <v>0</v>
      </c>
      <c r="T22">
        <v>1200</v>
      </c>
      <c r="U22">
        <v>5000</v>
      </c>
      <c r="V22">
        <v>8783.36</v>
      </c>
      <c r="W22">
        <v>0</v>
      </c>
      <c r="X22">
        <v>0</v>
      </c>
      <c r="Y22">
        <v>0</v>
      </c>
      <c r="Z22">
        <v>2010</v>
      </c>
      <c r="AO22" t="str">
        <f>VLOOKUP($M$3&amp;$N$3&amp;DATA_MARZO_2026[[#This Row],[SUPERVISOR]],TablaMeta[],7,0)</f>
        <v>S0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3" s="34" t="str" cm="1">
        <f t="array" ref="B2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NICOLE CAURURO</v>
      </c>
      <c r="C23" s="34" cm="1">
        <f t="array" ref="C2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23" s="35">
        <f>IF(D1_MARZO_2026[[#This Row],[RECUPERO]]="VACACIONES","VACACIONES",IFERROR(D1_MARZO_2026[[#This Row],[RECUPERO]]/D1_MARZO_2026[[#This Row],[META]],""))</f>
        <v>6.3437499999999994E-2</v>
      </c>
      <c r="E23" s="35" t="str">
        <f>D1_MARZO_2026[[#This Row],[SUPER]]</f>
        <v>LEONOR</v>
      </c>
      <c r="F23" t="s">
        <v>585</v>
      </c>
      <c r="G23" s="3">
        <v>1015</v>
      </c>
      <c r="H23" cm="1">
        <f t="array" ref="H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23" s="56" cm="1">
        <f t="array" ref="I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23" s="56" t="str" cm="1">
        <f t="array" ref="J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3" s="56"/>
      <c r="M23" s="5">
        <f>DATA_MARZO_2026[[#This Row],[RECUPERO]]/DATA_MARZO_2026[[#This Row],[META]]</f>
        <v>0.14338461538461539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&gt;0%</v>
      </c>
      <c r="O23" s="55" t="str">
        <f>IFERROR(VLOOKUP(DATA_MARZO_2026[[#This Row],[ASER_]],$B:$G,4,0),"")</f>
        <v>SANDY</v>
      </c>
      <c r="P23" s="6">
        <f>VLOOKUP(DATA_MARZO_2026[[#This Row],[ASER_]],D1_MARZO_2026[[ASESOR_CRR]:[RECUPERO]],6,0)</f>
        <v>4660</v>
      </c>
      <c r="Q23" s="6">
        <f>VLOOKUP(DATA_MARZO_2026[[#This Row],[ASER_]],D1_MARZO_2026[[ASESOR_CRR]:[META]],2,0)</f>
        <v>32500</v>
      </c>
      <c r="R23" t="s">
        <v>174</v>
      </c>
      <c r="S23">
        <v>0</v>
      </c>
      <c r="T23">
        <v>0</v>
      </c>
      <c r="U23">
        <v>0</v>
      </c>
      <c r="V23">
        <v>200</v>
      </c>
      <c r="W23">
        <v>0</v>
      </c>
      <c r="X23">
        <v>350</v>
      </c>
      <c r="Y23">
        <v>4000</v>
      </c>
      <c r="Z23">
        <v>110</v>
      </c>
      <c r="AO23" t="str">
        <f>VLOOKUP($M$3&amp;$N$3&amp;DATA_MARZO_2026[[#This Row],[SUPERVISOR]],TablaMeta[],7,0)</f>
        <v>S0</v>
      </c>
      <c r="BI23" s="45"/>
    </row>
    <row r="24" spans="1:67" x14ac:dyDescent="0.25">
      <c r="A24" s="34" t="str" cm="1">
        <f t="array" ref="A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4" s="34" t="str" cm="1">
        <f t="array" ref="B2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GERALDINE ARROYO</v>
      </c>
      <c r="C24" s="34" cm="1">
        <f t="array" ref="C2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24" s="35">
        <f>IF(D1_MARZO_2026[[#This Row],[RECUPERO]]="VACACIONES","VACACIONES",IFERROR(D1_MARZO_2026[[#This Row],[RECUPERO]]/D1_MARZO_2026[[#This Row],[META]],""))</f>
        <v>0.45285714285714285</v>
      </c>
      <c r="E24" s="35" t="str">
        <f>D1_MARZO_2026[[#This Row],[SUPER]]</f>
        <v>LEONOR</v>
      </c>
      <c r="F24" t="s">
        <v>51</v>
      </c>
      <c r="G24" s="3">
        <v>15850</v>
      </c>
      <c r="H24" cm="1">
        <f t="array" ref="H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24" s="56" cm="1">
        <f t="array" ref="I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24" s="56" t="str" cm="1">
        <f t="array" ref="J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24" s="56"/>
      <c r="M24" s="5">
        <f>DATA_MARZO_2026[[#This Row],[RECUPERO]]/DATA_MARZO_2026[[#This Row],[META]]</f>
        <v>0.39089230769230771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&gt;0%</v>
      </c>
      <c r="O24" s="55" t="str">
        <f>IFERROR(VLOOKUP(DATA_MARZO_2026[[#This Row],[ASER_]],$B:$G,4,0),"")</f>
        <v>SANDY</v>
      </c>
      <c r="P24" s="6">
        <f>VLOOKUP(DATA_MARZO_2026[[#This Row],[ASER_]],D1_MARZO_2026[[ASESOR_CRR]:[RECUPERO]],6,0)</f>
        <v>12704</v>
      </c>
      <c r="Q24" s="6">
        <f>VLOOKUP(DATA_MARZO_2026[[#This Row],[ASER_]],D1_MARZO_2026[[ASESOR_CRR]:[META]],2,0)</f>
        <v>32500</v>
      </c>
      <c r="R24" t="s">
        <v>32</v>
      </c>
      <c r="S24">
        <v>0</v>
      </c>
      <c r="T24">
        <v>7500</v>
      </c>
      <c r="U24">
        <v>0</v>
      </c>
      <c r="V24">
        <v>0</v>
      </c>
      <c r="W24">
        <v>2912</v>
      </c>
      <c r="X24">
        <v>1542</v>
      </c>
      <c r="Y24">
        <v>0</v>
      </c>
      <c r="Z24">
        <v>750</v>
      </c>
      <c r="AO24" t="str">
        <f>VLOOKUP($M$3&amp;$N$3&amp;DATA_MARZO_2026[[#This Row],[SUPERVISOR]],TablaMeta[],7,0)</f>
        <v>S0</v>
      </c>
      <c r="BM24" s="45"/>
    </row>
    <row r="25" spans="1:67" x14ac:dyDescent="0.25">
      <c r="A25" s="34" t="str" cm="1">
        <f t="array" ref="A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5" s="34" t="str" cm="1">
        <f t="array" ref="B2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JUAN ALANOCCA</v>
      </c>
      <c r="C25" s="34" cm="1">
        <f t="array" ref="C2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25" s="35">
        <f>IF(D1_MARZO_2026[[#This Row],[RECUPERO]]="VACACIONES","VACACIONES",IFERROR(D1_MARZO_2026[[#This Row],[RECUPERO]]/D1_MARZO_2026[[#This Row],[META]],""))</f>
        <v>0.21382857142857142</v>
      </c>
      <c r="E25" s="35" t="str">
        <f>D1_MARZO_2026[[#This Row],[SUPER]]</f>
        <v>LEONOR</v>
      </c>
      <c r="F25" t="s">
        <v>77</v>
      </c>
      <c r="G25" s="3">
        <v>7484</v>
      </c>
      <c r="H25" cm="1">
        <f t="array" ref="H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25" s="56" cm="1">
        <f t="array" ref="I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25" s="56" t="str" cm="1">
        <f t="array" ref="J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25" s="56"/>
      <c r="M25" s="5">
        <f>DATA_MARZO_2026[[#This Row],[RECUPERO]]/DATA_MARZO_2026[[#This Row],[META]]</f>
        <v>0.40615384615384614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&gt;40%</v>
      </c>
      <c r="O25" s="55" t="str">
        <f>IFERROR(VLOOKUP(DATA_MARZO_2026[[#This Row],[ASER_]],$B:$G,4,0),"")</f>
        <v>SANDY</v>
      </c>
      <c r="P25" s="6">
        <f>VLOOKUP(DATA_MARZO_2026[[#This Row],[ASER_]],D1_MARZO_2026[[ASESOR_CRR]:[RECUPERO]],6,0)</f>
        <v>13200</v>
      </c>
      <c r="Q25" s="6">
        <f>VLOOKUP(DATA_MARZO_2026[[#This Row],[ASER_]],D1_MARZO_2026[[ASESOR_CRR]:[META]],2,0)</f>
        <v>32500</v>
      </c>
      <c r="R25" t="s">
        <v>510</v>
      </c>
      <c r="S25">
        <v>0</v>
      </c>
      <c r="T25">
        <v>0</v>
      </c>
      <c r="U25">
        <v>10300</v>
      </c>
      <c r="V25">
        <v>0</v>
      </c>
      <c r="W25">
        <v>0</v>
      </c>
      <c r="X25">
        <v>0</v>
      </c>
      <c r="Y25">
        <v>900</v>
      </c>
      <c r="Z25">
        <v>2000</v>
      </c>
      <c r="AO25" t="str">
        <f>VLOOKUP($M$3&amp;$N$3&amp;DATA_MARZO_2026[[#This Row],[SUPERVISOR]],TablaMeta[],7,0)</f>
        <v>S0</v>
      </c>
    </row>
    <row r="26" spans="1:67" x14ac:dyDescent="0.25">
      <c r="A26" s="34" t="str" cm="1">
        <f t="array" ref="A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6" s="34" t="str" cm="1">
        <f t="array" ref="B2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JANETH PORTOCARRERO</v>
      </c>
      <c r="C26" s="34" cm="1">
        <f t="array" ref="C2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26" s="35">
        <f>IF(D1_MARZO_2026[[#This Row],[RECUPERO]]="VACACIONES","VACACIONES",IFERROR(D1_MARZO_2026[[#This Row],[RECUPERO]]/D1_MARZO_2026[[#This Row],[META]],""))</f>
        <v>0.1889142857142857</v>
      </c>
      <c r="E26" s="35" t="str">
        <f>D1_MARZO_2026[[#This Row],[SUPER]]</f>
        <v>LEONOR</v>
      </c>
      <c r="F26" t="s">
        <v>49</v>
      </c>
      <c r="G26" s="3">
        <v>6612</v>
      </c>
      <c r="H26" cm="1">
        <f t="array" ref="H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26" s="56" cm="1">
        <f t="array" ref="I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26" s="56" t="str" cm="1">
        <f t="array" ref="J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26" s="56"/>
      <c r="M26" s="5">
        <f>DATA_MARZO_2026[[#This Row],[RECUPERO]]/DATA_MARZO_2026[[#This Row],[META]]</f>
        <v>0.4850976595744681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&gt;40%</v>
      </c>
      <c r="O26" s="55" t="str">
        <f>IFERROR(VLOOKUP(DATA_MARZO_2026[[#This Row],[ASER_]],$B:$G,4,0),"")</f>
        <v>SANDY</v>
      </c>
      <c r="P26" s="6">
        <f>VLOOKUP(DATA_MARZO_2026[[#This Row],[ASER_]],D1_MARZO_2026[[ASESOR_CRR]:[RECUPERO]],6,0)</f>
        <v>45599.18</v>
      </c>
      <c r="Q26" s="6">
        <f>VLOOKUP(DATA_MARZO_2026[[#This Row],[ASER_]],D1_MARZO_2026[[ASESOR_CRR]:[META]],2,0)</f>
        <v>94000</v>
      </c>
      <c r="R26" t="s">
        <v>38</v>
      </c>
      <c r="S26">
        <v>200</v>
      </c>
      <c r="T26">
        <v>6484.86</v>
      </c>
      <c r="U26">
        <v>7300</v>
      </c>
      <c r="V26">
        <v>10150</v>
      </c>
      <c r="W26">
        <v>6377</v>
      </c>
      <c r="X26">
        <v>11957.74</v>
      </c>
      <c r="Y26">
        <v>1030</v>
      </c>
      <c r="Z26">
        <v>2100</v>
      </c>
      <c r="AO26" t="str">
        <f>VLOOKUP($M$3&amp;$N$3&amp;DATA_MARZO_2026[[#This Row],[SUPERVISOR]],TablaMeta[],7,0)</f>
        <v>S0</v>
      </c>
    </row>
    <row r="27" spans="1:67" x14ac:dyDescent="0.25">
      <c r="A27" s="34" t="str" cm="1">
        <f t="array" ref="A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VERONICA HUARCA</v>
      </c>
      <c r="C27" s="34" cm="1">
        <f t="array" ref="C2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27" s="35">
        <f>IF(D1_MARZO_2026[[#This Row],[RECUPERO]]="VACACIONES","VACACIONES",IFERROR(D1_MARZO_2026[[#This Row],[RECUPERO]]/D1_MARZO_2026[[#This Row],[META]],""))</f>
        <v>0.17199999999999999</v>
      </c>
      <c r="E27" s="35" t="str">
        <f>D1_MARZO_2026[[#This Row],[SUPER]]</f>
        <v>LEONOR</v>
      </c>
      <c r="F27" t="s">
        <v>48</v>
      </c>
      <c r="G27" s="3">
        <v>6020</v>
      </c>
      <c r="H27" cm="1">
        <f t="array" ref="H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27" s="56" cm="1">
        <f t="array" ref="I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7" s="56" t="str" cm="1">
        <f t="array" ref="J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27" s="56"/>
      <c r="M27" s="5">
        <f>DATA_MARZO_2026[[#This Row],[RECUPERO]]/DATA_MARZO_2026[[#This Row],[META]]</f>
        <v>0.59652319148936173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&gt;40%</v>
      </c>
      <c r="O27" s="55" t="str">
        <f>IFERROR(VLOOKUP(DATA_MARZO_2026[[#This Row],[ASER_]],$B:$G,4,0),"")</f>
        <v>SANDY</v>
      </c>
      <c r="P27" s="6">
        <f>VLOOKUP(DATA_MARZO_2026[[#This Row],[ASER_]],D1_MARZO_2026[[ASESOR_CRR]:[RECUPERO]],6,0)</f>
        <v>56073.18</v>
      </c>
      <c r="Q27" s="6">
        <f>VLOOKUP(DATA_MARZO_2026[[#This Row],[ASER_]],D1_MARZO_2026[[ASESOR_CRR]:[META]],2,0)</f>
        <v>94000</v>
      </c>
      <c r="R27" t="s">
        <v>76</v>
      </c>
      <c r="S27">
        <v>0</v>
      </c>
      <c r="T27">
        <v>3450</v>
      </c>
      <c r="U27">
        <v>8660.16</v>
      </c>
      <c r="V27">
        <v>16000</v>
      </c>
      <c r="W27">
        <v>0</v>
      </c>
      <c r="X27">
        <v>20000</v>
      </c>
      <c r="Y27">
        <v>4463</v>
      </c>
      <c r="Z27">
        <v>3500</v>
      </c>
      <c r="AO27" t="str">
        <f>VLOOKUP($M$3&amp;$N$3&amp;DATA_MARZO_2026[[#This Row],[SUPERVISOR]],TablaMeta[],7,0)</f>
        <v>S0</v>
      </c>
    </row>
    <row r="28" spans="1:67" x14ac:dyDescent="0.25">
      <c r="A28" s="34" t="str" cm="1">
        <f t="array" ref="A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SARITA GARAY</v>
      </c>
      <c r="C28" s="34" cm="1">
        <f t="array" ref="C2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28" s="35">
        <f>IF(D1_MARZO_2026[[#This Row],[RECUPERO]]="VACACIONES","VACACIONES",IFERROR(D1_MARZO_2026[[#This Row],[RECUPERO]]/D1_MARZO_2026[[#This Row],[META]],""))</f>
        <v>0.13894285714285715</v>
      </c>
      <c r="E28" s="35" t="str">
        <f>D1_MARZO_2026[[#This Row],[SUPER]]</f>
        <v>LEONOR</v>
      </c>
      <c r="F28" t="s">
        <v>73</v>
      </c>
      <c r="G28" s="3">
        <v>4863</v>
      </c>
      <c r="H28" cm="1">
        <f t="array" ref="H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28" s="56" cm="1">
        <f t="array" ref="I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28" s="56" t="str" cm="1">
        <f t="array" ref="J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28" s="56"/>
      <c r="M28" s="5">
        <f>DATA_MARZO_2026[[#This Row],[RECUPERO]]/DATA_MARZO_2026[[#This Row],[META]]</f>
        <v>0.30149999999999999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IFERROR(VLOOKUP(DATA_MARZO_2026[[#This Row],[ASER_]],$B:$G,4,0),"")</f>
        <v>SANDY</v>
      </c>
      <c r="P28" s="6">
        <f>VLOOKUP(DATA_MARZO_2026[[#This Row],[ASER_]],D1_MARZO_2026[[ASESOR_CRR]:[RECUPERO]],6,0)</f>
        <v>28341</v>
      </c>
      <c r="Q28" s="6">
        <f>VLOOKUP(DATA_MARZO_2026[[#This Row],[ASER_]],D1_MARZO_2026[[ASESOR_CRR]:[META]],2,0)</f>
        <v>94000</v>
      </c>
      <c r="R28" t="s">
        <v>78</v>
      </c>
      <c r="S28">
        <v>0</v>
      </c>
      <c r="T28">
        <v>6000</v>
      </c>
      <c r="U28">
        <v>8600</v>
      </c>
      <c r="V28">
        <v>0</v>
      </c>
      <c r="W28">
        <v>2495</v>
      </c>
      <c r="X28">
        <v>10750</v>
      </c>
      <c r="Y28">
        <v>0</v>
      </c>
      <c r="Z28">
        <v>496</v>
      </c>
      <c r="AO28" t="str">
        <f>VLOOKUP($M$3&amp;$N$3&amp;DATA_MARZO_2026[[#This Row],[SUPERVISOR]],TablaMeta[],7,0)</f>
        <v>S0</v>
      </c>
    </row>
    <row r="29" spans="1:67" x14ac:dyDescent="0.25">
      <c r="A29" s="34" t="str" cm="1">
        <f t="array" ref="A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9" s="34" t="str" cm="1">
        <f t="array" ref="B2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CRISTINA TICONA</v>
      </c>
      <c r="C29" s="34" cm="1">
        <f t="array" ref="C2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9" s="35">
        <f>IF(D1_MARZO_2026[[#This Row],[RECUPERO]]="VACACIONES","VACACIONES",IFERROR(D1_MARZO_2026[[#This Row],[RECUPERO]]/D1_MARZO_2026[[#This Row],[META]],""))</f>
        <v>0.29201785714285716</v>
      </c>
      <c r="E29" s="35" t="str">
        <f>D1_MARZO_2026[[#This Row],[SUPER]]</f>
        <v>JOHAN</v>
      </c>
      <c r="F29" t="s">
        <v>61</v>
      </c>
      <c r="G29" s="3">
        <v>16353</v>
      </c>
      <c r="H29" cm="1">
        <f t="array" ref="H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29" s="56" cm="1">
        <f t="array" ref="I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29" s="56" t="str" cm="1">
        <f t="array" ref="J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9" s="56"/>
      <c r="M29" s="5">
        <f>DATA_MARZO_2026[[#This Row],[RECUPERO]]/DATA_MARZO_2026[[#This Row],[META]]</f>
        <v>0.17857142857142858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&gt;0%</v>
      </c>
      <c r="O29" s="55" t="str">
        <f>IFERROR(VLOOKUP(DATA_MARZO_2026[[#This Row],[ASER_]],$B:$G,4,0),"")</f>
        <v>JOHAN</v>
      </c>
      <c r="P29" s="6">
        <f>VLOOKUP(DATA_MARZO_2026[[#This Row],[ASER_]],D1_MARZO_2026[[ASESOR_CRR]:[RECUPERO]],6,0)</f>
        <v>10000</v>
      </c>
      <c r="Q29" s="6">
        <f>VLOOKUP(DATA_MARZO_2026[[#This Row],[ASER_]],D1_MARZO_2026[[ASESOR_CRR]:[META]],2,0)</f>
        <v>56000</v>
      </c>
      <c r="R29" t="s">
        <v>59</v>
      </c>
      <c r="S29" s="45">
        <v>3500</v>
      </c>
      <c r="T29">
        <v>0</v>
      </c>
      <c r="U29">
        <v>1000</v>
      </c>
      <c r="V29">
        <v>0</v>
      </c>
      <c r="W29">
        <v>0</v>
      </c>
      <c r="X29">
        <v>5500</v>
      </c>
      <c r="Y29">
        <v>0</v>
      </c>
      <c r="Z29">
        <v>0</v>
      </c>
      <c r="AO29" t="str">
        <f>VLOOKUP($M$3&amp;$N$3&amp;DATA_MARZO_2026[[#This Row],[SUPERVISOR]],TablaMeta[],7,0)</f>
        <v>S1</v>
      </c>
    </row>
    <row r="30" spans="1:67" x14ac:dyDescent="0.25">
      <c r="A30" s="34" t="str" cm="1">
        <f t="array" ref="A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0" s="34" t="str" cm="1">
        <f t="array" ref="B3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ALEIDITH GUEVARA</v>
      </c>
      <c r="C30" s="34" cm="1">
        <f t="array" ref="C3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0" s="35">
        <f>IF(D1_MARZO_2026[[#This Row],[RECUPERO]]="VACACIONES","VACACIONES",IFERROR(D1_MARZO_2026[[#This Row],[RECUPERO]]/D1_MARZO_2026[[#This Row],[META]],""))</f>
        <v>0.23035714285714284</v>
      </c>
      <c r="E30" s="35" t="str">
        <f>D1_MARZO_2026[[#This Row],[SUPER]]</f>
        <v>JOHAN</v>
      </c>
      <c r="F30" t="s">
        <v>18</v>
      </c>
      <c r="G30" s="3">
        <v>12900</v>
      </c>
      <c r="H30" cm="1">
        <f t="array" ref="H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30" s="56" cm="1">
        <f t="array" ref="I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30" s="56" t="str" cm="1">
        <f t="array" ref="J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0" s="56"/>
      <c r="M30" s="5">
        <f>DATA_MARZO_2026[[#This Row],[RECUPERO]]/DATA_MARZO_2026[[#This Row],[META]]</f>
        <v>0.20441071428571428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IFERROR(VLOOKUP(DATA_MARZO_2026[[#This Row],[ASER_]],$B:$G,4,0),"")</f>
        <v>JOHAN</v>
      </c>
      <c r="P30" s="6">
        <f>VLOOKUP(DATA_MARZO_2026[[#This Row],[ASER_]],D1_MARZO_2026[[ASESOR_CRR]:[RECUPERO]],6,0)</f>
        <v>11447</v>
      </c>
      <c r="Q30" s="6">
        <f>VLOOKUP(DATA_MARZO_2026[[#This Row],[ASER_]],D1_MARZO_2026[[ASESOR_CRR]:[META]],2,0)</f>
        <v>56000</v>
      </c>
      <c r="R30" t="s">
        <v>60</v>
      </c>
      <c r="S30" s="45">
        <v>1377</v>
      </c>
      <c r="T30">
        <v>1370</v>
      </c>
      <c r="U30">
        <v>0</v>
      </c>
      <c r="V30">
        <v>1900</v>
      </c>
      <c r="W30">
        <v>3200</v>
      </c>
      <c r="X30">
        <v>0</v>
      </c>
      <c r="Y30">
        <v>3600</v>
      </c>
      <c r="Z30">
        <v>0</v>
      </c>
      <c r="AO30" t="str">
        <f>VLOOKUP($M$3&amp;$N$3&amp;DATA_MARZO_2026[[#This Row],[SUPERVISOR]],TablaMeta[],7,0)</f>
        <v>S1</v>
      </c>
    </row>
    <row r="31" spans="1:67" x14ac:dyDescent="0.25">
      <c r="A31" s="34" t="str" cm="1">
        <f t="array" ref="A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1" s="34" t="str" cm="1">
        <f t="array" ref="B3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MARTIN VARGAS</v>
      </c>
      <c r="C31" s="34" cm="1">
        <f t="array" ref="C3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1" s="35">
        <f>IF(D1_MARZO_2026[[#This Row],[RECUPERO]]="VACACIONES","VACACIONES",IFERROR(D1_MARZO_2026[[#This Row],[RECUPERO]]/D1_MARZO_2026[[#This Row],[META]],""))</f>
        <v>0.21910714285714286</v>
      </c>
      <c r="E31" s="35" t="str">
        <f>D1_MARZO_2026[[#This Row],[SUPER]]</f>
        <v>JOHAN</v>
      </c>
      <c r="F31" t="s">
        <v>206</v>
      </c>
      <c r="G31" s="3">
        <v>12270</v>
      </c>
      <c r="H31" cm="1">
        <f t="array" ref="H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31" s="56" cm="1">
        <f t="array" ref="I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31" s="56" t="str" cm="1">
        <f t="array" ref="J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1" s="56"/>
      <c r="M31" s="5">
        <f>DATA_MARZO_2026[[#This Row],[RECUPERO]]/DATA_MARZO_2026[[#This Row],[META]]</f>
        <v>0.11964285714285715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&gt;0%</v>
      </c>
      <c r="O31" s="55" t="str">
        <f>IFERROR(VLOOKUP(DATA_MARZO_2026[[#This Row],[ASER_]],$B:$G,4,0),"")</f>
        <v>JOHAN</v>
      </c>
      <c r="P31" s="6">
        <f>VLOOKUP(DATA_MARZO_2026[[#This Row],[ASER_]],D1_MARZO_2026[[ASESOR_CRR]:[RECUPERO]],6,0)</f>
        <v>6700</v>
      </c>
      <c r="Q31" s="6">
        <f>VLOOKUP(DATA_MARZO_2026[[#This Row],[ASER_]],D1_MARZO_2026[[ASESOR_CRR]:[META]],2,0)</f>
        <v>56000</v>
      </c>
      <c r="R31" t="s">
        <v>75</v>
      </c>
      <c r="S31">
        <v>0</v>
      </c>
      <c r="T31">
        <v>2000</v>
      </c>
      <c r="U31">
        <v>0</v>
      </c>
      <c r="V31">
        <v>0</v>
      </c>
      <c r="W31">
        <v>500</v>
      </c>
      <c r="X31">
        <v>4200</v>
      </c>
      <c r="Y31">
        <v>0</v>
      </c>
      <c r="Z31">
        <v>0</v>
      </c>
      <c r="AO31" t="str">
        <f>VLOOKUP($M$3&amp;$N$3&amp;DATA_MARZO_2026[[#This Row],[SUPERVISOR]],TablaMeta[],7,0)</f>
        <v>S1</v>
      </c>
    </row>
    <row r="32" spans="1:67" x14ac:dyDescent="0.25">
      <c r="A32" s="34" t="str" cm="1">
        <f t="array" ref="A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2" s="34" t="str" cm="1">
        <f t="array" ref="B3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ANALUCIA PONCE</v>
      </c>
      <c r="C32" s="34" cm="1">
        <f t="array" ref="C3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2" s="35">
        <f>IF(D1_MARZO_2026[[#This Row],[RECUPERO]]="VACACIONES","VACACIONES",IFERROR(D1_MARZO_2026[[#This Row],[RECUPERO]]/D1_MARZO_2026[[#This Row],[META]],""))</f>
        <v>0.20441071428571428</v>
      </c>
      <c r="E32" s="35" t="str">
        <f>D1_MARZO_2026[[#This Row],[SUPER]]</f>
        <v>JOHAN</v>
      </c>
      <c r="F32" t="s">
        <v>60</v>
      </c>
      <c r="G32" s="3">
        <v>11447</v>
      </c>
      <c r="H32" cm="1">
        <f t="array" ref="H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32" s="56" cm="1">
        <f t="array" ref="I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32" s="56" t="str" cm="1">
        <f t="array" ref="J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2" s="56"/>
      <c r="M32" s="5">
        <f>DATA_MARZO_2026[[#This Row],[RECUPERO]]/DATA_MARZO_2026[[#This Row],[META]]</f>
        <v>7.678571428571429E-2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>&gt;0%</v>
      </c>
      <c r="O32" s="55" t="str">
        <f>IFERROR(VLOOKUP(DATA_MARZO_2026[[#This Row],[ASER_]],$B:$G,4,0),"")</f>
        <v>JOHAN</v>
      </c>
      <c r="P32" s="6">
        <f>VLOOKUP(DATA_MARZO_2026[[#This Row],[ASER_]],D1_MARZO_2026[[ASESOR_CRR]:[RECUPERO]],6,0)</f>
        <v>4300</v>
      </c>
      <c r="Q32" s="6">
        <f>VLOOKUP(DATA_MARZO_2026[[#This Row],[ASER_]],D1_MARZO_2026[[ASESOR_CRR]:[META]],2,0)</f>
        <v>56000</v>
      </c>
      <c r="R32" t="s">
        <v>72</v>
      </c>
      <c r="S32">
        <v>0</v>
      </c>
      <c r="T32">
        <v>3000</v>
      </c>
      <c r="U32">
        <v>1000</v>
      </c>
      <c r="V32">
        <v>0</v>
      </c>
      <c r="W32">
        <v>0</v>
      </c>
      <c r="X32">
        <v>0</v>
      </c>
      <c r="Y32">
        <v>0</v>
      </c>
      <c r="Z32">
        <v>300</v>
      </c>
      <c r="AO32" t="str">
        <f>VLOOKUP($M$3&amp;$N$3&amp;DATA_MARZO_2026[[#This Row],[SUPERVISOR]],TablaMeta[],7,0)</f>
        <v>S1</v>
      </c>
    </row>
    <row r="33" spans="1:41" x14ac:dyDescent="0.25">
      <c r="A33" s="34" t="str" cm="1">
        <f t="array" ref="A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3" s="34" t="str" cm="1">
        <f t="array" ref="B3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PIERINA TESEN</v>
      </c>
      <c r="C33" s="34" cm="1">
        <f t="array" ref="C3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3" s="35">
        <f>IF(D1_MARZO_2026[[#This Row],[RECUPERO]]="VACACIONES","VACACIONES",IFERROR(D1_MARZO_2026[[#This Row],[RECUPERO]]/D1_MARZO_2026[[#This Row],[META]],""))</f>
        <v>0.17857142857142858</v>
      </c>
      <c r="E33" s="35" t="str">
        <f>D1_MARZO_2026[[#This Row],[SUPER]]</f>
        <v>JOHAN</v>
      </c>
      <c r="F33" t="s">
        <v>59</v>
      </c>
      <c r="G33" s="3">
        <v>10000</v>
      </c>
      <c r="H33" cm="1">
        <f t="array" ref="H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3" s="56" cm="1">
        <f t="array" ref="I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3" s="56" t="str" cm="1">
        <f t="array" ref="J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3" s="56"/>
      <c r="M33" s="5">
        <f>DATA_MARZO_2026[[#This Row],[RECUPERO]]/DATA_MARZO_2026[[#This Row],[META]]</f>
        <v>0.15714285714285714</v>
      </c>
      <c r="N33" s="5" t="str" cm="1">
        <f t="array" ref="N33">IF(DATA_MARZO_2026[[#This Row],[ASER_]]="","",IFERROR(_xlfn.IFS(M33&gt;=100%,"&gt;100%",AND(M33&lt;100%,M33&gt;=70%),"&gt;70%",AND(M33&lt;70%,M33&gt;=40%),"&gt;40%",AND(M33&lt;40%,M33&gt;=0%),"&gt;0%"),""))</f>
        <v>&gt;0%</v>
      </c>
      <c r="O33" s="55" t="str">
        <f>IFERROR(VLOOKUP(DATA_MARZO_2026[[#This Row],[ASER_]],$B:$G,4,0),"")</f>
        <v>JOHAN</v>
      </c>
      <c r="P33" s="6">
        <f>VLOOKUP(DATA_MARZO_2026[[#This Row],[ASER_]],D1_MARZO_2026[[ASESOR_CRR]:[RECUPERO]],6,0)</f>
        <v>8800</v>
      </c>
      <c r="Q33" s="6">
        <f>VLOOKUP(DATA_MARZO_2026[[#This Row],[ASER_]],D1_MARZO_2026[[ASESOR_CRR]:[META]],2,0)</f>
        <v>56000</v>
      </c>
      <c r="R33" t="s">
        <v>12</v>
      </c>
      <c r="S33">
        <v>0</v>
      </c>
      <c r="T33">
        <v>0</v>
      </c>
      <c r="U33">
        <v>3800</v>
      </c>
      <c r="V33">
        <v>0</v>
      </c>
      <c r="W33">
        <v>3500</v>
      </c>
      <c r="X33">
        <v>0</v>
      </c>
      <c r="Y33">
        <v>0</v>
      </c>
      <c r="Z33">
        <v>1500</v>
      </c>
      <c r="AO33" t="str">
        <f>VLOOKUP($M$3&amp;$N$3&amp;DATA_MARZO_2026[[#This Row],[SUPERVISOR]],TablaMeta[],7,0)</f>
        <v>S1</v>
      </c>
    </row>
    <row r="34" spans="1:41" x14ac:dyDescent="0.25">
      <c r="A34" s="34" t="str" cm="1">
        <f t="array" ref="A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4" s="34" t="str" cm="1">
        <f t="array" ref="B3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GENESIS VICUNA</v>
      </c>
      <c r="C34" s="34" cm="1">
        <f t="array" ref="C3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4" s="35">
        <f>IF(D1_MARZO_2026[[#This Row],[RECUPERO]]="VACACIONES","VACACIONES",IFERROR(D1_MARZO_2026[[#This Row],[RECUPERO]]/D1_MARZO_2026[[#This Row],[META]],""))</f>
        <v>0.15714285714285714</v>
      </c>
      <c r="E34" s="35" t="str">
        <f>D1_MARZO_2026[[#This Row],[SUPER]]</f>
        <v>JOHAN</v>
      </c>
      <c r="F34" t="s">
        <v>12</v>
      </c>
      <c r="G34" s="3">
        <v>8800</v>
      </c>
      <c r="H34" cm="1">
        <f t="array" ref="H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34" s="56" cm="1">
        <f t="array" ref="I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34" s="56" t="str" cm="1">
        <f t="array" ref="J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4" s="56"/>
      <c r="M34" s="5">
        <f>DATA_MARZO_2026[[#This Row],[RECUPERO]]/DATA_MARZO_2026[[#This Row],[META]]</f>
        <v>0.23035714285714284</v>
      </c>
      <c r="N34" s="5" t="str" cm="1">
        <f t="array" ref="N34">IF(DATA_MARZO_2026[[#This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IFERROR(VLOOKUP(DATA_MARZO_2026[[#This Row],[ASER_]],$B:$G,4,0),"")</f>
        <v>JOHAN</v>
      </c>
      <c r="P34" s="6">
        <f>VLOOKUP(DATA_MARZO_2026[[#This Row],[ASER_]],D1_MARZO_2026[[ASESOR_CRR]:[RECUPERO]],6,0)</f>
        <v>12900</v>
      </c>
      <c r="Q34" s="6">
        <f>VLOOKUP(DATA_MARZO_2026[[#This Row],[ASER_]],D1_MARZO_2026[[ASESOR_CRR]:[META]],2,0)</f>
        <v>56000</v>
      </c>
      <c r="R34" t="s">
        <v>18</v>
      </c>
      <c r="S34">
        <v>0</v>
      </c>
      <c r="T34">
        <v>0</v>
      </c>
      <c r="U34">
        <v>0</v>
      </c>
      <c r="V34">
        <v>4900</v>
      </c>
      <c r="W34">
        <v>0</v>
      </c>
      <c r="X34">
        <v>0</v>
      </c>
      <c r="Y34">
        <v>8000</v>
      </c>
      <c r="Z34">
        <v>0</v>
      </c>
      <c r="AO34" t="str">
        <f>VLOOKUP($M$3&amp;$N$3&amp;DATA_MARZO_2026[[#This Row],[SUPERVISOR]],TablaMeta[],7,0)</f>
        <v>S1</v>
      </c>
    </row>
    <row r="35" spans="1:41" x14ac:dyDescent="0.25">
      <c r="A35" s="34" t="str" cm="1">
        <f t="array" ref="A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5" s="34" t="str" cm="1">
        <f t="array" ref="B3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TINTAYA</v>
      </c>
      <c r="C35" s="34" cm="1">
        <f t="array" ref="C3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5" s="35">
        <f>IF(D1_MARZO_2026[[#This Row],[RECUPERO]]="VACACIONES","VACACIONES",IFERROR(D1_MARZO_2026[[#This Row],[RECUPERO]]/D1_MARZO_2026[[#This Row],[META]],""))</f>
        <v>0.11964285714285715</v>
      </c>
      <c r="E35" s="35" t="str">
        <f>D1_MARZO_2026[[#This Row],[SUPER]]</f>
        <v>JOHAN</v>
      </c>
      <c r="F35" t="s">
        <v>75</v>
      </c>
      <c r="G35" s="3">
        <v>6700</v>
      </c>
      <c r="H35" cm="1">
        <f t="array" ref="H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35" s="56" cm="1">
        <f t="array" ref="I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35" s="56" t="str" cm="1">
        <f t="array" ref="J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5" s="56"/>
      <c r="M35" s="5">
        <f>DATA_MARZO_2026[[#This Row],[RECUPERO]]/DATA_MARZO_2026[[#This Row],[META]]</f>
        <v>9.1607142857142859E-2</v>
      </c>
      <c r="N35" s="5" t="str" cm="1">
        <f t="array" ref="N35">IF(DATA_MARZO_2026[[#This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IFERROR(VLOOKUP(DATA_MARZO_2026[[#This Row],[ASER_]],$B:$G,4,0),"")</f>
        <v>JOHAN</v>
      </c>
      <c r="P35" s="6">
        <f>VLOOKUP(DATA_MARZO_2026[[#This Row],[ASER_]],D1_MARZO_2026[[ASESOR_CRR]:[RECUPERO]],6,0)</f>
        <v>5130</v>
      </c>
      <c r="Q35" s="6">
        <f>VLOOKUP(DATA_MARZO_2026[[#This Row],[ASER_]],D1_MARZO_2026[[ASESOR_CRR]:[META]],2,0)</f>
        <v>56000</v>
      </c>
      <c r="R35" t="s">
        <v>122</v>
      </c>
      <c r="S35">
        <v>0</v>
      </c>
      <c r="T35">
        <v>630</v>
      </c>
      <c r="U35" s="45">
        <v>0</v>
      </c>
      <c r="V35">
        <v>0</v>
      </c>
      <c r="W35">
        <v>0</v>
      </c>
      <c r="X35">
        <v>0</v>
      </c>
      <c r="Y35">
        <v>0</v>
      </c>
      <c r="Z35">
        <v>4500</v>
      </c>
      <c r="AO35" t="str">
        <f>VLOOKUP($M$3&amp;$N$3&amp;DATA_MARZO_2026[[#This Row],[SUPERVISOR]],TablaMeta[],7,0)</f>
        <v>S1</v>
      </c>
    </row>
    <row r="36" spans="1:41" x14ac:dyDescent="0.25">
      <c r="A36" s="34" t="str" cm="1">
        <f t="array" ref="A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6" s="34" t="str" cm="1">
        <f t="array" ref="B3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ANTHONY VICENTE</v>
      </c>
      <c r="C36" s="34" cm="1">
        <f t="array" ref="C3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6" s="35">
        <f>IF(D1_MARZO_2026[[#This Row],[RECUPERO]]="VACACIONES","VACACIONES",IFERROR(D1_MARZO_2026[[#This Row],[RECUPERO]]/D1_MARZO_2026[[#This Row],[META]],""))</f>
        <v>0.11517857142857142</v>
      </c>
      <c r="E36" s="35" t="str">
        <f>D1_MARZO_2026[[#This Row],[SUPER]]</f>
        <v>JOHAN</v>
      </c>
      <c r="F36" t="s">
        <v>85</v>
      </c>
      <c r="G36" s="3">
        <v>6450</v>
      </c>
      <c r="H36" cm="1">
        <f t="array" ref="H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36" s="56" cm="1">
        <f t="array" ref="I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36" s="56" t="str" cm="1">
        <f t="array" ref="J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6" s="56"/>
      <c r="M36" s="5">
        <f>DATA_MARZO_2026[[#This Row],[RECUPERO]]/DATA_MARZO_2026[[#This Row],[META]]</f>
        <v>0.21910714285714286</v>
      </c>
      <c r="N36" s="5" t="str" cm="1">
        <f t="array" ref="N36">IF(DATA_MARZO_2026[[#This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IFERROR(VLOOKUP(DATA_MARZO_2026[[#This Row],[ASER_]],$B:$G,4,0),"")</f>
        <v>JOHAN</v>
      </c>
      <c r="P36" s="6">
        <f>VLOOKUP(DATA_MARZO_2026[[#This Row],[ASER_]],D1_MARZO_2026[[ASESOR_CRR]:[RECUPERO]],6,0)</f>
        <v>12270</v>
      </c>
      <c r="Q36" s="6">
        <f>VLOOKUP(DATA_MARZO_2026[[#This Row],[ASER_]],D1_MARZO_2026[[ASESOR_CRR]:[META]],2,0)</f>
        <v>56000</v>
      </c>
      <c r="R36" t="s">
        <v>206</v>
      </c>
      <c r="S36">
        <v>6000</v>
      </c>
      <c r="T36">
        <v>0</v>
      </c>
      <c r="U36">
        <v>0</v>
      </c>
      <c r="V36">
        <v>470</v>
      </c>
      <c r="W36">
        <v>5800</v>
      </c>
      <c r="X36">
        <v>0</v>
      </c>
      <c r="Y36">
        <v>0</v>
      </c>
      <c r="Z36">
        <v>0</v>
      </c>
      <c r="AO36" t="str">
        <f>VLOOKUP($M$3&amp;$N$3&amp;DATA_MARZO_2026[[#This Row],[SUPERVISOR]],TablaMeta[],7,0)</f>
        <v>S1</v>
      </c>
    </row>
    <row r="37" spans="1:41" x14ac:dyDescent="0.25">
      <c r="A37" s="34" t="str" cm="1">
        <f t="array" ref="A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7" s="34" t="str" cm="1">
        <f t="array" ref="B3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JEREMIAS ROJAS</v>
      </c>
      <c r="C37" s="34" cm="1">
        <f t="array" ref="C3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7" s="35">
        <f>IF(D1_MARZO_2026[[#This Row],[RECUPERO]]="VACACIONES","VACACIONES",IFERROR(D1_MARZO_2026[[#This Row],[RECUPERO]]/D1_MARZO_2026[[#This Row],[META]],""))</f>
        <v>9.1607142857142859E-2</v>
      </c>
      <c r="E37" s="35" t="str">
        <f>D1_MARZO_2026[[#This Row],[SUPER]]</f>
        <v>JOHAN</v>
      </c>
      <c r="F37" t="s">
        <v>122</v>
      </c>
      <c r="G37" s="3">
        <v>5130</v>
      </c>
      <c r="H37" cm="1">
        <f t="array" ref="H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37" s="56" cm="1">
        <f t="array" ref="I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37" s="56" t="str" cm="1">
        <f t="array" ref="J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7" s="56"/>
      <c r="M37" s="5">
        <f>DATA_MARZO_2026[[#This Row],[RECUPERO]]/DATA_MARZO_2026[[#This Row],[META]]</f>
        <v>2.8750000000000001E-2</v>
      </c>
      <c r="N37" s="5" t="str" cm="1">
        <f t="array" ref="N37">IF(DATA_MARZO_2026[[#This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IFERROR(VLOOKUP(DATA_MARZO_2026[[#This Row],[ASER_]],$B:$G,4,0),"")</f>
        <v>JOHAN</v>
      </c>
      <c r="P37" s="6">
        <f>VLOOKUP(DATA_MARZO_2026[[#This Row],[ASER_]],D1_MARZO_2026[[ASESOR_CRR]:[RECUPERO]],6,0)</f>
        <v>1610</v>
      </c>
      <c r="Q37" s="6">
        <f>VLOOKUP(DATA_MARZO_2026[[#This Row],[ASER_]],D1_MARZO_2026[[ASESOR_CRR]:[META]],2,0)</f>
        <v>56000</v>
      </c>
      <c r="R37" t="s">
        <v>109</v>
      </c>
      <c r="S37">
        <v>0</v>
      </c>
      <c r="T37">
        <v>1000</v>
      </c>
      <c r="U37">
        <v>0</v>
      </c>
      <c r="V37">
        <v>0</v>
      </c>
      <c r="W37">
        <v>0</v>
      </c>
      <c r="X37">
        <v>0</v>
      </c>
      <c r="Y37">
        <v>610</v>
      </c>
      <c r="Z37">
        <v>0</v>
      </c>
      <c r="AO37" t="str">
        <f>VLOOKUP($M$3&amp;$N$3&amp;DATA_MARZO_2026[[#This Row],[SUPERVISOR]],TablaMeta[],7,0)</f>
        <v>S1</v>
      </c>
    </row>
    <row r="38" spans="1:41" x14ac:dyDescent="0.25">
      <c r="A38" s="34" t="str" cm="1">
        <f t="array" ref="A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ERIKA VILLAR</v>
      </c>
      <c r="C38" s="34" cm="1">
        <f t="array" ref="C3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8" s="35">
        <f>IF(D1_MARZO_2026[[#This Row],[RECUPERO]]="VACACIONES","VACACIONES",IFERROR(D1_MARZO_2026[[#This Row],[RECUPERO]]/D1_MARZO_2026[[#This Row],[META]],""))</f>
        <v>7.678571428571429E-2</v>
      </c>
      <c r="E38" s="35" t="str">
        <f>D1_MARZO_2026[[#This Row],[SUPER]]</f>
        <v>JOHAN</v>
      </c>
      <c r="F38" t="s">
        <v>72</v>
      </c>
      <c r="G38" s="3">
        <v>4300</v>
      </c>
      <c r="H38" cm="1">
        <f t="array" ref="H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38" s="56" cm="1">
        <f t="array" ref="I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38" s="56" t="str" cm="1">
        <f t="array" ref="J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DATA_MARZO_2026[[#This Row],[RECUPERO]]/DATA_MARZO_2026[[#This Row],[META]]</f>
        <v>0.29201785714285716</v>
      </c>
      <c r="N38" s="5" t="str" cm="1">
        <f t="array" ref="N38">IF(DATA_MARZO_2026[[#This Row],[ASER_]]="","",IFERROR(_xlfn.IFS(M38&gt;=100%,"&gt;100%",AND(M38&lt;100%,M38&gt;=70%),"&gt;70%",AND(M38&lt;70%,M38&gt;=40%),"&gt;40%",AND(M38&lt;40%,M38&gt;=0%),"&gt;0%"),""))</f>
        <v>&gt;0%</v>
      </c>
      <c r="O38" s="55" t="str">
        <f>IFERROR(VLOOKUP(DATA_MARZO_2026[[#This Row],[ASER_]],$B:$G,4,0),"")</f>
        <v>JOHAN</v>
      </c>
      <c r="P38" s="6">
        <f>VLOOKUP(DATA_MARZO_2026[[#This Row],[ASER_]],D1_MARZO_2026[[ASESOR_CRR]:[RECUPERO]],6,0)</f>
        <v>16353</v>
      </c>
      <c r="Q38" s="6">
        <f>VLOOKUP(DATA_MARZO_2026[[#This Row],[ASER_]],D1_MARZO_2026[[ASESOR_CRR]:[META]],2,0)</f>
        <v>56000</v>
      </c>
      <c r="R38" t="s">
        <v>61</v>
      </c>
      <c r="S38">
        <v>6550</v>
      </c>
      <c r="T38">
        <v>438</v>
      </c>
      <c r="U38">
        <v>0</v>
      </c>
      <c r="V38">
        <v>1065</v>
      </c>
      <c r="W38">
        <v>0</v>
      </c>
      <c r="X38">
        <v>600</v>
      </c>
      <c r="Y38">
        <v>5800</v>
      </c>
      <c r="Z38">
        <v>1900</v>
      </c>
      <c r="AO38" t="str">
        <f>VLOOKUP($M$3&amp;$N$3&amp;DATA_MARZO_2026[[#This Row],[SUPERVISOR]],TablaMeta[],7,0)</f>
        <v>S1</v>
      </c>
    </row>
    <row r="39" spans="1:41" x14ac:dyDescent="0.25">
      <c r="A39" s="34" t="str" cm="1">
        <f t="array" ref="A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ALEJANDRO GONZALES</v>
      </c>
      <c r="C39" s="34" cm="1">
        <f t="array" ref="C3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9" s="35">
        <f>IF(D1_MARZO_2026[[#This Row],[RECUPERO]]="VACACIONES","VACACIONES",IFERROR(D1_MARZO_2026[[#This Row],[RECUPERO]]/D1_MARZO_2026[[#This Row],[META]],""))</f>
        <v>2.8750000000000001E-2</v>
      </c>
      <c r="E39" s="35" t="str">
        <f>D1_MARZO_2026[[#This Row],[SUPER]]</f>
        <v>JOHAN</v>
      </c>
      <c r="F39" t="s">
        <v>109</v>
      </c>
      <c r="G39" s="3">
        <v>1610</v>
      </c>
      <c r="H39" cm="1">
        <f t="array" ref="H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39" s="56" cm="1">
        <f t="array" ref="I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39" s="56" t="str" cm="1">
        <f t="array" ref="J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DATA_MARZO_2026[[#This Row],[RECUPERO]]/DATA_MARZO_2026[[#This Row],[META]]</f>
        <v>0.11517857142857142</v>
      </c>
      <c r="N39" s="5" t="str" cm="1">
        <f t="array" ref="N39">IF(DATA_MARZO_2026[[#This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IFERROR(VLOOKUP(DATA_MARZO_2026[[#This Row],[ASER_]],$B:$G,4,0),"")</f>
        <v>JOHAN</v>
      </c>
      <c r="P39" s="6">
        <f>VLOOKUP(DATA_MARZO_2026[[#This Row],[ASER_]],D1_MARZO_2026[[ASESOR_CRR]:[RECUPERO]],6,0)</f>
        <v>6450</v>
      </c>
      <c r="Q39" s="6">
        <f>VLOOKUP(DATA_MARZO_2026[[#This Row],[ASER_]],D1_MARZO_2026[[ASESOR_CRR]:[META]],2,0)</f>
        <v>56000</v>
      </c>
      <c r="R39" t="s">
        <v>85</v>
      </c>
      <c r="S39">
        <v>4000</v>
      </c>
      <c r="T39">
        <v>0</v>
      </c>
      <c r="U39">
        <v>0</v>
      </c>
      <c r="V39">
        <v>315</v>
      </c>
      <c r="W39">
        <v>1000</v>
      </c>
      <c r="X39">
        <v>1135</v>
      </c>
      <c r="Y39">
        <v>0</v>
      </c>
      <c r="Z39">
        <v>0</v>
      </c>
      <c r="AO39" t="str">
        <f>VLOOKUP($M$3&amp;$N$3&amp;DATA_MARZO_2026[[#This Row],[SUPERVISOR]],TablaMeta[],7,0)</f>
        <v>S1</v>
      </c>
    </row>
    <row r="40" spans="1:41" x14ac:dyDescent="0.25">
      <c r="A40" s="34" t="str" cm="1">
        <f t="array" ref="A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0" s="34" t="str" cm="1">
        <f t="array" ref="B4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JUAN LOZA</v>
      </c>
      <c r="C40" s="34" cm="1">
        <f t="array" ref="C4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86000</v>
      </c>
      <c r="D40" s="35">
        <f>IF(D1_MARZO_2026[[#This Row],[RECUPERO]]="VACACIONES","VACACIONES",IFERROR(D1_MARZO_2026[[#This Row],[RECUPERO]]/D1_MARZO_2026[[#This Row],[META]],""))</f>
        <v>0.22761627906976745</v>
      </c>
      <c r="E40" s="35" t="str">
        <f>D1_MARZO_2026[[#This Row],[SUPER]]</f>
        <v>KENNETH</v>
      </c>
      <c r="F40" t="s">
        <v>35</v>
      </c>
      <c r="G40" s="3">
        <v>19575</v>
      </c>
      <c r="H40" cm="1">
        <f t="array" ref="H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40" s="56" cm="1">
        <f t="array" ref="I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0" s="56" t="str" cm="1">
        <f t="array" ref="J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 26/01</v>
      </c>
      <c r="L40" s="56"/>
      <c r="M40" s="5">
        <f>DATA_MARZO_2026[[#This Row],[RECUPERO]]/DATA_MARZO_2026[[#This Row],[META]]</f>
        <v>0.21382857142857142</v>
      </c>
      <c r="N40" s="5" t="str" cm="1">
        <f t="array" ref="N40">IF(DATA_MARZO_2026[[#This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IFERROR(VLOOKUP(DATA_MARZO_2026[[#This Row],[ASER_]],$B:$G,4,0),"")</f>
        <v>LEONOR</v>
      </c>
      <c r="P40" s="6">
        <f>VLOOKUP(DATA_MARZO_2026[[#This Row],[ASER_]],D1_MARZO_2026[[ASESOR_CRR]:[RECUPERO]],6,0)</f>
        <v>7484</v>
      </c>
      <c r="Q40" s="6">
        <f>VLOOKUP(DATA_MARZO_2026[[#This Row],[ASER_]],D1_MARZO_2026[[ASESOR_CRR]:[META]],2,0)</f>
        <v>35000</v>
      </c>
      <c r="R40" t="s">
        <v>77</v>
      </c>
      <c r="S40">
        <v>0</v>
      </c>
      <c r="T40">
        <v>0</v>
      </c>
      <c r="U40">
        <v>0</v>
      </c>
      <c r="V40">
        <v>265</v>
      </c>
      <c r="W40">
        <v>1034</v>
      </c>
      <c r="X40">
        <v>231</v>
      </c>
      <c r="Y40">
        <v>5954</v>
      </c>
      <c r="Z40">
        <v>0</v>
      </c>
      <c r="AO40" t="str">
        <f>VLOOKUP($M$3&amp;$N$3&amp;DATA_MARZO_2026[[#This Row],[SUPERVISOR]],TablaMeta[],7,0)</f>
        <v>S2-3-4</v>
      </c>
    </row>
    <row r="41" spans="1:41" x14ac:dyDescent="0.25">
      <c r="A41" s="34" t="str" cm="1">
        <f t="array" ref="A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1" s="34" t="str" cm="1">
        <f t="array" ref="B4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NOEMI CHUQUILIN</v>
      </c>
      <c r="C41" s="34" cm="1">
        <f t="array" ref="C4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86000</v>
      </c>
      <c r="D41" s="35">
        <f>IF(D1_MARZO_2026[[#This Row],[RECUPERO]]="VACACIONES","VACACIONES",IFERROR(D1_MARZO_2026[[#This Row],[RECUPERO]]/D1_MARZO_2026[[#This Row],[META]],""))</f>
        <v>0.13215116279069766</v>
      </c>
      <c r="E41" s="35" t="str">
        <f>D1_MARZO_2026[[#This Row],[SUPER]]</f>
        <v>KENNETH</v>
      </c>
      <c r="F41" t="s">
        <v>97</v>
      </c>
      <c r="G41" s="3">
        <v>11365</v>
      </c>
      <c r="H41" cm="1">
        <f t="array" ref="H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41" s="56" cm="1">
        <f t="array" ref="I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41" s="56" t="str" cm="1">
        <f t="array" ref="J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 26/01</v>
      </c>
      <c r="L41" s="56"/>
      <c r="M41" s="5">
        <f>DATA_MARZO_2026[[#This Row],[RECUPERO]]/DATA_MARZO_2026[[#This Row],[META]]</f>
        <v>0.13894285714285715</v>
      </c>
      <c r="N41" s="5" t="str" cm="1">
        <f t="array" ref="N41">IF(DATA_MARZO_2026[[#This Row],[ASER_]]="","",IFERROR(_xlfn.IFS(M41&gt;=100%,"&gt;100%",AND(M41&lt;100%,M41&gt;=70%),"&gt;70%",AND(M41&lt;70%,M41&gt;=40%),"&gt;40%",AND(M41&lt;40%,M41&gt;=0%),"&gt;0%"),""))</f>
        <v>&gt;0%</v>
      </c>
      <c r="O41" s="55" t="str">
        <f>IFERROR(VLOOKUP(DATA_MARZO_2026[[#This Row],[ASER_]],$B:$G,4,0),"")</f>
        <v>LEONOR</v>
      </c>
      <c r="P41" s="6">
        <f>VLOOKUP(DATA_MARZO_2026[[#This Row],[ASER_]],D1_MARZO_2026[[ASESOR_CRR]:[RECUPERO]],6,0)</f>
        <v>4863</v>
      </c>
      <c r="Q41" s="6">
        <f>VLOOKUP(DATA_MARZO_2026[[#This Row],[ASER_]],D1_MARZO_2026[[ASESOR_CRR]:[META]],2,0)</f>
        <v>35000</v>
      </c>
      <c r="R41" t="s">
        <v>73</v>
      </c>
      <c r="S41">
        <v>0</v>
      </c>
      <c r="T41">
        <v>0</v>
      </c>
      <c r="U41">
        <v>0</v>
      </c>
      <c r="V41">
        <v>1530</v>
      </c>
      <c r="W41">
        <v>820</v>
      </c>
      <c r="X41">
        <v>663</v>
      </c>
      <c r="Y41">
        <v>1850</v>
      </c>
      <c r="Z41">
        <v>0</v>
      </c>
      <c r="AO41" t="str">
        <f>VLOOKUP($M$3&amp;$N$3&amp;DATA_MARZO_2026[[#This Row],[SUPERVISOR]],TablaMeta[],7,0)</f>
        <v>S2-3-4</v>
      </c>
    </row>
    <row r="42" spans="1:41" x14ac:dyDescent="0.25">
      <c r="A42" s="34" t="str" cm="1">
        <f t="array" ref="A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2" s="34" t="str" cm="1">
        <f t="array" ref="B4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JIMENA MEDINA</v>
      </c>
      <c r="C42" s="34" cm="1">
        <f t="array" ref="C4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86000</v>
      </c>
      <c r="D42" s="35">
        <f>IF(D1_MARZO_2026[[#This Row],[RECUPERO]]="VACACIONES","VACACIONES",IFERROR(D1_MARZO_2026[[#This Row],[RECUPERO]]/D1_MARZO_2026[[#This Row],[META]],""))</f>
        <v>5.833139534883721E-2</v>
      </c>
      <c r="E42" s="35" t="str">
        <f>D1_MARZO_2026[[#This Row],[SUPER]]</f>
        <v>KENNETH</v>
      </c>
      <c r="F42" t="s">
        <v>37</v>
      </c>
      <c r="G42" s="3">
        <v>5016.5</v>
      </c>
      <c r="H42" cm="1">
        <f t="array" ref="H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42" s="56" cm="1">
        <f t="array" ref="I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42" s="56" t="str" cm="1">
        <f t="array" ref="J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 26/01</v>
      </c>
      <c r="L42" s="56"/>
      <c r="M42" s="5">
        <f>DATA_MARZO_2026[[#This Row],[RECUPERO]]/DATA_MARZO_2026[[#This Row],[META]]</f>
        <v>0.17199999999999999</v>
      </c>
      <c r="N42" s="54" t="str" cm="1">
        <f t="array" ref="N42">IF(DATA_MARZO_2026[[#This Row],[ASER_]]="","",IFERROR(_xlfn.IFS(M42&gt;=100%,"&gt;100%",AND(M42&lt;100%,M42&gt;=70%),"&gt;70%",AND(M42&lt;70%,M42&gt;=40%),"&gt;40%",AND(M42&lt;40%,M42&gt;=0%),"&gt;0%"),""))</f>
        <v>&gt;0%</v>
      </c>
      <c r="O42" s="55" t="str">
        <f>IFERROR(VLOOKUP(DATA_MARZO_2026[[#This Row],[ASER_]],$B:$G,4,0),"")</f>
        <v>LEONOR</v>
      </c>
      <c r="P42" s="6">
        <f>VLOOKUP(DATA_MARZO_2026[[#This Row],[ASER_]],D1_MARZO_2026[[ASESOR_CRR]:[RECUPERO]],6,0)</f>
        <v>6020</v>
      </c>
      <c r="Q42" s="6">
        <f>VLOOKUP(DATA_MARZO_2026[[#This Row],[ASER_]],D1_MARZO_2026[[ASESOR_CRR]:[META]],2,0)</f>
        <v>35000</v>
      </c>
      <c r="R42" t="s">
        <v>48</v>
      </c>
      <c r="S42">
        <v>0</v>
      </c>
      <c r="T42">
        <v>0</v>
      </c>
      <c r="U42">
        <v>550</v>
      </c>
      <c r="V42">
        <v>0</v>
      </c>
      <c r="W42">
        <v>3700</v>
      </c>
      <c r="X42">
        <v>1000</v>
      </c>
      <c r="Y42">
        <v>0</v>
      </c>
      <c r="Z42">
        <v>770</v>
      </c>
      <c r="AO42" t="str">
        <f>VLOOKUP($M$3&amp;$N$3&amp;DATA_MARZO_2026[[#This Row],[SUPERVISOR]],TablaMeta[],7,0)</f>
        <v>S2-3-4</v>
      </c>
    </row>
    <row r="43" spans="1:41" x14ac:dyDescent="0.25">
      <c r="A43" s="34" t="str" cm="1">
        <f t="array" ref="A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3" s="34" t="str" cm="1">
        <f t="array" ref="B4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KIARA CANEPA</v>
      </c>
      <c r="C43" s="34" cm="1">
        <f t="array" ref="C4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43" s="35">
        <f>IF(D1_MARZO_2026[[#This Row],[RECUPERO]]="VACACIONES","VACACIONES",IFERROR(D1_MARZO_2026[[#This Row],[RECUPERO]]/D1_MARZO_2026[[#This Row],[META]],""))</f>
        <v>0.5679016393442623</v>
      </c>
      <c r="E43" s="35" t="str">
        <f>D1_MARZO_2026[[#This Row],[SUPER]]</f>
        <v>KENNETH</v>
      </c>
      <c r="F43" t="s">
        <v>50</v>
      </c>
      <c r="G43" s="3">
        <v>17321</v>
      </c>
      <c r="H43" cm="1">
        <f t="array" ref="H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43" s="56" cm="1">
        <f t="array" ref="I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43" s="56" t="str" cm="1">
        <f t="array" ref="J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3" s="56"/>
      <c r="M43" s="5">
        <f>DATA_MARZO_2026[[#This Row],[RECUPERO]]/DATA_MARZO_2026[[#This Row],[META]]</f>
        <v>0.45285714285714285</v>
      </c>
      <c r="N43" s="54" t="str" cm="1">
        <f t="array" ref="N43">IF(DATA_MARZO_2026[[#This Row],[ASER_]]="","",IFERROR(_xlfn.IFS(M43&gt;=100%,"&gt;100%",AND(M43&lt;100%,M43&gt;=70%),"&gt;70%",AND(M43&lt;70%,M43&gt;=40%),"&gt;40%",AND(M43&lt;40%,M43&gt;=0%),"&gt;0%"),""))</f>
        <v>&gt;40%</v>
      </c>
      <c r="O43" s="55" t="str">
        <f>IFERROR(VLOOKUP(DATA_MARZO_2026[[#This Row],[ASER_]],$B:$G,4,0),"")</f>
        <v>LEONOR</v>
      </c>
      <c r="P43" s="6">
        <f>VLOOKUP(DATA_MARZO_2026[[#This Row],[ASER_]],D1_MARZO_2026[[ASESOR_CRR]:[RECUPERO]],6,0)</f>
        <v>15850</v>
      </c>
      <c r="Q43" s="6">
        <f>VLOOKUP(DATA_MARZO_2026[[#This Row],[ASER_]],D1_MARZO_2026[[ASESOR_CRR]:[META]],2,0)</f>
        <v>35000</v>
      </c>
      <c r="R43" t="s">
        <v>51</v>
      </c>
      <c r="S43">
        <v>0</v>
      </c>
      <c r="T43">
        <v>0</v>
      </c>
      <c r="U43">
        <v>0</v>
      </c>
      <c r="V43">
        <v>600</v>
      </c>
      <c r="W43">
        <v>1000</v>
      </c>
      <c r="X43">
        <v>13500</v>
      </c>
      <c r="Y43">
        <v>0</v>
      </c>
      <c r="Z43">
        <v>750</v>
      </c>
      <c r="AO43" t="str">
        <f>VLOOKUP($M$3&amp;$N$3&amp;DATA_MARZO_2026[[#This Row],[SUPERVISOR]],TablaMeta[],7,0)</f>
        <v>S2-3-4</v>
      </c>
    </row>
    <row r="44" spans="1:41" x14ac:dyDescent="0.25">
      <c r="A44" s="34" t="str" cm="1">
        <f t="array" ref="A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4" s="34" t="str" cm="1">
        <f t="array" ref="B4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STWUAR MACURI</v>
      </c>
      <c r="C44" s="34" cm="1">
        <f t="array" ref="C4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44" s="35">
        <f>IF(D1_MARZO_2026[[#This Row],[RECUPERO]]="VACACIONES","VACACIONES",IFERROR(D1_MARZO_2026[[#This Row],[RECUPERO]]/D1_MARZO_2026[[#This Row],[META]],""))</f>
        <v>0.4524590163934426</v>
      </c>
      <c r="E44" s="35" t="str">
        <f>D1_MARZO_2026[[#This Row],[SUPER]]</f>
        <v>KENNETH</v>
      </c>
      <c r="F44" t="s">
        <v>34</v>
      </c>
      <c r="G44" s="3">
        <v>13800</v>
      </c>
      <c r="H44" cm="1">
        <f t="array" ref="H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44" s="56" cm="1">
        <f t="array" ref="I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44" s="56" t="str" cm="1">
        <f t="array" ref="J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4" s="56"/>
      <c r="M44" s="5">
        <f>DATA_MARZO_2026[[#This Row],[RECUPERO]]/DATA_MARZO_2026[[#This Row],[META]]</f>
        <v>0.1889142857142857</v>
      </c>
      <c r="N44" s="54" t="str" cm="1">
        <f t="array" ref="N44">IF(DATA_MARZO_2026[[#This Row],[ASER_]]="","",IFERROR(_xlfn.IFS(M44&gt;=100%,"&gt;100%",AND(M44&lt;100%,M44&gt;=70%),"&gt;70%",AND(M44&lt;70%,M44&gt;=40%),"&gt;40%",AND(M44&lt;40%,M44&gt;=0%),"&gt;0%"),""))</f>
        <v>&gt;0%</v>
      </c>
      <c r="O44" s="55" t="str">
        <f>IFERROR(VLOOKUP(DATA_MARZO_2026[[#This Row],[ASER_]],$B:$G,4,0),"")</f>
        <v>LEONOR</v>
      </c>
      <c r="P44" s="6">
        <f>VLOOKUP(DATA_MARZO_2026[[#This Row],[ASER_]],D1_MARZO_2026[[ASESOR_CRR]:[RECUPERO]],6,0)</f>
        <v>6612</v>
      </c>
      <c r="Q44" s="6">
        <f>VLOOKUP(DATA_MARZO_2026[[#This Row],[ASER_]],D1_MARZO_2026[[ASESOR_CRR]:[META]],2,0)</f>
        <v>35000</v>
      </c>
      <c r="R44" t="s">
        <v>49</v>
      </c>
      <c r="S44">
        <v>0</v>
      </c>
      <c r="T44">
        <v>2500</v>
      </c>
      <c r="U44">
        <v>300</v>
      </c>
      <c r="V44">
        <v>0</v>
      </c>
      <c r="W44">
        <v>700</v>
      </c>
      <c r="X44">
        <v>2882</v>
      </c>
      <c r="Y44">
        <v>230</v>
      </c>
      <c r="Z44">
        <v>0</v>
      </c>
      <c r="AO44" t="str">
        <f>VLOOKUP($M$3&amp;$N$3&amp;DATA_MARZO_2026[[#This Row],[SUPERVISOR]],TablaMeta[],7,0)</f>
        <v>S2-3-4</v>
      </c>
    </row>
    <row r="45" spans="1:41" x14ac:dyDescent="0.25">
      <c r="A45" s="34" t="str" cm="1">
        <f t="array" ref="A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5" s="34" t="str" cm="1">
        <f t="array" ref="B4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DANIEL ZAPATA</v>
      </c>
      <c r="C45" s="34" cm="1">
        <f t="array" ref="C4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45" s="35">
        <f>IF(D1_MARZO_2026[[#This Row],[RECUPERO]]="VACACIONES","VACACIONES",IFERROR(D1_MARZO_2026[[#This Row],[RECUPERO]]/D1_MARZO_2026[[#This Row],[META]],""))</f>
        <v>0.40688524590163933</v>
      </c>
      <c r="E45" s="35" t="str">
        <f>D1_MARZO_2026[[#This Row],[SUPER]]</f>
        <v>KENNETH</v>
      </c>
      <c r="F45" t="s">
        <v>80</v>
      </c>
      <c r="G45" s="3">
        <v>12410</v>
      </c>
      <c r="H45" cm="1">
        <f t="array" ref="H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5" s="56" cm="1">
        <f t="array" ref="I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5" s="56" t="str" cm="1">
        <f t="array" ref="J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5" s="56"/>
      <c r="M45" s="5">
        <f>DATA_MARZO_2026[[#This Row],[RECUPERO]]/DATA_MARZO_2026[[#This Row],[META]]</f>
        <v>0.61406249999999996</v>
      </c>
      <c r="N45" s="54" t="str" cm="1">
        <f t="array" ref="N45">IF(DATA_MARZO_2026[[#This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IFERROR(VLOOKUP(DATA_MARZO_2026[[#This Row],[ASER_]],$B:$G,4,0),"")</f>
        <v>LEONOR</v>
      </c>
      <c r="P45" s="6">
        <f>VLOOKUP(DATA_MARZO_2026[[#This Row],[ASER_]],D1_MARZO_2026[[ASESOR_CRR]:[RECUPERO]],6,0)</f>
        <v>9825</v>
      </c>
      <c r="Q45" s="6">
        <f>VLOOKUP(DATA_MARZO_2026[[#This Row],[ASER_]],D1_MARZO_2026[[ASESOR_CRR]:[META]],2,0)</f>
        <v>16000</v>
      </c>
      <c r="R45" t="s">
        <v>512</v>
      </c>
      <c r="S45">
        <v>4500</v>
      </c>
      <c r="T45">
        <v>0</v>
      </c>
      <c r="U45">
        <v>661</v>
      </c>
      <c r="V45">
        <v>1511</v>
      </c>
      <c r="W45">
        <v>500</v>
      </c>
      <c r="X45">
        <v>0</v>
      </c>
      <c r="Y45">
        <v>750</v>
      </c>
      <c r="Z45">
        <v>1903</v>
      </c>
      <c r="AO45" t="str">
        <f>VLOOKUP($M$3&amp;$N$3&amp;DATA_MARZO_2026[[#This Row],[SUPERVISOR]],TablaMeta[],7,0)</f>
        <v>S2-3-4</v>
      </c>
    </row>
    <row r="46" spans="1:41" x14ac:dyDescent="0.25">
      <c r="A46" s="34" t="str" cm="1">
        <f t="array" ref="A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6" s="34" t="str" cm="1">
        <f t="array" ref="B4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DAVID SANCHEZ</v>
      </c>
      <c r="C46" s="34" cm="1">
        <f t="array" ref="C4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46" s="35">
        <f>IF(D1_MARZO_2026[[#This Row],[RECUPERO]]="VACACIONES","VACACIONES",IFERROR(D1_MARZO_2026[[#This Row],[RECUPERO]]/D1_MARZO_2026[[#This Row],[META]],""))</f>
        <v>0.25586885245901642</v>
      </c>
      <c r="E46" s="35" t="str">
        <f>D1_MARZO_2026[[#This Row],[SUPER]]</f>
        <v>KENNETH</v>
      </c>
      <c r="F46" t="s">
        <v>81</v>
      </c>
      <c r="G46" s="3">
        <v>7804</v>
      </c>
      <c r="H46" cm="1">
        <f t="array" ref="H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46" s="56" cm="1">
        <f t="array" ref="I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46" s="56" t="str" cm="1">
        <f t="array" ref="J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6" s="56"/>
      <c r="M46" s="5">
        <f>DATA_MARZO_2026[[#This Row],[RECUPERO]]/DATA_MARZO_2026[[#This Row],[META]]</f>
        <v>0.4090625</v>
      </c>
      <c r="N46" s="54" t="str" cm="1">
        <f t="array" ref="N46">IF(DATA_MARZO_2026[[#This Row],[ASER_]]="","",IFERROR(_xlfn.IFS(M46&gt;=100%,"&gt;100%",AND(M46&lt;100%,M46&gt;=70%),"&gt;70%",AND(M46&lt;70%,M46&gt;=40%),"&gt;40%",AND(M46&lt;40%,M46&gt;=0%),"&gt;0%"),""))</f>
        <v>&gt;40%</v>
      </c>
      <c r="O46" s="55" t="str">
        <f>IFERROR(VLOOKUP(DATA_MARZO_2026[[#This Row],[ASER_]],$B:$G,4,0),"")</f>
        <v>LEONOR</v>
      </c>
      <c r="P46" s="6">
        <f>VLOOKUP(DATA_MARZO_2026[[#This Row],[ASER_]],D1_MARZO_2026[[ASESOR_CRR]:[RECUPERO]],6,0)</f>
        <v>6545</v>
      </c>
      <c r="Q46" s="6">
        <f>VLOOKUP(DATA_MARZO_2026[[#This Row],[ASER_]],D1_MARZO_2026[[ASESOR_CRR]:[META]],2,0)</f>
        <v>16000</v>
      </c>
      <c r="R46" t="s">
        <v>41</v>
      </c>
      <c r="S46">
        <v>0</v>
      </c>
      <c r="T46">
        <v>1386</v>
      </c>
      <c r="U46">
        <v>0</v>
      </c>
      <c r="V46">
        <v>0</v>
      </c>
      <c r="W46">
        <v>458</v>
      </c>
      <c r="X46">
        <v>3844</v>
      </c>
      <c r="Y46">
        <v>0</v>
      </c>
      <c r="Z46">
        <v>857</v>
      </c>
      <c r="AO46" t="str">
        <f>VLOOKUP($M$3&amp;$N$3&amp;DATA_MARZO_2026[[#This Row],[SUPERVISOR]],TablaMeta[],7,0)</f>
        <v>S2-3-4</v>
      </c>
    </row>
    <row r="47" spans="1:41" x14ac:dyDescent="0.25">
      <c r="A47" s="34" t="str" cm="1">
        <f t="array" ref="A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7" s="34" t="str" cm="1">
        <f t="array" ref="B4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MILAGROS QUIO</v>
      </c>
      <c r="C47" s="34" cm="1">
        <f t="array" ref="C4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47" s="35">
        <f>IF(D1_MARZO_2026[[#This Row],[RECUPERO]]="VACACIONES","VACACIONES",IFERROR(D1_MARZO_2026[[#This Row],[RECUPERO]]/D1_MARZO_2026[[#This Row],[META]],""))</f>
        <v>0.24668852459016394</v>
      </c>
      <c r="E47" s="35" t="str">
        <f>D1_MARZO_2026[[#This Row],[SUPER]]</f>
        <v>KENNETH</v>
      </c>
      <c r="F47" t="s">
        <v>11</v>
      </c>
      <c r="G47" s="3">
        <v>7524</v>
      </c>
      <c r="H47" cm="1">
        <f t="array" ref="H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47" s="56" cm="1">
        <f t="array" ref="I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47" s="56" t="str" cm="1">
        <f t="array" ref="J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7" s="56"/>
      <c r="M47" s="5">
        <f>DATA_MARZO_2026[[#This Row],[RECUPERO]]/DATA_MARZO_2026[[#This Row],[META]]</f>
        <v>0.12</v>
      </c>
      <c r="N47" s="54" t="str" cm="1">
        <f t="array" ref="N47">IF(DATA_MARZO_2026[[#This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IFERROR(VLOOKUP(DATA_MARZO_2026[[#This Row],[ASER_]],$B:$G,4,0),"")</f>
        <v>LEONOR</v>
      </c>
      <c r="P47" s="6">
        <f>VLOOKUP(DATA_MARZO_2026[[#This Row],[ASER_]],D1_MARZO_2026[[ASESOR_CRR]:[RECUPERO]],6,0)</f>
        <v>1920</v>
      </c>
      <c r="Q47" s="6">
        <f>VLOOKUP(DATA_MARZO_2026[[#This Row],[ASER_]],D1_MARZO_2026[[ASESOR_CRR]:[META]],2,0)</f>
        <v>16000</v>
      </c>
      <c r="R47" t="s">
        <v>566</v>
      </c>
      <c r="S47">
        <v>350</v>
      </c>
      <c r="T47">
        <v>970</v>
      </c>
      <c r="U47">
        <v>0</v>
      </c>
      <c r="V47">
        <v>250</v>
      </c>
      <c r="W47">
        <v>50</v>
      </c>
      <c r="X47">
        <v>0</v>
      </c>
      <c r="Y47">
        <v>300</v>
      </c>
      <c r="Z47">
        <v>0</v>
      </c>
      <c r="AO47" t="str">
        <f>VLOOKUP($M$3&amp;$N$3&amp;DATA_MARZO_2026[[#This Row],[SUPERVISOR]],TablaMeta[],7,0)</f>
        <v>S2-3-4</v>
      </c>
    </row>
    <row r="48" spans="1:41" x14ac:dyDescent="0.25">
      <c r="A48" s="34" t="str" cm="1">
        <f t="array" ref="A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8" s="34" t="str" cm="1">
        <f t="array" ref="B4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FRANK PACORA</v>
      </c>
      <c r="C48" s="34" cm="1">
        <f t="array" ref="C4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48" s="35">
        <f>IF(D1_MARZO_2026[[#This Row],[RECUPERO]]="VACACIONES","VACACIONES",IFERROR(D1_MARZO_2026[[#This Row],[RECUPERO]]/D1_MARZO_2026[[#This Row],[META]],""))</f>
        <v>4.7622950819672133E-2</v>
      </c>
      <c r="E48" s="35" t="str">
        <f>D1_MARZO_2026[[#This Row],[SUPER]]</f>
        <v>KENNETH</v>
      </c>
      <c r="F48" t="s">
        <v>105</v>
      </c>
      <c r="G48" s="3">
        <v>1452.5</v>
      </c>
      <c r="H48" cm="1">
        <f t="array" ref="H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48" s="56" cm="1">
        <f t="array" ref="I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48" s="56" t="str" cm="1">
        <f t="array" ref="J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8" s="56"/>
      <c r="M48" s="5">
        <f>DATA_MARZO_2026[[#This Row],[RECUPERO]]/DATA_MARZO_2026[[#This Row],[META]]</f>
        <v>9.5375000000000001E-2</v>
      </c>
      <c r="N48" s="54" t="str" cm="1">
        <f t="array" ref="N48">IF(DATA_MARZO_2026[[#This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IFERROR(VLOOKUP(DATA_MARZO_2026[[#This Row],[ASER_]],$B:$G,4,0),"")</f>
        <v>LEONOR</v>
      </c>
      <c r="P48" s="6">
        <f>VLOOKUP(DATA_MARZO_2026[[#This Row],[ASER_]],D1_MARZO_2026[[ASESOR_CRR]:[RECUPERO]],6,0)</f>
        <v>1526</v>
      </c>
      <c r="Q48" s="6">
        <f>VLOOKUP(DATA_MARZO_2026[[#This Row],[ASER_]],D1_MARZO_2026[[ASESOR_CRR]:[META]],2,0)</f>
        <v>16000</v>
      </c>
      <c r="R48" t="s">
        <v>574</v>
      </c>
      <c r="S48">
        <v>0</v>
      </c>
      <c r="T48">
        <v>0</v>
      </c>
      <c r="U48">
        <v>0</v>
      </c>
      <c r="V48">
        <v>0</v>
      </c>
      <c r="W48">
        <v>326</v>
      </c>
      <c r="X48" s="5">
        <v>0</v>
      </c>
      <c r="Y48" s="6">
        <v>0</v>
      </c>
      <c r="Z48" s="6">
        <v>1200</v>
      </c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t="str">
        <f>VLOOKUP($M$3&amp;$N$3&amp;DATA_MARZO_2026[[#This Row],[SUPERVISOR]],TablaMeta[],7,0)</f>
        <v>S2-3-4</v>
      </c>
    </row>
    <row r="49" spans="1:41" x14ac:dyDescent="0.25">
      <c r="A49" s="34" t="str" cm="1">
        <f t="array" ref="A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9" s="34" t="str" cm="1">
        <f t="array" ref="B4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CARMEN PUMA</v>
      </c>
      <c r="C49" s="34" cm="1">
        <f t="array" ref="C4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49" s="35">
        <f>IF(D1_MARZO_2026[[#This Row],[RECUPERO]]="VACACIONES","VACACIONES",IFERROR(D1_MARZO_2026[[#This Row],[RECUPERO]]/D1_MARZO_2026[[#This Row],[META]],""))</f>
        <v>3.9344262295081971E-2</v>
      </c>
      <c r="E49" s="35" t="str">
        <f>D1_MARZO_2026[[#This Row],[SUPER]]</f>
        <v>KENNETH</v>
      </c>
      <c r="F49" t="s">
        <v>19</v>
      </c>
      <c r="G49" s="3">
        <v>1200</v>
      </c>
      <c r="H49" cm="1">
        <f t="array" ref="H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49" s="56" cm="1">
        <f t="array" ref="I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49" s="56" t="str" cm="1">
        <f t="array" ref="J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9" s="56"/>
      <c r="M49" s="5">
        <f>DATA_MARZO_2026[[#This Row],[RECUPERO]]/DATA_MARZO_2026[[#This Row],[META]]</f>
        <v>6.3437499999999994E-2</v>
      </c>
      <c r="N49" s="54" t="str" cm="1">
        <f t="array" ref="N49">IF(DATA_MARZO_2026[[#This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IFERROR(VLOOKUP(DATA_MARZO_2026[[#This Row],[ASER_]],$B:$G,4,0),"")</f>
        <v>LEONOR</v>
      </c>
      <c r="P49" s="6">
        <f>VLOOKUP(DATA_MARZO_2026[[#This Row],[ASER_]],D1_MARZO_2026[[ASESOR_CRR]:[RECUPERO]],6,0)</f>
        <v>1015</v>
      </c>
      <c r="Q49" s="6">
        <f>VLOOKUP(DATA_MARZO_2026[[#This Row],[ASER_]],D1_MARZO_2026[[ASESOR_CRR]:[META]],2,0)</f>
        <v>16000</v>
      </c>
      <c r="R49" t="s">
        <v>584</v>
      </c>
      <c r="S49">
        <v>0</v>
      </c>
      <c r="T49">
        <v>0</v>
      </c>
      <c r="U49">
        <v>0</v>
      </c>
      <c r="V49">
        <v>0</v>
      </c>
      <c r="W49">
        <v>0</v>
      </c>
      <c r="X49" s="5">
        <v>300</v>
      </c>
      <c r="Y49" s="6">
        <v>715</v>
      </c>
      <c r="Z49" s="6">
        <v>0</v>
      </c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t="str">
        <f>VLOOKUP($M$3&amp;$N$3&amp;DATA_MARZO_2026[[#This Row],[SUPERVISOR]],TablaMeta[],7,0)</f>
        <v>S2-3-4</v>
      </c>
    </row>
    <row r="50" spans="1:41" x14ac:dyDescent="0.25">
      <c r="A50" s="34" t="str" cm="1">
        <f t="array" ref="A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0" s="34" t="str" cm="1">
        <f t="array" ref="B5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JESSICA MELGAREJO</v>
      </c>
      <c r="C50" s="34" cm="1">
        <f t="array" ref="C5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50" s="35">
        <f>IF(D1_MARZO_2026[[#This Row],[RECUPERO]]="VACACIONES","VACACIONES",IFERROR(D1_MARZO_2026[[#This Row],[RECUPERO]]/D1_MARZO_2026[[#This Row],[META]],""))</f>
        <v>0.8569230769230769</v>
      </c>
      <c r="E50" s="35" t="str">
        <f>D1_MARZO_2026[[#This Row],[SUPER]]</f>
        <v>SANDY</v>
      </c>
      <c r="F50" t="s">
        <v>96</v>
      </c>
      <c r="G50" s="3">
        <v>27850</v>
      </c>
      <c r="H50" cm="1">
        <f t="array" ref="H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50" s="56" cm="1">
        <f t="array" ref="I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50" s="56" t="str" cm="1">
        <f t="array" ref="J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50" s="56"/>
      <c r="M50" s="5">
        <f>DATA_MARZO_2026[[#This Row],[RECUPERO]]/DATA_MARZO_2026[[#This Row],[META]]</f>
        <v>0.13250000000000001</v>
      </c>
      <c r="N50" s="54" t="str" cm="1">
        <f t="array" ref="N50">IF(DATA_MARZO_2026[[#This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IFERROR(VLOOKUP(DATA_MARZO_2026[[#This Row],[ASER_]],$B:$G,4,0),"")</f>
        <v>LEONOR</v>
      </c>
      <c r="P50" s="6">
        <f>VLOOKUP(DATA_MARZO_2026[[#This Row],[ASER_]],D1_MARZO_2026[[ASESOR_CRR]:[RECUPERO]],6,0)</f>
        <v>2120</v>
      </c>
      <c r="Q50" s="6">
        <f>VLOOKUP(DATA_MARZO_2026[[#This Row],[ASER_]],D1_MARZO_2026[[ASESOR_CRR]:[META]],2,0)</f>
        <v>16000</v>
      </c>
      <c r="R50" t="s">
        <v>582</v>
      </c>
      <c r="S50">
        <v>0</v>
      </c>
      <c r="T50">
        <v>0</v>
      </c>
      <c r="U50">
        <v>0</v>
      </c>
      <c r="V50">
        <v>0</v>
      </c>
      <c r="W50">
        <v>0</v>
      </c>
      <c r="X50" s="5">
        <v>0</v>
      </c>
      <c r="Y50" s="6">
        <v>2000</v>
      </c>
      <c r="Z50" s="6">
        <v>120</v>
      </c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t="str">
        <f>VLOOKUP($M$3&amp;$N$3&amp;DATA_MARZO_2026[[#This Row],[SUPERVISOR]],TablaMeta[],7,0)</f>
        <v>S2-3-4</v>
      </c>
    </row>
    <row r="51" spans="1:41" x14ac:dyDescent="0.25">
      <c r="A51" s="34" t="str" cm="1">
        <f t="array" ref="A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1" s="34" t="str" cm="1">
        <f t="array" ref="B5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NATALIA MARIN</v>
      </c>
      <c r="C51" s="34" cm="1">
        <f t="array" ref="C5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51" s="35">
        <f>IF(D1_MARZO_2026[[#This Row],[RECUPERO]]="VACACIONES","VACACIONES",IFERROR(D1_MARZO_2026[[#This Row],[RECUPERO]]/D1_MARZO_2026[[#This Row],[META]],""))</f>
        <v>0.59907692307692306</v>
      </c>
      <c r="E51" s="35" t="str">
        <f>D1_MARZO_2026[[#This Row],[SUPER]]</f>
        <v>SANDY</v>
      </c>
      <c r="F51" t="s">
        <v>79</v>
      </c>
      <c r="G51" s="3">
        <v>19470</v>
      </c>
      <c r="H51" cm="1">
        <f t="array" ref="H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51" s="56" cm="1">
        <f t="array" ref="I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51" s="56" t="str" cm="1">
        <f t="array" ref="J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51" s="56"/>
      <c r="M51" s="5">
        <f>DATA_MARZO_2026[[#This Row],[RECUPERO]]/DATA_MARZO_2026[[#This Row],[META]]</f>
        <v>0.14374999999999999</v>
      </c>
      <c r="N51" s="54" t="str" cm="1">
        <f t="array" ref="N51">IF(DATA_MARZO_2026[[#This Row],[ASER_]]="","",IFERROR(_xlfn.IFS(M51&gt;=100%,"&gt;100%",AND(M51&lt;100%,M51&gt;=70%),"&gt;70%",AND(M51&lt;70%,M51&gt;=40%),"&gt;40%",AND(M51&lt;40%,M51&gt;=0%),"&gt;0%"),""))</f>
        <v>&gt;0%</v>
      </c>
      <c r="O51" s="55" t="str">
        <f>IFERROR(VLOOKUP(DATA_MARZO_2026[[#This Row],[ASER_]],$B:$G,4,0),"")</f>
        <v>JORGE</v>
      </c>
      <c r="P51" s="6">
        <f>VLOOKUP(DATA_MARZO_2026[[#This Row],[ASER_]],D1_MARZO_2026[[ASESOR_CRR]:[RECUPERO]],6,0)</f>
        <v>8050</v>
      </c>
      <c r="Q51" s="6">
        <f>VLOOKUP(DATA_MARZO_2026[[#This Row],[ASER_]],D1_MARZO_2026[[ASESOR_CRR]:[META]],2,0)</f>
        <v>56000</v>
      </c>
      <c r="R51" t="s">
        <v>207</v>
      </c>
      <c r="S51">
        <v>0</v>
      </c>
      <c r="T51">
        <v>0</v>
      </c>
      <c r="U51">
        <v>0</v>
      </c>
      <c r="V51">
        <v>0</v>
      </c>
      <c r="W51">
        <v>0</v>
      </c>
      <c r="X51" s="5">
        <v>7000</v>
      </c>
      <c r="Y51" s="6">
        <v>0</v>
      </c>
      <c r="Z51" s="6">
        <v>0</v>
      </c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t="str">
        <f>VLOOKUP($M$3&amp;$N$3&amp;DATA_MARZO_2026[[#This Row],[SUPERVISOR]],TablaMeta[],7,0)</f>
        <v>S1</v>
      </c>
    </row>
    <row r="52" spans="1:41" x14ac:dyDescent="0.25">
      <c r="A52" s="34" t="str" cm="1">
        <f t="array" ref="A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2" s="34" t="str" cm="1">
        <f t="array" ref="B5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LUCERO JORDAN</v>
      </c>
      <c r="C52" s="34" cm="1">
        <f t="array" ref="C5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52" s="35">
        <f>IF(D1_MARZO_2026[[#This Row],[RECUPERO]]="VACACIONES","VACACIONES",IFERROR(D1_MARZO_2026[[#This Row],[RECUPERO]]/D1_MARZO_2026[[#This Row],[META]],""))</f>
        <v>0.5229538461538461</v>
      </c>
      <c r="E52" s="35" t="str">
        <f>D1_MARZO_2026[[#This Row],[SUPER]]</f>
        <v>SANDY</v>
      </c>
      <c r="F52" t="s">
        <v>68</v>
      </c>
      <c r="G52" s="3">
        <v>16996</v>
      </c>
      <c r="H52" cm="1">
        <f t="array" ref="H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52" s="56" cm="1">
        <f t="array" ref="I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52" s="56" t="str" cm="1">
        <f t="array" ref="J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52" s="56"/>
      <c r="M52" s="5">
        <f>DATA_MARZO_2026[[#This Row],[RECUPERO]]/DATA_MARZO_2026[[#This Row],[META]]</f>
        <v>6.9785714285714284E-2</v>
      </c>
      <c r="N52" s="54" t="str" cm="1">
        <f t="array" ref="N52">IF(DATA_MARZO_2026[[#This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IFERROR(VLOOKUP(DATA_MARZO_2026[[#This Row],[ASER_]],$B:$G,4,0),"")</f>
        <v>JORGE</v>
      </c>
      <c r="P52" s="6">
        <f>VLOOKUP(DATA_MARZO_2026[[#This Row],[ASER_]],D1_MARZO_2026[[ASESOR_CRR]:[RECUPERO]],6,0)</f>
        <v>3908</v>
      </c>
      <c r="Q52" s="6">
        <f>VLOOKUP(DATA_MARZO_2026[[#This Row],[ASER_]],D1_MARZO_2026[[ASESOR_CRR]:[META]],2,0)</f>
        <v>56000</v>
      </c>
      <c r="R52" t="s">
        <v>393</v>
      </c>
      <c r="S52">
        <v>0</v>
      </c>
      <c r="T52">
        <v>0</v>
      </c>
      <c r="U52">
        <v>2708</v>
      </c>
      <c r="V52">
        <v>0</v>
      </c>
      <c r="W52">
        <v>600</v>
      </c>
      <c r="X52" s="5">
        <v>0</v>
      </c>
      <c r="Y52" s="6">
        <v>600</v>
      </c>
      <c r="Z52" s="6">
        <v>0</v>
      </c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 t="str">
        <f>VLOOKUP($M$3&amp;$N$3&amp;DATA_MARZO_2026[[#This Row],[SUPERVISOR]],TablaMeta[],7,0)</f>
        <v>S1</v>
      </c>
    </row>
    <row r="53" spans="1:41" x14ac:dyDescent="0.25">
      <c r="A53" s="34" t="str" cm="1">
        <f t="array" ref="A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3" s="34" t="str" cm="1">
        <f t="array" ref="B5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GENESIS PALACIOS</v>
      </c>
      <c r="C53" s="34" cm="1">
        <f t="array" ref="C5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53" s="35">
        <f>IF(D1_MARZO_2026[[#This Row],[RECUPERO]]="VACACIONES","VACACIONES",IFERROR(D1_MARZO_2026[[#This Row],[RECUPERO]]/D1_MARZO_2026[[#This Row],[META]],""))</f>
        <v>0.40615384615384614</v>
      </c>
      <c r="E53" s="35" t="str">
        <f>D1_MARZO_2026[[#This Row],[SUPER]]</f>
        <v>SANDY</v>
      </c>
      <c r="F53" t="s">
        <v>510</v>
      </c>
      <c r="G53" s="3">
        <v>13200</v>
      </c>
      <c r="H53" cm="1">
        <f t="array" ref="H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53" s="56" cm="1">
        <f t="array" ref="I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3" s="56" t="str" cm="1">
        <f t="array" ref="J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53" s="56"/>
      <c r="M53" s="5">
        <f>DATA_MARZO_2026[[#This Row],[RECUPERO]]/DATA_MARZO_2026[[#This Row],[META]]</f>
        <v>0.72350000000000003</v>
      </c>
      <c r="N53" s="54" t="str" cm="1">
        <f t="array" ref="N53">IF(DATA_MARZO_2026[[#This Row],[ASER_]]="","",IFERROR(_xlfn.IFS(M53&gt;=100%,"&gt;100%",AND(M53&lt;100%,M53&gt;=70%),"&gt;70%",AND(M53&lt;70%,M53&gt;=40%),"&gt;40%",AND(M53&lt;40%,M53&gt;=0%),"&gt;0%"),""))</f>
        <v>&gt;70%</v>
      </c>
      <c r="O53" s="55" t="str">
        <f>IFERROR(VLOOKUP(DATA_MARZO_2026[[#This Row],[ASER_]],$B:$G,4,0),"")</f>
        <v>JORGE</v>
      </c>
      <c r="P53" s="6">
        <f>VLOOKUP(DATA_MARZO_2026[[#This Row],[ASER_]],D1_MARZO_2026[[ASESOR_CRR]:[RECUPERO]],6,0)</f>
        <v>40516</v>
      </c>
      <c r="Q53" s="6">
        <f>VLOOKUP(DATA_MARZO_2026[[#This Row],[ASER_]],D1_MARZO_2026[[ASESOR_CRR]:[META]],2,0)</f>
        <v>56000</v>
      </c>
      <c r="R53" t="s">
        <v>23</v>
      </c>
      <c r="S53">
        <v>420</v>
      </c>
      <c r="T53">
        <v>3105</v>
      </c>
      <c r="U53">
        <v>4500</v>
      </c>
      <c r="V53">
        <v>20933</v>
      </c>
      <c r="W53">
        <v>200</v>
      </c>
      <c r="X53" s="5">
        <v>3290</v>
      </c>
      <c r="Y53" s="6">
        <v>268</v>
      </c>
      <c r="Z53" s="6">
        <v>7800</v>
      </c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 t="str">
        <f>VLOOKUP($M$3&amp;$N$3&amp;DATA_MARZO_2026[[#This Row],[SUPERVISOR]],TablaMeta[],7,0)</f>
        <v>S1</v>
      </c>
    </row>
    <row r="54" spans="1:41" x14ac:dyDescent="0.25">
      <c r="A54" s="34" t="str" cm="1">
        <f t="array" ref="A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4" s="34" t="str" cm="1">
        <f t="array" ref="B5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GIANNINA AGUILAR</v>
      </c>
      <c r="C54" s="34" cm="1">
        <f t="array" ref="C5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54" s="35">
        <f>IF(D1_MARZO_2026[[#This Row],[RECUPERO]]="VACACIONES","VACACIONES",IFERROR(D1_MARZO_2026[[#This Row],[RECUPERO]]/D1_MARZO_2026[[#This Row],[META]],""))</f>
        <v>0.39089230769230771</v>
      </c>
      <c r="E54" s="35" t="str">
        <f>D1_MARZO_2026[[#This Row],[SUPER]]</f>
        <v>SANDY</v>
      </c>
      <c r="F54" t="s">
        <v>32</v>
      </c>
      <c r="G54" s="3">
        <v>12704</v>
      </c>
      <c r="H54" cm="1">
        <f t="array" ref="H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54" s="56" cm="1">
        <f t="array" ref="I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54" s="56" t="str" cm="1">
        <f t="array" ref="J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M54" s="5">
        <f>DATA_MARZO_2026[[#This Row],[RECUPERO]]/DATA_MARZO_2026[[#This Row],[META]]</f>
        <v>7.1571428571428578E-2</v>
      </c>
      <c r="N54" s="54" t="str" cm="1">
        <f t="array" ref="N54">IF(DATA_MARZO_2026[[#This Row],[ASER_]]="","",IFERROR(_xlfn.IFS(M54&gt;=100%,"&gt;100%",AND(M54&lt;100%,M54&gt;=70%),"&gt;70%",AND(M54&lt;70%,M54&gt;=40%),"&gt;40%",AND(M54&lt;40%,M54&gt;=0%),"&gt;0%"),""))</f>
        <v>&gt;0%</v>
      </c>
      <c r="O54" s="55" t="str">
        <f>IFERROR(VLOOKUP(DATA_MARZO_2026[[#This Row],[ASER_]],$B:$G,4,0),"")</f>
        <v>JORGE</v>
      </c>
      <c r="P54" s="6">
        <f>VLOOKUP(DATA_MARZO_2026[[#This Row],[ASER_]],D1_MARZO_2026[[ASESOR_CRR]:[RECUPERO]],6,0)</f>
        <v>4008</v>
      </c>
      <c r="Q54" s="6">
        <f>VLOOKUP(DATA_MARZO_2026[[#This Row],[ASER_]],D1_MARZO_2026[[ASESOR_CRR]:[META]],2,0)</f>
        <v>56000</v>
      </c>
      <c r="R54" t="s">
        <v>65</v>
      </c>
      <c r="S54">
        <v>700</v>
      </c>
      <c r="T54">
        <v>0</v>
      </c>
      <c r="U54">
        <v>0</v>
      </c>
      <c r="V54">
        <v>1000</v>
      </c>
      <c r="W54">
        <v>0</v>
      </c>
      <c r="X54" s="5">
        <v>0</v>
      </c>
      <c r="Y54" s="6">
        <v>2308</v>
      </c>
      <c r="Z54" s="6">
        <v>0</v>
      </c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 t="str">
        <f>VLOOKUP($M$3&amp;$N$3&amp;DATA_MARZO_2026[[#This Row],[SUPERVISOR]],TablaMeta[],7,0)</f>
        <v>S1</v>
      </c>
    </row>
    <row r="55" spans="1:41" x14ac:dyDescent="0.25">
      <c r="A55" s="34" t="str" cm="1">
        <f t="array" ref="A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5" s="34" t="str" cm="1">
        <f t="array" ref="B5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CARLA VALENCIA</v>
      </c>
      <c r="C55" s="34" cm="1">
        <f t="array" ref="C5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55" s="35">
        <f>IF(D1_MARZO_2026[[#This Row],[RECUPERO]]="VACACIONES","VACACIONES",IFERROR(D1_MARZO_2026[[#This Row],[RECUPERO]]/D1_MARZO_2026[[#This Row],[META]],""))</f>
        <v>0.14338461538461539</v>
      </c>
      <c r="E55" s="35" t="str">
        <f>D1_MARZO_2026[[#This Row],[SUPER]]</f>
        <v>SANDY</v>
      </c>
      <c r="F55" t="s">
        <v>174</v>
      </c>
      <c r="G55" s="3">
        <v>4660</v>
      </c>
      <c r="H55" cm="1">
        <f t="array" ref="H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55" s="56" cm="1">
        <f t="array" ref="I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55" s="56" t="str" cm="1">
        <f t="array" ref="J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M55" s="5">
        <f>DATA_MARZO_2026[[#This Row],[RECUPERO]]/DATA_MARZO_2026[[#This Row],[META]]</f>
        <v>0.17357142857142857</v>
      </c>
      <c r="N55" s="54" t="str" cm="1">
        <f t="array" ref="N55">IF(DATA_MARZO_2026[[#This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IFERROR(VLOOKUP(DATA_MARZO_2026[[#This Row],[ASER_]],$B:$G,4,0),"")</f>
        <v>JORGE</v>
      </c>
      <c r="P55" s="6">
        <f>VLOOKUP(DATA_MARZO_2026[[#This Row],[ASER_]],D1_MARZO_2026[[ASESOR_CRR]:[RECUPERO]],6,0)</f>
        <v>9720</v>
      </c>
      <c r="Q55" s="6">
        <f>VLOOKUP(DATA_MARZO_2026[[#This Row],[ASER_]],D1_MARZO_2026[[ASESOR_CRR]:[META]],2,0)</f>
        <v>56000</v>
      </c>
      <c r="R55" t="s">
        <v>15</v>
      </c>
      <c r="S55">
        <v>3400</v>
      </c>
      <c r="T55">
        <v>5600</v>
      </c>
      <c r="U55">
        <v>0</v>
      </c>
      <c r="V55">
        <v>0</v>
      </c>
      <c r="W55">
        <v>0</v>
      </c>
      <c r="X55" s="5">
        <v>720</v>
      </c>
      <c r="Y55" s="6">
        <v>0</v>
      </c>
      <c r="Z55" s="6">
        <v>0</v>
      </c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 t="str">
        <f>VLOOKUP($M$3&amp;$N$3&amp;DATA_MARZO_2026[[#This Row],[SUPERVISOR]],TablaMeta[],7,0)</f>
        <v>S1</v>
      </c>
    </row>
    <row r="56" spans="1:41" x14ac:dyDescent="0.25">
      <c r="A56" s="34" t="str" cm="1">
        <f t="array" ref="A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6" s="34" t="str" cm="1">
        <f t="array" ref="B5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LUIS VALLADARES</v>
      </c>
      <c r="C56" s="34" cm="1">
        <f t="array" ref="C5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56" s="35">
        <f>IF(D1_MARZO_2026[[#This Row],[RECUPERO]]="VACACIONES","VACACIONES",IFERROR(D1_MARZO_2026[[#This Row],[RECUPERO]]/D1_MARZO_2026[[#This Row],[META]],""))</f>
        <v>0.12558153846153847</v>
      </c>
      <c r="E56" s="35" t="str">
        <f>D1_MARZO_2026[[#This Row],[SUPER]]</f>
        <v>SANDY</v>
      </c>
      <c r="F56" t="s">
        <v>29</v>
      </c>
      <c r="G56" s="3">
        <v>4081.4</v>
      </c>
      <c r="H56" cm="1">
        <f t="array" ref="H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56" s="56" cm="1">
        <f t="array" ref="I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56" s="56" t="str" cm="1">
        <f t="array" ref="J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M56" s="5">
        <f>DATA_MARZO_2026[[#This Row],[RECUPERO]]/DATA_MARZO_2026[[#This Row],[META]]</f>
        <v>1.1357142857142857E-2</v>
      </c>
      <c r="N56" s="54" t="str" cm="1">
        <f t="array" ref="N56">IF(DATA_MARZO_2026[[#This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IFERROR(VLOOKUP(DATA_MARZO_2026[[#This Row],[ASER_]],$B:$G,4,0),"")</f>
        <v>JORGE</v>
      </c>
      <c r="P56" s="6">
        <f>VLOOKUP(DATA_MARZO_2026[[#This Row],[ASER_]],D1_MARZO_2026[[ASESOR_CRR]:[RECUPERO]],6,0)</f>
        <v>636</v>
      </c>
      <c r="Q56" s="6">
        <f>VLOOKUP(DATA_MARZO_2026[[#This Row],[ASER_]],D1_MARZO_2026[[ASESOR_CRR]:[META]],2,0)</f>
        <v>56000</v>
      </c>
      <c r="R56" t="s">
        <v>17</v>
      </c>
      <c r="S56">
        <v>636</v>
      </c>
      <c r="T56">
        <v>0</v>
      </c>
      <c r="U56">
        <v>0</v>
      </c>
      <c r="V56">
        <v>0</v>
      </c>
      <c r="W56">
        <v>0</v>
      </c>
      <c r="X56" s="5">
        <v>0</v>
      </c>
      <c r="Y56" s="6">
        <v>0</v>
      </c>
      <c r="Z56" s="6">
        <v>0</v>
      </c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 t="str">
        <f>VLOOKUP($M$3&amp;$N$3&amp;DATA_MARZO_2026[[#This Row],[SUPERVISOR]],TablaMeta[],7,0)</f>
        <v>S1</v>
      </c>
    </row>
    <row r="57" spans="1:41" x14ac:dyDescent="0.25">
      <c r="A57" s="34" t="str" cm="1">
        <f t="array" ref="A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7" s="34" t="str" cm="1">
        <f t="array" ref="B5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VICTOR RAMIREZ</v>
      </c>
      <c r="C57" s="34" cm="1">
        <f t="array" ref="C5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94000</v>
      </c>
      <c r="D57" s="35">
        <f>IF(D1_MARZO_2026[[#This Row],[RECUPERO]]="VACACIONES","VACACIONES",IFERROR(D1_MARZO_2026[[#This Row],[RECUPERO]]/D1_MARZO_2026[[#This Row],[META]],""))</f>
        <v>0.59652319148936173</v>
      </c>
      <c r="E57" s="35" t="str">
        <f>D1_MARZO_2026[[#This Row],[SUPER]]</f>
        <v>SANDY</v>
      </c>
      <c r="F57" t="s">
        <v>76</v>
      </c>
      <c r="G57" s="3">
        <v>56073.18</v>
      </c>
      <c r="H57" cm="1">
        <f t="array" ref="H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57" s="56" cm="1">
        <f t="array" ref="I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57" s="56" t="str" cm="1">
        <f t="array" ref="J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 26/02</v>
      </c>
      <c r="M57" s="5">
        <f>DATA_MARZO_2026[[#This Row],[RECUPERO]]/DATA_MARZO_2026[[#This Row],[META]]</f>
        <v>0.12189285714285714</v>
      </c>
      <c r="N57" s="54" t="str" cm="1">
        <f t="array" ref="N57">IF(DATA_MARZO_2026[[#This Row],[ASER_]]="","",IFERROR(_xlfn.IFS(M57&gt;=100%,"&gt;100%",AND(M57&lt;100%,M57&gt;=70%),"&gt;70%",AND(M57&lt;70%,M57&gt;=40%),"&gt;40%",AND(M57&lt;40%,M57&gt;=0%),"&gt;0%"),""))</f>
        <v>&gt;0%</v>
      </c>
      <c r="O57" s="55" t="str">
        <f>IFERROR(VLOOKUP(DATA_MARZO_2026[[#This Row],[ASER_]],$B:$G,4,0),"")</f>
        <v>JORGE</v>
      </c>
      <c r="P57" s="6">
        <f>VLOOKUP(DATA_MARZO_2026[[#This Row],[ASER_]],D1_MARZO_2026[[ASESOR_CRR]:[RECUPERO]],6,0)</f>
        <v>6826</v>
      </c>
      <c r="Q57" s="6">
        <f>VLOOKUP(DATA_MARZO_2026[[#This Row],[ASER_]],D1_MARZO_2026[[ASESOR_CRR]:[META]],2,0)</f>
        <v>56000</v>
      </c>
      <c r="R57" t="s">
        <v>24</v>
      </c>
      <c r="S57">
        <v>361</v>
      </c>
      <c r="T57">
        <v>0</v>
      </c>
      <c r="U57">
        <v>0</v>
      </c>
      <c r="V57">
        <v>0</v>
      </c>
      <c r="W57">
        <v>265</v>
      </c>
      <c r="X57" s="5">
        <v>2000</v>
      </c>
      <c r="Y57" s="6">
        <v>4200</v>
      </c>
      <c r="Z57" s="6">
        <v>0</v>
      </c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 t="str">
        <f>VLOOKUP($M$3&amp;$N$3&amp;DATA_MARZO_2026[[#This Row],[SUPERVISOR]],TablaMeta[],7,0)</f>
        <v>S1</v>
      </c>
    </row>
    <row r="58" spans="1:41" x14ac:dyDescent="0.25">
      <c r="A58" s="34" t="str" cm="1">
        <f t="array" ref="A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8" s="34" t="str" cm="1">
        <f t="array" ref="B5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HUARCAYA</v>
      </c>
      <c r="C58" s="34" cm="1">
        <f t="array" ref="C5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94000</v>
      </c>
      <c r="D58" s="35">
        <f>IF(D1_MARZO_2026[[#This Row],[RECUPERO]]="VACACIONES","VACACIONES",IFERROR(D1_MARZO_2026[[#This Row],[RECUPERO]]/D1_MARZO_2026[[#This Row],[META]],""))</f>
        <v>0.4850976595744681</v>
      </c>
      <c r="E58" s="35" t="str">
        <f>D1_MARZO_2026[[#This Row],[SUPER]]</f>
        <v>SANDY</v>
      </c>
      <c r="F58" t="s">
        <v>38</v>
      </c>
      <c r="G58" s="3">
        <v>45599.18</v>
      </c>
      <c r="H58" cm="1">
        <f t="array" ref="H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58" s="56" cm="1">
        <f t="array" ref="I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58" s="56" t="str" cm="1">
        <f t="array" ref="J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8" s="56" t="str" cm="1">
        <f t="array" ref="K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 26/02</v>
      </c>
      <c r="M58" s="5">
        <f>DATA_MARZO_2026[[#This Row],[RECUPERO]]/DATA_MARZO_2026[[#This Row],[META]]</f>
        <v>0.20303571428571429</v>
      </c>
      <c r="N58" s="54" t="str" cm="1">
        <f t="array" ref="N58">IF(DATA_MARZO_2026[[#This Row],[ASER_]]="","",IFERROR(_xlfn.IFS(M58&gt;=100%,"&gt;100%",AND(M58&lt;100%,M58&gt;=70%),"&gt;70%",AND(M58&lt;70%,M58&gt;=40%),"&gt;40%",AND(M58&lt;40%,M58&gt;=0%),"&gt;0%"),""))</f>
        <v>&gt;0%</v>
      </c>
      <c r="O58" s="55" t="str">
        <f>IFERROR(VLOOKUP(DATA_MARZO_2026[[#This Row],[ASER_]],$B:$G,4,0),"")</f>
        <v>JORGE</v>
      </c>
      <c r="P58" s="6">
        <f>VLOOKUP(DATA_MARZO_2026[[#This Row],[ASER_]],D1_MARZO_2026[[ASESOR_CRR]:[RECUPERO]],6,0)</f>
        <v>11370</v>
      </c>
      <c r="Q58" s="6">
        <f>VLOOKUP(DATA_MARZO_2026[[#This Row],[ASER_]],D1_MARZO_2026[[ASESOR_CRR]:[META]],2,0)</f>
        <v>56000</v>
      </c>
      <c r="R58" t="s">
        <v>13</v>
      </c>
      <c r="S58">
        <v>0</v>
      </c>
      <c r="T58">
        <v>0</v>
      </c>
      <c r="U58">
        <v>10000</v>
      </c>
      <c r="V58">
        <v>270</v>
      </c>
      <c r="W58">
        <v>400</v>
      </c>
      <c r="X58" s="5">
        <v>700</v>
      </c>
      <c r="Y58" s="6">
        <v>0</v>
      </c>
      <c r="Z58" s="6">
        <v>0</v>
      </c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 t="str">
        <f>VLOOKUP($M$3&amp;$N$3&amp;DATA_MARZO_2026[[#This Row],[SUPERVISOR]],TablaMeta[],7,0)</f>
        <v>S1</v>
      </c>
    </row>
    <row r="59" spans="1:41" x14ac:dyDescent="0.25">
      <c r="A59" s="81" t="str" cm="1">
        <f t="array" ref="A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9" s="81" t="str" cm="1">
        <f t="array" ref="B5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URSULA CENTENO</v>
      </c>
      <c r="C59" s="81" cm="1">
        <f t="array" ref="C5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94000</v>
      </c>
      <c r="D59" s="82">
        <f>IF(D1_MARZO_2026[[#This Row],[RECUPERO]]="VACACIONES","VACACIONES",IFERROR(D1_MARZO_2026[[#This Row],[RECUPERO]]/D1_MARZO_2026[[#This Row],[META]],""))</f>
        <v>0.30149999999999999</v>
      </c>
      <c r="E59" s="35" t="str">
        <f>D1_MARZO_2026[[#This Row],[SUPER]]</f>
        <v>SANDY</v>
      </c>
      <c r="F59" t="s">
        <v>78</v>
      </c>
      <c r="G59" s="3">
        <v>28341</v>
      </c>
      <c r="H59" s="83" cm="1">
        <f t="array" ref="H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59" s="56" cm="1">
        <f t="array" ref="I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59" s="56" t="str" cm="1">
        <f t="array" ref="J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 26/02</v>
      </c>
      <c r="M59" s="5">
        <f>DATA_MARZO_2026[[#This Row],[RECUPERO]]/DATA_MARZO_2026[[#This Row],[META]]</f>
        <v>4.9642857142857141E-2</v>
      </c>
      <c r="N59" s="54" t="str" cm="1">
        <f t="array" ref="N59">IF(DATA_MARZO_2026[[#This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IFERROR(VLOOKUP(DATA_MARZO_2026[[#This Row],[ASER_]],$B:$G,4,0),"")</f>
        <v>JORGE</v>
      </c>
      <c r="P59" s="6">
        <f>VLOOKUP(DATA_MARZO_2026[[#This Row],[ASER_]],D1_MARZO_2026[[ASESOR_CRR]:[RECUPERO]],6,0)</f>
        <v>2780</v>
      </c>
      <c r="Q59" s="6">
        <f>VLOOKUP(DATA_MARZO_2026[[#This Row],[ASER_]],D1_MARZO_2026[[ASESOR_CRR]:[META]],2,0)</f>
        <v>56000</v>
      </c>
      <c r="R59" t="s">
        <v>25</v>
      </c>
      <c r="S59">
        <v>0</v>
      </c>
      <c r="T59">
        <v>0</v>
      </c>
      <c r="U59">
        <v>0</v>
      </c>
      <c r="V59">
        <v>280</v>
      </c>
      <c r="W59">
        <v>0</v>
      </c>
      <c r="X59" s="5">
        <v>0</v>
      </c>
      <c r="Y59" s="6">
        <v>2500</v>
      </c>
      <c r="Z59" s="6">
        <v>0</v>
      </c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 t="str">
        <f>VLOOKUP($M$3&amp;$N$3&amp;DATA_MARZO_2026[[#This Row],[SUPERVISOR]],TablaMeta[],7,0)</f>
        <v>S1</v>
      </c>
    </row>
    <row r="60" spans="1:41" x14ac:dyDescent="0.25">
      <c r="H60"/>
      <c r="M60" s="5">
        <f>DATA_MARZO_2026[[#This Row],[RECUPERO]]/DATA_MARZO_2026[[#This Row],[META]]</f>
        <v>0.39732142857142855</v>
      </c>
      <c r="N60" s="54" t="str" cm="1">
        <f t="array" ref="N60">IF(DATA_MARZO_2026[[#This Row],[ASER_]]="","",IFERROR(_xlfn.IFS(M60&gt;=100%,"&gt;100%",AND(M60&lt;100%,M60&gt;=70%),"&gt;70%",AND(M60&lt;70%,M60&gt;=40%),"&gt;40%",AND(M60&lt;40%,M60&gt;=0%),"&gt;0%"),""))</f>
        <v>&gt;0%</v>
      </c>
      <c r="O60" s="55" t="str">
        <f>IFERROR(VLOOKUP(DATA_MARZO_2026[[#This Row],[ASER_]],$B:$G,4,0),"")</f>
        <v>JORGE</v>
      </c>
      <c r="P60" s="6">
        <f>VLOOKUP(DATA_MARZO_2026[[#This Row],[ASER_]],D1_MARZO_2026[[ASESOR_CRR]:[RECUPERO]],6,0)</f>
        <v>22250</v>
      </c>
      <c r="Q60" s="6">
        <f>VLOOKUP(DATA_MARZO_2026[[#This Row],[ASER_]],D1_MARZO_2026[[ASESOR_CRR]:[META]],2,0)</f>
        <v>56000</v>
      </c>
      <c r="R60" t="s">
        <v>22</v>
      </c>
      <c r="S60">
        <v>0</v>
      </c>
      <c r="T60">
        <v>12500</v>
      </c>
      <c r="U60">
        <v>0</v>
      </c>
      <c r="V60">
        <v>3000</v>
      </c>
      <c r="W60">
        <v>4750</v>
      </c>
      <c r="X60" s="5">
        <v>1000</v>
      </c>
      <c r="Y60" s="6">
        <v>1000</v>
      </c>
      <c r="Z60" s="6">
        <v>0</v>
      </c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 t="str">
        <f>VLOOKUP($M$3&amp;$N$3&amp;DATA_MARZO_2026[[#This Row],[SUPERVISOR]],TablaMeta[],7,0)</f>
        <v>S1</v>
      </c>
    </row>
    <row r="61" spans="1:41" x14ac:dyDescent="0.25">
      <c r="H61"/>
      <c r="M61" s="5">
        <f>DATA_MARZO_2026[[#This Row],[RECUPERO]]/DATA_MARZO_2026[[#This Row],[META]]</f>
        <v>5.7529464285714288E-2</v>
      </c>
      <c r="N61" s="54" t="str" cm="1">
        <f t="array" ref="N61">IF(DATA_MARZO_2026[[#This Row],[ASER_]]="","",IFERROR(_xlfn.IFS(M61&gt;=100%,"&gt;100%",AND(M61&lt;100%,M61&gt;=70%),"&gt;70%",AND(M61&lt;70%,M61&gt;=40%),"&gt;40%",AND(M61&lt;40%,M61&gt;=0%),"&gt;0%"),""))</f>
        <v>&gt;0%</v>
      </c>
      <c r="O61" s="55" t="str">
        <f>IFERROR(VLOOKUP(DATA_MARZO_2026[[#This Row],[ASER_]],$B:$G,4,0),"")</f>
        <v>JORGE</v>
      </c>
      <c r="P61" s="6">
        <f>VLOOKUP(DATA_MARZO_2026[[#This Row],[ASER_]],D1_MARZO_2026[[ASESOR_CRR]:[RECUPERO]],6,0)</f>
        <v>3221.65</v>
      </c>
      <c r="Q61" s="6">
        <f>VLOOKUP(DATA_MARZO_2026[[#This Row],[ASER_]],D1_MARZO_2026[[ASESOR_CRR]:[META]],2,0)</f>
        <v>56000</v>
      </c>
      <c r="R61" t="s">
        <v>581</v>
      </c>
      <c r="S61">
        <v>0</v>
      </c>
      <c r="T61">
        <v>0</v>
      </c>
      <c r="U61">
        <v>0</v>
      </c>
      <c r="V61">
        <v>0</v>
      </c>
      <c r="W61">
        <v>0</v>
      </c>
      <c r="X61" s="5">
        <v>321.64999999999998</v>
      </c>
      <c r="Y61" s="6">
        <v>0</v>
      </c>
      <c r="Z61" s="6">
        <v>2900</v>
      </c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 t="str">
        <f>VLOOKUP($M$3&amp;$N$3&amp;DATA_MARZO_2026[[#This Row],[SUPERVISOR]],TablaMeta[],7,0)</f>
        <v>S1</v>
      </c>
    </row>
    <row r="62" spans="1:41" x14ac:dyDescent="0.25">
      <c r="F62" s="3"/>
      <c r="G62" s="1"/>
      <c r="H62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</row>
    <row r="63" spans="1:41" x14ac:dyDescent="0.25">
      <c r="F63" s="3"/>
      <c r="G63" s="1"/>
      <c r="H6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</row>
    <row r="64" spans="1:41" x14ac:dyDescent="0.25">
      <c r="F64" s="3"/>
      <c r="G64" s="1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</row>
    <row r="65" spans="6:42" x14ac:dyDescent="0.25">
      <c r="F65" s="3"/>
      <c r="G65" s="1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</row>
    <row r="66" spans="6:42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</row>
    <row r="67" spans="6:42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</row>
    <row r="68" spans="6:42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</row>
    <row r="69" spans="6:42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</row>
    <row r="70" spans="6:42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4"/>
    </row>
    <row r="71" spans="6:42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</row>
    <row r="72" spans="6:42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</row>
    <row r="73" spans="6:42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</row>
    <row r="74" spans="6:42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</row>
    <row r="75" spans="6:42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</row>
    <row r="76" spans="6:42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</row>
    <row r="77" spans="6:42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</row>
    <row r="78" spans="6:42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</row>
    <row r="79" spans="6:42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</row>
    <row r="80" spans="6:42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</row>
    <row r="81" spans="24:43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</row>
    <row r="82" spans="24:43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</row>
    <row r="83" spans="24:43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4"/>
    </row>
    <row r="84" spans="24:43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</row>
    <row r="85" spans="24:43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</row>
    <row r="86" spans="24:43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</row>
    <row r="87" spans="24:43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</row>
    <row r="88" spans="24:43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</row>
    <row r="89" spans="24:43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</row>
    <row r="90" spans="24:43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</row>
    <row r="91" spans="24:43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</row>
    <row r="92" spans="24:43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</row>
    <row r="93" spans="24:43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</row>
    <row r="94" spans="24:43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</row>
    <row r="95" spans="24:43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</row>
    <row r="96" spans="24:43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</row>
    <row r="97" spans="24:43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</row>
    <row r="98" spans="24:43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</row>
    <row r="99" spans="24:43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</row>
    <row r="100" spans="24:43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</row>
    <row r="101" spans="24:43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</row>
    <row r="102" spans="24:43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</row>
    <row r="103" spans="24:43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</row>
    <row r="104" spans="24:43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</row>
    <row r="105" spans="24:43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</row>
    <row r="106" spans="24:43" x14ac:dyDescent="0.25">
      <c r="AP106" s="6"/>
      <c r="AQ106" s="6"/>
    </row>
    <row r="107" spans="24:43" x14ac:dyDescent="0.25">
      <c r="AP107" s="6"/>
      <c r="AQ107" s="6"/>
    </row>
    <row r="108" spans="24:43" x14ac:dyDescent="0.25">
      <c r="AP108" s="6"/>
      <c r="AQ108" s="6"/>
    </row>
    <row r="109" spans="24:43" x14ac:dyDescent="0.25">
      <c r="AP109" s="6"/>
      <c r="AQ109" s="6"/>
    </row>
    <row r="110" spans="24:43" x14ac:dyDescent="0.25">
      <c r="AP110" s="6"/>
      <c r="AQ110" s="6"/>
    </row>
    <row r="111" spans="24:43" x14ac:dyDescent="0.25">
      <c r="AP111" s="6"/>
      <c r="AQ111" s="6"/>
    </row>
    <row r="112" spans="24:43" x14ac:dyDescent="0.25">
      <c r="AP112" s="6"/>
      <c r="AQ112" s="6"/>
    </row>
    <row r="113" spans="42:44" x14ac:dyDescent="0.25">
      <c r="AP113" s="6"/>
      <c r="AQ113" s="6"/>
    </row>
    <row r="114" spans="42:44" x14ac:dyDescent="0.25">
      <c r="AP114" s="6"/>
      <c r="AQ114" s="6"/>
      <c r="AR114" s="7"/>
    </row>
    <row r="115" spans="42:44" x14ac:dyDescent="0.25">
      <c r="AP115" s="6"/>
      <c r="AQ115" s="6"/>
      <c r="AR115" s="7"/>
    </row>
    <row r="116" spans="42:44" x14ac:dyDescent="0.25">
      <c r="AP116" s="6"/>
      <c r="AQ116" s="6"/>
      <c r="AR116" s="7"/>
    </row>
    <row r="117" spans="42:44" x14ac:dyDescent="0.25">
      <c r="AP117" s="6"/>
      <c r="AQ117" s="6"/>
      <c r="AR117" s="7"/>
    </row>
    <row r="118" spans="42:44" x14ac:dyDescent="0.25">
      <c r="AP118" s="6"/>
      <c r="AQ118" s="6"/>
      <c r="AR118" s="7"/>
    </row>
    <row r="119" spans="42:44" x14ac:dyDescent="0.25">
      <c r="AP119" s="6"/>
      <c r="AQ119" s="6"/>
      <c r="AR119" s="7"/>
    </row>
    <row r="120" spans="42:44" x14ac:dyDescent="0.25">
      <c r="AP120" s="6"/>
      <c r="AQ120" s="6"/>
      <c r="AR120" s="7"/>
    </row>
    <row r="121" spans="42:44" x14ac:dyDescent="0.25">
      <c r="AP121" s="6"/>
      <c r="AQ121" s="6"/>
      <c r="AR121" s="7"/>
    </row>
    <row r="122" spans="42:44" x14ac:dyDescent="0.25">
      <c r="AP122" s="6"/>
      <c r="AQ122" s="6"/>
      <c r="AR122" s="7"/>
    </row>
    <row r="123" spans="42:44" x14ac:dyDescent="0.25">
      <c r="AP123" s="6"/>
      <c r="AQ123" s="6"/>
      <c r="AR123" s="7"/>
    </row>
    <row r="124" spans="42:44" x14ac:dyDescent="0.25">
      <c r="AP124" s="6"/>
      <c r="AQ124" s="6"/>
      <c r="AR124" s="7"/>
    </row>
    <row r="125" spans="42:44" x14ac:dyDescent="0.25">
      <c r="AP125" s="6"/>
      <c r="AQ125" s="6"/>
      <c r="AR125" s="7"/>
    </row>
    <row r="126" spans="42:44" x14ac:dyDescent="0.25">
      <c r="AP126" s="6"/>
      <c r="AQ126" s="6"/>
      <c r="AR126" s="7"/>
    </row>
    <row r="127" spans="42:44" x14ac:dyDescent="0.25">
      <c r="AP127" s="6"/>
      <c r="AQ127" s="6"/>
      <c r="AR127" s="7"/>
    </row>
    <row r="128" spans="42:44" x14ac:dyDescent="0.25">
      <c r="AP128" s="6"/>
      <c r="AQ128" s="6"/>
      <c r="AR128" s="7"/>
    </row>
    <row r="129" spans="42:44" x14ac:dyDescent="0.25">
      <c r="AP129" s="6"/>
      <c r="AQ129" s="6"/>
      <c r="AR129" s="7"/>
    </row>
    <row r="130" spans="42:44" x14ac:dyDescent="0.25">
      <c r="AP130" s="6"/>
      <c r="AQ130" s="6"/>
      <c r="AR130" s="7"/>
    </row>
    <row r="131" spans="42:44" x14ac:dyDescent="0.25">
      <c r="AP131" s="6"/>
      <c r="AQ131" s="6"/>
      <c r="AR131" s="7"/>
    </row>
    <row r="132" spans="42:44" x14ac:dyDescent="0.25">
      <c r="AQ132" s="6"/>
      <c r="AR132" s="7"/>
    </row>
    <row r="133" spans="42:44" x14ac:dyDescent="0.25">
      <c r="AQ133" s="6"/>
      <c r="AR133" s="7"/>
    </row>
    <row r="134" spans="42:44" x14ac:dyDescent="0.25">
      <c r="AQ134" s="6"/>
      <c r="AR134" s="7"/>
    </row>
    <row r="135" spans="42:44" x14ac:dyDescent="0.25">
      <c r="AQ135" s="6"/>
      <c r="AR135" s="7"/>
    </row>
    <row r="136" spans="42:44" x14ac:dyDescent="0.25">
      <c r="AQ136" s="6"/>
      <c r="AR136" s="7"/>
    </row>
    <row r="137" spans="42:44" x14ac:dyDescent="0.25">
      <c r="AQ137" s="6"/>
      <c r="AR137" s="7"/>
    </row>
    <row r="138" spans="42:44" x14ac:dyDescent="0.25">
      <c r="AQ138" s="6"/>
      <c r="AR138" s="7"/>
    </row>
    <row r="139" spans="42:44" x14ac:dyDescent="0.25">
      <c r="AQ139" s="6"/>
      <c r="AR139" s="7"/>
    </row>
    <row r="140" spans="42:44" x14ac:dyDescent="0.25">
      <c r="AQ140" s="6"/>
      <c r="AR140" s="7"/>
    </row>
    <row r="141" spans="42:44" x14ac:dyDescent="0.25">
      <c r="AQ141" s="6"/>
      <c r="AR141" s="7"/>
    </row>
    <row r="142" spans="42:44" x14ac:dyDescent="0.25">
      <c r="AQ142" s="6"/>
      <c r="AR142" s="7"/>
    </row>
    <row r="143" spans="42:44" x14ac:dyDescent="0.25">
      <c r="AQ143" s="6"/>
      <c r="AR143" s="7"/>
    </row>
    <row r="144" spans="42:44" x14ac:dyDescent="0.25">
      <c r="AQ144" s="6"/>
      <c r="AR144" s="7"/>
    </row>
    <row r="145" spans="44:44" x14ac:dyDescent="0.25">
      <c r="AR145" s="7"/>
    </row>
    <row r="146" spans="44:44" x14ac:dyDescent="0.25">
      <c r="AR146" s="7"/>
    </row>
    <row r="147" spans="44:44" x14ac:dyDescent="0.25">
      <c r="AR147" s="7"/>
    </row>
    <row r="148" spans="44:44" x14ac:dyDescent="0.25">
      <c r="AR148" s="7"/>
    </row>
    <row r="149" spans="44:44" x14ac:dyDescent="0.25">
      <c r="AR149" s="7"/>
    </row>
    <row r="150" spans="44:44" x14ac:dyDescent="0.25">
      <c r="AR150" s="7"/>
    </row>
    <row r="151" spans="44:44" x14ac:dyDescent="0.25">
      <c r="AR151" s="7"/>
    </row>
    <row r="152" spans="44:44" x14ac:dyDescent="0.25">
      <c r="AR152" s="7"/>
    </row>
    <row r="153" spans="44:44" x14ac:dyDescent="0.25">
      <c r="AR153" s="7"/>
    </row>
    <row r="154" spans="44:44" x14ac:dyDescent="0.25">
      <c r="AR154" s="7"/>
    </row>
    <row r="155" spans="44:44" x14ac:dyDescent="0.25">
      <c r="AR155" s="7"/>
    </row>
    <row r="156" spans="44:44" x14ac:dyDescent="0.25">
      <c r="AR156" s="7"/>
    </row>
    <row r="157" spans="44:44" x14ac:dyDescent="0.25">
      <c r="AR157" s="7"/>
    </row>
    <row r="158" spans="44:44" x14ac:dyDescent="0.25">
      <c r="AR158" s="7"/>
    </row>
    <row r="159" spans="44:44" x14ac:dyDescent="0.25">
      <c r="AR159" s="7"/>
    </row>
    <row r="160" spans="44:44" x14ac:dyDescent="0.25">
      <c r="AR160" s="7"/>
    </row>
    <row r="161" spans="44:44" x14ac:dyDescent="0.25">
      <c r="AR161" s="7"/>
    </row>
    <row r="162" spans="44:44" x14ac:dyDescent="0.25">
      <c r="AR162" s="7"/>
    </row>
    <row r="163" spans="44:44" x14ac:dyDescent="0.25">
      <c r="AR163" s="7"/>
    </row>
    <row r="164" spans="44:44" x14ac:dyDescent="0.25">
      <c r="AR164" s="7"/>
    </row>
    <row r="165" spans="44:44" x14ac:dyDescent="0.25">
      <c r="AR165" s="7"/>
    </row>
    <row r="166" spans="44:44" x14ac:dyDescent="0.25">
      <c r="AR166" s="7"/>
    </row>
    <row r="167" spans="44:44" x14ac:dyDescent="0.25">
      <c r="AR167" s="7"/>
    </row>
    <row r="168" spans="44:44" x14ac:dyDescent="0.25">
      <c r="AR168" s="7"/>
    </row>
    <row r="169" spans="44:44" x14ac:dyDescent="0.25">
      <c r="AR169" s="7"/>
    </row>
    <row r="170" spans="44:44" x14ac:dyDescent="0.25">
      <c r="AR170" s="7"/>
    </row>
    <row r="171" spans="44:44" x14ac:dyDescent="0.25">
      <c r="AR171" s="7"/>
    </row>
    <row r="172" spans="44:44" x14ac:dyDescent="0.25">
      <c r="AR172" s="7"/>
    </row>
    <row r="173" spans="44:44" x14ac:dyDescent="0.25">
      <c r="AR173" s="7"/>
    </row>
    <row r="174" spans="44:44" x14ac:dyDescent="0.25">
      <c r="AR174" s="7"/>
    </row>
  </sheetData>
  <phoneticPr fontId="2" type="noConversion"/>
  <conditionalFormatting sqref="E3:E59">
    <cfRule type="containsText" dxfId="4" priority="1" operator="containsText" text="kenneth">
      <formula>NOT(ISERROR(SEARCH("kenneth",E3)))</formula>
    </cfRule>
  </conditionalFormatting>
  <conditionalFormatting sqref="R9:R61">
    <cfRule type="duplicateValues" dxfId="3" priority="29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2"/>
  <sheetViews>
    <sheetView topLeftCell="A88" workbookViewId="0">
      <selection activeCell="C98" sqref="C98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355</v>
      </c>
      <c r="C1" t="s">
        <v>349</v>
      </c>
      <c r="D1" t="s">
        <v>348</v>
      </c>
      <c r="E1" t="s">
        <v>353</v>
      </c>
      <c r="F1" t="s">
        <v>136</v>
      </c>
      <c r="G1" t="s">
        <v>354</v>
      </c>
    </row>
    <row r="2" spans="1:7" x14ac:dyDescent="0.25">
      <c r="A2" t="s">
        <v>78</v>
      </c>
      <c r="B2" t="s">
        <v>356</v>
      </c>
      <c r="C2" s="56">
        <v>27152</v>
      </c>
      <c r="D2" t="s">
        <v>267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574</v>
      </c>
      <c r="B3" t="s">
        <v>356</v>
      </c>
      <c r="C3" s="56">
        <v>27960</v>
      </c>
      <c r="D3" t="s">
        <v>579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356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364</v>
      </c>
      <c r="C5" s="56">
        <v>28072</v>
      </c>
      <c r="D5" t="s">
        <v>243</v>
      </c>
      <c r="E5" t="s">
        <v>350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356</v>
      </c>
      <c r="C6" s="56">
        <v>29084</v>
      </c>
      <c r="D6" t="s">
        <v>272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274</v>
      </c>
      <c r="B7" t="s">
        <v>367</v>
      </c>
      <c r="C7" s="56">
        <v>29359</v>
      </c>
      <c r="D7" t="s">
        <v>275</v>
      </c>
      <c r="E7" t="s">
        <v>350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356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356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356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310</v>
      </c>
      <c r="B11" t="s">
        <v>378</v>
      </c>
      <c r="C11" s="56">
        <v>30385</v>
      </c>
      <c r="D11" t="s">
        <v>311</v>
      </c>
      <c r="E11" t="s">
        <v>350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77</v>
      </c>
      <c r="B12" t="s">
        <v>356</v>
      </c>
      <c r="C12" s="56">
        <v>30549</v>
      </c>
      <c r="D12" t="s">
        <v>261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21</v>
      </c>
    </row>
    <row r="13" spans="1:7" x14ac:dyDescent="0.25">
      <c r="A13" t="s">
        <v>300</v>
      </c>
      <c r="B13" t="s">
        <v>374</v>
      </c>
      <c r="C13" s="56">
        <v>30628</v>
      </c>
      <c r="D13" t="s">
        <v>301</v>
      </c>
      <c r="E13" t="s">
        <v>350</v>
      </c>
      <c r="F13" t="str">
        <f>UPPER(TEXT(pbi_ListaEmpleadosExpertis[[#This Row],[FEC_NAC]],"mmmm"))</f>
        <v>NOVIEMBRE</v>
      </c>
      <c r="G13">
        <f>DAY(pbi_ListaEmpleadosExpertis[[#This Row],[FEC_NAC]])</f>
        <v>8</v>
      </c>
    </row>
    <row r="14" spans="1:7" x14ac:dyDescent="0.25">
      <c r="A14" t="s">
        <v>238</v>
      </c>
      <c r="B14" t="s">
        <v>360</v>
      </c>
      <c r="C14" s="56">
        <v>30884</v>
      </c>
      <c r="D14" t="s">
        <v>239</v>
      </c>
      <c r="E14" t="s">
        <v>350</v>
      </c>
      <c r="F14" t="str">
        <f>UPPER(TEXT(pbi_ListaEmpleadosExpertis[[#This Row],[FEC_NAC]],"mmmm"))</f>
        <v>JULIO</v>
      </c>
      <c r="G14">
        <f>DAY(pbi_ListaEmpleadosExpertis[[#This Row],[FEC_NAC]])</f>
        <v>21</v>
      </c>
    </row>
    <row r="15" spans="1:7" x14ac:dyDescent="0.25">
      <c r="A15" t="s">
        <v>323</v>
      </c>
      <c r="B15" t="s">
        <v>383</v>
      </c>
      <c r="C15" s="56">
        <v>30965</v>
      </c>
      <c r="D15" t="s">
        <v>324</v>
      </c>
      <c r="E15" t="s">
        <v>350</v>
      </c>
      <c r="F15" t="str">
        <f>UPPER(TEXT(pbi_ListaEmpleadosExpertis[[#This Row],[FEC_NAC]],"mmmm"))</f>
        <v>OCTUBRE</v>
      </c>
      <c r="G15">
        <f>DAY(pbi_ListaEmpleadosExpertis[[#This Row],[FEC_NAC]])</f>
        <v>10</v>
      </c>
    </row>
    <row r="16" spans="1:7" x14ac:dyDescent="0.25">
      <c r="A16" t="s">
        <v>48</v>
      </c>
      <c r="B16" t="s">
        <v>356</v>
      </c>
      <c r="C16" s="56">
        <v>31158</v>
      </c>
      <c r="D16" t="s">
        <v>255</v>
      </c>
      <c r="E16" t="s">
        <v>0</v>
      </c>
      <c r="F16" t="str">
        <f>UPPER(TEXT(pbi_ListaEmpleadosExpertis[[#This Row],[FEC_NAC]],"mmmm"))</f>
        <v>ABRIL</v>
      </c>
      <c r="G16">
        <f>DAY(pbi_ListaEmpleadosExpertis[[#This Row],[FEC_NAC]])</f>
        <v>21</v>
      </c>
    </row>
    <row r="17" spans="1:7" x14ac:dyDescent="0.25">
      <c r="A17" t="s">
        <v>582</v>
      </c>
      <c r="B17" t="s">
        <v>356</v>
      </c>
      <c r="C17" s="56">
        <v>31269</v>
      </c>
      <c r="D17" t="s">
        <v>586</v>
      </c>
      <c r="E17" t="s">
        <v>0</v>
      </c>
      <c r="F17" t="str">
        <f>UPPER(TEXT(pbi_ListaEmpleadosExpertis[[#This Row],[FEC_NAC]],"mmmm"))</f>
        <v>AGOSTO</v>
      </c>
      <c r="G17">
        <f>DAY(pbi_ListaEmpleadosExpertis[[#This Row],[FEC_NAC]])</f>
        <v>10</v>
      </c>
    </row>
    <row r="18" spans="1:7" x14ac:dyDescent="0.25">
      <c r="A18" t="s">
        <v>24</v>
      </c>
      <c r="B18" t="s">
        <v>356</v>
      </c>
      <c r="C18" s="56">
        <v>31492</v>
      </c>
      <c r="D18" t="s">
        <v>282</v>
      </c>
      <c r="E18" t="s">
        <v>0</v>
      </c>
      <c r="F18" t="str">
        <f>UPPER(TEXT(pbi_ListaEmpleadosExpertis[[#This Row],[FEC_NAC]],"mmmm"))</f>
        <v>MARZO</v>
      </c>
      <c r="G18">
        <f>DAY(pbi_ListaEmpleadosExpertis[[#This Row],[FEC_NAC]])</f>
        <v>21</v>
      </c>
    </row>
    <row r="19" spans="1:7" x14ac:dyDescent="0.25">
      <c r="A19" t="s">
        <v>61</v>
      </c>
      <c r="B19" t="s">
        <v>356</v>
      </c>
      <c r="C19" s="56">
        <v>31644</v>
      </c>
      <c r="D19" t="s">
        <v>266</v>
      </c>
      <c r="E19" t="s">
        <v>0</v>
      </c>
      <c r="F19" t="str">
        <f>UPPER(TEXT(pbi_ListaEmpleadosExpertis[[#This Row],[FEC_NAC]],"mmmm"))</f>
        <v>AGOSTO</v>
      </c>
      <c r="G19">
        <f>DAY(pbi_ListaEmpleadosExpertis[[#This Row],[FEC_NAC]])</f>
        <v>20</v>
      </c>
    </row>
    <row r="20" spans="1:7" x14ac:dyDescent="0.25">
      <c r="A20" t="s">
        <v>240</v>
      </c>
      <c r="B20" t="s">
        <v>359</v>
      </c>
      <c r="C20" s="56">
        <v>31700</v>
      </c>
      <c r="D20" t="s">
        <v>241</v>
      </c>
      <c r="E20" t="s">
        <v>350</v>
      </c>
      <c r="F20" t="str">
        <f>UPPER(TEXT(pbi_ListaEmpleadosExpertis[[#This Row],[FEC_NAC]],"mmmm"))</f>
        <v>OCTUBRE</v>
      </c>
      <c r="G20">
        <f>DAY(pbi_ListaEmpleadosExpertis[[#This Row],[FEC_NAC]])</f>
        <v>15</v>
      </c>
    </row>
    <row r="21" spans="1:7" x14ac:dyDescent="0.25">
      <c r="A21" t="s">
        <v>248</v>
      </c>
      <c r="B21" t="s">
        <v>133</v>
      </c>
      <c r="C21" s="56">
        <v>31900</v>
      </c>
      <c r="D21" t="s">
        <v>249</v>
      </c>
      <c r="E21" t="s">
        <v>350</v>
      </c>
      <c r="F21" t="str">
        <f>UPPER(TEXT(pbi_ListaEmpleadosExpertis[[#This Row],[FEC_NAC]],"mmmm"))</f>
        <v>MAYO</v>
      </c>
      <c r="G21">
        <f>DAY(pbi_ListaEmpleadosExpertis[[#This Row],[FEC_NAC]])</f>
        <v>3</v>
      </c>
    </row>
    <row r="22" spans="1:7" x14ac:dyDescent="0.25">
      <c r="A22" t="s">
        <v>344</v>
      </c>
      <c r="B22" t="s">
        <v>576</v>
      </c>
      <c r="C22" s="56">
        <v>31980</v>
      </c>
      <c r="D22" t="s">
        <v>345</v>
      </c>
      <c r="E22" t="s">
        <v>350</v>
      </c>
      <c r="F22" t="str">
        <f>UPPER(TEXT(pbi_ListaEmpleadosExpertis[[#This Row],[FEC_NAC]],"mmmm"))</f>
        <v>JULIO</v>
      </c>
      <c r="G22">
        <f>DAY(pbi_ListaEmpleadosExpertis[[#This Row],[FEC_NAC]])</f>
        <v>22</v>
      </c>
    </row>
    <row r="23" spans="1:7" x14ac:dyDescent="0.25">
      <c r="A23" t="s">
        <v>304</v>
      </c>
      <c r="B23" t="s">
        <v>376</v>
      </c>
      <c r="C23" s="56">
        <v>32019</v>
      </c>
      <c r="D23" t="s">
        <v>305</v>
      </c>
      <c r="E23" t="s">
        <v>350</v>
      </c>
      <c r="F23" t="str">
        <f>UPPER(TEXT(pbi_ListaEmpleadosExpertis[[#This Row],[FEC_NAC]],"mmmm"))</f>
        <v>AGOSTO</v>
      </c>
      <c r="G23">
        <f>DAY(pbi_ListaEmpleadosExpertis[[#This Row],[FEC_NAC]])</f>
        <v>30</v>
      </c>
    </row>
    <row r="24" spans="1:7" x14ac:dyDescent="0.25">
      <c r="A24" t="s">
        <v>393</v>
      </c>
      <c r="B24" t="s">
        <v>356</v>
      </c>
      <c r="C24" s="56">
        <v>32157</v>
      </c>
      <c r="D24" t="s">
        <v>509</v>
      </c>
      <c r="E24" t="s">
        <v>0</v>
      </c>
      <c r="F24" t="str">
        <f>UPPER(TEXT(pbi_ListaEmpleadosExpertis[[#This Row],[FEC_NAC]],"mmmm"))</f>
        <v>ENERO</v>
      </c>
      <c r="G24">
        <f>DAY(pbi_ListaEmpleadosExpertis[[#This Row],[FEC_NAC]])</f>
        <v>15</v>
      </c>
    </row>
    <row r="25" spans="1:7" x14ac:dyDescent="0.25">
      <c r="A25" t="s">
        <v>55</v>
      </c>
      <c r="B25" t="s">
        <v>356</v>
      </c>
      <c r="C25" s="56">
        <v>32222</v>
      </c>
      <c r="D25" t="s">
        <v>317</v>
      </c>
      <c r="E25" t="s">
        <v>0</v>
      </c>
      <c r="F25" t="str">
        <f>UPPER(TEXT(pbi_ListaEmpleadosExpertis[[#This Row],[FEC_NAC]],"mmmm"))</f>
        <v>MARZO</v>
      </c>
      <c r="G25">
        <f>DAY(pbi_ListaEmpleadosExpertis[[#This Row],[FEC_NAC]])</f>
        <v>20</v>
      </c>
    </row>
    <row r="26" spans="1:7" x14ac:dyDescent="0.25">
      <c r="A26" t="s">
        <v>230</v>
      </c>
      <c r="B26" t="s">
        <v>363</v>
      </c>
      <c r="C26" s="56">
        <v>32245</v>
      </c>
      <c r="D26" t="s">
        <v>231</v>
      </c>
      <c r="E26" t="s">
        <v>350</v>
      </c>
      <c r="F26" t="str">
        <f>UPPER(TEXT(pbi_ListaEmpleadosExpertis[[#This Row],[FEC_NAC]],"mmmm"))</f>
        <v>ABRIL</v>
      </c>
      <c r="G26">
        <f>DAY(pbi_ListaEmpleadosExpertis[[#This Row],[FEC_NAC]])</f>
        <v>12</v>
      </c>
    </row>
    <row r="27" spans="1:7" x14ac:dyDescent="0.25">
      <c r="A27" t="s">
        <v>11</v>
      </c>
      <c r="B27" t="s">
        <v>356</v>
      </c>
      <c r="C27" s="56">
        <v>32262</v>
      </c>
      <c r="D27" t="s">
        <v>285</v>
      </c>
      <c r="E27" t="s">
        <v>0</v>
      </c>
      <c r="F27" t="str">
        <f>UPPER(TEXT(pbi_ListaEmpleadosExpertis[[#This Row],[FEC_NAC]],"mmmm"))</f>
        <v>ABRIL</v>
      </c>
      <c r="G27">
        <f>DAY(pbi_ListaEmpleadosExpertis[[#This Row],[FEC_NAC]])</f>
        <v>29</v>
      </c>
    </row>
    <row r="28" spans="1:7" x14ac:dyDescent="0.25">
      <c r="A28" t="s">
        <v>80</v>
      </c>
      <c r="B28" t="s">
        <v>356</v>
      </c>
      <c r="C28" s="56">
        <v>32273</v>
      </c>
      <c r="D28" t="s">
        <v>276</v>
      </c>
      <c r="E28" t="s">
        <v>0</v>
      </c>
      <c r="F28" t="str">
        <f>UPPER(TEXT(pbi_ListaEmpleadosExpertis[[#This Row],[FEC_NAC]],"mmmm"))</f>
        <v>MAYO</v>
      </c>
      <c r="G28">
        <f>DAY(pbi_ListaEmpleadosExpertis[[#This Row],[FEC_NAC]])</f>
        <v>10</v>
      </c>
    </row>
    <row r="29" spans="1:7" x14ac:dyDescent="0.25">
      <c r="A29" t="s">
        <v>12</v>
      </c>
      <c r="B29" t="s">
        <v>356</v>
      </c>
      <c r="C29" s="56">
        <v>32342</v>
      </c>
      <c r="D29" t="s">
        <v>264</v>
      </c>
      <c r="E29" t="s">
        <v>0</v>
      </c>
      <c r="F29" t="str">
        <f>UPPER(TEXT(pbi_ListaEmpleadosExpertis[[#This Row],[FEC_NAC]],"mmmm"))</f>
        <v>JULIO</v>
      </c>
      <c r="G29">
        <f>DAY(pbi_ListaEmpleadosExpertis[[#This Row],[FEC_NAC]])</f>
        <v>18</v>
      </c>
    </row>
    <row r="30" spans="1:7" x14ac:dyDescent="0.25">
      <c r="A30" t="s">
        <v>228</v>
      </c>
      <c r="B30" t="s">
        <v>362</v>
      </c>
      <c r="C30" s="56">
        <v>32507</v>
      </c>
      <c r="D30" t="s">
        <v>229</v>
      </c>
      <c r="E30" t="s">
        <v>350</v>
      </c>
      <c r="F30" t="str">
        <f>UPPER(TEXT(pbi_ListaEmpleadosExpertis[[#This Row],[FEC_NAC]],"mmmm"))</f>
        <v>DICIEMBRE</v>
      </c>
      <c r="G30">
        <f>DAY(pbi_ListaEmpleadosExpertis[[#This Row],[FEC_NAC]])</f>
        <v>30</v>
      </c>
    </row>
    <row r="31" spans="1:7" x14ac:dyDescent="0.25">
      <c r="A31" t="s">
        <v>236</v>
      </c>
      <c r="B31" t="s">
        <v>358</v>
      </c>
      <c r="C31" s="56">
        <v>32523</v>
      </c>
      <c r="D31" t="s">
        <v>237</v>
      </c>
      <c r="E31" t="s">
        <v>350</v>
      </c>
      <c r="F31" t="str">
        <f>UPPER(TEXT(pbi_ListaEmpleadosExpertis[[#This Row],[FEC_NAC]],"mmmm"))</f>
        <v>ENERO</v>
      </c>
      <c r="G31">
        <f>DAY(pbi_ListaEmpleadosExpertis[[#This Row],[FEC_NAC]])</f>
        <v>15</v>
      </c>
    </row>
    <row r="32" spans="1:7" x14ac:dyDescent="0.25">
      <c r="A32" t="s">
        <v>174</v>
      </c>
      <c r="B32" t="s">
        <v>356</v>
      </c>
      <c r="C32" s="56">
        <v>32697</v>
      </c>
      <c r="D32" t="s">
        <v>341</v>
      </c>
      <c r="E32" t="s">
        <v>0</v>
      </c>
      <c r="F32" t="str">
        <f>UPPER(TEXT(pbi_ListaEmpleadosExpertis[[#This Row],[FEC_NAC]],"mmmm"))</f>
        <v>JULIO</v>
      </c>
      <c r="G32">
        <f>DAY(pbi_ListaEmpleadosExpertis[[#This Row],[FEC_NAC]])</f>
        <v>8</v>
      </c>
    </row>
    <row r="33" spans="1:7" x14ac:dyDescent="0.25">
      <c r="A33" t="s">
        <v>41</v>
      </c>
      <c r="B33" t="s">
        <v>356</v>
      </c>
      <c r="C33" s="56">
        <v>32742</v>
      </c>
      <c r="D33" t="s">
        <v>245</v>
      </c>
      <c r="E33" t="s">
        <v>0</v>
      </c>
      <c r="F33" t="str">
        <f>UPPER(TEXT(pbi_ListaEmpleadosExpertis[[#This Row],[FEC_NAC]],"mmmm"))</f>
        <v>AGOSTO</v>
      </c>
      <c r="G33">
        <f>DAY(pbi_ListaEmpleadosExpertis[[#This Row],[FEC_NAC]])</f>
        <v>22</v>
      </c>
    </row>
    <row r="34" spans="1:7" x14ac:dyDescent="0.25">
      <c r="A34" t="s">
        <v>214</v>
      </c>
      <c r="B34" t="s">
        <v>133</v>
      </c>
      <c r="C34" s="56">
        <v>32748</v>
      </c>
      <c r="D34" t="s">
        <v>215</v>
      </c>
      <c r="E34" t="s">
        <v>350</v>
      </c>
      <c r="F34" t="str">
        <f>UPPER(TEXT(pbi_ListaEmpleadosExpertis[[#This Row],[FEC_NAC]],"mmmm"))</f>
        <v>AGOSTO</v>
      </c>
      <c r="G34">
        <f>DAY(pbi_ListaEmpleadosExpertis[[#This Row],[FEC_NAC]])</f>
        <v>28</v>
      </c>
    </row>
    <row r="35" spans="1:7" x14ac:dyDescent="0.25">
      <c r="A35" t="s">
        <v>298</v>
      </c>
      <c r="B35" t="s">
        <v>373</v>
      </c>
      <c r="C35" s="56">
        <v>32983</v>
      </c>
      <c r="D35" t="s">
        <v>299</v>
      </c>
      <c r="E35" t="s">
        <v>350</v>
      </c>
      <c r="F35" t="str">
        <f>UPPER(TEXT(pbi_ListaEmpleadosExpertis[[#This Row],[FEC_NAC]],"mmmm"))</f>
        <v>ABRIL</v>
      </c>
      <c r="G35">
        <f>DAY(pbi_ListaEmpleadosExpertis[[#This Row],[FEC_NAC]])</f>
        <v>20</v>
      </c>
    </row>
    <row r="36" spans="1:7" x14ac:dyDescent="0.25">
      <c r="A36" t="s">
        <v>333</v>
      </c>
      <c r="B36" t="s">
        <v>379</v>
      </c>
      <c r="C36" s="56">
        <v>33158</v>
      </c>
      <c r="D36" t="s">
        <v>334</v>
      </c>
      <c r="E36" t="s">
        <v>350</v>
      </c>
      <c r="F36" t="str">
        <f>UPPER(TEXT(pbi_ListaEmpleadosExpertis[[#This Row],[FEC_NAC]],"mmmm"))</f>
        <v>OCTUBRE</v>
      </c>
      <c r="G36">
        <f>DAY(pbi_ListaEmpleadosExpertis[[#This Row],[FEC_NAC]])</f>
        <v>12</v>
      </c>
    </row>
    <row r="37" spans="1:7" x14ac:dyDescent="0.25">
      <c r="A37" t="s">
        <v>96</v>
      </c>
      <c r="B37" t="s">
        <v>356</v>
      </c>
      <c r="C37" s="56">
        <v>33230</v>
      </c>
      <c r="D37" t="s">
        <v>306</v>
      </c>
      <c r="E37" t="s">
        <v>0</v>
      </c>
      <c r="F37" t="str">
        <f>UPPER(TEXT(pbi_ListaEmpleadosExpertis[[#This Row],[FEC_NAC]],"mmmm"))</f>
        <v>DICIEMBRE</v>
      </c>
      <c r="G37">
        <f>DAY(pbi_ListaEmpleadosExpertis[[#This Row],[FEC_NAC]])</f>
        <v>23</v>
      </c>
    </row>
    <row r="38" spans="1:7" x14ac:dyDescent="0.25">
      <c r="A38" t="s">
        <v>259</v>
      </c>
      <c r="B38" t="s">
        <v>365</v>
      </c>
      <c r="C38" s="56">
        <v>33261</v>
      </c>
      <c r="D38" t="s">
        <v>260</v>
      </c>
      <c r="E38" t="s">
        <v>350</v>
      </c>
      <c r="F38" t="str">
        <f>UPPER(TEXT(pbi_ListaEmpleadosExpertis[[#This Row],[FEC_NAC]],"mmmm"))</f>
        <v>ENERO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356</v>
      </c>
      <c r="C39" s="56">
        <v>33383</v>
      </c>
      <c r="D39" t="s">
        <v>292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356</v>
      </c>
      <c r="C40" s="56">
        <v>33472</v>
      </c>
      <c r="D40" t="s">
        <v>316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294</v>
      </c>
      <c r="B41" t="s">
        <v>371</v>
      </c>
      <c r="C41" s="56">
        <v>33496</v>
      </c>
      <c r="D41" t="s">
        <v>295</v>
      </c>
      <c r="E41" t="s">
        <v>350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356</v>
      </c>
      <c r="C42" s="56">
        <v>33579</v>
      </c>
      <c r="D42" t="s">
        <v>268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206</v>
      </c>
      <c r="B43" t="s">
        <v>356</v>
      </c>
      <c r="C43" s="56">
        <v>33627</v>
      </c>
      <c r="D43" t="s">
        <v>346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24</v>
      </c>
    </row>
    <row r="44" spans="1:7" x14ac:dyDescent="0.25">
      <c r="A44" t="s">
        <v>15</v>
      </c>
      <c r="B44" t="s">
        <v>356</v>
      </c>
      <c r="C44" s="56">
        <v>33997</v>
      </c>
      <c r="D44" t="s">
        <v>253</v>
      </c>
      <c r="E44" t="s">
        <v>0</v>
      </c>
      <c r="F44" t="str">
        <f>UPPER(TEXT(pbi_ListaEmpleadosExpertis[[#This Row],[FEC_NAC]],"mmmm"))</f>
        <v>ENERO</v>
      </c>
      <c r="G44">
        <f>DAY(pbi_ListaEmpleadosExpertis[[#This Row],[FEC_NAC]])</f>
        <v>28</v>
      </c>
    </row>
    <row r="45" spans="1:7" x14ac:dyDescent="0.25">
      <c r="A45" t="s">
        <v>72</v>
      </c>
      <c r="B45" t="s">
        <v>356</v>
      </c>
      <c r="C45" s="56">
        <v>34072</v>
      </c>
      <c r="D45" t="s">
        <v>270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13</v>
      </c>
    </row>
    <row r="46" spans="1:7" x14ac:dyDescent="0.25">
      <c r="A46" t="s">
        <v>29</v>
      </c>
      <c r="B46" t="s">
        <v>356</v>
      </c>
      <c r="C46" s="56">
        <v>34083</v>
      </c>
      <c r="D46" t="s">
        <v>250</v>
      </c>
      <c r="E46" t="s">
        <v>0</v>
      </c>
      <c r="F46" t="str">
        <f>UPPER(TEXT(pbi_ListaEmpleadosExpertis[[#This Row],[FEC_NAC]],"mmmm"))</f>
        <v>ABRIL</v>
      </c>
      <c r="G46">
        <f>DAY(pbi_ListaEmpleadosExpertis[[#This Row],[FEC_NAC]])</f>
        <v>24</v>
      </c>
    </row>
    <row r="47" spans="1:7" x14ac:dyDescent="0.25">
      <c r="A47" t="s">
        <v>58</v>
      </c>
      <c r="B47" t="s">
        <v>356</v>
      </c>
      <c r="C47" s="56">
        <v>34110</v>
      </c>
      <c r="D47" t="s">
        <v>216</v>
      </c>
      <c r="E47" t="s">
        <v>0</v>
      </c>
      <c r="F47" t="str">
        <f>UPPER(TEXT(pbi_ListaEmpleadosExpertis[[#This Row],[FEC_NAC]],"mmmm"))</f>
        <v>MAYO</v>
      </c>
      <c r="G47">
        <f>DAY(pbi_ListaEmpleadosExpertis[[#This Row],[FEC_NAC]])</f>
        <v>21</v>
      </c>
    </row>
    <row r="48" spans="1:7" x14ac:dyDescent="0.25">
      <c r="A48" t="s">
        <v>105</v>
      </c>
      <c r="B48" t="s">
        <v>356</v>
      </c>
      <c r="C48" s="56">
        <v>34138</v>
      </c>
      <c r="D48" t="s">
        <v>246</v>
      </c>
      <c r="E48" t="s">
        <v>0</v>
      </c>
      <c r="F48" t="str">
        <f>UPPER(TEXT(pbi_ListaEmpleadosExpertis[[#This Row],[FEC_NAC]],"mmmm"))</f>
        <v>JUNIO</v>
      </c>
      <c r="G48">
        <f>DAY(pbi_ListaEmpleadosExpertis[[#This Row],[FEC_NAC]])</f>
        <v>18</v>
      </c>
    </row>
    <row r="49" spans="1:7" x14ac:dyDescent="0.25">
      <c r="A49" t="s">
        <v>226</v>
      </c>
      <c r="B49" t="s">
        <v>133</v>
      </c>
      <c r="C49" s="56">
        <v>34159</v>
      </c>
      <c r="D49" t="s">
        <v>227</v>
      </c>
      <c r="E49" t="s">
        <v>350</v>
      </c>
      <c r="F49" t="str">
        <f>UPPER(TEXT(pbi_ListaEmpleadosExpertis[[#This Row],[FEC_NAC]],"mmmm"))</f>
        <v>JULIO</v>
      </c>
      <c r="G49">
        <f>DAY(pbi_ListaEmpleadosExpertis[[#This Row],[FEC_NAC]])</f>
        <v>9</v>
      </c>
    </row>
    <row r="50" spans="1:7" x14ac:dyDescent="0.25">
      <c r="A50" t="s">
        <v>278</v>
      </c>
      <c r="B50" t="s">
        <v>366</v>
      </c>
      <c r="C50" s="56">
        <v>34263</v>
      </c>
      <c r="D50" t="s">
        <v>279</v>
      </c>
      <c r="E50" t="s">
        <v>350</v>
      </c>
      <c r="F50" t="str">
        <f>UPPER(TEXT(pbi_ListaEmpleadosExpertis[[#This Row],[FEC_NAC]],"mmmm"))</f>
        <v>OCTUBRE</v>
      </c>
      <c r="G50">
        <f>DAY(pbi_ListaEmpleadosExpertis[[#This Row],[FEC_NAC]])</f>
        <v>21</v>
      </c>
    </row>
    <row r="51" spans="1:7" x14ac:dyDescent="0.25">
      <c r="A51" t="s">
        <v>325</v>
      </c>
      <c r="B51" t="s">
        <v>384</v>
      </c>
      <c r="C51" s="56">
        <v>34307</v>
      </c>
      <c r="D51" t="s">
        <v>326</v>
      </c>
      <c r="E51" t="s">
        <v>350</v>
      </c>
      <c r="F51" t="str">
        <f>UPPER(TEXT(pbi_ListaEmpleadosExpertis[[#This Row],[FEC_NAC]],"mmmm"))</f>
        <v>DICIEMBRE</v>
      </c>
      <c r="G51">
        <f>DAY(pbi_ListaEmpleadosExpertis[[#This Row],[FEC_NAC]])</f>
        <v>4</v>
      </c>
    </row>
    <row r="52" spans="1:7" x14ac:dyDescent="0.25">
      <c r="A52" t="s">
        <v>327</v>
      </c>
      <c r="B52" t="s">
        <v>385</v>
      </c>
      <c r="C52" s="56">
        <v>34317</v>
      </c>
      <c r="D52" t="s">
        <v>328</v>
      </c>
      <c r="E52" t="s">
        <v>350</v>
      </c>
      <c r="F52" t="str">
        <f>UPPER(TEXT(pbi_ListaEmpleadosExpertis[[#This Row],[FEC_NAC]],"mmmm"))</f>
        <v>DICIEMBRE</v>
      </c>
      <c r="G52">
        <f>DAY(pbi_ListaEmpleadosExpertis[[#This Row],[FEC_NAC]])</f>
        <v>14</v>
      </c>
    </row>
    <row r="53" spans="1:7" x14ac:dyDescent="0.25">
      <c r="A53" t="s">
        <v>212</v>
      </c>
      <c r="B53" t="s">
        <v>133</v>
      </c>
      <c r="C53" s="56">
        <v>34332</v>
      </c>
      <c r="D53" t="s">
        <v>213</v>
      </c>
      <c r="E53" t="s">
        <v>350</v>
      </c>
      <c r="F53" t="str">
        <f>UPPER(TEXT(pbi_ListaEmpleadosExpertis[[#This Row],[FEC_NAC]],"mmmm"))</f>
        <v>DICIEMBRE</v>
      </c>
      <c r="G53">
        <f>DAY(pbi_ListaEmpleadosExpertis[[#This Row],[FEC_NAC]])</f>
        <v>29</v>
      </c>
    </row>
    <row r="54" spans="1:7" x14ac:dyDescent="0.25">
      <c r="A54" t="s">
        <v>224</v>
      </c>
      <c r="B54" t="s">
        <v>133</v>
      </c>
      <c r="C54" s="56">
        <v>34369</v>
      </c>
      <c r="D54" t="s">
        <v>225</v>
      </c>
      <c r="E54" t="s">
        <v>350</v>
      </c>
      <c r="F54" t="str">
        <f>UPPER(TEXT(pbi_ListaEmpleadosExpertis[[#This Row],[FEC_NAC]],"mmmm"))</f>
        <v>FEBRERO</v>
      </c>
      <c r="G54">
        <f>DAY(pbi_ListaEmpleadosExpertis[[#This Row],[FEC_NAC]])</f>
        <v>4</v>
      </c>
    </row>
    <row r="55" spans="1:7" x14ac:dyDescent="0.25">
      <c r="A55" t="s">
        <v>22</v>
      </c>
      <c r="B55" t="s">
        <v>356</v>
      </c>
      <c r="C55" s="56">
        <v>34422</v>
      </c>
      <c r="D55" t="s">
        <v>277</v>
      </c>
      <c r="E55" t="s">
        <v>0</v>
      </c>
      <c r="F55" t="str">
        <f>UPPER(TEXT(pbi_ListaEmpleadosExpertis[[#This Row],[FEC_NAC]],"mmmm"))</f>
        <v>MARZO</v>
      </c>
      <c r="G55">
        <f>DAY(pbi_ListaEmpleadosExpertis[[#This Row],[FEC_NAC]])</f>
        <v>29</v>
      </c>
    </row>
    <row r="56" spans="1:7" x14ac:dyDescent="0.25">
      <c r="A56" t="s">
        <v>566</v>
      </c>
      <c r="B56" t="s">
        <v>577</v>
      </c>
      <c r="C56" s="56">
        <v>34446</v>
      </c>
      <c r="D56" t="s">
        <v>578</v>
      </c>
      <c r="E56" t="s">
        <v>350</v>
      </c>
      <c r="F56" t="str">
        <f>UPPER(TEXT(pbi_ListaEmpleadosExpertis[[#This Row],[FEC_NAC]],"mmmm"))</f>
        <v>ABRIL</v>
      </c>
      <c r="G56">
        <f>DAY(pbi_ListaEmpleadosExpertis[[#This Row],[FEC_NAC]])</f>
        <v>22</v>
      </c>
    </row>
    <row r="57" spans="1:7" x14ac:dyDescent="0.25">
      <c r="A57" t="s">
        <v>32</v>
      </c>
      <c r="B57" t="s">
        <v>356</v>
      </c>
      <c r="C57" s="56">
        <v>34529</v>
      </c>
      <c r="D57" t="s">
        <v>293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14</v>
      </c>
    </row>
    <row r="58" spans="1:7" x14ac:dyDescent="0.25">
      <c r="A58" t="s">
        <v>122</v>
      </c>
      <c r="B58" t="s">
        <v>356</v>
      </c>
      <c r="C58" s="56">
        <v>34546</v>
      </c>
      <c r="D58" t="s">
        <v>269</v>
      </c>
      <c r="E58" t="s">
        <v>0</v>
      </c>
      <c r="F58" t="str">
        <f>UPPER(TEXT(pbi_ListaEmpleadosExpertis[[#This Row],[FEC_NAC]],"mmmm"))</f>
        <v>JULIO</v>
      </c>
      <c r="G58">
        <f>DAY(pbi_ListaEmpleadosExpertis[[#This Row],[FEC_NAC]])</f>
        <v>31</v>
      </c>
    </row>
    <row r="59" spans="1:7" x14ac:dyDescent="0.25">
      <c r="A59" t="s">
        <v>75</v>
      </c>
      <c r="B59" t="s">
        <v>356</v>
      </c>
      <c r="C59" s="56">
        <v>34563</v>
      </c>
      <c r="D59" t="s">
        <v>252</v>
      </c>
      <c r="E59" t="s">
        <v>0</v>
      </c>
      <c r="F59" t="str">
        <f>UPPER(TEXT(pbi_ListaEmpleadosExpertis[[#This Row],[FEC_NAC]],"mmmm"))</f>
        <v>AGOSTO</v>
      </c>
      <c r="G59">
        <f>DAY(pbi_ListaEmpleadosExpertis[[#This Row],[FEC_NAC]])</f>
        <v>17</v>
      </c>
    </row>
    <row r="60" spans="1:7" x14ac:dyDescent="0.25">
      <c r="A60" t="s">
        <v>302</v>
      </c>
      <c r="B60" t="s">
        <v>375</v>
      </c>
      <c r="C60" s="56">
        <v>34575</v>
      </c>
      <c r="D60" t="s">
        <v>303</v>
      </c>
      <c r="E60" t="s">
        <v>350</v>
      </c>
      <c r="F60" t="str">
        <f>UPPER(TEXT(pbi_ListaEmpleadosExpertis[[#This Row],[FEC_NAC]],"mmmm"))</f>
        <v>AGOSTO</v>
      </c>
      <c r="G60">
        <f>DAY(pbi_ListaEmpleadosExpertis[[#This Row],[FEC_NAC]])</f>
        <v>29</v>
      </c>
    </row>
    <row r="61" spans="1:7" x14ac:dyDescent="0.25">
      <c r="A61" t="s">
        <v>296</v>
      </c>
      <c r="B61" t="s">
        <v>372</v>
      </c>
      <c r="C61" s="56">
        <v>34610</v>
      </c>
      <c r="D61" t="s">
        <v>297</v>
      </c>
      <c r="E61" t="s">
        <v>350</v>
      </c>
      <c r="F61" t="str">
        <f>UPPER(TEXT(pbi_ListaEmpleadosExpertis[[#This Row],[FEC_NAC]],"mmmm"))</f>
        <v>OCTUBRE</v>
      </c>
      <c r="G61">
        <f>DAY(pbi_ListaEmpleadosExpertis[[#This Row],[FEC_NAC]])</f>
        <v>3</v>
      </c>
    </row>
    <row r="62" spans="1:7" x14ac:dyDescent="0.25">
      <c r="A62" t="s">
        <v>331</v>
      </c>
      <c r="B62" t="s">
        <v>387</v>
      </c>
      <c r="C62" s="56">
        <v>34677</v>
      </c>
      <c r="D62" t="s">
        <v>332</v>
      </c>
      <c r="E62" t="s">
        <v>350</v>
      </c>
      <c r="F62" t="str">
        <f>UPPER(TEXT(pbi_ListaEmpleadosExpertis[[#This Row],[FEC_NAC]],"mmmm"))</f>
        <v>DICIEMBRE</v>
      </c>
      <c r="G62">
        <f>DAY(pbi_ListaEmpleadosExpertis[[#This Row],[FEC_NAC]])</f>
        <v>9</v>
      </c>
    </row>
    <row r="63" spans="1:7" x14ac:dyDescent="0.25">
      <c r="A63" t="s">
        <v>81</v>
      </c>
      <c r="B63" t="s">
        <v>356</v>
      </c>
      <c r="C63" s="56">
        <v>34710</v>
      </c>
      <c r="D63" t="s">
        <v>291</v>
      </c>
      <c r="E63" t="s">
        <v>0</v>
      </c>
      <c r="F63" t="str">
        <f>UPPER(TEXT(pbi_ListaEmpleadosExpertis[[#This Row],[FEC_NAC]],"mmmm"))</f>
        <v>ENERO</v>
      </c>
      <c r="G63">
        <f>DAY(pbi_ListaEmpleadosExpertis[[#This Row],[FEC_NAC]])</f>
        <v>11</v>
      </c>
    </row>
    <row r="64" spans="1:7" x14ac:dyDescent="0.25">
      <c r="A64" t="s">
        <v>312</v>
      </c>
      <c r="B64" t="s">
        <v>379</v>
      </c>
      <c r="C64" s="56">
        <v>34782</v>
      </c>
      <c r="D64" t="s">
        <v>313</v>
      </c>
      <c r="E64" t="s">
        <v>350</v>
      </c>
      <c r="F64" t="str">
        <f>UPPER(TEXT(pbi_ListaEmpleadosExpertis[[#This Row],[FEC_NAC]],"mmmm"))</f>
        <v>MARZO</v>
      </c>
      <c r="G64">
        <f>DAY(pbi_ListaEmpleadosExpertis[[#This Row],[FEC_NAC]])</f>
        <v>24</v>
      </c>
    </row>
    <row r="65" spans="1:7" x14ac:dyDescent="0.25">
      <c r="A65" t="s">
        <v>97</v>
      </c>
      <c r="B65" t="s">
        <v>356</v>
      </c>
      <c r="C65" s="56">
        <v>34832</v>
      </c>
      <c r="D65" t="s">
        <v>322</v>
      </c>
      <c r="E65" t="s">
        <v>0</v>
      </c>
      <c r="F65" t="str">
        <f>UPPER(TEXT(pbi_ListaEmpleadosExpertis[[#This Row],[FEC_NAC]],"mmmm"))</f>
        <v>MAYO</v>
      </c>
      <c r="G65">
        <f>DAY(pbi_ListaEmpleadosExpertis[[#This Row],[FEC_NAC]])</f>
        <v>13</v>
      </c>
    </row>
    <row r="66" spans="1:7" x14ac:dyDescent="0.25">
      <c r="A66" t="s">
        <v>234</v>
      </c>
      <c r="B66" t="s">
        <v>357</v>
      </c>
      <c r="C66" s="56">
        <v>34917</v>
      </c>
      <c r="D66" t="s">
        <v>235</v>
      </c>
      <c r="E66" t="s">
        <v>350</v>
      </c>
      <c r="F66" t="str">
        <f>UPPER(TEXT(pbi_ListaEmpleadosExpertis[[#This Row],[FEC_NAC]],"mmmm"))</f>
        <v>AGOSTO</v>
      </c>
      <c r="G66">
        <f>DAY(pbi_ListaEmpleadosExpertis[[#This Row],[FEC_NAC]])</f>
        <v>6</v>
      </c>
    </row>
    <row r="67" spans="1:7" x14ac:dyDescent="0.25">
      <c r="A67" t="s">
        <v>232</v>
      </c>
      <c r="B67" t="s">
        <v>361</v>
      </c>
      <c r="C67" s="56">
        <v>35013</v>
      </c>
      <c r="D67" t="s">
        <v>233</v>
      </c>
      <c r="E67" t="s">
        <v>350</v>
      </c>
      <c r="F67" t="str">
        <f>UPPER(TEXT(pbi_ListaEmpleadosExpertis[[#This Row],[FEC_NAC]],"mmmm"))</f>
        <v>NOVIEMBRE</v>
      </c>
      <c r="G67">
        <f>DAY(pbi_ListaEmpleadosExpertis[[#This Row],[FEC_NAC]])</f>
        <v>10</v>
      </c>
    </row>
    <row r="68" spans="1:7" x14ac:dyDescent="0.25">
      <c r="A68" t="s">
        <v>339</v>
      </c>
      <c r="B68" t="s">
        <v>390</v>
      </c>
      <c r="C68" s="56">
        <v>35081</v>
      </c>
      <c r="D68" t="s">
        <v>340</v>
      </c>
      <c r="E68" t="s">
        <v>350</v>
      </c>
      <c r="F68" t="str">
        <f>UPPER(TEXT(pbi_ListaEmpleadosExpertis[[#This Row],[FEC_NAC]],"mmmm"))</f>
        <v>ENERO</v>
      </c>
      <c r="G68">
        <f>DAY(pbi_ListaEmpleadosExpertis[[#This Row],[FEC_NAC]])</f>
        <v>17</v>
      </c>
    </row>
    <row r="69" spans="1:7" x14ac:dyDescent="0.25">
      <c r="A69" t="s">
        <v>68</v>
      </c>
      <c r="B69" t="s">
        <v>356</v>
      </c>
      <c r="C69" s="56">
        <v>35108</v>
      </c>
      <c r="D69" t="s">
        <v>284</v>
      </c>
      <c r="E69" t="s">
        <v>0</v>
      </c>
      <c r="F69" t="str">
        <f>UPPER(TEXT(pbi_ListaEmpleadosExpertis[[#This Row],[FEC_NAC]],"mmmm"))</f>
        <v>FEBRERO</v>
      </c>
      <c r="G69">
        <f>DAY(pbi_ListaEmpleadosExpertis[[#This Row],[FEC_NAC]])</f>
        <v>13</v>
      </c>
    </row>
    <row r="70" spans="1:7" x14ac:dyDescent="0.25">
      <c r="A70" t="s">
        <v>79</v>
      </c>
      <c r="B70" t="s">
        <v>356</v>
      </c>
      <c r="C70" s="56">
        <v>35268</v>
      </c>
      <c r="D70" t="s">
        <v>244</v>
      </c>
      <c r="E70" t="s">
        <v>0</v>
      </c>
      <c r="F70" t="str">
        <f>UPPER(TEXT(pbi_ListaEmpleadosExpertis[[#This Row],[FEC_NAC]],"mmmm"))</f>
        <v>JULIO</v>
      </c>
      <c r="G70">
        <f>DAY(pbi_ListaEmpleadosExpertis[[#This Row],[FEC_NAC]])</f>
        <v>22</v>
      </c>
    </row>
    <row r="71" spans="1:7" x14ac:dyDescent="0.25">
      <c r="A71" t="s">
        <v>13</v>
      </c>
      <c r="B71" t="s">
        <v>356</v>
      </c>
      <c r="C71" s="56">
        <v>35346</v>
      </c>
      <c r="D71" t="s">
        <v>256</v>
      </c>
      <c r="E71" t="s">
        <v>0</v>
      </c>
      <c r="F71" t="str">
        <f>UPPER(TEXT(pbi_ListaEmpleadosExpertis[[#This Row],[FEC_NAC]],"mmmm"))</f>
        <v>OCTUBRE</v>
      </c>
      <c r="G71">
        <f>DAY(pbi_ListaEmpleadosExpertis[[#This Row],[FEC_NAC]])</f>
        <v>8</v>
      </c>
    </row>
    <row r="72" spans="1:7" x14ac:dyDescent="0.25">
      <c r="A72" t="s">
        <v>314</v>
      </c>
      <c r="B72" t="s">
        <v>380</v>
      </c>
      <c r="C72" s="56">
        <v>35356</v>
      </c>
      <c r="D72" t="s">
        <v>315</v>
      </c>
      <c r="E72" t="s">
        <v>350</v>
      </c>
      <c r="F72" t="str">
        <f>UPPER(TEXT(pbi_ListaEmpleadosExpertis[[#This Row],[FEC_NAC]],"mmmm"))</f>
        <v>OCTUBRE</v>
      </c>
      <c r="G72">
        <f>DAY(pbi_ListaEmpleadosExpertis[[#This Row],[FEC_NAC]])</f>
        <v>18</v>
      </c>
    </row>
    <row r="73" spans="1:7" x14ac:dyDescent="0.25">
      <c r="A73" t="s">
        <v>342</v>
      </c>
      <c r="B73" t="s">
        <v>391</v>
      </c>
      <c r="C73" s="56">
        <v>35388</v>
      </c>
      <c r="D73" t="s">
        <v>343</v>
      </c>
      <c r="E73" t="s">
        <v>350</v>
      </c>
      <c r="F73" t="str">
        <f>UPPER(TEXT(pbi_ListaEmpleadosExpertis[[#This Row],[FEC_NAC]],"mmmm"))</f>
        <v>NOVIEMBRE</v>
      </c>
      <c r="G73">
        <f>DAY(pbi_ListaEmpleadosExpertis[[#This Row],[FEC_NAC]])</f>
        <v>19</v>
      </c>
    </row>
    <row r="74" spans="1:7" x14ac:dyDescent="0.25">
      <c r="A74" t="s">
        <v>18</v>
      </c>
      <c r="B74" t="s">
        <v>356</v>
      </c>
      <c r="C74" s="56">
        <v>35472</v>
      </c>
      <c r="D74" t="s">
        <v>271</v>
      </c>
      <c r="E74" t="s">
        <v>0</v>
      </c>
      <c r="F74" t="str">
        <f>UPPER(TEXT(pbi_ListaEmpleadosExpertis[[#This Row],[FEC_NAC]],"mmmm"))</f>
        <v>FEBRERO</v>
      </c>
      <c r="G74">
        <f>DAY(pbi_ListaEmpleadosExpertis[[#This Row],[FEC_NAC]])</f>
        <v>11</v>
      </c>
    </row>
    <row r="75" spans="1:7" x14ac:dyDescent="0.25">
      <c r="A75" t="s">
        <v>17</v>
      </c>
      <c r="B75" t="s">
        <v>356</v>
      </c>
      <c r="C75" s="56">
        <v>35492</v>
      </c>
      <c r="D75" t="s">
        <v>265</v>
      </c>
      <c r="E75" t="s">
        <v>0</v>
      </c>
      <c r="F75" t="str">
        <f>UPPER(TEXT(pbi_ListaEmpleadosExpertis[[#This Row],[FEC_NAC]],"mmmm"))</f>
        <v>MARZO</v>
      </c>
      <c r="G75">
        <f>DAY(pbi_ListaEmpleadosExpertis[[#This Row],[FEC_NAC]])</f>
        <v>3</v>
      </c>
    </row>
    <row r="76" spans="1:7" x14ac:dyDescent="0.25">
      <c r="A76" t="s">
        <v>23</v>
      </c>
      <c r="B76" t="s">
        <v>356</v>
      </c>
      <c r="C76" s="56">
        <v>35504</v>
      </c>
      <c r="D76" t="s">
        <v>211</v>
      </c>
      <c r="E76" t="s">
        <v>0</v>
      </c>
      <c r="F76" t="str">
        <f>UPPER(TEXT(pbi_ListaEmpleadosExpertis[[#This Row],[FEC_NAC]],"mmmm"))</f>
        <v>MARZO</v>
      </c>
      <c r="G76">
        <f>DAY(pbi_ListaEmpleadosExpertis[[#This Row],[FEC_NAC]])</f>
        <v>15</v>
      </c>
    </row>
    <row r="77" spans="1:7" x14ac:dyDescent="0.25">
      <c r="A77" t="s">
        <v>76</v>
      </c>
      <c r="B77" t="s">
        <v>356</v>
      </c>
      <c r="C77" s="56">
        <v>35600</v>
      </c>
      <c r="D77" t="s">
        <v>257</v>
      </c>
      <c r="E77" t="s">
        <v>0</v>
      </c>
      <c r="F77" t="str">
        <f>UPPER(TEXT(pbi_ListaEmpleadosExpertis[[#This Row],[FEC_NAC]],"mmmm"))</f>
        <v>JUNIO</v>
      </c>
      <c r="G77">
        <f>DAY(pbi_ListaEmpleadosExpertis[[#This Row],[FEC_NAC]])</f>
        <v>19</v>
      </c>
    </row>
    <row r="78" spans="1:7" x14ac:dyDescent="0.25">
      <c r="A78" t="s">
        <v>34</v>
      </c>
      <c r="B78" t="s">
        <v>356</v>
      </c>
      <c r="C78" s="56">
        <v>35634</v>
      </c>
      <c r="D78" t="s">
        <v>273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23</v>
      </c>
    </row>
    <row r="79" spans="1:7" x14ac:dyDescent="0.25">
      <c r="A79" t="s">
        <v>51</v>
      </c>
      <c r="B79" t="s">
        <v>356</v>
      </c>
      <c r="C79" s="56">
        <v>35642</v>
      </c>
      <c r="D79" t="s">
        <v>307</v>
      </c>
      <c r="E79" t="s">
        <v>0</v>
      </c>
      <c r="F79" t="str">
        <f>UPPER(TEXT(pbi_ListaEmpleadosExpertis[[#This Row],[FEC_NAC]],"mmmm"))</f>
        <v>JULIO</v>
      </c>
      <c r="G79">
        <f>DAY(pbi_ListaEmpleadosExpertis[[#This Row],[FEC_NAC]])</f>
        <v>31</v>
      </c>
    </row>
    <row r="80" spans="1:7" x14ac:dyDescent="0.25">
      <c r="A80" t="s">
        <v>109</v>
      </c>
      <c r="B80" t="s">
        <v>356</v>
      </c>
      <c r="C80" s="56">
        <v>35706</v>
      </c>
      <c r="D80" t="s">
        <v>281</v>
      </c>
      <c r="E80" t="s">
        <v>0</v>
      </c>
      <c r="F80" t="str">
        <f>UPPER(TEXT(pbi_ListaEmpleadosExpertis[[#This Row],[FEC_NAC]],"mmmm"))</f>
        <v>OCTUBRE</v>
      </c>
      <c r="G80">
        <f>DAY(pbi_ListaEmpleadosExpertis[[#This Row],[FEC_NAC]])</f>
        <v>3</v>
      </c>
    </row>
    <row r="81" spans="1:7" x14ac:dyDescent="0.25">
      <c r="A81" t="s">
        <v>19</v>
      </c>
      <c r="B81" t="s">
        <v>356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350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356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262</v>
      </c>
      <c r="B84" t="s">
        <v>366</v>
      </c>
      <c r="C84" s="56">
        <v>36240</v>
      </c>
      <c r="D84" t="s">
        <v>263</v>
      </c>
      <c r="E84" t="s">
        <v>350</v>
      </c>
      <c r="F84" t="str">
        <f>UPPER(TEXT(pbi_ListaEmpleadosExpertis[[#This Row],[FEC_NAC]],"mmmm"))</f>
        <v>MARZO</v>
      </c>
      <c r="G84">
        <f>DAY(pbi_ListaEmpleadosExpertis[[#This Row],[FEC_NAC]])</f>
        <v>21</v>
      </c>
    </row>
    <row r="85" spans="1:7" x14ac:dyDescent="0.25">
      <c r="A85" t="s">
        <v>25</v>
      </c>
      <c r="B85" t="s">
        <v>356</v>
      </c>
      <c r="C85" s="56">
        <v>36267</v>
      </c>
      <c r="D85" t="s">
        <v>258</v>
      </c>
      <c r="E85" t="s">
        <v>0</v>
      </c>
      <c r="F85" t="str">
        <f>UPPER(TEXT(pbi_ListaEmpleadosExpertis[[#This Row],[FEC_NAC]],"mmmm"))</f>
        <v>ABRIL</v>
      </c>
      <c r="G85">
        <f>DAY(pbi_ListaEmpleadosExpertis[[#This Row],[FEC_NAC]])</f>
        <v>17</v>
      </c>
    </row>
    <row r="86" spans="1:7" x14ac:dyDescent="0.25">
      <c r="A86" t="s">
        <v>351</v>
      </c>
      <c r="B86" t="s">
        <v>368</v>
      </c>
      <c r="C86" s="56">
        <v>36301</v>
      </c>
      <c r="D86" t="s">
        <v>352</v>
      </c>
      <c r="E86" t="s">
        <v>350</v>
      </c>
      <c r="F86" t="str">
        <f>UPPER(TEXT(pbi_ListaEmpleadosExpertis[[#This Row],[FEC_NAC]],"mmmm"))</f>
        <v>MAYO</v>
      </c>
      <c r="G86">
        <f>DAY(pbi_ListaEmpleadosExpertis[[#This Row],[FEC_NAC]])</f>
        <v>21</v>
      </c>
    </row>
    <row r="87" spans="1:7" x14ac:dyDescent="0.25">
      <c r="A87" t="s">
        <v>85</v>
      </c>
      <c r="B87" t="s">
        <v>356</v>
      </c>
      <c r="C87" s="56">
        <v>36674</v>
      </c>
      <c r="D87" t="s">
        <v>560</v>
      </c>
      <c r="E87" t="s">
        <v>0</v>
      </c>
      <c r="F87" t="str">
        <f>UPPER(TEXT(pbi_ListaEmpleadosExpertis[[#This Row],[FEC_NAC]],"mmmm"))</f>
        <v>MAYO</v>
      </c>
      <c r="G87">
        <f>DAY(pbi_ListaEmpleadosExpertis[[#This Row],[FEC_NAC]])</f>
        <v>28</v>
      </c>
    </row>
    <row r="88" spans="1:7" x14ac:dyDescent="0.25">
      <c r="A88" t="s">
        <v>510</v>
      </c>
      <c r="B88" t="s">
        <v>356</v>
      </c>
      <c r="C88" s="56">
        <v>36795</v>
      </c>
      <c r="D88" t="s">
        <v>511</v>
      </c>
      <c r="E88" t="s">
        <v>0</v>
      </c>
      <c r="F88" t="str">
        <f>UPPER(TEXT(pbi_ListaEmpleadosExpertis[[#This Row],[FEC_NAC]],"mmmm"))</f>
        <v>SETIEMBRE</v>
      </c>
      <c r="G88">
        <f>DAY(pbi_ListaEmpleadosExpertis[[#This Row],[FEC_NAC]])</f>
        <v>26</v>
      </c>
    </row>
    <row r="89" spans="1:7" x14ac:dyDescent="0.25">
      <c r="A89" t="s">
        <v>287</v>
      </c>
      <c r="B89" t="s">
        <v>369</v>
      </c>
      <c r="C89" s="56">
        <v>36801</v>
      </c>
      <c r="D89" t="s">
        <v>288</v>
      </c>
      <c r="E89" t="s">
        <v>350</v>
      </c>
      <c r="F89" t="str">
        <f>UPPER(TEXT(pbi_ListaEmpleadosExpertis[[#This Row],[FEC_NAC]],"mmmm"))</f>
        <v>OCTUBRE</v>
      </c>
      <c r="G89">
        <f>DAY(pbi_ListaEmpleadosExpertis[[#This Row],[FEC_NAC]])</f>
        <v>2</v>
      </c>
    </row>
    <row r="90" spans="1:7" x14ac:dyDescent="0.25">
      <c r="A90" t="s">
        <v>308</v>
      </c>
      <c r="B90" t="s">
        <v>377</v>
      </c>
      <c r="C90" s="56">
        <v>36819</v>
      </c>
      <c r="D90" t="s">
        <v>309</v>
      </c>
      <c r="E90" t="s">
        <v>350</v>
      </c>
      <c r="F90" t="str">
        <f>UPPER(TEXT(pbi_ListaEmpleadosExpertis[[#This Row],[FEC_NAC]],"mmmm"))</f>
        <v>OCTUBRE</v>
      </c>
      <c r="G90">
        <f>DAY(pbi_ListaEmpleadosExpertis[[#This Row],[FEC_NAC]])</f>
        <v>20</v>
      </c>
    </row>
    <row r="91" spans="1:7" x14ac:dyDescent="0.25">
      <c r="A91" t="s">
        <v>60</v>
      </c>
      <c r="B91" t="s">
        <v>356</v>
      </c>
      <c r="C91" s="56">
        <v>36877</v>
      </c>
      <c r="D91" t="s">
        <v>280</v>
      </c>
      <c r="E91" t="s">
        <v>0</v>
      </c>
      <c r="F91" t="str">
        <f>UPPER(TEXT(pbi_ListaEmpleadosExpertis[[#This Row],[FEC_NAC]],"mmmm"))</f>
        <v>DICIEMBRE</v>
      </c>
      <c r="G91">
        <f>DAY(pbi_ListaEmpleadosExpertis[[#This Row],[FEC_NAC]])</f>
        <v>17</v>
      </c>
    </row>
    <row r="92" spans="1:7" x14ac:dyDescent="0.25">
      <c r="A92" t="s">
        <v>318</v>
      </c>
      <c r="B92" t="s">
        <v>381</v>
      </c>
      <c r="C92" s="56">
        <v>37051</v>
      </c>
      <c r="D92" t="s">
        <v>319</v>
      </c>
      <c r="E92" t="s">
        <v>350</v>
      </c>
      <c r="F92" t="str">
        <f>UPPER(TEXT(pbi_ListaEmpleadosExpertis[[#This Row],[FEC_NAC]],"mmmm"))</f>
        <v>JUNIO</v>
      </c>
      <c r="G92">
        <f>DAY(pbi_ListaEmpleadosExpertis[[#This Row],[FEC_NAC]])</f>
        <v>9</v>
      </c>
    </row>
    <row r="93" spans="1:7" x14ac:dyDescent="0.25">
      <c r="A93" t="s">
        <v>512</v>
      </c>
      <c r="B93" t="s">
        <v>356</v>
      </c>
      <c r="C93" s="56">
        <v>37054</v>
      </c>
      <c r="D93" t="s">
        <v>513</v>
      </c>
      <c r="E93" t="s">
        <v>0</v>
      </c>
      <c r="F93" t="str">
        <f>UPPER(TEXT(pbi_ListaEmpleadosExpertis[[#This Row],[FEC_NAC]],"mmmm"))</f>
        <v>JUNIO</v>
      </c>
      <c r="G93">
        <f>DAY(pbi_ListaEmpleadosExpertis[[#This Row],[FEC_NAC]])</f>
        <v>12</v>
      </c>
    </row>
    <row r="94" spans="1:7" x14ac:dyDescent="0.25">
      <c r="A94" t="s">
        <v>335</v>
      </c>
      <c r="B94" t="s">
        <v>388</v>
      </c>
      <c r="C94" s="56">
        <v>37080</v>
      </c>
      <c r="D94" t="s">
        <v>336</v>
      </c>
      <c r="E94" t="s">
        <v>350</v>
      </c>
      <c r="F94" t="str">
        <f>UPPER(TEXT(pbi_ListaEmpleadosExpertis[[#This Row],[FEC_NAC]],"mmmm"))</f>
        <v>JULIO</v>
      </c>
      <c r="G94">
        <f>DAY(pbi_ListaEmpleadosExpertis[[#This Row],[FEC_NAC]])</f>
        <v>8</v>
      </c>
    </row>
    <row r="95" spans="1:7" x14ac:dyDescent="0.25">
      <c r="A95" t="s">
        <v>207</v>
      </c>
      <c r="B95" t="s">
        <v>356</v>
      </c>
      <c r="C95" s="56">
        <v>37156</v>
      </c>
      <c r="D95" t="s">
        <v>347</v>
      </c>
      <c r="E95" t="s">
        <v>0</v>
      </c>
      <c r="F95" t="str">
        <f>UPPER(TEXT(pbi_ListaEmpleadosExpertis[[#This Row],[FEC_NAC]],"mmmm"))</f>
        <v>SETIEMBRE</v>
      </c>
      <c r="G95">
        <f>DAY(pbi_ListaEmpleadosExpertis[[#This Row],[FEC_NAC]])</f>
        <v>22</v>
      </c>
    </row>
    <row r="96" spans="1:7" x14ac:dyDescent="0.25">
      <c r="A96" t="s">
        <v>289</v>
      </c>
      <c r="B96" t="s">
        <v>370</v>
      </c>
      <c r="C96" s="56">
        <v>37354</v>
      </c>
      <c r="D96" t="s">
        <v>290</v>
      </c>
      <c r="E96" t="s">
        <v>350</v>
      </c>
      <c r="F96" t="str">
        <f>UPPER(TEXT(pbi_ListaEmpleadosExpertis[[#This Row],[FEC_NAC]],"mmmm"))</f>
        <v>ABRIL</v>
      </c>
      <c r="G96">
        <f>DAY(pbi_ListaEmpleadosExpertis[[#This Row],[FEC_NAC]])</f>
        <v>8</v>
      </c>
    </row>
    <row r="97" spans="1:7" x14ac:dyDescent="0.25">
      <c r="A97" t="s">
        <v>222</v>
      </c>
      <c r="B97" t="s">
        <v>133</v>
      </c>
      <c r="C97" s="56">
        <v>37410</v>
      </c>
      <c r="D97" t="s">
        <v>223</v>
      </c>
      <c r="E97" t="s">
        <v>350</v>
      </c>
      <c r="F97" t="str">
        <f>UPPER(TEXT(pbi_ListaEmpleadosExpertis[[#This Row],[FEC_NAC]],"mmmm"))</f>
        <v>JUNIO</v>
      </c>
      <c r="G97">
        <f>DAY(pbi_ListaEmpleadosExpertis[[#This Row],[FEC_NAC]])</f>
        <v>3</v>
      </c>
    </row>
    <row r="98" spans="1:7" x14ac:dyDescent="0.25">
      <c r="A98" t="s">
        <v>337</v>
      </c>
      <c r="B98" t="s">
        <v>389</v>
      </c>
      <c r="C98" s="56">
        <v>37550</v>
      </c>
      <c r="D98" t="s">
        <v>338</v>
      </c>
      <c r="E98" t="s">
        <v>350</v>
      </c>
      <c r="F98" t="str">
        <f>UPPER(TEXT(pbi_ListaEmpleadosExpertis[[#This Row],[FEC_NAC]],"mmmm"))</f>
        <v>OCTUBRE</v>
      </c>
      <c r="G98">
        <f>DAY(pbi_ListaEmpleadosExpertis[[#This Row],[FEC_NAC]])</f>
        <v>21</v>
      </c>
    </row>
    <row r="99" spans="1:7" x14ac:dyDescent="0.25">
      <c r="A99" t="s">
        <v>42</v>
      </c>
      <c r="B99" t="s">
        <v>356</v>
      </c>
      <c r="C99" s="56">
        <v>37683</v>
      </c>
      <c r="D99" t="s">
        <v>286</v>
      </c>
      <c r="E99" t="s">
        <v>0</v>
      </c>
      <c r="F99" t="str">
        <f>UPPER(TEXT(pbi_ListaEmpleadosExpertis[[#This Row],[FEC_NAC]],"mmmm"))</f>
        <v>MARZO</v>
      </c>
      <c r="G99">
        <f>DAY(pbi_ListaEmpleadosExpertis[[#This Row],[FEC_NAC]])</f>
        <v>3</v>
      </c>
    </row>
    <row r="100" spans="1:7" x14ac:dyDescent="0.25">
      <c r="A100" t="s">
        <v>59</v>
      </c>
      <c r="B100" t="s">
        <v>356</v>
      </c>
      <c r="C100" s="56">
        <v>38004</v>
      </c>
      <c r="D100" t="s">
        <v>283</v>
      </c>
      <c r="E100" t="s">
        <v>0</v>
      </c>
      <c r="F100" t="str">
        <f>UPPER(TEXT(pbi_ListaEmpleadosExpertis[[#This Row],[FEC_NAC]],"mmmm"))</f>
        <v>ENERO</v>
      </c>
      <c r="G100">
        <f>DAY(pbi_ListaEmpleadosExpertis[[#This Row],[FEC_NAC]])</f>
        <v>18</v>
      </c>
    </row>
    <row r="101" spans="1:7" x14ac:dyDescent="0.25">
      <c r="A101" t="s">
        <v>329</v>
      </c>
      <c r="B101" t="s">
        <v>386</v>
      </c>
      <c r="C101" s="56">
        <v>38097</v>
      </c>
      <c r="D101" t="s">
        <v>330</v>
      </c>
      <c r="E101" t="s">
        <v>350</v>
      </c>
      <c r="F101" t="str">
        <f>UPPER(TEXT(pbi_ListaEmpleadosExpertis[[#This Row],[FEC_NAC]],"mmmm"))</f>
        <v>ABRIL</v>
      </c>
      <c r="G101">
        <f>DAY(pbi_ListaEmpleadosExpertis[[#This Row],[FEC_NAC]])</f>
        <v>20</v>
      </c>
    </row>
    <row r="102" spans="1:7" x14ac:dyDescent="0.25">
      <c r="A102" t="s">
        <v>320</v>
      </c>
      <c r="B102" t="s">
        <v>382</v>
      </c>
      <c r="C102" s="56">
        <v>38500</v>
      </c>
      <c r="D102" t="s">
        <v>321</v>
      </c>
      <c r="E102" t="s">
        <v>350</v>
      </c>
      <c r="F102" t="str">
        <f>UPPER(TEXT(pbi_ListaEmpleadosExpertis[[#This Row],[FEC_NAC]],"mmmm"))</f>
        <v>MAYO</v>
      </c>
      <c r="G102">
        <f>DAY(pbi_ListaEmpleadosExpertis[[#This Row],[FEC_NAC]])</f>
        <v>28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403"/>
  <sheetViews>
    <sheetView topLeftCell="A224" workbookViewId="0">
      <selection activeCell="A279" sqref="A279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0.28515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588</v>
      </c>
      <c r="B1" t="s">
        <v>0</v>
      </c>
      <c r="C1" t="s">
        <v>392</v>
      </c>
      <c r="D1" t="s">
        <v>589</v>
      </c>
      <c r="E1" t="s">
        <v>590</v>
      </c>
      <c r="F1" t="s">
        <v>591</v>
      </c>
      <c r="G1" t="s">
        <v>394</v>
      </c>
      <c r="H1" t="s">
        <v>592</v>
      </c>
      <c r="I1" t="s">
        <v>587</v>
      </c>
      <c r="J1" t="s">
        <v>593</v>
      </c>
    </row>
    <row r="2" spans="1:10" x14ac:dyDescent="0.25">
      <c r="A2" t="s">
        <v>594</v>
      </c>
      <c r="B2" t="s">
        <v>219</v>
      </c>
      <c r="C2">
        <v>74122258</v>
      </c>
      <c r="D2" t="s">
        <v>6</v>
      </c>
      <c r="E2" t="s">
        <v>133</v>
      </c>
      <c r="F2" t="s">
        <v>595</v>
      </c>
      <c r="G2" s="56">
        <v>44022</v>
      </c>
      <c r="H2">
        <v>68</v>
      </c>
      <c r="I2" t="s">
        <v>159</v>
      </c>
      <c r="J2" s="56"/>
    </row>
    <row r="3" spans="1:10" x14ac:dyDescent="0.25">
      <c r="A3" t="s">
        <v>594</v>
      </c>
      <c r="B3" t="s">
        <v>222</v>
      </c>
      <c r="C3">
        <v>75000131</v>
      </c>
      <c r="D3" t="s">
        <v>125</v>
      </c>
      <c r="E3" t="s">
        <v>133</v>
      </c>
      <c r="F3" t="s">
        <v>595</v>
      </c>
      <c r="G3" s="56">
        <v>44872</v>
      </c>
      <c r="H3">
        <v>40</v>
      </c>
      <c r="I3" t="s">
        <v>158</v>
      </c>
      <c r="J3" s="56"/>
    </row>
    <row r="4" spans="1:10" x14ac:dyDescent="0.25">
      <c r="A4" t="s">
        <v>594</v>
      </c>
      <c r="B4" t="s">
        <v>226</v>
      </c>
      <c r="C4">
        <v>73049631</v>
      </c>
      <c r="D4" t="s">
        <v>3</v>
      </c>
      <c r="E4" t="s">
        <v>133</v>
      </c>
      <c r="F4" t="s">
        <v>595</v>
      </c>
      <c r="G4" s="56">
        <v>43506</v>
      </c>
      <c r="H4">
        <v>85</v>
      </c>
      <c r="I4" t="s">
        <v>157</v>
      </c>
      <c r="J4" s="56"/>
    </row>
    <row r="5" spans="1:10" x14ac:dyDescent="0.25">
      <c r="A5" t="s">
        <v>594</v>
      </c>
      <c r="B5" t="s">
        <v>214</v>
      </c>
      <c r="C5">
        <v>46872195</v>
      </c>
      <c r="D5" t="s">
        <v>7</v>
      </c>
      <c r="E5" t="s">
        <v>133</v>
      </c>
      <c r="F5" t="s">
        <v>595</v>
      </c>
      <c r="G5" s="56">
        <v>43805</v>
      </c>
      <c r="H5">
        <v>75</v>
      </c>
      <c r="I5" t="s">
        <v>159</v>
      </c>
      <c r="J5" s="56"/>
    </row>
    <row r="6" spans="1:10" x14ac:dyDescent="0.25">
      <c r="A6" t="s">
        <v>594</v>
      </c>
      <c r="B6" t="s">
        <v>224</v>
      </c>
      <c r="C6">
        <v>70984733</v>
      </c>
      <c r="D6" t="s">
        <v>4</v>
      </c>
      <c r="E6" t="s">
        <v>133</v>
      </c>
      <c r="F6" t="s">
        <v>595</v>
      </c>
      <c r="G6" s="56">
        <v>43466</v>
      </c>
      <c r="H6">
        <v>86</v>
      </c>
      <c r="I6" t="s">
        <v>157</v>
      </c>
      <c r="J6" s="56"/>
    </row>
    <row r="7" spans="1:10" x14ac:dyDescent="0.25">
      <c r="A7" t="s">
        <v>594</v>
      </c>
      <c r="B7" t="s">
        <v>212</v>
      </c>
      <c r="C7">
        <v>73613568</v>
      </c>
      <c r="D7" t="s">
        <v>5</v>
      </c>
      <c r="E7" t="s">
        <v>133</v>
      </c>
      <c r="F7" t="s">
        <v>595</v>
      </c>
      <c r="G7" s="56">
        <v>43318</v>
      </c>
      <c r="H7">
        <v>91</v>
      </c>
      <c r="I7" t="s">
        <v>158</v>
      </c>
      <c r="J7" s="56"/>
    </row>
    <row r="8" spans="1:10" x14ac:dyDescent="0.25">
      <c r="A8" t="s">
        <v>594</v>
      </c>
      <c r="B8" t="s">
        <v>118</v>
      </c>
      <c r="C8">
        <v>74318905</v>
      </c>
      <c r="D8" t="s">
        <v>8</v>
      </c>
      <c r="E8" t="s">
        <v>133</v>
      </c>
      <c r="F8" t="s">
        <v>595</v>
      </c>
      <c r="G8" s="56">
        <v>44355</v>
      </c>
      <c r="H8">
        <v>57</v>
      </c>
      <c r="I8" t="s">
        <v>209</v>
      </c>
      <c r="J8" s="56"/>
    </row>
    <row r="9" spans="1:10" x14ac:dyDescent="0.25">
      <c r="A9" t="s">
        <v>594</v>
      </c>
      <c r="B9" t="s">
        <v>596</v>
      </c>
      <c r="C9">
        <v>46796397</v>
      </c>
      <c r="D9" t="s">
        <v>9</v>
      </c>
      <c r="E9" t="s">
        <v>133</v>
      </c>
      <c r="F9" t="s">
        <v>595</v>
      </c>
      <c r="G9" s="56">
        <v>44791</v>
      </c>
      <c r="H9">
        <v>42</v>
      </c>
      <c r="I9" t="s">
        <v>209</v>
      </c>
      <c r="J9" s="56"/>
    </row>
    <row r="10" spans="1:10" x14ac:dyDescent="0.25">
      <c r="A10" t="s">
        <v>594</v>
      </c>
      <c r="B10" t="s">
        <v>58</v>
      </c>
      <c r="C10">
        <v>72519113</v>
      </c>
      <c r="D10" t="s">
        <v>7</v>
      </c>
      <c r="E10" t="s">
        <v>518</v>
      </c>
      <c r="F10" t="s">
        <v>595</v>
      </c>
      <c r="G10" s="56">
        <v>43119</v>
      </c>
      <c r="H10">
        <v>97</v>
      </c>
      <c r="I10" t="s">
        <v>159</v>
      </c>
      <c r="J10" s="56"/>
    </row>
    <row r="11" spans="1:10" x14ac:dyDescent="0.25">
      <c r="A11" t="s">
        <v>594</v>
      </c>
      <c r="B11" t="s">
        <v>49</v>
      </c>
      <c r="C11">
        <v>40702064</v>
      </c>
      <c r="D11" t="s">
        <v>4</v>
      </c>
      <c r="E11" t="s">
        <v>518</v>
      </c>
      <c r="F11" t="s">
        <v>595</v>
      </c>
      <c r="G11" s="56">
        <v>43313</v>
      </c>
      <c r="H11">
        <v>91</v>
      </c>
      <c r="I11" t="s">
        <v>157</v>
      </c>
      <c r="J11" s="56"/>
    </row>
    <row r="12" spans="1:10" x14ac:dyDescent="0.25">
      <c r="A12" t="s">
        <v>594</v>
      </c>
      <c r="B12" t="s">
        <v>23</v>
      </c>
      <c r="C12">
        <v>72413556</v>
      </c>
      <c r="D12" t="s">
        <v>3</v>
      </c>
      <c r="E12" t="s">
        <v>518</v>
      </c>
      <c r="F12" t="s">
        <v>595</v>
      </c>
      <c r="G12" s="56">
        <v>44109</v>
      </c>
      <c r="H12">
        <v>65</v>
      </c>
      <c r="I12" t="s">
        <v>157</v>
      </c>
      <c r="J12" s="56"/>
    </row>
    <row r="13" spans="1:10" x14ac:dyDescent="0.25">
      <c r="A13" t="s">
        <v>594</v>
      </c>
      <c r="B13" t="s">
        <v>26</v>
      </c>
      <c r="C13">
        <v>41005089</v>
      </c>
      <c r="D13" t="s">
        <v>5</v>
      </c>
      <c r="E13" t="s">
        <v>518</v>
      </c>
      <c r="F13" t="s">
        <v>595</v>
      </c>
      <c r="G13" s="56">
        <v>44257</v>
      </c>
      <c r="H13">
        <v>60</v>
      </c>
      <c r="I13" t="s">
        <v>158</v>
      </c>
      <c r="J13" s="56"/>
    </row>
    <row r="14" spans="1:10" x14ac:dyDescent="0.25">
      <c r="A14" t="s">
        <v>594</v>
      </c>
      <c r="B14" t="s">
        <v>69</v>
      </c>
      <c r="C14">
        <v>73930771</v>
      </c>
      <c r="D14" t="s">
        <v>7</v>
      </c>
      <c r="E14" t="s">
        <v>518</v>
      </c>
      <c r="F14" t="s">
        <v>595</v>
      </c>
      <c r="G14" s="56">
        <v>44459</v>
      </c>
      <c r="H14">
        <v>53</v>
      </c>
      <c r="I14" t="s">
        <v>159</v>
      </c>
      <c r="J14" s="56"/>
    </row>
    <row r="15" spans="1:10" x14ac:dyDescent="0.25">
      <c r="A15" t="s">
        <v>594</v>
      </c>
      <c r="B15" t="s">
        <v>74</v>
      </c>
      <c r="C15">
        <v>70135127</v>
      </c>
      <c r="D15" t="s">
        <v>4</v>
      </c>
      <c r="E15" t="s">
        <v>518</v>
      </c>
      <c r="F15" t="s">
        <v>595</v>
      </c>
      <c r="G15" s="56">
        <v>44468</v>
      </c>
      <c r="H15">
        <v>53</v>
      </c>
      <c r="I15" t="s">
        <v>157</v>
      </c>
      <c r="J15" s="56"/>
    </row>
    <row r="16" spans="1:10" x14ac:dyDescent="0.25">
      <c r="A16" t="s">
        <v>594</v>
      </c>
      <c r="B16" t="s">
        <v>19</v>
      </c>
      <c r="C16">
        <v>76656128</v>
      </c>
      <c r="D16" t="s">
        <v>9</v>
      </c>
      <c r="E16" t="s">
        <v>518</v>
      </c>
      <c r="F16" t="s">
        <v>595</v>
      </c>
      <c r="G16" s="56">
        <v>44671</v>
      </c>
      <c r="H16">
        <v>46</v>
      </c>
      <c r="I16" t="s">
        <v>156</v>
      </c>
      <c r="J16" s="56"/>
    </row>
    <row r="17" spans="1:10" x14ac:dyDescent="0.25">
      <c r="A17" t="s">
        <v>594</v>
      </c>
      <c r="B17" t="s">
        <v>29</v>
      </c>
      <c r="C17">
        <v>72758956</v>
      </c>
      <c r="D17" t="s">
        <v>6</v>
      </c>
      <c r="E17" t="s">
        <v>518</v>
      </c>
      <c r="F17" t="s">
        <v>595</v>
      </c>
      <c r="G17" s="56">
        <v>44685</v>
      </c>
      <c r="H17">
        <v>46</v>
      </c>
      <c r="I17" t="s">
        <v>159</v>
      </c>
      <c r="J17" s="56"/>
    </row>
    <row r="18" spans="1:10" x14ac:dyDescent="0.25">
      <c r="A18" t="s">
        <v>594</v>
      </c>
      <c r="B18" t="s">
        <v>10</v>
      </c>
      <c r="C18">
        <v>40980108</v>
      </c>
      <c r="D18" t="s">
        <v>8</v>
      </c>
      <c r="E18" t="s">
        <v>518</v>
      </c>
      <c r="F18" t="s">
        <v>595</v>
      </c>
      <c r="G18" s="56">
        <v>44704</v>
      </c>
      <c r="H18">
        <v>45</v>
      </c>
      <c r="I18" t="s">
        <v>155</v>
      </c>
      <c r="J18" s="56"/>
    </row>
    <row r="19" spans="1:10" x14ac:dyDescent="0.25">
      <c r="A19" t="s">
        <v>594</v>
      </c>
      <c r="B19" t="s">
        <v>75</v>
      </c>
      <c r="C19">
        <v>71264767</v>
      </c>
      <c r="D19" t="s">
        <v>6</v>
      </c>
      <c r="E19" t="s">
        <v>518</v>
      </c>
      <c r="F19" t="s">
        <v>595</v>
      </c>
      <c r="G19" s="56">
        <v>44714</v>
      </c>
      <c r="H19">
        <v>45</v>
      </c>
      <c r="I19" t="s">
        <v>159</v>
      </c>
      <c r="J19" s="56"/>
    </row>
    <row r="20" spans="1:10" x14ac:dyDescent="0.25">
      <c r="A20" t="s">
        <v>594</v>
      </c>
      <c r="B20" t="s">
        <v>15</v>
      </c>
      <c r="C20">
        <v>47587400</v>
      </c>
      <c r="D20" t="s">
        <v>125</v>
      </c>
      <c r="E20" t="s">
        <v>518</v>
      </c>
      <c r="F20" t="s">
        <v>595</v>
      </c>
      <c r="G20" s="56">
        <v>44733</v>
      </c>
      <c r="H20">
        <v>44</v>
      </c>
      <c r="I20" t="s">
        <v>158</v>
      </c>
      <c r="J20" s="56"/>
    </row>
    <row r="21" spans="1:10" x14ac:dyDescent="0.25">
      <c r="A21" t="s">
        <v>594</v>
      </c>
      <c r="B21" t="s">
        <v>35</v>
      </c>
      <c r="C21">
        <v>10491198</v>
      </c>
      <c r="D21" t="s">
        <v>4</v>
      </c>
      <c r="E21" t="s">
        <v>518</v>
      </c>
      <c r="F21" t="s">
        <v>595</v>
      </c>
      <c r="G21" s="56">
        <v>44746</v>
      </c>
      <c r="H21">
        <v>44</v>
      </c>
      <c r="I21" t="s">
        <v>157</v>
      </c>
      <c r="J21" s="56"/>
    </row>
    <row r="22" spans="1:10" x14ac:dyDescent="0.25">
      <c r="A22" t="s">
        <v>594</v>
      </c>
      <c r="B22" t="s">
        <v>48</v>
      </c>
      <c r="C22">
        <v>43307898</v>
      </c>
      <c r="D22" t="s">
        <v>3</v>
      </c>
      <c r="E22" t="s">
        <v>518</v>
      </c>
      <c r="F22" t="s">
        <v>595</v>
      </c>
      <c r="G22" s="56">
        <v>44746</v>
      </c>
      <c r="H22">
        <v>44</v>
      </c>
      <c r="I22" t="s">
        <v>157</v>
      </c>
      <c r="J22" s="56"/>
    </row>
    <row r="23" spans="1:10" x14ac:dyDescent="0.25">
      <c r="A23" t="s">
        <v>594</v>
      </c>
      <c r="B23" t="s">
        <v>106</v>
      </c>
      <c r="C23">
        <v>72197469</v>
      </c>
      <c r="D23" t="s">
        <v>3</v>
      </c>
      <c r="E23" t="s">
        <v>597</v>
      </c>
      <c r="F23" t="s">
        <v>595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594</v>
      </c>
      <c r="B24" t="s">
        <v>67</v>
      </c>
      <c r="C24">
        <v>9880053</v>
      </c>
      <c r="D24" t="s">
        <v>6</v>
      </c>
      <c r="E24" t="s">
        <v>518</v>
      </c>
      <c r="F24" t="s">
        <v>595</v>
      </c>
      <c r="G24" s="56">
        <v>44809</v>
      </c>
      <c r="H24">
        <v>42</v>
      </c>
      <c r="I24" t="s">
        <v>159</v>
      </c>
      <c r="J24" s="56"/>
    </row>
    <row r="25" spans="1:10" x14ac:dyDescent="0.25">
      <c r="A25" t="s">
        <v>594</v>
      </c>
      <c r="B25" t="s">
        <v>13</v>
      </c>
      <c r="C25">
        <v>72512391</v>
      </c>
      <c r="D25" t="s">
        <v>9</v>
      </c>
      <c r="E25" t="s">
        <v>518</v>
      </c>
      <c r="F25" t="s">
        <v>595</v>
      </c>
      <c r="G25" s="56">
        <v>44809</v>
      </c>
      <c r="H25">
        <v>42</v>
      </c>
      <c r="I25" t="s">
        <v>156</v>
      </c>
      <c r="J25" s="56"/>
    </row>
    <row r="26" spans="1:10" x14ac:dyDescent="0.25">
      <c r="A26" t="s">
        <v>594</v>
      </c>
      <c r="B26" t="s">
        <v>76</v>
      </c>
      <c r="C26">
        <v>60914051</v>
      </c>
      <c r="D26" t="s">
        <v>8</v>
      </c>
      <c r="E26" t="s">
        <v>518</v>
      </c>
      <c r="F26" t="s">
        <v>595</v>
      </c>
      <c r="G26" s="56">
        <v>44817</v>
      </c>
      <c r="H26">
        <v>41</v>
      </c>
      <c r="I26" t="s">
        <v>155</v>
      </c>
      <c r="J26" s="56"/>
    </row>
    <row r="27" spans="1:10" x14ac:dyDescent="0.25">
      <c r="A27" t="s">
        <v>594</v>
      </c>
      <c r="B27" t="s">
        <v>25</v>
      </c>
      <c r="C27">
        <v>72373931</v>
      </c>
      <c r="D27" t="s">
        <v>8</v>
      </c>
      <c r="E27" t="s">
        <v>518</v>
      </c>
      <c r="F27" t="s">
        <v>595</v>
      </c>
      <c r="G27" s="56">
        <v>44818</v>
      </c>
      <c r="H27">
        <v>41</v>
      </c>
      <c r="I27" t="s">
        <v>155</v>
      </c>
      <c r="J27" s="56"/>
    </row>
    <row r="28" spans="1:10" x14ac:dyDescent="0.25">
      <c r="A28" t="s">
        <v>594</v>
      </c>
      <c r="B28" t="s">
        <v>21</v>
      </c>
      <c r="C28">
        <v>44042880</v>
      </c>
      <c r="D28" t="s">
        <v>7</v>
      </c>
      <c r="E28" t="s">
        <v>518</v>
      </c>
      <c r="F28" t="s">
        <v>595</v>
      </c>
      <c r="G28" s="56">
        <v>44824</v>
      </c>
      <c r="H28">
        <v>41</v>
      </c>
      <c r="I28" t="s">
        <v>159</v>
      </c>
      <c r="J28" s="56"/>
    </row>
    <row r="29" spans="1:10" x14ac:dyDescent="0.25">
      <c r="A29" t="s">
        <v>594</v>
      </c>
      <c r="B29" t="s">
        <v>77</v>
      </c>
      <c r="C29">
        <v>42251780</v>
      </c>
      <c r="D29" t="s">
        <v>9</v>
      </c>
      <c r="E29" t="s">
        <v>518</v>
      </c>
      <c r="F29" t="s">
        <v>595</v>
      </c>
      <c r="G29" s="56">
        <v>44838</v>
      </c>
      <c r="H29">
        <v>41</v>
      </c>
      <c r="I29" t="s">
        <v>156</v>
      </c>
      <c r="J29" s="56"/>
    </row>
    <row r="30" spans="1:10" x14ac:dyDescent="0.25">
      <c r="A30" t="s">
        <v>594</v>
      </c>
      <c r="B30" t="s">
        <v>33</v>
      </c>
      <c r="C30">
        <v>80689573</v>
      </c>
      <c r="D30" t="s">
        <v>3</v>
      </c>
      <c r="E30" t="s">
        <v>518</v>
      </c>
      <c r="F30" t="s">
        <v>595</v>
      </c>
      <c r="G30" s="56">
        <v>44867</v>
      </c>
      <c r="H30">
        <v>40</v>
      </c>
      <c r="I30" t="s">
        <v>157</v>
      </c>
      <c r="J30" s="56"/>
    </row>
    <row r="31" spans="1:10" x14ac:dyDescent="0.25">
      <c r="A31" t="s">
        <v>594</v>
      </c>
      <c r="B31" t="s">
        <v>12</v>
      </c>
      <c r="C31">
        <v>45262585</v>
      </c>
      <c r="D31" t="s">
        <v>125</v>
      </c>
      <c r="E31" t="s">
        <v>518</v>
      </c>
      <c r="F31" t="s">
        <v>595</v>
      </c>
      <c r="G31" s="56">
        <v>44868</v>
      </c>
      <c r="H31">
        <v>40</v>
      </c>
      <c r="I31" t="s">
        <v>158</v>
      </c>
      <c r="J31" s="56"/>
    </row>
    <row r="32" spans="1:10" x14ac:dyDescent="0.25">
      <c r="A32" t="s">
        <v>594</v>
      </c>
      <c r="B32" t="s">
        <v>17</v>
      </c>
      <c r="C32">
        <v>70876605</v>
      </c>
      <c r="D32" t="s">
        <v>6</v>
      </c>
      <c r="E32" t="s">
        <v>517</v>
      </c>
      <c r="F32" t="s">
        <v>595</v>
      </c>
      <c r="G32" s="56">
        <v>44886</v>
      </c>
      <c r="H32">
        <v>39</v>
      </c>
      <c r="I32" t="s">
        <v>159</v>
      </c>
      <c r="J32" s="56"/>
    </row>
    <row r="33" spans="1:10" x14ac:dyDescent="0.25">
      <c r="A33" t="s">
        <v>594</v>
      </c>
      <c r="B33" t="s">
        <v>61</v>
      </c>
      <c r="C33">
        <v>44001162</v>
      </c>
      <c r="D33" t="s">
        <v>8</v>
      </c>
      <c r="E33" t="s">
        <v>518</v>
      </c>
      <c r="F33" t="s">
        <v>595</v>
      </c>
      <c r="G33" s="56">
        <v>44907</v>
      </c>
      <c r="H33">
        <v>38</v>
      </c>
      <c r="I33" t="s">
        <v>155</v>
      </c>
      <c r="J33" s="56"/>
    </row>
    <row r="34" spans="1:10" x14ac:dyDescent="0.25">
      <c r="A34" t="s">
        <v>594</v>
      </c>
      <c r="B34" t="s">
        <v>36</v>
      </c>
      <c r="C34">
        <v>76917479</v>
      </c>
      <c r="D34" t="s">
        <v>6</v>
      </c>
      <c r="E34" t="s">
        <v>518</v>
      </c>
      <c r="F34" t="s">
        <v>595</v>
      </c>
      <c r="G34" s="56">
        <v>44939</v>
      </c>
      <c r="H34">
        <v>37</v>
      </c>
      <c r="I34" t="s">
        <v>159</v>
      </c>
      <c r="J34" s="56"/>
    </row>
    <row r="35" spans="1:10" x14ac:dyDescent="0.25">
      <c r="A35" t="s">
        <v>594</v>
      </c>
      <c r="B35" t="s">
        <v>78</v>
      </c>
      <c r="C35">
        <v>10706451</v>
      </c>
      <c r="D35" t="s">
        <v>6</v>
      </c>
      <c r="E35" t="s">
        <v>518</v>
      </c>
      <c r="F35" t="s">
        <v>595</v>
      </c>
      <c r="G35" s="56">
        <v>44943</v>
      </c>
      <c r="H35">
        <v>37</v>
      </c>
      <c r="I35" t="s">
        <v>159</v>
      </c>
      <c r="J35" s="56"/>
    </row>
    <row r="36" spans="1:10" x14ac:dyDescent="0.25">
      <c r="A36" t="s">
        <v>594</v>
      </c>
      <c r="B36" t="s">
        <v>70</v>
      </c>
      <c r="C36">
        <v>47982910</v>
      </c>
      <c r="D36" t="s">
        <v>5</v>
      </c>
      <c r="E36" t="s">
        <v>518</v>
      </c>
      <c r="F36" t="s">
        <v>595</v>
      </c>
      <c r="G36" s="56">
        <v>44967</v>
      </c>
      <c r="H36">
        <v>37</v>
      </c>
      <c r="I36" t="s">
        <v>158</v>
      </c>
      <c r="J36" s="56"/>
    </row>
    <row r="37" spans="1:10" x14ac:dyDescent="0.25">
      <c r="A37" t="s">
        <v>594</v>
      </c>
      <c r="B37" t="s">
        <v>65</v>
      </c>
      <c r="C37">
        <v>47659267</v>
      </c>
      <c r="D37" t="s">
        <v>125</v>
      </c>
      <c r="E37" t="s">
        <v>518</v>
      </c>
      <c r="F37" t="s">
        <v>595</v>
      </c>
      <c r="G37" s="56">
        <v>45019</v>
      </c>
      <c r="H37">
        <v>35</v>
      </c>
      <c r="I37" t="s">
        <v>158</v>
      </c>
      <c r="J37" s="56"/>
    </row>
    <row r="38" spans="1:10" x14ac:dyDescent="0.25">
      <c r="A38" t="s">
        <v>594</v>
      </c>
      <c r="B38" t="s">
        <v>37</v>
      </c>
      <c r="C38">
        <v>70988976</v>
      </c>
      <c r="D38" t="s">
        <v>9</v>
      </c>
      <c r="E38" t="s">
        <v>517</v>
      </c>
      <c r="F38" t="s">
        <v>595</v>
      </c>
      <c r="G38" s="56">
        <v>45112</v>
      </c>
      <c r="H38">
        <v>32</v>
      </c>
      <c r="I38" t="s">
        <v>156</v>
      </c>
      <c r="J38" s="56"/>
    </row>
    <row r="39" spans="1:10" x14ac:dyDescent="0.25">
      <c r="A39" t="s">
        <v>594</v>
      </c>
      <c r="B39" t="s">
        <v>18</v>
      </c>
      <c r="C39">
        <v>76214436</v>
      </c>
      <c r="D39" t="s">
        <v>7</v>
      </c>
      <c r="E39" t="s">
        <v>518</v>
      </c>
      <c r="F39" t="s">
        <v>595</v>
      </c>
      <c r="G39" s="56">
        <v>45132</v>
      </c>
      <c r="H39">
        <v>31</v>
      </c>
      <c r="I39" t="s">
        <v>159</v>
      </c>
      <c r="J39" s="56"/>
    </row>
    <row r="40" spans="1:10" x14ac:dyDescent="0.25">
      <c r="A40" t="s">
        <v>594</v>
      </c>
      <c r="B40" t="s">
        <v>73</v>
      </c>
      <c r="C40">
        <v>40318129</v>
      </c>
      <c r="D40" t="s">
        <v>125</v>
      </c>
      <c r="E40" t="s">
        <v>518</v>
      </c>
      <c r="F40" t="s">
        <v>595</v>
      </c>
      <c r="G40" s="56">
        <v>45141</v>
      </c>
      <c r="H40">
        <v>31</v>
      </c>
      <c r="I40" t="s">
        <v>158</v>
      </c>
      <c r="J40" s="56"/>
    </row>
    <row r="41" spans="1:10" x14ac:dyDescent="0.25">
      <c r="A41" t="s">
        <v>594</v>
      </c>
      <c r="B41" t="s">
        <v>20</v>
      </c>
      <c r="C41">
        <v>48307357</v>
      </c>
      <c r="D41" t="s">
        <v>7</v>
      </c>
      <c r="E41" t="s">
        <v>518</v>
      </c>
      <c r="F41" t="s">
        <v>595</v>
      </c>
      <c r="G41" s="56">
        <v>45141</v>
      </c>
      <c r="H41">
        <v>31</v>
      </c>
      <c r="I41" t="s">
        <v>159</v>
      </c>
      <c r="J41" s="56"/>
    </row>
    <row r="42" spans="1:10" x14ac:dyDescent="0.25">
      <c r="A42" t="s">
        <v>594</v>
      </c>
      <c r="B42" t="s">
        <v>79</v>
      </c>
      <c r="C42">
        <v>71262377</v>
      </c>
      <c r="D42" t="s">
        <v>5</v>
      </c>
      <c r="E42" t="s">
        <v>518</v>
      </c>
      <c r="F42" t="s">
        <v>595</v>
      </c>
      <c r="G42" s="56">
        <v>45145</v>
      </c>
      <c r="H42">
        <v>31</v>
      </c>
      <c r="I42" t="s">
        <v>158</v>
      </c>
      <c r="J42" s="56"/>
    </row>
    <row r="43" spans="1:10" x14ac:dyDescent="0.25">
      <c r="A43" t="s">
        <v>594</v>
      </c>
      <c r="B43" t="s">
        <v>34</v>
      </c>
      <c r="C43">
        <v>76824571</v>
      </c>
      <c r="D43" t="s">
        <v>9</v>
      </c>
      <c r="E43" t="s">
        <v>518</v>
      </c>
      <c r="F43" t="s">
        <v>595</v>
      </c>
      <c r="G43" s="56">
        <v>45173</v>
      </c>
      <c r="H43">
        <v>30</v>
      </c>
      <c r="I43" t="s">
        <v>156</v>
      </c>
      <c r="J43" s="56"/>
    </row>
    <row r="44" spans="1:10" x14ac:dyDescent="0.25">
      <c r="A44" t="s">
        <v>594</v>
      </c>
      <c r="B44" t="s">
        <v>80</v>
      </c>
      <c r="C44">
        <v>45084594</v>
      </c>
      <c r="D44" t="s">
        <v>9</v>
      </c>
      <c r="E44" t="s">
        <v>518</v>
      </c>
      <c r="F44" t="s">
        <v>595</v>
      </c>
      <c r="G44" s="56">
        <v>45281</v>
      </c>
      <c r="H44">
        <v>26</v>
      </c>
      <c r="I44" t="s">
        <v>156</v>
      </c>
      <c r="J44" s="56"/>
    </row>
    <row r="45" spans="1:10" x14ac:dyDescent="0.25">
      <c r="A45" t="s">
        <v>594</v>
      </c>
      <c r="B45" t="s">
        <v>22</v>
      </c>
      <c r="C45">
        <v>70551168</v>
      </c>
      <c r="D45" t="s">
        <v>6</v>
      </c>
      <c r="E45" t="s">
        <v>518</v>
      </c>
      <c r="F45" t="s">
        <v>595</v>
      </c>
      <c r="G45" s="56">
        <v>45295</v>
      </c>
      <c r="H45">
        <v>26</v>
      </c>
      <c r="I45" t="s">
        <v>159</v>
      </c>
      <c r="J45" s="56"/>
    </row>
    <row r="46" spans="1:10" x14ac:dyDescent="0.25">
      <c r="A46" t="s">
        <v>594</v>
      </c>
      <c r="B46" t="s">
        <v>41</v>
      </c>
      <c r="C46">
        <v>46461021</v>
      </c>
      <c r="D46" t="s">
        <v>125</v>
      </c>
      <c r="E46" t="s">
        <v>518</v>
      </c>
      <c r="F46" t="s">
        <v>595</v>
      </c>
      <c r="G46" s="56">
        <v>45302</v>
      </c>
      <c r="H46">
        <v>26</v>
      </c>
      <c r="I46" t="s">
        <v>158</v>
      </c>
      <c r="J46" s="56"/>
    </row>
    <row r="47" spans="1:10" x14ac:dyDescent="0.25">
      <c r="A47" t="s">
        <v>594</v>
      </c>
      <c r="B47" t="s">
        <v>24</v>
      </c>
      <c r="C47">
        <v>43614775</v>
      </c>
      <c r="D47" t="s">
        <v>9</v>
      </c>
      <c r="E47" t="s">
        <v>518</v>
      </c>
      <c r="F47" t="s">
        <v>595</v>
      </c>
      <c r="G47" s="56">
        <v>45334</v>
      </c>
      <c r="H47">
        <v>24</v>
      </c>
      <c r="I47" t="s">
        <v>156</v>
      </c>
      <c r="J47" s="56"/>
    </row>
    <row r="48" spans="1:10" x14ac:dyDescent="0.25">
      <c r="A48" t="s">
        <v>594</v>
      </c>
      <c r="B48" t="s">
        <v>31</v>
      </c>
      <c r="C48">
        <v>75882265</v>
      </c>
      <c r="D48" t="s">
        <v>6</v>
      </c>
      <c r="E48" t="s">
        <v>518</v>
      </c>
      <c r="F48" t="s">
        <v>595</v>
      </c>
      <c r="G48" s="56">
        <v>45334</v>
      </c>
      <c r="H48">
        <v>24</v>
      </c>
      <c r="I48" t="s">
        <v>159</v>
      </c>
      <c r="J48" s="56"/>
    </row>
    <row r="49" spans="1:10" x14ac:dyDescent="0.25">
      <c r="A49" t="s">
        <v>594</v>
      </c>
      <c r="B49" t="s">
        <v>16</v>
      </c>
      <c r="C49">
        <v>47029782</v>
      </c>
      <c r="D49" t="s">
        <v>125</v>
      </c>
      <c r="E49" t="s">
        <v>518</v>
      </c>
      <c r="F49" t="s">
        <v>595</v>
      </c>
      <c r="G49" s="56">
        <v>45334</v>
      </c>
      <c r="H49">
        <v>24</v>
      </c>
      <c r="I49" t="s">
        <v>158</v>
      </c>
      <c r="J49" s="56"/>
    </row>
    <row r="50" spans="1:10" x14ac:dyDescent="0.25">
      <c r="A50" t="s">
        <v>594</v>
      </c>
      <c r="B50" t="s">
        <v>59</v>
      </c>
      <c r="C50">
        <v>60870839</v>
      </c>
      <c r="D50" t="s">
        <v>8</v>
      </c>
      <c r="E50" t="s">
        <v>517</v>
      </c>
      <c r="F50" t="s">
        <v>595</v>
      </c>
      <c r="G50" s="56">
        <v>45344</v>
      </c>
      <c r="H50">
        <v>24</v>
      </c>
      <c r="I50" t="s">
        <v>155</v>
      </c>
      <c r="J50" s="56"/>
    </row>
    <row r="51" spans="1:10" x14ac:dyDescent="0.25">
      <c r="A51" t="s">
        <v>594</v>
      </c>
      <c r="B51" t="s">
        <v>68</v>
      </c>
      <c r="C51">
        <v>73257316</v>
      </c>
      <c r="D51" t="s">
        <v>5</v>
      </c>
      <c r="E51" t="s">
        <v>518</v>
      </c>
      <c r="F51" t="s">
        <v>595</v>
      </c>
      <c r="G51" s="56">
        <v>45363</v>
      </c>
      <c r="H51">
        <v>23</v>
      </c>
      <c r="I51" t="s">
        <v>158</v>
      </c>
      <c r="J51" s="56"/>
    </row>
    <row r="52" spans="1:10" x14ac:dyDescent="0.25">
      <c r="A52" t="s">
        <v>594</v>
      </c>
      <c r="B52" t="s">
        <v>11</v>
      </c>
      <c r="C52">
        <v>45139159</v>
      </c>
      <c r="D52" t="s">
        <v>7</v>
      </c>
      <c r="E52" t="s">
        <v>518</v>
      </c>
      <c r="F52" t="s">
        <v>595</v>
      </c>
      <c r="G52" s="56">
        <v>45369</v>
      </c>
      <c r="H52">
        <v>23</v>
      </c>
      <c r="I52" t="s">
        <v>159</v>
      </c>
      <c r="J52" s="56"/>
    </row>
    <row r="53" spans="1:10" x14ac:dyDescent="0.25">
      <c r="A53" t="s">
        <v>594</v>
      </c>
      <c r="B53" t="s">
        <v>42</v>
      </c>
      <c r="C53">
        <v>73725129</v>
      </c>
      <c r="D53" t="s">
        <v>8</v>
      </c>
      <c r="E53" t="s">
        <v>518</v>
      </c>
      <c r="F53" t="s">
        <v>595</v>
      </c>
      <c r="G53" s="56">
        <v>45398</v>
      </c>
      <c r="H53">
        <v>22</v>
      </c>
      <c r="I53" t="s">
        <v>155</v>
      </c>
      <c r="J53" s="56"/>
    </row>
    <row r="54" spans="1:10" x14ac:dyDescent="0.25">
      <c r="A54" t="s">
        <v>594</v>
      </c>
      <c r="B54" t="s">
        <v>71</v>
      </c>
      <c r="C54">
        <v>45596891</v>
      </c>
      <c r="D54" t="s">
        <v>4</v>
      </c>
      <c r="E54" t="s">
        <v>597</v>
      </c>
      <c r="F54" t="s">
        <v>595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594</v>
      </c>
      <c r="B55" t="s">
        <v>40</v>
      </c>
      <c r="C55">
        <v>60976055</v>
      </c>
      <c r="D55" t="s">
        <v>4</v>
      </c>
      <c r="E55" t="s">
        <v>518</v>
      </c>
      <c r="F55" t="s">
        <v>595</v>
      </c>
      <c r="G55" s="56">
        <v>45433</v>
      </c>
      <c r="H55">
        <v>21</v>
      </c>
      <c r="I55" t="s">
        <v>157</v>
      </c>
      <c r="J55" s="56"/>
    </row>
    <row r="56" spans="1:10" x14ac:dyDescent="0.25">
      <c r="A56" t="s">
        <v>594</v>
      </c>
      <c r="B56" t="s">
        <v>103</v>
      </c>
      <c r="C56">
        <v>47218693</v>
      </c>
      <c r="D56" t="s">
        <v>5</v>
      </c>
      <c r="E56" t="s">
        <v>597</v>
      </c>
      <c r="F56" t="s">
        <v>595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594</v>
      </c>
      <c r="B57" t="s">
        <v>81</v>
      </c>
      <c r="C57">
        <v>72716299</v>
      </c>
      <c r="D57" t="s">
        <v>8</v>
      </c>
      <c r="E57" t="s">
        <v>518</v>
      </c>
      <c r="F57" t="s">
        <v>595</v>
      </c>
      <c r="G57" s="56">
        <v>45511</v>
      </c>
      <c r="H57">
        <v>19</v>
      </c>
      <c r="I57" t="s">
        <v>155</v>
      </c>
      <c r="J57" s="56"/>
    </row>
    <row r="58" spans="1:10" x14ac:dyDescent="0.25">
      <c r="A58" t="s">
        <v>594</v>
      </c>
      <c r="B58" t="s">
        <v>32</v>
      </c>
      <c r="C58">
        <v>48584670</v>
      </c>
      <c r="D58" t="s">
        <v>3</v>
      </c>
      <c r="E58" t="s">
        <v>517</v>
      </c>
      <c r="F58" t="s">
        <v>595</v>
      </c>
      <c r="G58" s="56">
        <v>45526</v>
      </c>
      <c r="H58">
        <v>18</v>
      </c>
      <c r="I58" t="s">
        <v>157</v>
      </c>
      <c r="J58" s="56"/>
    </row>
    <row r="59" spans="1:10" x14ac:dyDescent="0.25">
      <c r="A59" t="s">
        <v>594</v>
      </c>
      <c r="B59" t="s">
        <v>57</v>
      </c>
      <c r="C59">
        <v>74996029</v>
      </c>
      <c r="D59" t="s">
        <v>8</v>
      </c>
      <c r="E59" t="s">
        <v>518</v>
      </c>
      <c r="F59" t="s">
        <v>595</v>
      </c>
      <c r="G59" s="56">
        <v>45589</v>
      </c>
      <c r="H59">
        <v>16</v>
      </c>
      <c r="I59" t="s">
        <v>155</v>
      </c>
      <c r="J59" s="56"/>
    </row>
    <row r="60" spans="1:10" x14ac:dyDescent="0.25">
      <c r="A60" t="s">
        <v>594</v>
      </c>
      <c r="B60" t="s">
        <v>66</v>
      </c>
      <c r="C60">
        <v>46819930</v>
      </c>
      <c r="D60" t="s">
        <v>125</v>
      </c>
      <c r="E60" t="s">
        <v>517</v>
      </c>
      <c r="F60" t="s">
        <v>595</v>
      </c>
      <c r="G60" s="56">
        <v>45670</v>
      </c>
      <c r="H60">
        <v>13</v>
      </c>
      <c r="I60" t="s">
        <v>158</v>
      </c>
      <c r="J60" s="56"/>
    </row>
    <row r="61" spans="1:10" x14ac:dyDescent="0.25">
      <c r="A61" t="s">
        <v>594</v>
      </c>
      <c r="B61" t="s">
        <v>27</v>
      </c>
      <c r="C61">
        <v>73203775</v>
      </c>
      <c r="D61" t="s">
        <v>8</v>
      </c>
      <c r="E61" t="s">
        <v>518</v>
      </c>
      <c r="F61" t="s">
        <v>595</v>
      </c>
      <c r="G61" s="56">
        <v>45677</v>
      </c>
      <c r="H61">
        <v>13</v>
      </c>
      <c r="I61" t="s">
        <v>155</v>
      </c>
      <c r="J61" s="56"/>
    </row>
    <row r="62" spans="1:10" x14ac:dyDescent="0.25">
      <c r="A62" t="s">
        <v>594</v>
      </c>
      <c r="B62" t="s">
        <v>51</v>
      </c>
      <c r="C62">
        <v>76089925</v>
      </c>
      <c r="D62" t="s">
        <v>9</v>
      </c>
      <c r="E62" t="s">
        <v>518</v>
      </c>
      <c r="F62" t="s">
        <v>595</v>
      </c>
      <c r="G62" s="56">
        <v>45678</v>
      </c>
      <c r="H62">
        <v>13</v>
      </c>
      <c r="I62" t="s">
        <v>156</v>
      </c>
      <c r="J62" s="56"/>
    </row>
    <row r="63" spans="1:10" x14ac:dyDescent="0.25">
      <c r="A63" t="s">
        <v>594</v>
      </c>
      <c r="B63" t="s">
        <v>72</v>
      </c>
      <c r="C63">
        <v>47690367</v>
      </c>
      <c r="D63" t="s">
        <v>5</v>
      </c>
      <c r="E63" t="s">
        <v>518</v>
      </c>
      <c r="F63" t="s">
        <v>595</v>
      </c>
      <c r="G63" s="56">
        <v>45691</v>
      </c>
      <c r="H63">
        <v>13</v>
      </c>
      <c r="I63" t="s">
        <v>158</v>
      </c>
      <c r="J63" s="56"/>
    </row>
    <row r="64" spans="1:10" x14ac:dyDescent="0.25">
      <c r="A64" t="s">
        <v>594</v>
      </c>
      <c r="B64" t="s">
        <v>110</v>
      </c>
      <c r="C64">
        <v>43611146</v>
      </c>
      <c r="D64" t="s">
        <v>4</v>
      </c>
      <c r="E64" t="s">
        <v>597</v>
      </c>
      <c r="F64" t="s">
        <v>595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594</v>
      </c>
      <c r="B65" t="s">
        <v>104</v>
      </c>
      <c r="C65">
        <v>72074706</v>
      </c>
      <c r="D65" t="s">
        <v>4</v>
      </c>
      <c r="E65" t="s">
        <v>597</v>
      </c>
      <c r="F65" t="s">
        <v>595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594</v>
      </c>
      <c r="B66" t="s">
        <v>53</v>
      </c>
      <c r="C66">
        <v>46587976</v>
      </c>
      <c r="D66" t="s">
        <v>3</v>
      </c>
      <c r="E66" t="s">
        <v>518</v>
      </c>
      <c r="F66" t="s">
        <v>595</v>
      </c>
      <c r="G66" s="56">
        <v>45726</v>
      </c>
      <c r="H66">
        <v>12</v>
      </c>
      <c r="I66" t="s">
        <v>157</v>
      </c>
      <c r="J66" s="56"/>
    </row>
    <row r="67" spans="1:10" x14ac:dyDescent="0.25">
      <c r="A67" t="s">
        <v>594</v>
      </c>
      <c r="B67" t="s">
        <v>105</v>
      </c>
      <c r="C67">
        <v>48344037</v>
      </c>
      <c r="D67" t="s">
        <v>7</v>
      </c>
      <c r="E67" t="s">
        <v>518</v>
      </c>
      <c r="F67" t="s">
        <v>595</v>
      </c>
      <c r="G67" s="56">
        <v>45748</v>
      </c>
      <c r="H67">
        <v>11</v>
      </c>
      <c r="I67" t="s">
        <v>159</v>
      </c>
      <c r="J67" s="56"/>
    </row>
    <row r="68" spans="1:10" x14ac:dyDescent="0.25">
      <c r="A68" t="s">
        <v>594</v>
      </c>
      <c r="B68" t="s">
        <v>50</v>
      </c>
      <c r="C68">
        <v>72733809</v>
      </c>
      <c r="D68" t="s">
        <v>9</v>
      </c>
      <c r="E68" t="s">
        <v>518</v>
      </c>
      <c r="F68" t="s">
        <v>595</v>
      </c>
      <c r="G68" s="56">
        <v>45789</v>
      </c>
      <c r="H68">
        <v>9</v>
      </c>
      <c r="I68" t="s">
        <v>156</v>
      </c>
      <c r="J68" s="56"/>
    </row>
    <row r="69" spans="1:10" x14ac:dyDescent="0.25">
      <c r="A69" t="s">
        <v>594</v>
      </c>
      <c r="B69" t="s">
        <v>43</v>
      </c>
      <c r="C69">
        <v>74799185</v>
      </c>
      <c r="D69" t="s">
        <v>3</v>
      </c>
      <c r="E69" t="s">
        <v>518</v>
      </c>
      <c r="F69" t="s">
        <v>595</v>
      </c>
      <c r="G69" s="56">
        <v>45792</v>
      </c>
      <c r="H69">
        <v>9</v>
      </c>
      <c r="I69" t="s">
        <v>157</v>
      </c>
      <c r="J69" s="56"/>
    </row>
    <row r="70" spans="1:10" x14ac:dyDescent="0.25">
      <c r="A70" t="s">
        <v>594</v>
      </c>
      <c r="B70" t="s">
        <v>44</v>
      </c>
      <c r="C70">
        <v>45468175</v>
      </c>
      <c r="D70" t="s">
        <v>3</v>
      </c>
      <c r="E70" t="s">
        <v>518</v>
      </c>
      <c r="F70" t="s">
        <v>595</v>
      </c>
      <c r="G70" s="56">
        <v>45799</v>
      </c>
      <c r="H70">
        <v>9</v>
      </c>
      <c r="I70" t="s">
        <v>157</v>
      </c>
      <c r="J70" s="56"/>
    </row>
    <row r="71" spans="1:10" x14ac:dyDescent="0.25">
      <c r="A71" t="s">
        <v>594</v>
      </c>
      <c r="B71" t="s">
        <v>38</v>
      </c>
      <c r="C71">
        <v>47411966</v>
      </c>
      <c r="D71" t="s">
        <v>125</v>
      </c>
      <c r="E71" t="s">
        <v>518</v>
      </c>
      <c r="F71" t="s">
        <v>595</v>
      </c>
      <c r="G71" s="56">
        <v>45800</v>
      </c>
      <c r="H71">
        <v>9</v>
      </c>
      <c r="I71" t="s">
        <v>158</v>
      </c>
      <c r="J71" s="56"/>
    </row>
    <row r="72" spans="1:10" x14ac:dyDescent="0.25">
      <c r="A72" t="s">
        <v>594</v>
      </c>
      <c r="B72" t="s">
        <v>55</v>
      </c>
      <c r="C72">
        <v>45119892</v>
      </c>
      <c r="D72" t="s">
        <v>4</v>
      </c>
      <c r="E72" t="s">
        <v>518</v>
      </c>
      <c r="F72" t="s">
        <v>595</v>
      </c>
      <c r="G72" s="56">
        <v>45813</v>
      </c>
      <c r="H72">
        <v>9</v>
      </c>
      <c r="I72" t="s">
        <v>157</v>
      </c>
      <c r="J72" s="56"/>
    </row>
    <row r="73" spans="1:10" x14ac:dyDescent="0.25">
      <c r="A73" t="s">
        <v>594</v>
      </c>
      <c r="B73" t="s">
        <v>54</v>
      </c>
      <c r="C73">
        <v>70155949</v>
      </c>
      <c r="D73" t="s">
        <v>9</v>
      </c>
      <c r="E73" t="s">
        <v>518</v>
      </c>
      <c r="F73" t="s">
        <v>595</v>
      </c>
      <c r="G73" s="56">
        <v>45814</v>
      </c>
      <c r="H73">
        <v>9</v>
      </c>
      <c r="I73" t="s">
        <v>156</v>
      </c>
      <c r="J73" s="56"/>
    </row>
    <row r="74" spans="1:10" x14ac:dyDescent="0.25">
      <c r="A74" t="s">
        <v>594</v>
      </c>
      <c r="B74" t="s">
        <v>28</v>
      </c>
      <c r="C74">
        <v>70951123</v>
      </c>
      <c r="D74" t="s">
        <v>5</v>
      </c>
      <c r="E74" t="s">
        <v>518</v>
      </c>
      <c r="F74" t="s">
        <v>595</v>
      </c>
      <c r="G74" s="56">
        <v>45840</v>
      </c>
      <c r="H74">
        <v>8</v>
      </c>
      <c r="I74" t="s">
        <v>158</v>
      </c>
      <c r="J74" s="56"/>
    </row>
    <row r="75" spans="1:10" x14ac:dyDescent="0.25">
      <c r="A75" t="s">
        <v>594</v>
      </c>
      <c r="B75" t="s">
        <v>60</v>
      </c>
      <c r="C75">
        <v>72839865</v>
      </c>
      <c r="D75" t="s">
        <v>7</v>
      </c>
      <c r="E75" t="s">
        <v>518</v>
      </c>
      <c r="F75" t="s">
        <v>595</v>
      </c>
      <c r="G75" s="56">
        <v>45854</v>
      </c>
      <c r="H75">
        <v>7</v>
      </c>
      <c r="I75" t="s">
        <v>159</v>
      </c>
      <c r="J75" s="56"/>
    </row>
    <row r="76" spans="1:10" x14ac:dyDescent="0.25">
      <c r="A76" t="s">
        <v>594</v>
      </c>
      <c r="B76" t="s">
        <v>101</v>
      </c>
      <c r="C76">
        <v>46938414</v>
      </c>
      <c r="D76" t="s">
        <v>3</v>
      </c>
      <c r="E76" t="s">
        <v>597</v>
      </c>
      <c r="F76" t="s">
        <v>595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594</v>
      </c>
      <c r="B77" t="s">
        <v>102</v>
      </c>
      <c r="C77">
        <v>9996175</v>
      </c>
      <c r="D77" t="s">
        <v>3</v>
      </c>
      <c r="E77" t="s">
        <v>597</v>
      </c>
      <c r="F77" t="s">
        <v>595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594</v>
      </c>
      <c r="B78" t="s">
        <v>91</v>
      </c>
      <c r="C78">
        <v>75346810</v>
      </c>
      <c r="D78" t="s">
        <v>125</v>
      </c>
      <c r="E78" t="s">
        <v>518</v>
      </c>
      <c r="F78" t="s">
        <v>595</v>
      </c>
      <c r="G78" s="56">
        <v>45877</v>
      </c>
      <c r="H78">
        <v>7</v>
      </c>
      <c r="I78" t="s">
        <v>158</v>
      </c>
      <c r="J78" s="56"/>
    </row>
    <row r="79" spans="1:10" x14ac:dyDescent="0.25">
      <c r="A79" t="s">
        <v>594</v>
      </c>
      <c r="B79" t="s">
        <v>93</v>
      </c>
      <c r="C79">
        <v>47322258</v>
      </c>
      <c r="D79" t="s">
        <v>4</v>
      </c>
      <c r="E79" t="s">
        <v>518</v>
      </c>
      <c r="F79" t="s">
        <v>595</v>
      </c>
      <c r="G79" s="56">
        <v>45880</v>
      </c>
      <c r="H79">
        <v>7</v>
      </c>
      <c r="I79" t="s">
        <v>157</v>
      </c>
      <c r="J79" s="56"/>
    </row>
    <row r="80" spans="1:10" x14ac:dyDescent="0.25">
      <c r="A80" t="s">
        <v>594</v>
      </c>
      <c r="B80" t="s">
        <v>92</v>
      </c>
      <c r="C80">
        <v>73040632</v>
      </c>
      <c r="D80" t="s">
        <v>4</v>
      </c>
      <c r="E80" t="s">
        <v>518</v>
      </c>
      <c r="F80" t="s">
        <v>595</v>
      </c>
      <c r="G80" s="56">
        <v>45880</v>
      </c>
      <c r="H80">
        <v>7</v>
      </c>
      <c r="I80" t="s">
        <v>157</v>
      </c>
      <c r="J80" s="56"/>
    </row>
    <row r="81" spans="1:10" x14ac:dyDescent="0.25">
      <c r="A81" t="s">
        <v>594</v>
      </c>
      <c r="B81" t="s">
        <v>96</v>
      </c>
      <c r="C81">
        <v>46793103</v>
      </c>
      <c r="D81" t="s">
        <v>5</v>
      </c>
      <c r="E81" t="s">
        <v>518</v>
      </c>
      <c r="F81" t="s">
        <v>595</v>
      </c>
      <c r="G81" s="56">
        <v>45882</v>
      </c>
      <c r="H81">
        <v>6</v>
      </c>
      <c r="I81" t="s">
        <v>158</v>
      </c>
      <c r="J81" s="56"/>
    </row>
    <row r="82" spans="1:10" x14ac:dyDescent="0.25">
      <c r="A82" t="s">
        <v>594</v>
      </c>
      <c r="B82" t="s">
        <v>97</v>
      </c>
      <c r="C82">
        <v>74602206</v>
      </c>
      <c r="D82" t="s">
        <v>3</v>
      </c>
      <c r="E82" t="s">
        <v>518</v>
      </c>
      <c r="F82" t="s">
        <v>595</v>
      </c>
      <c r="G82" s="56">
        <v>45884</v>
      </c>
      <c r="H82">
        <v>6</v>
      </c>
      <c r="I82" t="s">
        <v>157</v>
      </c>
      <c r="J82" s="56"/>
    </row>
    <row r="83" spans="1:10" x14ac:dyDescent="0.25">
      <c r="A83" t="s">
        <v>594</v>
      </c>
      <c r="B83" t="s">
        <v>100</v>
      </c>
      <c r="C83">
        <v>41285428</v>
      </c>
      <c r="D83" t="s">
        <v>9</v>
      </c>
      <c r="E83" t="s">
        <v>518</v>
      </c>
      <c r="F83" t="s">
        <v>595</v>
      </c>
      <c r="G83" s="56">
        <v>45890</v>
      </c>
      <c r="H83">
        <v>6</v>
      </c>
      <c r="I83" t="s">
        <v>156</v>
      </c>
      <c r="J83" s="56"/>
    </row>
    <row r="84" spans="1:10" x14ac:dyDescent="0.25">
      <c r="A84" t="s">
        <v>594</v>
      </c>
      <c r="B84" t="s">
        <v>99</v>
      </c>
      <c r="C84">
        <v>73708621</v>
      </c>
      <c r="D84" t="s">
        <v>6</v>
      </c>
      <c r="E84" t="s">
        <v>518</v>
      </c>
      <c r="F84" t="s">
        <v>595</v>
      </c>
      <c r="G84" s="56">
        <v>45891</v>
      </c>
      <c r="H84">
        <v>6</v>
      </c>
      <c r="I84" t="s">
        <v>159</v>
      </c>
      <c r="J84" s="56"/>
    </row>
    <row r="85" spans="1:10" x14ac:dyDescent="0.25">
      <c r="A85" t="s">
        <v>594</v>
      </c>
      <c r="B85" t="s">
        <v>114</v>
      </c>
      <c r="C85">
        <v>47005973</v>
      </c>
      <c r="D85" t="s">
        <v>4</v>
      </c>
      <c r="E85" t="s">
        <v>518</v>
      </c>
      <c r="F85" t="s">
        <v>595</v>
      </c>
      <c r="G85" s="56">
        <v>45912</v>
      </c>
      <c r="H85">
        <v>5</v>
      </c>
      <c r="I85" t="s">
        <v>157</v>
      </c>
      <c r="J85" s="56"/>
    </row>
    <row r="86" spans="1:10" x14ac:dyDescent="0.25">
      <c r="A86" t="s">
        <v>598</v>
      </c>
      <c r="B86" t="s">
        <v>219</v>
      </c>
      <c r="C86">
        <v>74122258</v>
      </c>
      <c r="D86" t="s">
        <v>6</v>
      </c>
      <c r="E86" t="s">
        <v>133</v>
      </c>
      <c r="F86" t="s">
        <v>595</v>
      </c>
      <c r="G86" s="56">
        <v>44022</v>
      </c>
      <c r="H86">
        <v>68</v>
      </c>
      <c r="I86" t="s">
        <v>209</v>
      </c>
      <c r="J86" s="56"/>
    </row>
    <row r="87" spans="1:10" x14ac:dyDescent="0.25">
      <c r="A87" t="s">
        <v>598</v>
      </c>
      <c r="B87" t="s">
        <v>248</v>
      </c>
      <c r="C87">
        <v>44265602</v>
      </c>
      <c r="D87" t="s">
        <v>2</v>
      </c>
      <c r="E87" t="s">
        <v>133</v>
      </c>
      <c r="F87" t="s">
        <v>595</v>
      </c>
      <c r="G87" s="56">
        <v>44673</v>
      </c>
      <c r="H87">
        <v>46</v>
      </c>
      <c r="I87" t="s">
        <v>158</v>
      </c>
      <c r="J87" s="56"/>
    </row>
    <row r="88" spans="1:10" x14ac:dyDescent="0.25">
      <c r="A88" t="s">
        <v>598</v>
      </c>
      <c r="B88" t="s">
        <v>226</v>
      </c>
      <c r="C88">
        <v>73049631</v>
      </c>
      <c r="D88" t="s">
        <v>3</v>
      </c>
      <c r="E88" t="s">
        <v>133</v>
      </c>
      <c r="F88" t="s">
        <v>595</v>
      </c>
      <c r="G88" s="56">
        <v>43506</v>
      </c>
      <c r="H88">
        <v>85</v>
      </c>
      <c r="I88" t="s">
        <v>159</v>
      </c>
      <c r="J88" s="56"/>
    </row>
    <row r="89" spans="1:10" x14ac:dyDescent="0.25">
      <c r="A89" t="s">
        <v>598</v>
      </c>
      <c r="B89" t="s">
        <v>214</v>
      </c>
      <c r="C89">
        <v>46872195</v>
      </c>
      <c r="D89" t="s">
        <v>7</v>
      </c>
      <c r="E89" t="s">
        <v>133</v>
      </c>
      <c r="F89" t="s">
        <v>595</v>
      </c>
      <c r="G89" s="56">
        <v>43805</v>
      </c>
      <c r="H89">
        <v>75</v>
      </c>
      <c r="I89" t="s">
        <v>160</v>
      </c>
      <c r="J89" s="56"/>
    </row>
    <row r="90" spans="1:10" x14ac:dyDescent="0.25">
      <c r="A90" t="s">
        <v>598</v>
      </c>
      <c r="B90" t="s">
        <v>224</v>
      </c>
      <c r="C90">
        <v>70984733</v>
      </c>
      <c r="D90" t="s">
        <v>4</v>
      </c>
      <c r="E90" t="s">
        <v>133</v>
      </c>
      <c r="F90" t="s">
        <v>595</v>
      </c>
      <c r="G90" s="56">
        <v>43466</v>
      </c>
      <c r="H90">
        <v>86</v>
      </c>
      <c r="I90" t="s">
        <v>159</v>
      </c>
      <c r="J90" s="56"/>
    </row>
    <row r="91" spans="1:10" x14ac:dyDescent="0.25">
      <c r="A91" t="s">
        <v>598</v>
      </c>
      <c r="B91" t="s">
        <v>212</v>
      </c>
      <c r="C91">
        <v>73613568</v>
      </c>
      <c r="D91" t="s">
        <v>5</v>
      </c>
      <c r="E91" t="s">
        <v>133</v>
      </c>
      <c r="F91" t="s">
        <v>595</v>
      </c>
      <c r="G91" s="56">
        <v>43318</v>
      </c>
      <c r="H91">
        <v>91</v>
      </c>
      <c r="I91" t="s">
        <v>160</v>
      </c>
      <c r="J91" s="56"/>
    </row>
    <row r="92" spans="1:10" x14ac:dyDescent="0.25">
      <c r="A92" t="s">
        <v>598</v>
      </c>
      <c r="B92" t="s">
        <v>58</v>
      </c>
      <c r="C92">
        <v>72519113</v>
      </c>
      <c r="D92" t="s">
        <v>4</v>
      </c>
      <c r="E92" t="s">
        <v>518</v>
      </c>
      <c r="F92" t="s">
        <v>595</v>
      </c>
      <c r="G92" s="56">
        <v>43119</v>
      </c>
      <c r="H92">
        <v>97</v>
      </c>
      <c r="I92" t="s">
        <v>159</v>
      </c>
      <c r="J92" s="56"/>
    </row>
    <row r="93" spans="1:10" x14ac:dyDescent="0.25">
      <c r="A93" t="s">
        <v>598</v>
      </c>
      <c r="B93" t="s">
        <v>49</v>
      </c>
      <c r="C93">
        <v>40702064</v>
      </c>
      <c r="D93" t="s">
        <v>2</v>
      </c>
      <c r="E93" t="s">
        <v>518</v>
      </c>
      <c r="F93" t="s">
        <v>595</v>
      </c>
      <c r="G93" s="56">
        <v>43313</v>
      </c>
      <c r="H93">
        <v>91</v>
      </c>
      <c r="I93" t="s">
        <v>158</v>
      </c>
      <c r="J93" s="56"/>
    </row>
    <row r="94" spans="1:10" x14ac:dyDescent="0.25">
      <c r="A94" t="s">
        <v>598</v>
      </c>
      <c r="B94" t="s">
        <v>23</v>
      </c>
      <c r="C94">
        <v>72413556</v>
      </c>
      <c r="D94" t="s">
        <v>3</v>
      </c>
      <c r="E94" t="s">
        <v>518</v>
      </c>
      <c r="F94" t="s">
        <v>595</v>
      </c>
      <c r="G94" s="56">
        <v>44109</v>
      </c>
      <c r="H94">
        <v>65</v>
      </c>
      <c r="I94" t="s">
        <v>159</v>
      </c>
      <c r="J94" s="56"/>
    </row>
    <row r="95" spans="1:10" x14ac:dyDescent="0.25">
      <c r="A95" t="s">
        <v>598</v>
      </c>
      <c r="B95" t="s">
        <v>26</v>
      </c>
      <c r="C95">
        <v>41005089</v>
      </c>
      <c r="D95" t="s">
        <v>6</v>
      </c>
      <c r="E95" t="s">
        <v>518</v>
      </c>
      <c r="F95" t="s">
        <v>595</v>
      </c>
      <c r="G95" s="56">
        <v>44257</v>
      </c>
      <c r="H95">
        <v>60</v>
      </c>
      <c r="I95" t="s">
        <v>161</v>
      </c>
      <c r="J95" s="56"/>
    </row>
    <row r="96" spans="1:10" x14ac:dyDescent="0.25">
      <c r="A96" t="s">
        <v>598</v>
      </c>
      <c r="B96" t="s">
        <v>69</v>
      </c>
      <c r="C96">
        <v>73930771</v>
      </c>
      <c r="D96" t="s">
        <v>3</v>
      </c>
      <c r="E96" t="s">
        <v>518</v>
      </c>
      <c r="F96" t="s">
        <v>595</v>
      </c>
      <c r="G96" s="56">
        <v>44459</v>
      </c>
      <c r="H96">
        <v>53</v>
      </c>
      <c r="I96" t="s">
        <v>159</v>
      </c>
      <c r="J96" s="56"/>
    </row>
    <row r="97" spans="1:10" x14ac:dyDescent="0.25">
      <c r="A97" t="s">
        <v>598</v>
      </c>
      <c r="B97" t="s">
        <v>74</v>
      </c>
      <c r="C97">
        <v>70135127</v>
      </c>
      <c r="D97" t="s">
        <v>7</v>
      </c>
      <c r="E97" t="s">
        <v>597</v>
      </c>
      <c r="F97" t="s">
        <v>595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598</v>
      </c>
      <c r="B98" t="s">
        <v>19</v>
      </c>
      <c r="C98">
        <v>76656128</v>
      </c>
      <c r="D98" t="s">
        <v>6</v>
      </c>
      <c r="E98" t="s">
        <v>518</v>
      </c>
      <c r="F98" t="s">
        <v>595</v>
      </c>
      <c r="G98" s="56">
        <v>44671</v>
      </c>
      <c r="H98">
        <v>46</v>
      </c>
      <c r="I98" t="s">
        <v>161</v>
      </c>
      <c r="J98" s="56"/>
    </row>
    <row r="99" spans="1:10" x14ac:dyDescent="0.25">
      <c r="A99" t="s">
        <v>598</v>
      </c>
      <c r="B99" t="s">
        <v>29</v>
      </c>
      <c r="C99">
        <v>72758956</v>
      </c>
      <c r="D99" t="s">
        <v>5</v>
      </c>
      <c r="E99" t="s">
        <v>518</v>
      </c>
      <c r="F99" t="s">
        <v>595</v>
      </c>
      <c r="G99" s="56">
        <v>44685</v>
      </c>
      <c r="H99">
        <v>46</v>
      </c>
      <c r="I99" t="s">
        <v>160</v>
      </c>
      <c r="J99" s="56"/>
    </row>
    <row r="100" spans="1:10" x14ac:dyDescent="0.25">
      <c r="A100" t="s">
        <v>598</v>
      </c>
      <c r="B100" t="s">
        <v>10</v>
      </c>
      <c r="C100">
        <v>40980108</v>
      </c>
      <c r="D100" t="s">
        <v>4</v>
      </c>
      <c r="E100" t="s">
        <v>518</v>
      </c>
      <c r="F100" t="s">
        <v>595</v>
      </c>
      <c r="G100" s="56">
        <v>44704</v>
      </c>
      <c r="H100">
        <v>45</v>
      </c>
      <c r="I100" t="s">
        <v>159</v>
      </c>
      <c r="J100" s="56"/>
    </row>
    <row r="101" spans="1:10" x14ac:dyDescent="0.25">
      <c r="A101" t="s">
        <v>598</v>
      </c>
      <c r="B101" t="s">
        <v>75</v>
      </c>
      <c r="C101">
        <v>71264767</v>
      </c>
      <c r="D101" t="s">
        <v>4</v>
      </c>
      <c r="E101" t="s">
        <v>518</v>
      </c>
      <c r="F101" t="s">
        <v>595</v>
      </c>
      <c r="G101" s="56">
        <v>44714</v>
      </c>
      <c r="H101">
        <v>45</v>
      </c>
      <c r="I101" t="s">
        <v>159</v>
      </c>
      <c r="J101" s="56"/>
    </row>
    <row r="102" spans="1:10" x14ac:dyDescent="0.25">
      <c r="A102" t="s">
        <v>598</v>
      </c>
      <c r="B102" t="s">
        <v>15</v>
      </c>
      <c r="C102">
        <v>47587400</v>
      </c>
      <c r="D102" t="s">
        <v>2</v>
      </c>
      <c r="E102" t="s">
        <v>518</v>
      </c>
      <c r="F102" t="s">
        <v>595</v>
      </c>
      <c r="G102" s="56">
        <v>44733</v>
      </c>
      <c r="H102">
        <v>44</v>
      </c>
      <c r="I102" t="s">
        <v>158</v>
      </c>
      <c r="J102" s="56"/>
    </row>
    <row r="103" spans="1:10" x14ac:dyDescent="0.25">
      <c r="A103" t="s">
        <v>598</v>
      </c>
      <c r="B103" t="s">
        <v>35</v>
      </c>
      <c r="C103">
        <v>10491198</v>
      </c>
      <c r="D103" t="s">
        <v>6</v>
      </c>
      <c r="E103" t="s">
        <v>518</v>
      </c>
      <c r="F103" t="s">
        <v>595</v>
      </c>
      <c r="G103" s="56">
        <v>44746</v>
      </c>
      <c r="H103">
        <v>44</v>
      </c>
      <c r="I103" t="s">
        <v>161</v>
      </c>
      <c r="J103" s="56"/>
    </row>
    <row r="104" spans="1:10" x14ac:dyDescent="0.25">
      <c r="A104" t="s">
        <v>598</v>
      </c>
      <c r="B104" t="s">
        <v>48</v>
      </c>
      <c r="C104">
        <v>43307898</v>
      </c>
      <c r="D104" t="s">
        <v>2</v>
      </c>
      <c r="E104" t="s">
        <v>518</v>
      </c>
      <c r="F104" t="s">
        <v>595</v>
      </c>
      <c r="G104" s="56">
        <v>44746</v>
      </c>
      <c r="H104">
        <v>44</v>
      </c>
      <c r="I104" t="s">
        <v>158</v>
      </c>
      <c r="J104" s="56"/>
    </row>
    <row r="105" spans="1:10" x14ac:dyDescent="0.25">
      <c r="A105" t="s">
        <v>598</v>
      </c>
      <c r="B105" t="s">
        <v>67</v>
      </c>
      <c r="C105">
        <v>9880053</v>
      </c>
      <c r="D105" t="s">
        <v>6</v>
      </c>
      <c r="E105" t="s">
        <v>597</v>
      </c>
      <c r="F105" t="s">
        <v>595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598</v>
      </c>
      <c r="B106" t="s">
        <v>13</v>
      </c>
      <c r="C106">
        <v>72512391</v>
      </c>
      <c r="D106" t="s">
        <v>3</v>
      </c>
      <c r="E106" t="s">
        <v>518</v>
      </c>
      <c r="F106" t="s">
        <v>595</v>
      </c>
      <c r="G106" s="56">
        <v>44809</v>
      </c>
      <c r="H106">
        <v>42</v>
      </c>
      <c r="I106" t="s">
        <v>159</v>
      </c>
      <c r="J106" s="56"/>
    </row>
    <row r="107" spans="1:10" x14ac:dyDescent="0.25">
      <c r="A107" t="s">
        <v>598</v>
      </c>
      <c r="B107" t="s">
        <v>76</v>
      </c>
      <c r="C107">
        <v>60914051</v>
      </c>
      <c r="D107" t="s">
        <v>3</v>
      </c>
      <c r="E107" t="s">
        <v>518</v>
      </c>
      <c r="F107" t="s">
        <v>595</v>
      </c>
      <c r="G107" s="56">
        <v>44817</v>
      </c>
      <c r="H107">
        <v>41</v>
      </c>
      <c r="I107" t="s">
        <v>159</v>
      </c>
      <c r="J107" s="56"/>
    </row>
    <row r="108" spans="1:10" x14ac:dyDescent="0.25">
      <c r="A108" t="s">
        <v>598</v>
      </c>
      <c r="B108" t="s">
        <v>25</v>
      </c>
      <c r="C108">
        <v>72373931</v>
      </c>
      <c r="D108" t="s">
        <v>2</v>
      </c>
      <c r="E108" t="s">
        <v>517</v>
      </c>
      <c r="F108" t="s">
        <v>595</v>
      </c>
      <c r="G108" s="56">
        <v>44818</v>
      </c>
      <c r="H108">
        <v>41</v>
      </c>
      <c r="I108" t="s">
        <v>158</v>
      </c>
      <c r="J108" s="56"/>
    </row>
    <row r="109" spans="1:10" x14ac:dyDescent="0.25">
      <c r="A109" t="s">
        <v>598</v>
      </c>
      <c r="B109" t="s">
        <v>21</v>
      </c>
      <c r="C109">
        <v>44042880</v>
      </c>
      <c r="D109" t="s">
        <v>2</v>
      </c>
      <c r="E109" t="s">
        <v>518</v>
      </c>
      <c r="F109" t="s">
        <v>595</v>
      </c>
      <c r="G109" s="56">
        <v>44824</v>
      </c>
      <c r="H109">
        <v>41</v>
      </c>
      <c r="I109" t="s">
        <v>158</v>
      </c>
      <c r="J109" s="56"/>
    </row>
    <row r="110" spans="1:10" x14ac:dyDescent="0.25">
      <c r="A110" t="s">
        <v>598</v>
      </c>
      <c r="B110" t="s">
        <v>77</v>
      </c>
      <c r="C110">
        <v>42251780</v>
      </c>
      <c r="D110" t="s">
        <v>5</v>
      </c>
      <c r="E110" t="s">
        <v>518</v>
      </c>
      <c r="F110" t="s">
        <v>595</v>
      </c>
      <c r="G110" s="56">
        <v>44838</v>
      </c>
      <c r="H110">
        <v>41</v>
      </c>
      <c r="I110" t="s">
        <v>160</v>
      </c>
      <c r="J110" s="56"/>
    </row>
    <row r="111" spans="1:10" x14ac:dyDescent="0.25">
      <c r="A111" t="s">
        <v>598</v>
      </c>
      <c r="B111" t="s">
        <v>33</v>
      </c>
      <c r="C111">
        <v>80689573</v>
      </c>
      <c r="D111" t="s">
        <v>2</v>
      </c>
      <c r="E111" t="s">
        <v>517</v>
      </c>
      <c r="F111" t="s">
        <v>595</v>
      </c>
      <c r="G111" s="56">
        <v>44867</v>
      </c>
      <c r="H111">
        <v>40</v>
      </c>
      <c r="I111" t="s">
        <v>158</v>
      </c>
      <c r="J111" s="56"/>
    </row>
    <row r="112" spans="1:10" x14ac:dyDescent="0.25">
      <c r="A112" t="s">
        <v>598</v>
      </c>
      <c r="B112" t="s">
        <v>12</v>
      </c>
      <c r="C112">
        <v>45262585</v>
      </c>
      <c r="D112" t="s">
        <v>2</v>
      </c>
      <c r="E112" t="s">
        <v>517</v>
      </c>
      <c r="F112" t="s">
        <v>595</v>
      </c>
      <c r="G112" s="56">
        <v>44868</v>
      </c>
      <c r="H112">
        <v>40</v>
      </c>
      <c r="I112" t="s">
        <v>158</v>
      </c>
      <c r="J112" s="56"/>
    </row>
    <row r="113" spans="1:10" x14ac:dyDescent="0.25">
      <c r="A113" t="s">
        <v>598</v>
      </c>
      <c r="B113" t="s">
        <v>17</v>
      </c>
      <c r="C113">
        <v>70876605</v>
      </c>
      <c r="D113" t="s">
        <v>3</v>
      </c>
      <c r="E113" t="s">
        <v>518</v>
      </c>
      <c r="F113" t="s">
        <v>595</v>
      </c>
      <c r="G113" s="56">
        <v>44886</v>
      </c>
      <c r="H113">
        <v>39</v>
      </c>
      <c r="I113" t="s">
        <v>159</v>
      </c>
      <c r="J113" s="56"/>
    </row>
    <row r="114" spans="1:10" x14ac:dyDescent="0.25">
      <c r="A114" t="s">
        <v>598</v>
      </c>
      <c r="B114" t="s">
        <v>61</v>
      </c>
      <c r="C114">
        <v>44001162</v>
      </c>
      <c r="D114" t="s">
        <v>6</v>
      </c>
      <c r="E114" t="s">
        <v>518</v>
      </c>
      <c r="F114" t="s">
        <v>595</v>
      </c>
      <c r="G114" s="56">
        <v>44907</v>
      </c>
      <c r="H114">
        <v>38</v>
      </c>
      <c r="I114" t="s">
        <v>161</v>
      </c>
      <c r="J114" s="56"/>
    </row>
    <row r="115" spans="1:10" x14ac:dyDescent="0.25">
      <c r="A115" t="s">
        <v>598</v>
      </c>
      <c r="B115" t="s">
        <v>36</v>
      </c>
      <c r="C115">
        <v>76917479</v>
      </c>
      <c r="D115" t="s">
        <v>5</v>
      </c>
      <c r="E115" t="s">
        <v>597</v>
      </c>
      <c r="F115" t="s">
        <v>595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598</v>
      </c>
      <c r="B116" t="s">
        <v>78</v>
      </c>
      <c r="C116">
        <v>10706451</v>
      </c>
      <c r="D116" t="s">
        <v>6</v>
      </c>
      <c r="E116" t="s">
        <v>518</v>
      </c>
      <c r="F116" t="s">
        <v>595</v>
      </c>
      <c r="G116" s="56">
        <v>44943</v>
      </c>
      <c r="H116">
        <v>37</v>
      </c>
      <c r="I116" t="s">
        <v>161</v>
      </c>
      <c r="J116" s="56"/>
    </row>
    <row r="117" spans="1:10" x14ac:dyDescent="0.25">
      <c r="A117" t="s">
        <v>598</v>
      </c>
      <c r="B117" t="s">
        <v>70</v>
      </c>
      <c r="C117">
        <v>47982910</v>
      </c>
      <c r="D117" t="s">
        <v>7</v>
      </c>
      <c r="E117" t="s">
        <v>597</v>
      </c>
      <c r="F117" t="s">
        <v>595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598</v>
      </c>
      <c r="B118" t="s">
        <v>65</v>
      </c>
      <c r="C118">
        <v>47659267</v>
      </c>
      <c r="D118" t="s">
        <v>6</v>
      </c>
      <c r="E118" t="s">
        <v>518</v>
      </c>
      <c r="F118" t="s">
        <v>595</v>
      </c>
      <c r="G118" s="56">
        <v>45019</v>
      </c>
      <c r="H118">
        <v>35</v>
      </c>
      <c r="I118" t="s">
        <v>161</v>
      </c>
      <c r="J118" s="56"/>
    </row>
    <row r="119" spans="1:10" x14ac:dyDescent="0.25">
      <c r="A119" t="s">
        <v>598</v>
      </c>
      <c r="B119" t="s">
        <v>37</v>
      </c>
      <c r="C119">
        <v>70988976</v>
      </c>
      <c r="D119" t="s">
        <v>4</v>
      </c>
      <c r="E119" t="s">
        <v>518</v>
      </c>
      <c r="F119" t="s">
        <v>595</v>
      </c>
      <c r="G119" s="56">
        <v>45112</v>
      </c>
      <c r="H119">
        <v>32</v>
      </c>
      <c r="I119" t="s">
        <v>159</v>
      </c>
      <c r="J119" s="56"/>
    </row>
    <row r="120" spans="1:10" x14ac:dyDescent="0.25">
      <c r="A120" t="s">
        <v>598</v>
      </c>
      <c r="B120" t="s">
        <v>18</v>
      </c>
      <c r="C120">
        <v>76214436</v>
      </c>
      <c r="D120" t="s">
        <v>6</v>
      </c>
      <c r="E120" t="s">
        <v>518</v>
      </c>
      <c r="F120" t="s">
        <v>595</v>
      </c>
      <c r="G120" s="56">
        <v>45132</v>
      </c>
      <c r="H120">
        <v>31</v>
      </c>
      <c r="I120" t="s">
        <v>161</v>
      </c>
      <c r="J120" s="56"/>
    </row>
    <row r="121" spans="1:10" x14ac:dyDescent="0.25">
      <c r="A121" t="s">
        <v>598</v>
      </c>
      <c r="B121" t="s">
        <v>73</v>
      </c>
      <c r="C121">
        <v>40318129</v>
      </c>
      <c r="D121" t="s">
        <v>2</v>
      </c>
      <c r="E121" t="s">
        <v>518</v>
      </c>
      <c r="F121" t="s">
        <v>595</v>
      </c>
      <c r="G121" s="56">
        <v>45141</v>
      </c>
      <c r="H121">
        <v>31</v>
      </c>
      <c r="I121" t="s">
        <v>158</v>
      </c>
      <c r="J121" s="56"/>
    </row>
    <row r="122" spans="1:10" x14ac:dyDescent="0.25">
      <c r="A122" t="s">
        <v>598</v>
      </c>
      <c r="B122" t="s">
        <v>20</v>
      </c>
      <c r="C122">
        <v>48307357</v>
      </c>
      <c r="D122" t="s">
        <v>7</v>
      </c>
      <c r="E122" t="s">
        <v>597</v>
      </c>
      <c r="F122" t="s">
        <v>595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598</v>
      </c>
      <c r="B123" t="s">
        <v>79</v>
      </c>
      <c r="C123">
        <v>71262377</v>
      </c>
      <c r="D123" t="s">
        <v>5</v>
      </c>
      <c r="E123" t="s">
        <v>518</v>
      </c>
      <c r="F123" t="s">
        <v>595</v>
      </c>
      <c r="G123" s="56">
        <v>45145</v>
      </c>
      <c r="H123">
        <v>31</v>
      </c>
      <c r="I123" t="s">
        <v>160</v>
      </c>
      <c r="J123" s="56"/>
    </row>
    <row r="124" spans="1:10" x14ac:dyDescent="0.25">
      <c r="A124" t="s">
        <v>598</v>
      </c>
      <c r="B124" t="s">
        <v>34</v>
      </c>
      <c r="C124">
        <v>76824571</v>
      </c>
      <c r="D124" t="s">
        <v>2</v>
      </c>
      <c r="E124" t="s">
        <v>517</v>
      </c>
      <c r="F124" t="s">
        <v>595</v>
      </c>
      <c r="G124" s="56">
        <v>45173</v>
      </c>
      <c r="H124">
        <v>30</v>
      </c>
      <c r="I124" t="s">
        <v>158</v>
      </c>
      <c r="J124" s="56"/>
    </row>
    <row r="125" spans="1:10" x14ac:dyDescent="0.25">
      <c r="A125" t="s">
        <v>598</v>
      </c>
      <c r="B125" t="s">
        <v>80</v>
      </c>
      <c r="C125">
        <v>45084594</v>
      </c>
      <c r="D125" t="s">
        <v>4</v>
      </c>
      <c r="E125" t="s">
        <v>518</v>
      </c>
      <c r="F125" t="s">
        <v>595</v>
      </c>
      <c r="G125" s="56">
        <v>45281</v>
      </c>
      <c r="H125">
        <v>26</v>
      </c>
      <c r="I125" t="s">
        <v>159</v>
      </c>
      <c r="J125" s="56"/>
    </row>
    <row r="126" spans="1:10" x14ac:dyDescent="0.25">
      <c r="A126" t="s">
        <v>598</v>
      </c>
      <c r="B126" t="s">
        <v>22</v>
      </c>
      <c r="C126">
        <v>70551168</v>
      </c>
      <c r="D126" t="s">
        <v>3</v>
      </c>
      <c r="E126" t="s">
        <v>518</v>
      </c>
      <c r="F126" t="s">
        <v>595</v>
      </c>
      <c r="G126" s="56">
        <v>45295</v>
      </c>
      <c r="H126">
        <v>26</v>
      </c>
      <c r="I126" t="s">
        <v>159</v>
      </c>
      <c r="J126" s="56"/>
    </row>
    <row r="127" spans="1:10" x14ac:dyDescent="0.25">
      <c r="A127" t="s">
        <v>598</v>
      </c>
      <c r="B127" t="s">
        <v>41</v>
      </c>
      <c r="C127">
        <v>46461021</v>
      </c>
      <c r="D127" t="s">
        <v>6</v>
      </c>
      <c r="E127" t="s">
        <v>518</v>
      </c>
      <c r="F127" t="s">
        <v>595</v>
      </c>
      <c r="G127" s="56">
        <v>45302</v>
      </c>
      <c r="H127">
        <v>26</v>
      </c>
      <c r="I127" t="s">
        <v>161</v>
      </c>
      <c r="J127" s="56"/>
    </row>
    <row r="128" spans="1:10" x14ac:dyDescent="0.25">
      <c r="A128" t="s">
        <v>598</v>
      </c>
      <c r="B128" t="s">
        <v>24</v>
      </c>
      <c r="C128">
        <v>43614775</v>
      </c>
      <c r="D128" t="s">
        <v>6</v>
      </c>
      <c r="E128" t="s">
        <v>518</v>
      </c>
      <c r="F128" t="s">
        <v>595</v>
      </c>
      <c r="G128" s="56">
        <v>45334</v>
      </c>
      <c r="H128">
        <v>24</v>
      </c>
      <c r="I128" t="s">
        <v>161</v>
      </c>
      <c r="J128" s="56"/>
    </row>
    <row r="129" spans="1:10" x14ac:dyDescent="0.25">
      <c r="A129" t="s">
        <v>598</v>
      </c>
      <c r="B129" t="s">
        <v>31</v>
      </c>
      <c r="C129">
        <v>75882265</v>
      </c>
      <c r="D129" t="s">
        <v>3</v>
      </c>
      <c r="E129" t="s">
        <v>518</v>
      </c>
      <c r="F129" t="s">
        <v>595</v>
      </c>
      <c r="G129" s="56">
        <v>45334</v>
      </c>
      <c r="H129">
        <v>24</v>
      </c>
      <c r="I129" t="s">
        <v>159</v>
      </c>
      <c r="J129" s="56"/>
    </row>
    <row r="130" spans="1:10" x14ac:dyDescent="0.25">
      <c r="A130" t="s">
        <v>598</v>
      </c>
      <c r="B130" t="s">
        <v>16</v>
      </c>
      <c r="C130">
        <v>47029782</v>
      </c>
      <c r="D130" t="s">
        <v>3</v>
      </c>
      <c r="E130" t="s">
        <v>518</v>
      </c>
      <c r="F130" t="s">
        <v>595</v>
      </c>
      <c r="G130" s="56">
        <v>45334</v>
      </c>
      <c r="H130">
        <v>24</v>
      </c>
      <c r="I130" t="s">
        <v>159</v>
      </c>
      <c r="J130" s="56"/>
    </row>
    <row r="131" spans="1:10" x14ac:dyDescent="0.25">
      <c r="A131" t="s">
        <v>598</v>
      </c>
      <c r="B131" t="s">
        <v>59</v>
      </c>
      <c r="C131">
        <v>60870839</v>
      </c>
      <c r="D131" t="s">
        <v>4</v>
      </c>
      <c r="E131" t="s">
        <v>518</v>
      </c>
      <c r="F131" t="s">
        <v>595</v>
      </c>
      <c r="G131" s="56">
        <v>45344</v>
      </c>
      <c r="H131">
        <v>24</v>
      </c>
      <c r="I131" t="s">
        <v>159</v>
      </c>
      <c r="J131" s="56"/>
    </row>
    <row r="132" spans="1:10" x14ac:dyDescent="0.25">
      <c r="A132" t="s">
        <v>598</v>
      </c>
      <c r="B132" t="s">
        <v>68</v>
      </c>
      <c r="C132">
        <v>73257316</v>
      </c>
      <c r="D132" t="s">
        <v>2</v>
      </c>
      <c r="E132" t="s">
        <v>518</v>
      </c>
      <c r="F132" t="s">
        <v>595</v>
      </c>
      <c r="G132" s="56">
        <v>45363</v>
      </c>
      <c r="H132">
        <v>23</v>
      </c>
      <c r="I132" t="s">
        <v>158</v>
      </c>
      <c r="J132" s="56"/>
    </row>
    <row r="133" spans="1:10" x14ac:dyDescent="0.25">
      <c r="A133" t="s">
        <v>598</v>
      </c>
      <c r="B133" t="s">
        <v>11</v>
      </c>
      <c r="C133">
        <v>45139159</v>
      </c>
      <c r="D133" t="s">
        <v>6</v>
      </c>
      <c r="E133" t="s">
        <v>518</v>
      </c>
      <c r="F133" t="s">
        <v>595</v>
      </c>
      <c r="G133" s="56">
        <v>45369</v>
      </c>
      <c r="H133">
        <v>23</v>
      </c>
      <c r="I133" t="s">
        <v>161</v>
      </c>
      <c r="J133" s="56"/>
    </row>
    <row r="134" spans="1:10" x14ac:dyDescent="0.25">
      <c r="A134" t="s">
        <v>598</v>
      </c>
      <c r="B134" t="s">
        <v>42</v>
      </c>
      <c r="C134">
        <v>73725129</v>
      </c>
      <c r="D134" t="s">
        <v>2</v>
      </c>
      <c r="E134" t="s">
        <v>518</v>
      </c>
      <c r="F134" t="s">
        <v>595</v>
      </c>
      <c r="G134" s="56">
        <v>45398</v>
      </c>
      <c r="H134">
        <v>22</v>
      </c>
      <c r="I134" t="s">
        <v>158</v>
      </c>
      <c r="J134" s="56"/>
    </row>
    <row r="135" spans="1:10" x14ac:dyDescent="0.25">
      <c r="A135" t="s">
        <v>598</v>
      </c>
      <c r="B135" t="s">
        <v>40</v>
      </c>
      <c r="C135">
        <v>60976055</v>
      </c>
      <c r="D135" t="s">
        <v>4</v>
      </c>
      <c r="E135" t="s">
        <v>518</v>
      </c>
      <c r="F135" t="s">
        <v>595</v>
      </c>
      <c r="G135" s="56">
        <v>45433</v>
      </c>
      <c r="H135">
        <v>21</v>
      </c>
      <c r="I135" t="s">
        <v>159</v>
      </c>
      <c r="J135" s="56"/>
    </row>
    <row r="136" spans="1:10" x14ac:dyDescent="0.25">
      <c r="A136" t="s">
        <v>598</v>
      </c>
      <c r="B136" t="s">
        <v>81</v>
      </c>
      <c r="C136">
        <v>72716299</v>
      </c>
      <c r="D136" t="s">
        <v>6</v>
      </c>
      <c r="E136" t="s">
        <v>518</v>
      </c>
      <c r="F136" t="s">
        <v>595</v>
      </c>
      <c r="G136" s="56">
        <v>45511</v>
      </c>
      <c r="H136">
        <v>19</v>
      </c>
      <c r="I136" t="s">
        <v>161</v>
      </c>
      <c r="J136" s="56"/>
    </row>
    <row r="137" spans="1:10" x14ac:dyDescent="0.25">
      <c r="A137" t="s">
        <v>598</v>
      </c>
      <c r="B137" t="s">
        <v>32</v>
      </c>
      <c r="C137">
        <v>48584670</v>
      </c>
      <c r="D137" t="s">
        <v>3</v>
      </c>
      <c r="E137" t="s">
        <v>518</v>
      </c>
      <c r="F137" t="s">
        <v>595</v>
      </c>
      <c r="G137" s="56">
        <v>45526</v>
      </c>
      <c r="H137">
        <v>18</v>
      </c>
      <c r="I137" t="s">
        <v>159</v>
      </c>
      <c r="J137" s="56"/>
    </row>
    <row r="138" spans="1:10" x14ac:dyDescent="0.25">
      <c r="A138" t="s">
        <v>598</v>
      </c>
      <c r="B138" t="s">
        <v>57</v>
      </c>
      <c r="C138">
        <v>74996029</v>
      </c>
      <c r="D138" t="s">
        <v>4</v>
      </c>
      <c r="E138" t="s">
        <v>518</v>
      </c>
      <c r="F138" t="s">
        <v>595</v>
      </c>
      <c r="G138" s="56">
        <v>45589</v>
      </c>
      <c r="H138">
        <v>16</v>
      </c>
      <c r="I138" t="s">
        <v>159</v>
      </c>
      <c r="J138" s="56"/>
    </row>
    <row r="139" spans="1:10" x14ac:dyDescent="0.25">
      <c r="A139" t="s">
        <v>598</v>
      </c>
      <c r="B139" t="s">
        <v>27</v>
      </c>
      <c r="C139">
        <v>73203775</v>
      </c>
      <c r="D139" t="s">
        <v>2</v>
      </c>
      <c r="E139" t="s">
        <v>597</v>
      </c>
      <c r="F139" t="s">
        <v>595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598</v>
      </c>
      <c r="B140" t="s">
        <v>51</v>
      </c>
      <c r="C140">
        <v>76089925</v>
      </c>
      <c r="D140" t="s">
        <v>7</v>
      </c>
      <c r="E140" t="s">
        <v>518</v>
      </c>
      <c r="F140" t="s">
        <v>595</v>
      </c>
      <c r="G140" s="56">
        <v>45678</v>
      </c>
      <c r="H140">
        <v>13</v>
      </c>
      <c r="I140" t="s">
        <v>160</v>
      </c>
      <c r="J140" s="56"/>
    </row>
    <row r="141" spans="1:10" x14ac:dyDescent="0.25">
      <c r="A141" t="s">
        <v>598</v>
      </c>
      <c r="B141" t="s">
        <v>72</v>
      </c>
      <c r="C141">
        <v>47690367</v>
      </c>
      <c r="D141" t="s">
        <v>7</v>
      </c>
      <c r="E141" t="s">
        <v>518</v>
      </c>
      <c r="F141" t="s">
        <v>595</v>
      </c>
      <c r="G141" s="56">
        <v>45691</v>
      </c>
      <c r="H141">
        <v>13</v>
      </c>
      <c r="I141" t="s">
        <v>160</v>
      </c>
      <c r="J141" s="56"/>
    </row>
    <row r="142" spans="1:10" x14ac:dyDescent="0.25">
      <c r="A142" t="s">
        <v>598</v>
      </c>
      <c r="B142" t="s">
        <v>53</v>
      </c>
      <c r="C142">
        <v>46587976</v>
      </c>
      <c r="D142" t="s">
        <v>7</v>
      </c>
      <c r="E142" t="s">
        <v>597</v>
      </c>
      <c r="F142" t="s">
        <v>595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598</v>
      </c>
      <c r="B143" t="s">
        <v>105</v>
      </c>
      <c r="C143">
        <v>48344037</v>
      </c>
      <c r="D143" t="s">
        <v>4</v>
      </c>
      <c r="E143" t="s">
        <v>597</v>
      </c>
      <c r="F143" t="s">
        <v>595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598</v>
      </c>
      <c r="B144" t="s">
        <v>50</v>
      </c>
      <c r="C144">
        <v>72733809</v>
      </c>
      <c r="D144" t="s">
        <v>6</v>
      </c>
      <c r="E144" t="s">
        <v>518</v>
      </c>
      <c r="F144" t="s">
        <v>595</v>
      </c>
      <c r="G144" s="56">
        <v>45789</v>
      </c>
      <c r="H144">
        <v>9</v>
      </c>
      <c r="I144" t="s">
        <v>161</v>
      </c>
      <c r="J144" s="56"/>
    </row>
    <row r="145" spans="1:10" x14ac:dyDescent="0.25">
      <c r="A145" t="s">
        <v>598</v>
      </c>
      <c r="B145" t="s">
        <v>43</v>
      </c>
      <c r="C145">
        <v>74799185</v>
      </c>
      <c r="D145" t="s">
        <v>2</v>
      </c>
      <c r="E145" t="s">
        <v>597</v>
      </c>
      <c r="F145" t="s">
        <v>595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598</v>
      </c>
      <c r="B146" t="s">
        <v>44</v>
      </c>
      <c r="C146">
        <v>45468175</v>
      </c>
      <c r="D146" t="s">
        <v>3</v>
      </c>
      <c r="E146" t="s">
        <v>518</v>
      </c>
      <c r="F146" t="s">
        <v>595</v>
      </c>
      <c r="G146" s="56">
        <v>45799</v>
      </c>
      <c r="H146">
        <v>9</v>
      </c>
      <c r="I146" t="s">
        <v>159</v>
      </c>
      <c r="J146" s="56"/>
    </row>
    <row r="147" spans="1:10" x14ac:dyDescent="0.25">
      <c r="A147" t="s">
        <v>598</v>
      </c>
      <c r="B147" t="s">
        <v>38</v>
      </c>
      <c r="C147">
        <v>47411966</v>
      </c>
      <c r="D147" t="s">
        <v>2</v>
      </c>
      <c r="E147" t="s">
        <v>518</v>
      </c>
      <c r="F147" t="s">
        <v>595</v>
      </c>
      <c r="G147" s="56">
        <v>45800</v>
      </c>
      <c r="H147">
        <v>9</v>
      </c>
      <c r="I147" t="s">
        <v>158</v>
      </c>
      <c r="J147" s="56"/>
    </row>
    <row r="148" spans="1:10" x14ac:dyDescent="0.25">
      <c r="A148" t="s">
        <v>598</v>
      </c>
      <c r="B148" t="s">
        <v>55</v>
      </c>
      <c r="C148">
        <v>45119892</v>
      </c>
      <c r="D148" t="s">
        <v>5</v>
      </c>
      <c r="E148" t="s">
        <v>518</v>
      </c>
      <c r="F148" t="s">
        <v>595</v>
      </c>
      <c r="G148" s="56">
        <v>45813</v>
      </c>
      <c r="H148">
        <v>9</v>
      </c>
      <c r="I148" t="s">
        <v>160</v>
      </c>
      <c r="J148" s="56"/>
    </row>
    <row r="149" spans="1:10" x14ac:dyDescent="0.25">
      <c r="A149" t="s">
        <v>598</v>
      </c>
      <c r="B149" t="s">
        <v>54</v>
      </c>
      <c r="C149">
        <v>70155949</v>
      </c>
      <c r="D149" t="s">
        <v>5</v>
      </c>
      <c r="E149" t="s">
        <v>597</v>
      </c>
      <c r="F149" t="s">
        <v>595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598</v>
      </c>
      <c r="B150" t="s">
        <v>60</v>
      </c>
      <c r="C150">
        <v>72839865</v>
      </c>
      <c r="D150" t="s">
        <v>4</v>
      </c>
      <c r="E150" t="s">
        <v>518</v>
      </c>
      <c r="F150" t="s">
        <v>595</v>
      </c>
      <c r="G150" s="56">
        <v>45854</v>
      </c>
      <c r="H150">
        <v>7</v>
      </c>
      <c r="I150" t="s">
        <v>159</v>
      </c>
      <c r="J150" s="56"/>
    </row>
    <row r="151" spans="1:10" x14ac:dyDescent="0.25">
      <c r="A151" t="s">
        <v>598</v>
      </c>
      <c r="B151" t="s">
        <v>93</v>
      </c>
      <c r="C151">
        <v>47322258</v>
      </c>
      <c r="D151" t="s">
        <v>4</v>
      </c>
      <c r="E151" t="s">
        <v>518</v>
      </c>
      <c r="F151" t="s">
        <v>595</v>
      </c>
      <c r="G151" s="56">
        <v>45880</v>
      </c>
      <c r="H151">
        <v>7</v>
      </c>
      <c r="I151" t="s">
        <v>159</v>
      </c>
      <c r="J151" s="56"/>
    </row>
    <row r="152" spans="1:10" x14ac:dyDescent="0.25">
      <c r="A152" t="s">
        <v>598</v>
      </c>
      <c r="B152" t="s">
        <v>92</v>
      </c>
      <c r="C152">
        <v>73040632</v>
      </c>
      <c r="D152" t="s">
        <v>7</v>
      </c>
      <c r="E152" t="s">
        <v>597</v>
      </c>
      <c r="F152" t="s">
        <v>595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598</v>
      </c>
      <c r="B153" t="s">
        <v>96</v>
      </c>
      <c r="C153">
        <v>46793103</v>
      </c>
      <c r="D153" t="s">
        <v>5</v>
      </c>
      <c r="E153" t="s">
        <v>518</v>
      </c>
      <c r="F153" t="s">
        <v>595</v>
      </c>
      <c r="G153" s="56">
        <v>45882</v>
      </c>
      <c r="H153">
        <v>6</v>
      </c>
      <c r="I153" t="s">
        <v>160</v>
      </c>
      <c r="J153" s="56"/>
    </row>
    <row r="154" spans="1:10" x14ac:dyDescent="0.25">
      <c r="A154" t="s">
        <v>598</v>
      </c>
      <c r="B154" t="s">
        <v>97</v>
      </c>
      <c r="C154">
        <v>74602206</v>
      </c>
      <c r="D154" t="s">
        <v>3</v>
      </c>
      <c r="E154" t="s">
        <v>518</v>
      </c>
      <c r="F154" t="s">
        <v>595</v>
      </c>
      <c r="G154" s="56">
        <v>45884</v>
      </c>
      <c r="H154">
        <v>6</v>
      </c>
      <c r="I154" t="s">
        <v>159</v>
      </c>
      <c r="J154" s="56"/>
    </row>
    <row r="155" spans="1:10" x14ac:dyDescent="0.25">
      <c r="A155" t="s">
        <v>598</v>
      </c>
      <c r="B155" t="s">
        <v>100</v>
      </c>
      <c r="C155">
        <v>41285428</v>
      </c>
      <c r="D155" t="s">
        <v>5</v>
      </c>
      <c r="E155" t="s">
        <v>597</v>
      </c>
      <c r="F155" t="s">
        <v>595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598</v>
      </c>
      <c r="B156" t="s">
        <v>114</v>
      </c>
      <c r="C156">
        <v>47005973</v>
      </c>
      <c r="D156" t="s">
        <v>7</v>
      </c>
      <c r="E156" t="s">
        <v>518</v>
      </c>
      <c r="F156" t="s">
        <v>595</v>
      </c>
      <c r="G156" s="56">
        <v>45912</v>
      </c>
      <c r="H156">
        <v>5</v>
      </c>
      <c r="I156" t="s">
        <v>160</v>
      </c>
      <c r="J156" s="56"/>
    </row>
    <row r="157" spans="1:10" x14ac:dyDescent="0.25">
      <c r="A157" t="s">
        <v>598</v>
      </c>
      <c r="B157" t="s">
        <v>122</v>
      </c>
      <c r="C157">
        <v>76586998</v>
      </c>
      <c r="D157" t="s">
        <v>7</v>
      </c>
      <c r="E157" t="s">
        <v>518</v>
      </c>
      <c r="F157" t="s">
        <v>595</v>
      </c>
      <c r="G157" s="56">
        <v>45971</v>
      </c>
      <c r="H157">
        <v>4</v>
      </c>
      <c r="I157" t="s">
        <v>160</v>
      </c>
      <c r="J157" s="56"/>
    </row>
    <row r="158" spans="1:10" x14ac:dyDescent="0.25">
      <c r="A158" t="s">
        <v>599</v>
      </c>
      <c r="B158" t="s">
        <v>219</v>
      </c>
      <c r="C158">
        <v>74122258</v>
      </c>
      <c r="D158" t="s">
        <v>6</v>
      </c>
      <c r="E158" t="s">
        <v>133</v>
      </c>
      <c r="F158" t="s">
        <v>595</v>
      </c>
      <c r="G158" s="56">
        <v>44022</v>
      </c>
      <c r="H158">
        <v>68</v>
      </c>
      <c r="I158" t="s">
        <v>209</v>
      </c>
      <c r="J158" s="56"/>
    </row>
    <row r="159" spans="1:10" x14ac:dyDescent="0.25">
      <c r="A159" t="s">
        <v>599</v>
      </c>
      <c r="B159" t="s">
        <v>248</v>
      </c>
      <c r="C159">
        <v>44265602</v>
      </c>
      <c r="D159" t="s">
        <v>2</v>
      </c>
      <c r="E159" t="s">
        <v>133</v>
      </c>
      <c r="F159" t="s">
        <v>595</v>
      </c>
      <c r="G159" s="56">
        <v>44673</v>
      </c>
      <c r="H159">
        <v>46</v>
      </c>
      <c r="I159" t="s">
        <v>209</v>
      </c>
      <c r="J159" s="56"/>
    </row>
    <row r="160" spans="1:10" x14ac:dyDescent="0.25">
      <c r="A160" t="s">
        <v>599</v>
      </c>
      <c r="B160" t="s">
        <v>226</v>
      </c>
      <c r="C160">
        <v>73049631</v>
      </c>
      <c r="D160" t="s">
        <v>3</v>
      </c>
      <c r="E160" t="s">
        <v>133</v>
      </c>
      <c r="F160" t="s">
        <v>595</v>
      </c>
      <c r="G160" s="56">
        <v>43506</v>
      </c>
      <c r="H160">
        <v>85</v>
      </c>
      <c r="I160" t="s">
        <v>159</v>
      </c>
      <c r="J160" s="56"/>
    </row>
    <row r="161" spans="1:10" x14ac:dyDescent="0.25">
      <c r="A161" t="s">
        <v>599</v>
      </c>
      <c r="B161" t="s">
        <v>214</v>
      </c>
      <c r="C161">
        <v>46872195</v>
      </c>
      <c r="D161" t="s">
        <v>7</v>
      </c>
      <c r="E161" t="s">
        <v>133</v>
      </c>
      <c r="F161" t="s">
        <v>595</v>
      </c>
      <c r="G161" s="56">
        <v>43805</v>
      </c>
      <c r="H161">
        <v>75</v>
      </c>
      <c r="I161" t="s">
        <v>175</v>
      </c>
      <c r="J161" s="56"/>
    </row>
    <row r="162" spans="1:10" x14ac:dyDescent="0.25">
      <c r="A162" t="s">
        <v>599</v>
      </c>
      <c r="B162" t="s">
        <v>224</v>
      </c>
      <c r="C162">
        <v>70984733</v>
      </c>
      <c r="D162" t="s">
        <v>4</v>
      </c>
      <c r="E162" t="s">
        <v>133</v>
      </c>
      <c r="F162" t="s">
        <v>595</v>
      </c>
      <c r="G162" s="56">
        <v>43466</v>
      </c>
      <c r="H162">
        <v>86</v>
      </c>
      <c r="I162" t="s">
        <v>159</v>
      </c>
      <c r="J162" s="56"/>
    </row>
    <row r="163" spans="1:10" x14ac:dyDescent="0.25">
      <c r="A163" t="s">
        <v>599</v>
      </c>
      <c r="B163" t="s">
        <v>29</v>
      </c>
      <c r="C163">
        <v>72758956</v>
      </c>
      <c r="D163" t="s">
        <v>2</v>
      </c>
      <c r="E163" t="s">
        <v>518</v>
      </c>
      <c r="F163" t="s">
        <v>595</v>
      </c>
      <c r="G163" s="56">
        <v>44685</v>
      </c>
      <c r="H163">
        <v>46</v>
      </c>
      <c r="I163" t="s">
        <v>204</v>
      </c>
      <c r="J163" s="56"/>
    </row>
    <row r="164" spans="1:10" x14ac:dyDescent="0.25">
      <c r="A164" t="s">
        <v>599</v>
      </c>
      <c r="B164" t="s">
        <v>15</v>
      </c>
      <c r="C164">
        <v>47587400</v>
      </c>
      <c r="D164" t="s">
        <v>2</v>
      </c>
      <c r="E164" t="s">
        <v>518</v>
      </c>
      <c r="F164" t="s">
        <v>595</v>
      </c>
      <c r="G164" s="56">
        <v>44733</v>
      </c>
      <c r="H164">
        <v>44</v>
      </c>
      <c r="I164" t="s">
        <v>204</v>
      </c>
      <c r="J164" s="56"/>
    </row>
    <row r="165" spans="1:10" x14ac:dyDescent="0.25">
      <c r="A165" t="s">
        <v>599</v>
      </c>
      <c r="B165" t="s">
        <v>76</v>
      </c>
      <c r="C165">
        <v>60914051</v>
      </c>
      <c r="D165" t="s">
        <v>2</v>
      </c>
      <c r="E165" t="s">
        <v>518</v>
      </c>
      <c r="F165" t="s">
        <v>595</v>
      </c>
      <c r="G165" s="56">
        <v>44817</v>
      </c>
      <c r="H165">
        <v>41</v>
      </c>
      <c r="I165" t="s">
        <v>204</v>
      </c>
      <c r="J165" s="56"/>
    </row>
    <row r="166" spans="1:10" x14ac:dyDescent="0.25">
      <c r="A166" t="s">
        <v>599</v>
      </c>
      <c r="B166" t="s">
        <v>25</v>
      </c>
      <c r="C166">
        <v>72373931</v>
      </c>
      <c r="D166" t="s">
        <v>2</v>
      </c>
      <c r="E166" t="s">
        <v>518</v>
      </c>
      <c r="F166" t="s">
        <v>595</v>
      </c>
      <c r="G166" s="56">
        <v>44818</v>
      </c>
      <c r="H166">
        <v>41</v>
      </c>
      <c r="I166" t="s">
        <v>204</v>
      </c>
      <c r="J166" s="56"/>
    </row>
    <row r="167" spans="1:10" x14ac:dyDescent="0.25">
      <c r="A167" t="s">
        <v>599</v>
      </c>
      <c r="B167" t="s">
        <v>78</v>
      </c>
      <c r="C167">
        <v>10706451</v>
      </c>
      <c r="D167" t="s">
        <v>2</v>
      </c>
      <c r="E167" t="s">
        <v>518</v>
      </c>
      <c r="F167" t="s">
        <v>595</v>
      </c>
      <c r="G167" s="56">
        <v>44943</v>
      </c>
      <c r="H167">
        <v>37</v>
      </c>
      <c r="I167" t="s">
        <v>204</v>
      </c>
      <c r="J167" s="56"/>
    </row>
    <row r="168" spans="1:10" x14ac:dyDescent="0.25">
      <c r="A168" t="s">
        <v>599</v>
      </c>
      <c r="B168" t="s">
        <v>79</v>
      </c>
      <c r="C168">
        <v>71262377</v>
      </c>
      <c r="D168" t="s">
        <v>2</v>
      </c>
      <c r="E168" t="s">
        <v>518</v>
      </c>
      <c r="F168" t="s">
        <v>595</v>
      </c>
      <c r="G168" s="56">
        <v>45145</v>
      </c>
      <c r="H168">
        <v>31</v>
      </c>
      <c r="I168" t="s">
        <v>204</v>
      </c>
      <c r="J168" s="56"/>
    </row>
    <row r="169" spans="1:10" x14ac:dyDescent="0.25">
      <c r="A169" t="s">
        <v>599</v>
      </c>
      <c r="B169" t="s">
        <v>68</v>
      </c>
      <c r="C169">
        <v>73257316</v>
      </c>
      <c r="D169" t="s">
        <v>2</v>
      </c>
      <c r="E169" t="s">
        <v>518</v>
      </c>
      <c r="F169" t="s">
        <v>595</v>
      </c>
      <c r="G169" s="56">
        <v>45363</v>
      </c>
      <c r="H169">
        <v>23</v>
      </c>
      <c r="I169" t="s">
        <v>204</v>
      </c>
      <c r="J169" s="56"/>
    </row>
    <row r="170" spans="1:10" x14ac:dyDescent="0.25">
      <c r="A170" t="s">
        <v>599</v>
      </c>
      <c r="B170" t="s">
        <v>42</v>
      </c>
      <c r="C170">
        <v>73725129</v>
      </c>
      <c r="D170" t="s">
        <v>2</v>
      </c>
      <c r="E170" t="s">
        <v>518</v>
      </c>
      <c r="F170" t="s">
        <v>595</v>
      </c>
      <c r="G170" s="56">
        <v>45398</v>
      </c>
      <c r="H170">
        <v>22</v>
      </c>
      <c r="I170" t="s">
        <v>204</v>
      </c>
      <c r="J170" s="56"/>
    </row>
    <row r="171" spans="1:10" x14ac:dyDescent="0.25">
      <c r="A171" t="s">
        <v>599</v>
      </c>
      <c r="B171" t="s">
        <v>38</v>
      </c>
      <c r="C171">
        <v>47411966</v>
      </c>
      <c r="D171" t="s">
        <v>2</v>
      </c>
      <c r="E171" t="s">
        <v>518</v>
      </c>
      <c r="F171" t="s">
        <v>595</v>
      </c>
      <c r="G171" s="56">
        <v>45800</v>
      </c>
      <c r="H171">
        <v>9</v>
      </c>
      <c r="I171" t="s">
        <v>204</v>
      </c>
      <c r="J171" s="56"/>
    </row>
    <row r="172" spans="1:10" x14ac:dyDescent="0.25">
      <c r="A172" t="s">
        <v>599</v>
      </c>
      <c r="B172" t="s">
        <v>26</v>
      </c>
      <c r="C172">
        <v>41005089</v>
      </c>
      <c r="D172" t="s">
        <v>6</v>
      </c>
      <c r="E172" t="s">
        <v>518</v>
      </c>
      <c r="F172" t="s">
        <v>595</v>
      </c>
      <c r="G172" s="56">
        <v>44257</v>
      </c>
      <c r="H172">
        <v>60</v>
      </c>
      <c r="I172" t="s">
        <v>203</v>
      </c>
      <c r="J172" s="56"/>
    </row>
    <row r="173" spans="1:10" x14ac:dyDescent="0.25">
      <c r="A173" t="s">
        <v>599</v>
      </c>
      <c r="B173" t="s">
        <v>19</v>
      </c>
      <c r="C173">
        <v>76656128</v>
      </c>
      <c r="D173" t="s">
        <v>6</v>
      </c>
      <c r="E173" t="s">
        <v>518</v>
      </c>
      <c r="F173" t="s">
        <v>595</v>
      </c>
      <c r="G173" s="56">
        <v>44671</v>
      </c>
      <c r="H173">
        <v>46</v>
      </c>
      <c r="I173" t="s">
        <v>203</v>
      </c>
      <c r="J173" s="56"/>
    </row>
    <row r="174" spans="1:10" x14ac:dyDescent="0.25">
      <c r="A174" t="s">
        <v>599</v>
      </c>
      <c r="B174" t="s">
        <v>35</v>
      </c>
      <c r="C174">
        <v>10491198</v>
      </c>
      <c r="D174" t="s">
        <v>6</v>
      </c>
      <c r="E174" t="s">
        <v>518</v>
      </c>
      <c r="F174" t="s">
        <v>595</v>
      </c>
      <c r="G174" s="56">
        <v>44746</v>
      </c>
      <c r="H174">
        <v>44</v>
      </c>
      <c r="I174" t="s">
        <v>203</v>
      </c>
      <c r="J174" s="56"/>
    </row>
    <row r="175" spans="1:10" x14ac:dyDescent="0.25">
      <c r="A175" t="s">
        <v>599</v>
      </c>
      <c r="B175" t="s">
        <v>37</v>
      </c>
      <c r="C175">
        <v>70988976</v>
      </c>
      <c r="D175" t="s">
        <v>6</v>
      </c>
      <c r="E175" t="s">
        <v>518</v>
      </c>
      <c r="F175" t="s">
        <v>595</v>
      </c>
      <c r="G175" s="56">
        <v>45112</v>
      </c>
      <c r="H175">
        <v>32</v>
      </c>
      <c r="I175" t="s">
        <v>203</v>
      </c>
      <c r="J175" s="56"/>
    </row>
    <row r="176" spans="1:10" x14ac:dyDescent="0.25">
      <c r="A176" t="s">
        <v>599</v>
      </c>
      <c r="B176" t="s">
        <v>34</v>
      </c>
      <c r="C176">
        <v>76824571</v>
      </c>
      <c r="D176" t="s">
        <v>6</v>
      </c>
      <c r="E176" t="s">
        <v>518</v>
      </c>
      <c r="F176" t="s">
        <v>595</v>
      </c>
      <c r="G176" s="56">
        <v>45173</v>
      </c>
      <c r="H176">
        <v>30</v>
      </c>
      <c r="I176" t="s">
        <v>203</v>
      </c>
      <c r="J176" s="56"/>
    </row>
    <row r="177" spans="1:10" x14ac:dyDescent="0.25">
      <c r="A177" t="s">
        <v>599</v>
      </c>
      <c r="B177" t="s">
        <v>80</v>
      </c>
      <c r="C177">
        <v>45084594</v>
      </c>
      <c r="D177" t="s">
        <v>6</v>
      </c>
      <c r="E177" t="s">
        <v>518</v>
      </c>
      <c r="F177" t="s">
        <v>595</v>
      </c>
      <c r="G177" s="56">
        <v>45281</v>
      </c>
      <c r="H177">
        <v>26</v>
      </c>
      <c r="I177" t="s">
        <v>203</v>
      </c>
      <c r="J177" s="56"/>
    </row>
    <row r="178" spans="1:10" x14ac:dyDescent="0.25">
      <c r="A178" t="s">
        <v>599</v>
      </c>
      <c r="B178" t="s">
        <v>11</v>
      </c>
      <c r="C178">
        <v>45139159</v>
      </c>
      <c r="D178" t="s">
        <v>6</v>
      </c>
      <c r="E178" t="s">
        <v>518</v>
      </c>
      <c r="F178" t="s">
        <v>595</v>
      </c>
      <c r="G178" s="56">
        <v>45369</v>
      </c>
      <c r="H178">
        <v>23</v>
      </c>
      <c r="I178" t="s">
        <v>203</v>
      </c>
      <c r="J178" s="56"/>
    </row>
    <row r="179" spans="1:10" x14ac:dyDescent="0.25">
      <c r="A179" t="s">
        <v>599</v>
      </c>
      <c r="B179" t="s">
        <v>81</v>
      </c>
      <c r="C179">
        <v>72716299</v>
      </c>
      <c r="D179" t="s">
        <v>6</v>
      </c>
      <c r="E179" t="s">
        <v>518</v>
      </c>
      <c r="F179" t="s">
        <v>595</v>
      </c>
      <c r="G179" s="56">
        <v>45511</v>
      </c>
      <c r="H179">
        <v>19</v>
      </c>
      <c r="I179" t="s">
        <v>203</v>
      </c>
      <c r="J179" s="56"/>
    </row>
    <row r="180" spans="1:10" x14ac:dyDescent="0.25">
      <c r="A180" t="s">
        <v>599</v>
      </c>
      <c r="B180" t="s">
        <v>50</v>
      </c>
      <c r="C180">
        <v>72733809</v>
      </c>
      <c r="D180" t="s">
        <v>6</v>
      </c>
      <c r="E180" t="s">
        <v>518</v>
      </c>
      <c r="F180" t="s">
        <v>595</v>
      </c>
      <c r="G180" s="56">
        <v>45789</v>
      </c>
      <c r="H180">
        <v>9</v>
      </c>
      <c r="I180" t="s">
        <v>203</v>
      </c>
      <c r="J180" s="56"/>
    </row>
    <row r="181" spans="1:10" x14ac:dyDescent="0.25">
      <c r="A181" t="s">
        <v>599</v>
      </c>
      <c r="B181" t="s">
        <v>58</v>
      </c>
      <c r="C181">
        <v>72519113</v>
      </c>
      <c r="D181" t="s">
        <v>7</v>
      </c>
      <c r="E181" t="s">
        <v>518</v>
      </c>
      <c r="F181" t="s">
        <v>595</v>
      </c>
      <c r="G181" s="56">
        <v>43119</v>
      </c>
      <c r="H181">
        <v>97</v>
      </c>
      <c r="I181" t="s">
        <v>175</v>
      </c>
      <c r="J181" s="56"/>
    </row>
    <row r="182" spans="1:10" x14ac:dyDescent="0.25">
      <c r="A182" t="s">
        <v>599</v>
      </c>
      <c r="B182" t="s">
        <v>49</v>
      </c>
      <c r="C182">
        <v>40702064</v>
      </c>
      <c r="D182" t="s">
        <v>7</v>
      </c>
      <c r="E182" t="s">
        <v>518</v>
      </c>
      <c r="F182" t="s">
        <v>595</v>
      </c>
      <c r="G182" s="56">
        <v>43313</v>
      </c>
      <c r="H182">
        <v>91</v>
      </c>
      <c r="I182" t="s">
        <v>175</v>
      </c>
      <c r="J182" s="56"/>
    </row>
    <row r="183" spans="1:10" x14ac:dyDescent="0.25">
      <c r="A183" t="s">
        <v>599</v>
      </c>
      <c r="B183" t="s">
        <v>48</v>
      </c>
      <c r="C183">
        <v>43307898</v>
      </c>
      <c r="D183" t="s">
        <v>7</v>
      </c>
      <c r="E183" t="s">
        <v>518</v>
      </c>
      <c r="F183" t="s">
        <v>595</v>
      </c>
      <c r="G183" s="56">
        <v>44746</v>
      </c>
      <c r="H183">
        <v>44</v>
      </c>
      <c r="I183" t="s">
        <v>175</v>
      </c>
      <c r="J183" s="56"/>
    </row>
    <row r="184" spans="1:10" x14ac:dyDescent="0.25">
      <c r="A184" t="s">
        <v>599</v>
      </c>
      <c r="B184" t="s">
        <v>21</v>
      </c>
      <c r="C184">
        <v>44042880</v>
      </c>
      <c r="D184" t="s">
        <v>7</v>
      </c>
      <c r="E184" t="s">
        <v>597</v>
      </c>
      <c r="F184" t="s">
        <v>595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599</v>
      </c>
      <c r="B185" t="s">
        <v>77</v>
      </c>
      <c r="C185">
        <v>42251780</v>
      </c>
      <c r="D185" t="s">
        <v>7</v>
      </c>
      <c r="E185" t="s">
        <v>518</v>
      </c>
      <c r="F185" t="s">
        <v>595</v>
      </c>
      <c r="G185" s="56">
        <v>44838</v>
      </c>
      <c r="H185">
        <v>41</v>
      </c>
      <c r="I185" t="s">
        <v>175</v>
      </c>
      <c r="J185" s="56"/>
    </row>
    <row r="186" spans="1:10" x14ac:dyDescent="0.25">
      <c r="A186" t="s">
        <v>599</v>
      </c>
      <c r="B186" t="s">
        <v>12</v>
      </c>
      <c r="C186">
        <v>45262585</v>
      </c>
      <c r="D186" t="s">
        <v>7</v>
      </c>
      <c r="E186" t="s">
        <v>518</v>
      </c>
      <c r="F186" t="s">
        <v>595</v>
      </c>
      <c r="G186" s="56">
        <v>44868</v>
      </c>
      <c r="H186">
        <v>40</v>
      </c>
      <c r="I186" t="s">
        <v>175</v>
      </c>
      <c r="J186" s="56"/>
    </row>
    <row r="187" spans="1:10" x14ac:dyDescent="0.25">
      <c r="A187" t="s">
        <v>599</v>
      </c>
      <c r="B187" t="s">
        <v>73</v>
      </c>
      <c r="C187">
        <v>40318129</v>
      </c>
      <c r="D187" t="s">
        <v>7</v>
      </c>
      <c r="E187" t="s">
        <v>518</v>
      </c>
      <c r="F187" t="s">
        <v>595</v>
      </c>
      <c r="G187" s="56">
        <v>45141</v>
      </c>
      <c r="H187">
        <v>31</v>
      </c>
      <c r="I187" t="s">
        <v>175</v>
      </c>
      <c r="J187" s="56"/>
    </row>
    <row r="188" spans="1:10" x14ac:dyDescent="0.25">
      <c r="A188" t="s">
        <v>599</v>
      </c>
      <c r="B188" t="s">
        <v>41</v>
      </c>
      <c r="C188">
        <v>46461021</v>
      </c>
      <c r="D188" t="s">
        <v>7</v>
      </c>
      <c r="E188" t="s">
        <v>518</v>
      </c>
      <c r="F188" t="s">
        <v>595</v>
      </c>
      <c r="G188" s="56">
        <v>45302</v>
      </c>
      <c r="H188">
        <v>26</v>
      </c>
      <c r="I188" t="s">
        <v>175</v>
      </c>
      <c r="J188" s="56"/>
    </row>
    <row r="189" spans="1:10" x14ac:dyDescent="0.25">
      <c r="A189" t="s">
        <v>599</v>
      </c>
      <c r="B189" t="s">
        <v>40</v>
      </c>
      <c r="C189">
        <v>60976055</v>
      </c>
      <c r="D189" t="s">
        <v>7</v>
      </c>
      <c r="E189" t="s">
        <v>518</v>
      </c>
      <c r="F189" t="s">
        <v>595</v>
      </c>
      <c r="G189" s="56">
        <v>45433</v>
      </c>
      <c r="H189">
        <v>21</v>
      </c>
      <c r="I189" t="s">
        <v>175</v>
      </c>
      <c r="J189" s="56"/>
    </row>
    <row r="190" spans="1:10" x14ac:dyDescent="0.25">
      <c r="A190" t="s">
        <v>599</v>
      </c>
      <c r="B190" t="s">
        <v>51</v>
      </c>
      <c r="C190">
        <v>76089925</v>
      </c>
      <c r="D190" t="s">
        <v>7</v>
      </c>
      <c r="E190" t="s">
        <v>518</v>
      </c>
      <c r="F190" t="s">
        <v>595</v>
      </c>
      <c r="G190" s="56">
        <v>45678</v>
      </c>
      <c r="H190">
        <v>13</v>
      </c>
      <c r="I190" t="s">
        <v>175</v>
      </c>
      <c r="J190" s="56"/>
    </row>
    <row r="191" spans="1:10" x14ac:dyDescent="0.25">
      <c r="A191" t="s">
        <v>599</v>
      </c>
      <c r="B191" t="s">
        <v>97</v>
      </c>
      <c r="C191">
        <v>74602206</v>
      </c>
      <c r="D191" t="s">
        <v>7</v>
      </c>
      <c r="E191" t="s">
        <v>518</v>
      </c>
      <c r="F191" t="s">
        <v>595</v>
      </c>
      <c r="G191" s="56">
        <v>45884</v>
      </c>
      <c r="H191">
        <v>6</v>
      </c>
      <c r="I191" t="s">
        <v>175</v>
      </c>
      <c r="J191" s="56"/>
    </row>
    <row r="192" spans="1:10" x14ac:dyDescent="0.25">
      <c r="A192" t="s">
        <v>599</v>
      </c>
      <c r="B192" t="s">
        <v>114</v>
      </c>
      <c r="C192">
        <v>47005973</v>
      </c>
      <c r="D192" t="s">
        <v>7</v>
      </c>
      <c r="E192" t="s">
        <v>597</v>
      </c>
      <c r="F192" t="s">
        <v>595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599</v>
      </c>
      <c r="B193" t="s">
        <v>10</v>
      </c>
      <c r="C193">
        <v>40980108</v>
      </c>
      <c r="D193" t="s">
        <v>4</v>
      </c>
      <c r="E193" t="s">
        <v>518</v>
      </c>
      <c r="F193" t="s">
        <v>595</v>
      </c>
      <c r="G193" s="56">
        <v>44704</v>
      </c>
      <c r="H193">
        <v>45</v>
      </c>
      <c r="I193" t="s">
        <v>159</v>
      </c>
      <c r="J193" s="56"/>
    </row>
    <row r="194" spans="1:10" x14ac:dyDescent="0.25">
      <c r="A194" t="s">
        <v>599</v>
      </c>
      <c r="B194" t="s">
        <v>75</v>
      </c>
      <c r="C194">
        <v>71264767</v>
      </c>
      <c r="D194" t="s">
        <v>4</v>
      </c>
      <c r="E194" t="s">
        <v>518</v>
      </c>
      <c r="F194" t="s">
        <v>595</v>
      </c>
      <c r="G194" s="56">
        <v>44714</v>
      </c>
      <c r="H194">
        <v>45</v>
      </c>
      <c r="I194" t="s">
        <v>159</v>
      </c>
      <c r="J194" s="56"/>
    </row>
    <row r="195" spans="1:10" x14ac:dyDescent="0.25">
      <c r="A195" t="s">
        <v>599</v>
      </c>
      <c r="B195" t="s">
        <v>61</v>
      </c>
      <c r="C195">
        <v>44001162</v>
      </c>
      <c r="D195" t="s">
        <v>4</v>
      </c>
      <c r="E195" t="s">
        <v>518</v>
      </c>
      <c r="F195" t="s">
        <v>595</v>
      </c>
      <c r="G195" s="56">
        <v>44907</v>
      </c>
      <c r="H195">
        <v>38</v>
      </c>
      <c r="I195" t="s">
        <v>159</v>
      </c>
      <c r="J195" s="56"/>
    </row>
    <row r="196" spans="1:10" x14ac:dyDescent="0.25">
      <c r="A196" t="s">
        <v>599</v>
      </c>
      <c r="B196" t="s">
        <v>18</v>
      </c>
      <c r="C196">
        <v>76214436</v>
      </c>
      <c r="D196" t="s">
        <v>4</v>
      </c>
      <c r="E196" t="s">
        <v>518</v>
      </c>
      <c r="F196" t="s">
        <v>595</v>
      </c>
      <c r="G196" s="56">
        <v>45132</v>
      </c>
      <c r="H196">
        <v>31</v>
      </c>
      <c r="I196" t="s">
        <v>159</v>
      </c>
      <c r="J196" s="56"/>
    </row>
    <row r="197" spans="1:10" x14ac:dyDescent="0.25">
      <c r="A197" t="s">
        <v>599</v>
      </c>
      <c r="B197" t="s">
        <v>59</v>
      </c>
      <c r="C197">
        <v>60870839</v>
      </c>
      <c r="D197" t="s">
        <v>4</v>
      </c>
      <c r="E197" t="s">
        <v>518</v>
      </c>
      <c r="F197" t="s">
        <v>595</v>
      </c>
      <c r="G197" s="56">
        <v>45344</v>
      </c>
      <c r="H197">
        <v>24</v>
      </c>
      <c r="I197" t="s">
        <v>159</v>
      </c>
      <c r="J197" s="56"/>
    </row>
    <row r="198" spans="1:10" x14ac:dyDescent="0.25">
      <c r="A198" t="s">
        <v>599</v>
      </c>
      <c r="B198" t="s">
        <v>57</v>
      </c>
      <c r="C198">
        <v>74996029</v>
      </c>
      <c r="D198" t="s">
        <v>4</v>
      </c>
      <c r="E198" t="s">
        <v>597</v>
      </c>
      <c r="F198" t="s">
        <v>595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599</v>
      </c>
      <c r="B199" t="s">
        <v>72</v>
      </c>
      <c r="C199">
        <v>47690367</v>
      </c>
      <c r="D199" t="s">
        <v>4</v>
      </c>
      <c r="E199" t="s">
        <v>518</v>
      </c>
      <c r="F199" t="s">
        <v>595</v>
      </c>
      <c r="G199" s="56">
        <v>45691</v>
      </c>
      <c r="H199">
        <v>13</v>
      </c>
      <c r="I199" t="s">
        <v>159</v>
      </c>
      <c r="J199" s="56"/>
    </row>
    <row r="200" spans="1:10" x14ac:dyDescent="0.25">
      <c r="A200" t="s">
        <v>599</v>
      </c>
      <c r="B200" t="s">
        <v>55</v>
      </c>
      <c r="C200">
        <v>45119892</v>
      </c>
      <c r="D200" t="s">
        <v>4</v>
      </c>
      <c r="E200" t="s">
        <v>518</v>
      </c>
      <c r="F200" t="s">
        <v>595</v>
      </c>
      <c r="G200" s="56">
        <v>45813</v>
      </c>
      <c r="H200">
        <v>9</v>
      </c>
      <c r="I200" t="s">
        <v>159</v>
      </c>
      <c r="J200" s="56"/>
    </row>
    <row r="201" spans="1:10" x14ac:dyDescent="0.25">
      <c r="A201" t="s">
        <v>599</v>
      </c>
      <c r="B201" t="s">
        <v>60</v>
      </c>
      <c r="C201">
        <v>72839865</v>
      </c>
      <c r="D201" t="s">
        <v>4</v>
      </c>
      <c r="E201" t="s">
        <v>518</v>
      </c>
      <c r="F201" t="s">
        <v>595</v>
      </c>
      <c r="G201" s="56">
        <v>45854</v>
      </c>
      <c r="H201">
        <v>7</v>
      </c>
      <c r="I201" t="s">
        <v>159</v>
      </c>
      <c r="J201" s="56"/>
    </row>
    <row r="202" spans="1:10" x14ac:dyDescent="0.25">
      <c r="A202" t="s">
        <v>599</v>
      </c>
      <c r="B202" t="s">
        <v>122</v>
      </c>
      <c r="C202">
        <v>76586998</v>
      </c>
      <c r="D202" t="s">
        <v>4</v>
      </c>
      <c r="E202" t="s">
        <v>518</v>
      </c>
      <c r="F202" t="s">
        <v>595</v>
      </c>
      <c r="G202" s="56">
        <v>45971</v>
      </c>
      <c r="H202">
        <v>4</v>
      </c>
      <c r="I202" t="s">
        <v>159</v>
      </c>
      <c r="J202" s="56"/>
    </row>
    <row r="203" spans="1:10" x14ac:dyDescent="0.25">
      <c r="A203" t="s">
        <v>599</v>
      </c>
      <c r="B203" t="s">
        <v>23</v>
      </c>
      <c r="C203">
        <v>72413556</v>
      </c>
      <c r="D203" t="s">
        <v>3</v>
      </c>
      <c r="E203" t="s">
        <v>518</v>
      </c>
      <c r="F203" t="s">
        <v>595</v>
      </c>
      <c r="G203" s="56">
        <v>44109</v>
      </c>
      <c r="H203">
        <v>65</v>
      </c>
      <c r="I203" t="s">
        <v>159</v>
      </c>
      <c r="J203" s="56"/>
    </row>
    <row r="204" spans="1:10" x14ac:dyDescent="0.25">
      <c r="A204" t="s">
        <v>599</v>
      </c>
      <c r="B204" t="s">
        <v>13</v>
      </c>
      <c r="C204">
        <v>72512391</v>
      </c>
      <c r="D204" t="s">
        <v>3</v>
      </c>
      <c r="E204" t="s">
        <v>518</v>
      </c>
      <c r="F204" t="s">
        <v>595</v>
      </c>
      <c r="G204" s="56">
        <v>44809</v>
      </c>
      <c r="H204">
        <v>42</v>
      </c>
      <c r="I204" t="s">
        <v>159</v>
      </c>
      <c r="J204" s="56"/>
    </row>
    <row r="205" spans="1:10" x14ac:dyDescent="0.25">
      <c r="A205" t="s">
        <v>599</v>
      </c>
      <c r="B205" t="s">
        <v>33</v>
      </c>
      <c r="C205">
        <v>80689573</v>
      </c>
      <c r="D205" t="s">
        <v>3</v>
      </c>
      <c r="E205" t="s">
        <v>518</v>
      </c>
      <c r="F205" t="s">
        <v>595</v>
      </c>
      <c r="G205" s="56">
        <v>44867</v>
      </c>
      <c r="H205">
        <v>40</v>
      </c>
      <c r="I205" t="s">
        <v>159</v>
      </c>
      <c r="J205" s="56"/>
    </row>
    <row r="206" spans="1:10" x14ac:dyDescent="0.25">
      <c r="A206" t="s">
        <v>599</v>
      </c>
      <c r="B206" t="s">
        <v>17</v>
      </c>
      <c r="C206">
        <v>70876605</v>
      </c>
      <c r="D206" t="s">
        <v>3</v>
      </c>
      <c r="E206" t="s">
        <v>518</v>
      </c>
      <c r="F206" t="s">
        <v>595</v>
      </c>
      <c r="G206" s="56">
        <v>44886</v>
      </c>
      <c r="H206">
        <v>39</v>
      </c>
      <c r="I206" t="s">
        <v>159</v>
      </c>
      <c r="J206" s="56"/>
    </row>
    <row r="207" spans="1:10" x14ac:dyDescent="0.25">
      <c r="A207" t="s">
        <v>599</v>
      </c>
      <c r="B207" t="s">
        <v>65</v>
      </c>
      <c r="C207">
        <v>47659267</v>
      </c>
      <c r="D207" t="s">
        <v>3</v>
      </c>
      <c r="E207" t="s">
        <v>518</v>
      </c>
      <c r="F207" t="s">
        <v>595</v>
      </c>
      <c r="G207" s="56">
        <v>45019</v>
      </c>
      <c r="H207">
        <v>35</v>
      </c>
      <c r="I207" t="s">
        <v>159</v>
      </c>
      <c r="J207" s="56"/>
    </row>
    <row r="208" spans="1:10" x14ac:dyDescent="0.25">
      <c r="A208" t="s">
        <v>599</v>
      </c>
      <c r="B208" t="s">
        <v>22</v>
      </c>
      <c r="C208">
        <v>70551168</v>
      </c>
      <c r="D208" t="s">
        <v>3</v>
      </c>
      <c r="E208" t="s">
        <v>518</v>
      </c>
      <c r="F208" t="s">
        <v>595</v>
      </c>
      <c r="G208" s="56">
        <v>45295</v>
      </c>
      <c r="H208">
        <v>26</v>
      </c>
      <c r="I208" t="s">
        <v>159</v>
      </c>
      <c r="J208" s="56"/>
    </row>
    <row r="209" spans="1:10" x14ac:dyDescent="0.25">
      <c r="A209" t="s">
        <v>599</v>
      </c>
      <c r="B209" t="s">
        <v>24</v>
      </c>
      <c r="C209">
        <v>43614775</v>
      </c>
      <c r="D209" t="s">
        <v>3</v>
      </c>
      <c r="E209" t="s">
        <v>518</v>
      </c>
      <c r="F209" t="s">
        <v>595</v>
      </c>
      <c r="G209" s="56">
        <v>45334</v>
      </c>
      <c r="H209">
        <v>24</v>
      </c>
      <c r="I209" t="s">
        <v>159</v>
      </c>
      <c r="J209" s="56"/>
    </row>
    <row r="210" spans="1:10" x14ac:dyDescent="0.25">
      <c r="A210" t="s">
        <v>599</v>
      </c>
      <c r="B210" t="s">
        <v>31</v>
      </c>
      <c r="C210">
        <v>75882265</v>
      </c>
      <c r="D210" t="s">
        <v>3</v>
      </c>
      <c r="E210" t="s">
        <v>518</v>
      </c>
      <c r="F210" t="s">
        <v>595</v>
      </c>
      <c r="G210" s="56">
        <v>45334</v>
      </c>
      <c r="H210">
        <v>24</v>
      </c>
      <c r="I210" t="s">
        <v>159</v>
      </c>
      <c r="J210" s="56"/>
    </row>
    <row r="211" spans="1:10" x14ac:dyDescent="0.25">
      <c r="A211" t="s">
        <v>599</v>
      </c>
      <c r="B211" t="s">
        <v>32</v>
      </c>
      <c r="C211">
        <v>48584670</v>
      </c>
      <c r="D211" t="s">
        <v>3</v>
      </c>
      <c r="E211" t="s">
        <v>518</v>
      </c>
      <c r="F211" t="s">
        <v>595</v>
      </c>
      <c r="G211" s="56">
        <v>45526</v>
      </c>
      <c r="H211">
        <v>18</v>
      </c>
      <c r="I211" t="s">
        <v>159</v>
      </c>
      <c r="J211" s="56"/>
    </row>
    <row r="212" spans="1:10" x14ac:dyDescent="0.25">
      <c r="A212" t="s">
        <v>599</v>
      </c>
      <c r="B212" t="s">
        <v>96</v>
      </c>
      <c r="C212">
        <v>46793103</v>
      </c>
      <c r="D212" t="s">
        <v>3</v>
      </c>
      <c r="E212" t="s">
        <v>518</v>
      </c>
      <c r="F212" t="s">
        <v>595</v>
      </c>
      <c r="G212" s="56">
        <v>45882</v>
      </c>
      <c r="H212">
        <v>6</v>
      </c>
      <c r="I212" t="s">
        <v>159</v>
      </c>
      <c r="J212" s="56"/>
    </row>
    <row r="213" spans="1:10" x14ac:dyDescent="0.25">
      <c r="A213" t="s">
        <v>599</v>
      </c>
      <c r="B213" t="s">
        <v>174</v>
      </c>
      <c r="C213">
        <v>46994661</v>
      </c>
      <c r="D213" t="s">
        <v>7</v>
      </c>
      <c r="E213" t="s">
        <v>518</v>
      </c>
      <c r="F213" t="s">
        <v>595</v>
      </c>
      <c r="G213" s="56">
        <v>45992</v>
      </c>
      <c r="H213">
        <v>3</v>
      </c>
      <c r="I213" t="s">
        <v>175</v>
      </c>
      <c r="J213" s="56"/>
    </row>
    <row r="214" spans="1:10" x14ac:dyDescent="0.25">
      <c r="A214" t="s">
        <v>600</v>
      </c>
      <c r="B214" t="s">
        <v>219</v>
      </c>
      <c r="C214">
        <v>74122258</v>
      </c>
      <c r="D214" t="s">
        <v>6</v>
      </c>
      <c r="E214" t="s">
        <v>133</v>
      </c>
      <c r="F214" t="s">
        <v>595</v>
      </c>
      <c r="G214" s="56">
        <v>44022</v>
      </c>
      <c r="H214">
        <v>68</v>
      </c>
      <c r="I214" t="s">
        <v>209</v>
      </c>
      <c r="J214" s="56"/>
    </row>
    <row r="215" spans="1:10" x14ac:dyDescent="0.25">
      <c r="A215" t="s">
        <v>600</v>
      </c>
      <c r="B215" t="s">
        <v>248</v>
      </c>
      <c r="C215">
        <v>44265602</v>
      </c>
      <c r="D215" t="s">
        <v>2</v>
      </c>
      <c r="E215" t="s">
        <v>133</v>
      </c>
      <c r="F215" t="s">
        <v>595</v>
      </c>
      <c r="G215" s="56">
        <v>44673</v>
      </c>
      <c r="H215">
        <v>46</v>
      </c>
      <c r="I215" t="s">
        <v>209</v>
      </c>
      <c r="J215" s="56"/>
    </row>
    <row r="216" spans="1:10" x14ac:dyDescent="0.25">
      <c r="A216" t="s">
        <v>600</v>
      </c>
      <c r="B216" t="s">
        <v>226</v>
      </c>
      <c r="C216">
        <v>73049631</v>
      </c>
      <c r="D216" t="s">
        <v>3</v>
      </c>
      <c r="E216" t="s">
        <v>133</v>
      </c>
      <c r="F216" t="s">
        <v>595</v>
      </c>
      <c r="G216" s="56">
        <v>43506</v>
      </c>
      <c r="H216">
        <v>85</v>
      </c>
      <c r="I216" t="s">
        <v>159</v>
      </c>
      <c r="J216" s="56"/>
    </row>
    <row r="217" spans="1:10" x14ac:dyDescent="0.25">
      <c r="A217" t="s">
        <v>600</v>
      </c>
      <c r="B217" t="s">
        <v>222</v>
      </c>
      <c r="C217">
        <v>75000131</v>
      </c>
      <c r="D217" t="s">
        <v>125</v>
      </c>
      <c r="E217" t="s">
        <v>133</v>
      </c>
      <c r="F217" t="s">
        <v>595</v>
      </c>
      <c r="G217" s="56">
        <v>44874</v>
      </c>
      <c r="H217">
        <v>40</v>
      </c>
      <c r="I217" t="s">
        <v>175</v>
      </c>
      <c r="J217" s="56"/>
    </row>
    <row r="218" spans="1:10" x14ac:dyDescent="0.25">
      <c r="A218" t="s">
        <v>600</v>
      </c>
      <c r="B218" t="s">
        <v>224</v>
      </c>
      <c r="C218">
        <v>70984733</v>
      </c>
      <c r="D218" t="s">
        <v>4</v>
      </c>
      <c r="E218" t="s">
        <v>133</v>
      </c>
      <c r="F218" t="s">
        <v>595</v>
      </c>
      <c r="G218" s="56">
        <v>43466</v>
      </c>
      <c r="H218">
        <v>86</v>
      </c>
      <c r="I218" t="s">
        <v>159</v>
      </c>
      <c r="J218" s="56"/>
    </row>
    <row r="219" spans="1:10" x14ac:dyDescent="0.25">
      <c r="A219" t="s">
        <v>600</v>
      </c>
      <c r="B219" t="s">
        <v>58</v>
      </c>
      <c r="C219">
        <v>72519113</v>
      </c>
      <c r="D219" t="s">
        <v>125</v>
      </c>
      <c r="E219" t="s">
        <v>518</v>
      </c>
      <c r="F219" t="s">
        <v>595</v>
      </c>
      <c r="G219" s="56">
        <v>43119</v>
      </c>
      <c r="H219">
        <v>97</v>
      </c>
      <c r="I219" t="s">
        <v>175</v>
      </c>
      <c r="J219" s="56"/>
    </row>
    <row r="220" spans="1:10" x14ac:dyDescent="0.25">
      <c r="A220" t="s">
        <v>600</v>
      </c>
      <c r="B220" t="s">
        <v>49</v>
      </c>
      <c r="C220">
        <v>40702064</v>
      </c>
      <c r="D220" t="s">
        <v>125</v>
      </c>
      <c r="E220" t="s">
        <v>517</v>
      </c>
      <c r="F220" t="s">
        <v>595</v>
      </c>
      <c r="G220" s="56">
        <v>43313</v>
      </c>
      <c r="H220">
        <v>91</v>
      </c>
      <c r="I220" t="s">
        <v>175</v>
      </c>
      <c r="J220" s="56"/>
    </row>
    <row r="221" spans="1:10" x14ac:dyDescent="0.25">
      <c r="A221" t="s">
        <v>600</v>
      </c>
      <c r="B221" t="s">
        <v>23</v>
      </c>
      <c r="C221">
        <v>72413556</v>
      </c>
      <c r="D221" t="s">
        <v>3</v>
      </c>
      <c r="E221" t="s">
        <v>518</v>
      </c>
      <c r="F221" t="s">
        <v>595</v>
      </c>
      <c r="G221" s="56">
        <v>44109</v>
      </c>
      <c r="H221">
        <v>65</v>
      </c>
      <c r="I221" t="s">
        <v>159</v>
      </c>
      <c r="J221" s="56"/>
    </row>
    <row r="222" spans="1:10" x14ac:dyDescent="0.25">
      <c r="A222" t="s">
        <v>600</v>
      </c>
      <c r="B222" t="s">
        <v>26</v>
      </c>
      <c r="C222">
        <v>41005089</v>
      </c>
      <c r="D222" t="s">
        <v>6</v>
      </c>
      <c r="E222" t="s">
        <v>518</v>
      </c>
      <c r="F222" t="s">
        <v>595</v>
      </c>
      <c r="G222" s="56">
        <v>44257</v>
      </c>
      <c r="H222">
        <v>60</v>
      </c>
      <c r="I222" t="s">
        <v>159</v>
      </c>
      <c r="J222" s="56"/>
    </row>
    <row r="223" spans="1:10" x14ac:dyDescent="0.25">
      <c r="A223" t="s">
        <v>600</v>
      </c>
      <c r="B223" t="s">
        <v>19</v>
      </c>
      <c r="C223">
        <v>76656128</v>
      </c>
      <c r="D223" t="s">
        <v>6</v>
      </c>
      <c r="E223" t="s">
        <v>518</v>
      </c>
      <c r="F223" t="s">
        <v>595</v>
      </c>
      <c r="G223" s="56">
        <v>44671</v>
      </c>
      <c r="H223">
        <v>46</v>
      </c>
      <c r="I223" t="s">
        <v>159</v>
      </c>
      <c r="J223" s="56"/>
    </row>
    <row r="224" spans="1:10" x14ac:dyDescent="0.25">
      <c r="A224" t="s">
        <v>600</v>
      </c>
      <c r="B224" t="s">
        <v>29</v>
      </c>
      <c r="C224">
        <v>72758956</v>
      </c>
      <c r="D224" t="s">
        <v>2</v>
      </c>
      <c r="E224" t="s">
        <v>518</v>
      </c>
      <c r="F224" t="s">
        <v>595</v>
      </c>
      <c r="G224" s="56">
        <v>44685</v>
      </c>
      <c r="H224">
        <v>46</v>
      </c>
      <c r="I224" t="s">
        <v>209</v>
      </c>
      <c r="J224" s="56"/>
    </row>
    <row r="225" spans="1:10" x14ac:dyDescent="0.25">
      <c r="A225" t="s">
        <v>600</v>
      </c>
      <c r="B225" t="s">
        <v>10</v>
      </c>
      <c r="C225">
        <v>40980108</v>
      </c>
      <c r="D225" t="s">
        <v>4</v>
      </c>
      <c r="E225" t="s">
        <v>518</v>
      </c>
      <c r="F225" t="s">
        <v>595</v>
      </c>
      <c r="G225" s="56">
        <v>44704</v>
      </c>
      <c r="H225">
        <v>45</v>
      </c>
      <c r="I225" t="s">
        <v>159</v>
      </c>
      <c r="J225" s="56"/>
    </row>
    <row r="226" spans="1:10" x14ac:dyDescent="0.25">
      <c r="A226" t="s">
        <v>600</v>
      </c>
      <c r="B226" t="s">
        <v>75</v>
      </c>
      <c r="C226">
        <v>71264767</v>
      </c>
      <c r="D226" t="s">
        <v>4</v>
      </c>
      <c r="E226" t="s">
        <v>518</v>
      </c>
      <c r="F226" t="s">
        <v>595</v>
      </c>
      <c r="G226" s="56">
        <v>44714</v>
      </c>
      <c r="H226">
        <v>45</v>
      </c>
      <c r="I226" t="s">
        <v>159</v>
      </c>
      <c r="J226" s="56"/>
    </row>
    <row r="227" spans="1:10" x14ac:dyDescent="0.25">
      <c r="A227" t="s">
        <v>600</v>
      </c>
      <c r="B227" t="s">
        <v>15</v>
      </c>
      <c r="C227">
        <v>47587400</v>
      </c>
      <c r="D227" t="s">
        <v>2</v>
      </c>
      <c r="E227" t="s">
        <v>518</v>
      </c>
      <c r="F227" t="s">
        <v>595</v>
      </c>
      <c r="G227" s="56">
        <v>44733</v>
      </c>
      <c r="H227">
        <v>44</v>
      </c>
      <c r="I227" t="s">
        <v>209</v>
      </c>
      <c r="J227" s="56"/>
    </row>
    <row r="228" spans="1:10" x14ac:dyDescent="0.25">
      <c r="A228" t="s">
        <v>600</v>
      </c>
      <c r="B228" t="s">
        <v>35</v>
      </c>
      <c r="C228">
        <v>10491198</v>
      </c>
      <c r="D228" t="s">
        <v>6</v>
      </c>
      <c r="E228" t="s">
        <v>518</v>
      </c>
      <c r="F228" t="s">
        <v>595</v>
      </c>
      <c r="G228" s="56">
        <v>44746</v>
      </c>
      <c r="H228">
        <v>44</v>
      </c>
      <c r="I228" t="s">
        <v>159</v>
      </c>
      <c r="J228" s="56"/>
    </row>
    <row r="229" spans="1:10" x14ac:dyDescent="0.25">
      <c r="A229" t="s">
        <v>600</v>
      </c>
      <c r="B229" t="s">
        <v>48</v>
      </c>
      <c r="C229">
        <v>43307898</v>
      </c>
      <c r="D229" t="s">
        <v>125</v>
      </c>
      <c r="E229" t="s">
        <v>518</v>
      </c>
      <c r="F229" t="s">
        <v>595</v>
      </c>
      <c r="G229" s="56">
        <v>44746</v>
      </c>
      <c r="H229">
        <v>44</v>
      </c>
      <c r="I229" t="s">
        <v>175</v>
      </c>
      <c r="J229" s="56"/>
    </row>
    <row r="230" spans="1:10" x14ac:dyDescent="0.25">
      <c r="A230" t="s">
        <v>600</v>
      </c>
      <c r="B230" t="s">
        <v>13</v>
      </c>
      <c r="C230">
        <v>72512391</v>
      </c>
      <c r="D230" t="s">
        <v>3</v>
      </c>
      <c r="E230" t="s">
        <v>518</v>
      </c>
      <c r="F230" t="s">
        <v>595</v>
      </c>
      <c r="G230" s="56">
        <v>44809</v>
      </c>
      <c r="H230">
        <v>42</v>
      </c>
      <c r="I230" t="s">
        <v>159</v>
      </c>
      <c r="J230" s="56"/>
    </row>
    <row r="231" spans="1:10" x14ac:dyDescent="0.25">
      <c r="A231" t="s">
        <v>600</v>
      </c>
      <c r="B231" t="s">
        <v>76</v>
      </c>
      <c r="C231">
        <v>60914051</v>
      </c>
      <c r="D231" t="s">
        <v>2</v>
      </c>
      <c r="E231" t="s">
        <v>518</v>
      </c>
      <c r="F231" t="s">
        <v>595</v>
      </c>
      <c r="G231" s="56">
        <v>44817</v>
      </c>
      <c r="H231">
        <v>41</v>
      </c>
      <c r="I231" t="s">
        <v>209</v>
      </c>
      <c r="J231" s="56"/>
    </row>
    <row r="232" spans="1:10" x14ac:dyDescent="0.25">
      <c r="A232" t="s">
        <v>600</v>
      </c>
      <c r="B232" t="s">
        <v>25</v>
      </c>
      <c r="C232">
        <v>72373931</v>
      </c>
      <c r="D232" t="s">
        <v>2</v>
      </c>
      <c r="E232" t="s">
        <v>518</v>
      </c>
      <c r="F232" t="s">
        <v>595</v>
      </c>
      <c r="G232" s="56">
        <v>44818</v>
      </c>
      <c r="H232">
        <v>41</v>
      </c>
      <c r="I232" t="s">
        <v>209</v>
      </c>
      <c r="J232" s="56"/>
    </row>
    <row r="233" spans="1:10" x14ac:dyDescent="0.25">
      <c r="A233" t="s">
        <v>600</v>
      </c>
      <c r="B233" t="s">
        <v>77</v>
      </c>
      <c r="C233">
        <v>42251780</v>
      </c>
      <c r="D233" t="s">
        <v>125</v>
      </c>
      <c r="E233" t="s">
        <v>518</v>
      </c>
      <c r="F233" t="s">
        <v>595</v>
      </c>
      <c r="G233" s="56">
        <v>44838</v>
      </c>
      <c r="H233">
        <v>41</v>
      </c>
      <c r="I233" t="s">
        <v>175</v>
      </c>
      <c r="J233" s="56"/>
    </row>
    <row r="234" spans="1:10" x14ac:dyDescent="0.25">
      <c r="A234" t="s">
        <v>600</v>
      </c>
      <c r="B234" t="s">
        <v>33</v>
      </c>
      <c r="C234">
        <v>80689573</v>
      </c>
      <c r="D234" t="s">
        <v>3</v>
      </c>
      <c r="E234" t="s">
        <v>518</v>
      </c>
      <c r="F234" t="s">
        <v>595</v>
      </c>
      <c r="G234" s="56">
        <v>44867</v>
      </c>
      <c r="H234">
        <v>40</v>
      </c>
      <c r="I234" t="s">
        <v>159</v>
      </c>
      <c r="J234" s="56"/>
    </row>
    <row r="235" spans="1:10" x14ac:dyDescent="0.25">
      <c r="A235" t="s">
        <v>600</v>
      </c>
      <c r="B235" t="s">
        <v>12</v>
      </c>
      <c r="C235">
        <v>45262585</v>
      </c>
      <c r="D235" t="s">
        <v>4</v>
      </c>
      <c r="E235" t="s">
        <v>518</v>
      </c>
      <c r="F235" t="s">
        <v>595</v>
      </c>
      <c r="G235" s="56">
        <v>44868</v>
      </c>
      <c r="H235">
        <v>40</v>
      </c>
      <c r="I235" t="s">
        <v>159</v>
      </c>
      <c r="J235" s="56"/>
    </row>
    <row r="236" spans="1:10" x14ac:dyDescent="0.25">
      <c r="A236" t="s">
        <v>600</v>
      </c>
      <c r="B236" t="s">
        <v>17</v>
      </c>
      <c r="C236">
        <v>70876605</v>
      </c>
      <c r="D236" t="s">
        <v>3</v>
      </c>
      <c r="E236" t="s">
        <v>518</v>
      </c>
      <c r="F236" t="s">
        <v>595</v>
      </c>
      <c r="G236" s="56">
        <v>44886</v>
      </c>
      <c r="H236">
        <v>39</v>
      </c>
      <c r="I236" t="s">
        <v>159</v>
      </c>
      <c r="J236" s="56"/>
    </row>
    <row r="237" spans="1:10" x14ac:dyDescent="0.25">
      <c r="A237" t="s">
        <v>600</v>
      </c>
      <c r="B237" t="s">
        <v>61</v>
      </c>
      <c r="C237">
        <v>44001162</v>
      </c>
      <c r="D237" t="s">
        <v>4</v>
      </c>
      <c r="E237" t="s">
        <v>517</v>
      </c>
      <c r="F237" t="s">
        <v>595</v>
      </c>
      <c r="G237" s="56">
        <v>44907</v>
      </c>
      <c r="H237">
        <v>38</v>
      </c>
      <c r="I237" t="s">
        <v>159</v>
      </c>
      <c r="J237" s="56"/>
    </row>
    <row r="238" spans="1:10" x14ac:dyDescent="0.25">
      <c r="A238" t="s">
        <v>600</v>
      </c>
      <c r="B238" t="s">
        <v>78</v>
      </c>
      <c r="C238">
        <v>10706451</v>
      </c>
      <c r="D238" t="s">
        <v>2</v>
      </c>
      <c r="E238" t="s">
        <v>518</v>
      </c>
      <c r="F238" t="s">
        <v>595</v>
      </c>
      <c r="G238" s="56">
        <v>44943</v>
      </c>
      <c r="H238">
        <v>37</v>
      </c>
      <c r="I238" t="s">
        <v>209</v>
      </c>
      <c r="J238" s="56"/>
    </row>
    <row r="239" spans="1:10" x14ac:dyDescent="0.25">
      <c r="A239" t="s">
        <v>600</v>
      </c>
      <c r="B239" t="s">
        <v>65</v>
      </c>
      <c r="C239">
        <v>47659267</v>
      </c>
      <c r="D239" t="s">
        <v>3</v>
      </c>
      <c r="E239" t="s">
        <v>518</v>
      </c>
      <c r="F239" t="s">
        <v>595</v>
      </c>
      <c r="G239" s="56">
        <v>45019</v>
      </c>
      <c r="H239">
        <v>35</v>
      </c>
      <c r="I239" t="s">
        <v>159</v>
      </c>
      <c r="J239" s="56"/>
    </row>
    <row r="240" spans="1:10" x14ac:dyDescent="0.25">
      <c r="A240" t="s">
        <v>600</v>
      </c>
      <c r="B240" t="s">
        <v>37</v>
      </c>
      <c r="C240">
        <v>70988976</v>
      </c>
      <c r="D240" t="s">
        <v>6</v>
      </c>
      <c r="E240" t="s">
        <v>518</v>
      </c>
      <c r="F240" t="s">
        <v>595</v>
      </c>
      <c r="G240" s="56">
        <v>45112</v>
      </c>
      <c r="H240">
        <v>32</v>
      </c>
      <c r="I240" t="s">
        <v>159</v>
      </c>
      <c r="J240" s="56"/>
    </row>
    <row r="241" spans="1:10" x14ac:dyDescent="0.25">
      <c r="A241" t="s">
        <v>600</v>
      </c>
      <c r="B241" t="s">
        <v>18</v>
      </c>
      <c r="C241">
        <v>76214436</v>
      </c>
      <c r="D241" t="s">
        <v>4</v>
      </c>
      <c r="E241" t="s">
        <v>518</v>
      </c>
      <c r="F241" t="s">
        <v>595</v>
      </c>
      <c r="G241" s="56">
        <v>45132</v>
      </c>
      <c r="H241">
        <v>31</v>
      </c>
      <c r="I241" t="s">
        <v>159</v>
      </c>
      <c r="J241" s="56"/>
    </row>
    <row r="242" spans="1:10" x14ac:dyDescent="0.25">
      <c r="A242" t="s">
        <v>600</v>
      </c>
      <c r="B242" t="s">
        <v>73</v>
      </c>
      <c r="C242">
        <v>40318129</v>
      </c>
      <c r="D242" t="s">
        <v>125</v>
      </c>
      <c r="E242" t="s">
        <v>518</v>
      </c>
      <c r="F242" t="s">
        <v>595</v>
      </c>
      <c r="G242" s="56">
        <v>45141</v>
      </c>
      <c r="H242">
        <v>31</v>
      </c>
      <c r="I242" t="s">
        <v>175</v>
      </c>
      <c r="J242" s="56"/>
    </row>
    <row r="243" spans="1:10" x14ac:dyDescent="0.25">
      <c r="A243" t="s">
        <v>600</v>
      </c>
      <c r="B243" t="s">
        <v>79</v>
      </c>
      <c r="C243">
        <v>71262377</v>
      </c>
      <c r="D243" t="s">
        <v>2</v>
      </c>
      <c r="E243" t="s">
        <v>518</v>
      </c>
      <c r="F243" t="s">
        <v>595</v>
      </c>
      <c r="G243" s="56">
        <v>45145</v>
      </c>
      <c r="H243">
        <v>31</v>
      </c>
      <c r="I243" t="s">
        <v>209</v>
      </c>
      <c r="J243" s="56"/>
    </row>
    <row r="244" spans="1:10" x14ac:dyDescent="0.25">
      <c r="A244" t="s">
        <v>600</v>
      </c>
      <c r="B244" t="s">
        <v>34</v>
      </c>
      <c r="C244">
        <v>76824571</v>
      </c>
      <c r="D244" t="s">
        <v>6</v>
      </c>
      <c r="E244" t="s">
        <v>518</v>
      </c>
      <c r="F244" t="s">
        <v>595</v>
      </c>
      <c r="G244" s="56">
        <v>45173</v>
      </c>
      <c r="H244">
        <v>30</v>
      </c>
      <c r="I244" t="s">
        <v>159</v>
      </c>
      <c r="J244" s="56"/>
    </row>
    <row r="245" spans="1:10" x14ac:dyDescent="0.25">
      <c r="A245" t="s">
        <v>600</v>
      </c>
      <c r="B245" t="s">
        <v>80</v>
      </c>
      <c r="C245">
        <v>45084594</v>
      </c>
      <c r="D245" t="s">
        <v>6</v>
      </c>
      <c r="E245" t="s">
        <v>518</v>
      </c>
      <c r="F245" t="s">
        <v>595</v>
      </c>
      <c r="G245" s="56">
        <v>45281</v>
      </c>
      <c r="H245">
        <v>26</v>
      </c>
      <c r="I245" t="s">
        <v>159</v>
      </c>
      <c r="J245" s="56"/>
    </row>
    <row r="246" spans="1:10" x14ac:dyDescent="0.25">
      <c r="A246" t="s">
        <v>600</v>
      </c>
      <c r="B246" t="s">
        <v>22</v>
      </c>
      <c r="C246">
        <v>70551168</v>
      </c>
      <c r="D246" t="s">
        <v>3</v>
      </c>
      <c r="E246" t="s">
        <v>517</v>
      </c>
      <c r="F246" t="s">
        <v>595</v>
      </c>
      <c r="G246" s="56">
        <v>45295</v>
      </c>
      <c r="H246">
        <v>26</v>
      </c>
      <c r="I246" t="s">
        <v>159</v>
      </c>
      <c r="J246" s="56"/>
    </row>
    <row r="247" spans="1:10" x14ac:dyDescent="0.25">
      <c r="A247" t="s">
        <v>600</v>
      </c>
      <c r="B247" t="s">
        <v>41</v>
      </c>
      <c r="C247">
        <v>46461021</v>
      </c>
      <c r="D247" t="s">
        <v>125</v>
      </c>
      <c r="E247" t="s">
        <v>518</v>
      </c>
      <c r="F247" t="s">
        <v>595</v>
      </c>
      <c r="G247" s="56">
        <v>45302</v>
      </c>
      <c r="H247">
        <v>26</v>
      </c>
      <c r="I247" t="s">
        <v>175</v>
      </c>
      <c r="J247" s="56"/>
    </row>
    <row r="248" spans="1:10" x14ac:dyDescent="0.25">
      <c r="A248" t="s">
        <v>600</v>
      </c>
      <c r="B248" t="s">
        <v>24</v>
      </c>
      <c r="C248">
        <v>43614775</v>
      </c>
      <c r="D248" t="s">
        <v>3</v>
      </c>
      <c r="E248" t="s">
        <v>518</v>
      </c>
      <c r="F248" t="s">
        <v>595</v>
      </c>
      <c r="G248" s="56">
        <v>45334</v>
      </c>
      <c r="H248">
        <v>24</v>
      </c>
      <c r="I248" t="s">
        <v>159</v>
      </c>
      <c r="J248" s="56"/>
    </row>
    <row r="249" spans="1:10" x14ac:dyDescent="0.25">
      <c r="A249" t="s">
        <v>600</v>
      </c>
      <c r="B249" t="s">
        <v>31</v>
      </c>
      <c r="C249">
        <v>75882265</v>
      </c>
      <c r="D249" t="s">
        <v>3</v>
      </c>
      <c r="E249" t="s">
        <v>518</v>
      </c>
      <c r="F249" t="s">
        <v>595</v>
      </c>
      <c r="G249" s="56">
        <v>45334</v>
      </c>
      <c r="H249">
        <v>24</v>
      </c>
      <c r="I249" t="s">
        <v>159</v>
      </c>
      <c r="J249" s="56"/>
    </row>
    <row r="250" spans="1:10" x14ac:dyDescent="0.25">
      <c r="A250" t="s">
        <v>600</v>
      </c>
      <c r="B250" t="s">
        <v>59</v>
      </c>
      <c r="C250">
        <v>60870839</v>
      </c>
      <c r="D250" t="s">
        <v>4</v>
      </c>
      <c r="E250" t="s">
        <v>518</v>
      </c>
      <c r="F250" t="s">
        <v>595</v>
      </c>
      <c r="G250" s="56">
        <v>45344</v>
      </c>
      <c r="H250">
        <v>24</v>
      </c>
      <c r="I250" t="s">
        <v>159</v>
      </c>
      <c r="J250" s="56"/>
    </row>
    <row r="251" spans="1:10" x14ac:dyDescent="0.25">
      <c r="A251" t="s">
        <v>600</v>
      </c>
      <c r="B251" t="s">
        <v>68</v>
      </c>
      <c r="C251">
        <v>73257316</v>
      </c>
      <c r="D251" t="s">
        <v>2</v>
      </c>
      <c r="E251" t="s">
        <v>518</v>
      </c>
      <c r="F251" t="s">
        <v>595</v>
      </c>
      <c r="G251" s="56">
        <v>45363</v>
      </c>
      <c r="H251">
        <v>23</v>
      </c>
      <c r="I251" t="s">
        <v>209</v>
      </c>
      <c r="J251" s="56"/>
    </row>
    <row r="252" spans="1:10" x14ac:dyDescent="0.25">
      <c r="A252" t="s">
        <v>600</v>
      </c>
      <c r="B252" t="s">
        <v>11</v>
      </c>
      <c r="C252">
        <v>45139159</v>
      </c>
      <c r="D252" t="s">
        <v>6</v>
      </c>
      <c r="E252" t="s">
        <v>518</v>
      </c>
      <c r="F252" t="s">
        <v>595</v>
      </c>
      <c r="G252" s="56">
        <v>45369</v>
      </c>
      <c r="H252">
        <v>23</v>
      </c>
      <c r="I252" t="s">
        <v>159</v>
      </c>
      <c r="J252" s="56"/>
    </row>
    <row r="253" spans="1:10" x14ac:dyDescent="0.25">
      <c r="A253" t="s">
        <v>600</v>
      </c>
      <c r="B253" t="s">
        <v>42</v>
      </c>
      <c r="C253">
        <v>73725129</v>
      </c>
      <c r="D253" t="s">
        <v>2</v>
      </c>
      <c r="E253" t="s">
        <v>518</v>
      </c>
      <c r="F253" t="s">
        <v>595</v>
      </c>
      <c r="G253" s="56">
        <v>45398</v>
      </c>
      <c r="H253">
        <v>22</v>
      </c>
      <c r="I253" t="s">
        <v>209</v>
      </c>
      <c r="J253" s="56"/>
    </row>
    <row r="254" spans="1:10" x14ac:dyDescent="0.25">
      <c r="A254" t="s">
        <v>600</v>
      </c>
      <c r="B254" t="s">
        <v>40</v>
      </c>
      <c r="C254">
        <v>60976055</v>
      </c>
      <c r="D254" t="s">
        <v>125</v>
      </c>
      <c r="E254" t="s">
        <v>518</v>
      </c>
      <c r="F254" t="s">
        <v>595</v>
      </c>
      <c r="G254" s="56">
        <v>45433</v>
      </c>
      <c r="H254">
        <v>21</v>
      </c>
      <c r="I254" t="s">
        <v>175</v>
      </c>
      <c r="J254" s="56"/>
    </row>
    <row r="255" spans="1:10" x14ac:dyDescent="0.25">
      <c r="A255" t="s">
        <v>600</v>
      </c>
      <c r="B255" t="s">
        <v>81</v>
      </c>
      <c r="C255">
        <v>72716299</v>
      </c>
      <c r="D255" t="s">
        <v>6</v>
      </c>
      <c r="E255" t="s">
        <v>518</v>
      </c>
      <c r="F255" t="s">
        <v>595</v>
      </c>
      <c r="G255" s="56">
        <v>45511</v>
      </c>
      <c r="H255">
        <v>19</v>
      </c>
      <c r="I255" t="s">
        <v>159</v>
      </c>
      <c r="J255" s="56"/>
    </row>
    <row r="256" spans="1:10" x14ac:dyDescent="0.25">
      <c r="A256" t="s">
        <v>600</v>
      </c>
      <c r="B256" t="s">
        <v>32</v>
      </c>
      <c r="C256">
        <v>48584670</v>
      </c>
      <c r="D256" t="s">
        <v>3</v>
      </c>
      <c r="E256" t="s">
        <v>518</v>
      </c>
      <c r="F256" t="s">
        <v>595</v>
      </c>
      <c r="G256" s="56">
        <v>45526</v>
      </c>
      <c r="H256">
        <v>18</v>
      </c>
      <c r="I256" t="s">
        <v>159</v>
      </c>
      <c r="J256" s="56"/>
    </row>
    <row r="257" spans="1:10" x14ac:dyDescent="0.25">
      <c r="A257" t="s">
        <v>600</v>
      </c>
      <c r="B257" t="s">
        <v>51</v>
      </c>
      <c r="C257">
        <v>76089925</v>
      </c>
      <c r="D257" t="s">
        <v>125</v>
      </c>
      <c r="E257" t="s">
        <v>518</v>
      </c>
      <c r="F257" t="s">
        <v>595</v>
      </c>
      <c r="G257" s="56">
        <v>45678</v>
      </c>
      <c r="H257">
        <v>13</v>
      </c>
      <c r="I257" t="s">
        <v>175</v>
      </c>
      <c r="J257" s="56"/>
    </row>
    <row r="258" spans="1:10" x14ac:dyDescent="0.25">
      <c r="A258" t="s">
        <v>600</v>
      </c>
      <c r="B258" t="s">
        <v>72</v>
      </c>
      <c r="C258">
        <v>47690367</v>
      </c>
      <c r="D258" t="s">
        <v>4</v>
      </c>
      <c r="E258" t="s">
        <v>518</v>
      </c>
      <c r="F258" t="s">
        <v>595</v>
      </c>
      <c r="G258" s="56">
        <v>45691</v>
      </c>
      <c r="H258">
        <v>13</v>
      </c>
      <c r="I258" t="s">
        <v>159</v>
      </c>
      <c r="J258" s="56"/>
    </row>
    <row r="259" spans="1:10" x14ac:dyDescent="0.25">
      <c r="A259" t="s">
        <v>600</v>
      </c>
      <c r="B259" t="s">
        <v>50</v>
      </c>
      <c r="C259">
        <v>72733809</v>
      </c>
      <c r="D259" t="s">
        <v>6</v>
      </c>
      <c r="E259" t="s">
        <v>518</v>
      </c>
      <c r="F259" t="s">
        <v>595</v>
      </c>
      <c r="G259" s="56">
        <v>45789</v>
      </c>
      <c r="H259">
        <v>9</v>
      </c>
      <c r="I259" t="s">
        <v>159</v>
      </c>
      <c r="J259" s="56"/>
    </row>
    <row r="260" spans="1:10" x14ac:dyDescent="0.25">
      <c r="A260" t="s">
        <v>600</v>
      </c>
      <c r="B260" t="s">
        <v>38</v>
      </c>
      <c r="C260">
        <v>47411966</v>
      </c>
      <c r="D260" t="s">
        <v>2</v>
      </c>
      <c r="E260" t="s">
        <v>518</v>
      </c>
      <c r="F260" t="s">
        <v>595</v>
      </c>
      <c r="G260" s="56">
        <v>45800</v>
      </c>
      <c r="H260">
        <v>9</v>
      </c>
      <c r="I260" t="s">
        <v>209</v>
      </c>
      <c r="J260" s="56"/>
    </row>
    <row r="261" spans="1:10" x14ac:dyDescent="0.25">
      <c r="A261" t="s">
        <v>600</v>
      </c>
      <c r="B261" t="s">
        <v>55</v>
      </c>
      <c r="C261">
        <v>45119892</v>
      </c>
      <c r="D261" t="s">
        <v>125</v>
      </c>
      <c r="E261" t="s">
        <v>518</v>
      </c>
      <c r="F261" t="s">
        <v>595</v>
      </c>
      <c r="G261" s="56">
        <v>45813</v>
      </c>
      <c r="H261">
        <v>9</v>
      </c>
      <c r="I261" t="s">
        <v>175</v>
      </c>
      <c r="J261" s="56"/>
    </row>
    <row r="262" spans="1:10" x14ac:dyDescent="0.25">
      <c r="A262" t="s">
        <v>600</v>
      </c>
      <c r="B262" t="s">
        <v>60</v>
      </c>
      <c r="C262">
        <v>72839865</v>
      </c>
      <c r="D262" t="s">
        <v>4</v>
      </c>
      <c r="E262" t="s">
        <v>518</v>
      </c>
      <c r="F262" t="s">
        <v>595</v>
      </c>
      <c r="G262" s="56">
        <v>45854</v>
      </c>
      <c r="H262">
        <v>7</v>
      </c>
      <c r="I262" t="s">
        <v>159</v>
      </c>
      <c r="J262" s="56"/>
    </row>
    <row r="263" spans="1:10" x14ac:dyDescent="0.25">
      <c r="A263" t="s">
        <v>600</v>
      </c>
      <c r="B263" t="s">
        <v>96</v>
      </c>
      <c r="C263">
        <v>46793103</v>
      </c>
      <c r="D263" t="s">
        <v>3</v>
      </c>
      <c r="E263" t="s">
        <v>518</v>
      </c>
      <c r="F263" t="s">
        <v>595</v>
      </c>
      <c r="G263" s="56">
        <v>45882</v>
      </c>
      <c r="H263">
        <v>6</v>
      </c>
      <c r="I263" t="s">
        <v>159</v>
      </c>
      <c r="J263" s="56"/>
    </row>
    <row r="264" spans="1:10" x14ac:dyDescent="0.25">
      <c r="A264" t="s">
        <v>600</v>
      </c>
      <c r="B264" t="s">
        <v>97</v>
      </c>
      <c r="C264">
        <v>74602206</v>
      </c>
      <c r="D264" t="s">
        <v>125</v>
      </c>
      <c r="E264" t="s">
        <v>518</v>
      </c>
      <c r="F264" t="s">
        <v>595</v>
      </c>
      <c r="G264" s="56">
        <v>45884</v>
      </c>
      <c r="H264">
        <v>6</v>
      </c>
      <c r="I264" t="s">
        <v>175</v>
      </c>
      <c r="J264" s="56"/>
    </row>
    <row r="265" spans="1:10" x14ac:dyDescent="0.25">
      <c r="A265" t="s">
        <v>600</v>
      </c>
      <c r="B265" t="s">
        <v>122</v>
      </c>
      <c r="C265">
        <v>76586998</v>
      </c>
      <c r="D265" t="s">
        <v>4</v>
      </c>
      <c r="E265" t="s">
        <v>518</v>
      </c>
      <c r="F265" t="s">
        <v>595</v>
      </c>
      <c r="G265" s="56">
        <v>45971</v>
      </c>
      <c r="H265">
        <v>4</v>
      </c>
      <c r="I265" t="s">
        <v>159</v>
      </c>
      <c r="J265" s="56"/>
    </row>
    <row r="266" spans="1:10" x14ac:dyDescent="0.25">
      <c r="A266" t="s">
        <v>600</v>
      </c>
      <c r="B266" t="s">
        <v>174</v>
      </c>
      <c r="C266">
        <v>46994661</v>
      </c>
      <c r="D266" t="s">
        <v>125</v>
      </c>
      <c r="E266" t="s">
        <v>518</v>
      </c>
      <c r="F266" t="s">
        <v>595</v>
      </c>
      <c r="G266" s="56">
        <v>45992</v>
      </c>
      <c r="H266">
        <v>3</v>
      </c>
      <c r="I266" t="s">
        <v>175</v>
      </c>
      <c r="J266" s="56"/>
    </row>
    <row r="267" spans="1:10" x14ac:dyDescent="0.25">
      <c r="A267" t="s">
        <v>600</v>
      </c>
      <c r="B267" t="s">
        <v>206</v>
      </c>
      <c r="C267">
        <v>47497410</v>
      </c>
      <c r="D267" t="s">
        <v>4</v>
      </c>
      <c r="E267" t="s">
        <v>518</v>
      </c>
      <c r="F267" t="s">
        <v>595</v>
      </c>
      <c r="G267" s="56">
        <v>46024</v>
      </c>
      <c r="H267">
        <v>2</v>
      </c>
      <c r="I267" t="s">
        <v>159</v>
      </c>
      <c r="J267" s="56"/>
    </row>
    <row r="268" spans="1:10" x14ac:dyDescent="0.25">
      <c r="A268" t="s">
        <v>600</v>
      </c>
      <c r="B268" t="s">
        <v>109</v>
      </c>
      <c r="C268">
        <v>74626735</v>
      </c>
      <c r="D268" t="s">
        <v>125</v>
      </c>
      <c r="E268" t="s">
        <v>518</v>
      </c>
      <c r="F268" t="s">
        <v>595</v>
      </c>
      <c r="G268" s="56">
        <v>46024</v>
      </c>
      <c r="H268">
        <v>2</v>
      </c>
      <c r="I268" t="s">
        <v>175</v>
      </c>
      <c r="J268" s="56"/>
    </row>
    <row r="269" spans="1:10" x14ac:dyDescent="0.25">
      <c r="A269" t="s">
        <v>600</v>
      </c>
      <c r="B269" t="s">
        <v>105</v>
      </c>
      <c r="C269">
        <v>48344037</v>
      </c>
      <c r="D269" t="s">
        <v>6</v>
      </c>
      <c r="E269" t="s">
        <v>518</v>
      </c>
      <c r="F269" t="s">
        <v>595</v>
      </c>
      <c r="G269" s="56">
        <v>46027</v>
      </c>
      <c r="H269">
        <v>2</v>
      </c>
      <c r="I269" t="s">
        <v>159</v>
      </c>
      <c r="J269" s="56"/>
    </row>
    <row r="270" spans="1:10" x14ac:dyDescent="0.25">
      <c r="A270" t="s">
        <v>600</v>
      </c>
      <c r="B270" t="s">
        <v>207</v>
      </c>
      <c r="C270">
        <v>75069320</v>
      </c>
      <c r="D270" t="s">
        <v>125</v>
      </c>
      <c r="E270" t="s">
        <v>518</v>
      </c>
      <c r="F270" t="s">
        <v>595</v>
      </c>
      <c r="G270" s="56">
        <v>46029</v>
      </c>
      <c r="H270">
        <v>2</v>
      </c>
      <c r="I270" t="s">
        <v>175</v>
      </c>
      <c r="J270" s="56"/>
    </row>
    <row r="271" spans="1:10" x14ac:dyDescent="0.25">
      <c r="A271" t="s">
        <v>600</v>
      </c>
      <c r="B271" t="s">
        <v>393</v>
      </c>
      <c r="C271">
        <v>44883074</v>
      </c>
      <c r="D271" t="s">
        <v>125</v>
      </c>
      <c r="E271" t="s">
        <v>518</v>
      </c>
      <c r="F271" t="s">
        <v>595</v>
      </c>
      <c r="G271" s="56">
        <v>46038</v>
      </c>
      <c r="H271">
        <v>1</v>
      </c>
      <c r="I271" t="s">
        <v>175</v>
      </c>
      <c r="J271" s="56"/>
    </row>
    <row r="272" spans="1:10" x14ac:dyDescent="0.25">
      <c r="A272" t="s">
        <v>600</v>
      </c>
      <c r="B272" t="s">
        <v>514</v>
      </c>
      <c r="C272">
        <v>9668687</v>
      </c>
      <c r="D272" t="s">
        <v>125</v>
      </c>
      <c r="E272" t="s">
        <v>518</v>
      </c>
      <c r="F272" t="s">
        <v>595</v>
      </c>
      <c r="G272" s="56">
        <v>46041</v>
      </c>
      <c r="H272">
        <v>1</v>
      </c>
      <c r="I272" t="s">
        <v>175</v>
      </c>
      <c r="J272" s="56"/>
    </row>
    <row r="273" spans="1:10" x14ac:dyDescent="0.25">
      <c r="A273" t="s">
        <v>600</v>
      </c>
      <c r="B273" t="s">
        <v>510</v>
      </c>
      <c r="C273">
        <v>75026229</v>
      </c>
      <c r="D273" t="s">
        <v>125</v>
      </c>
      <c r="E273" t="s">
        <v>518</v>
      </c>
      <c r="F273" t="s">
        <v>595</v>
      </c>
      <c r="G273" s="56">
        <v>46052</v>
      </c>
      <c r="H273">
        <v>1</v>
      </c>
      <c r="I273" t="s">
        <v>175</v>
      </c>
      <c r="J273" s="56"/>
    </row>
    <row r="274" spans="1:10" x14ac:dyDescent="0.25">
      <c r="A274" t="s">
        <v>600</v>
      </c>
      <c r="B274" t="s">
        <v>512</v>
      </c>
      <c r="C274">
        <v>62792399</v>
      </c>
      <c r="D274" t="s">
        <v>125</v>
      </c>
      <c r="E274" t="s">
        <v>518</v>
      </c>
      <c r="F274" t="s">
        <v>595</v>
      </c>
      <c r="G274" s="56">
        <v>46052</v>
      </c>
      <c r="H274">
        <v>1</v>
      </c>
      <c r="I274" t="s">
        <v>175</v>
      </c>
      <c r="J274" s="56"/>
    </row>
    <row r="275" spans="1:10" x14ac:dyDescent="0.25">
      <c r="A275" t="s">
        <v>601</v>
      </c>
      <c r="B275" t="s">
        <v>219</v>
      </c>
      <c r="C275">
        <v>74122258</v>
      </c>
      <c r="D275" t="s">
        <v>6</v>
      </c>
      <c r="E275" t="s">
        <v>133</v>
      </c>
      <c r="F275" t="s">
        <v>595</v>
      </c>
      <c r="G275" s="56">
        <v>44022</v>
      </c>
      <c r="H275">
        <v>68</v>
      </c>
      <c r="I275" t="s">
        <v>209</v>
      </c>
      <c r="J275" s="56"/>
    </row>
    <row r="276" spans="1:10" x14ac:dyDescent="0.25">
      <c r="A276" t="s">
        <v>601</v>
      </c>
      <c r="B276" t="s">
        <v>248</v>
      </c>
      <c r="C276">
        <v>44265602</v>
      </c>
      <c r="D276" t="s">
        <v>2</v>
      </c>
      <c r="E276" t="s">
        <v>133</v>
      </c>
      <c r="F276" t="s">
        <v>595</v>
      </c>
      <c r="G276" s="56">
        <v>44673</v>
      </c>
      <c r="H276">
        <v>46</v>
      </c>
      <c r="I276" t="s">
        <v>209</v>
      </c>
      <c r="J276" s="56"/>
    </row>
    <row r="277" spans="1:10" x14ac:dyDescent="0.25">
      <c r="A277" t="s">
        <v>601</v>
      </c>
      <c r="B277" t="s">
        <v>226</v>
      </c>
      <c r="C277">
        <v>73049631</v>
      </c>
      <c r="D277" t="s">
        <v>3</v>
      </c>
      <c r="E277" t="s">
        <v>133</v>
      </c>
      <c r="F277" t="s">
        <v>595</v>
      </c>
      <c r="G277" s="56">
        <v>43506</v>
      </c>
      <c r="H277">
        <v>85</v>
      </c>
      <c r="I277" t="s">
        <v>159</v>
      </c>
      <c r="J277" s="56"/>
    </row>
    <row r="278" spans="1:10" x14ac:dyDescent="0.25">
      <c r="A278" t="s">
        <v>601</v>
      </c>
      <c r="B278" t="s">
        <v>222</v>
      </c>
      <c r="C278">
        <v>75000131</v>
      </c>
      <c r="D278" t="s">
        <v>125</v>
      </c>
      <c r="E278" t="s">
        <v>133</v>
      </c>
      <c r="F278" t="s">
        <v>595</v>
      </c>
      <c r="G278" s="56">
        <v>44874</v>
      </c>
      <c r="H278">
        <v>40</v>
      </c>
      <c r="I278" t="s">
        <v>159</v>
      </c>
      <c r="J278" s="56"/>
    </row>
    <row r="279" spans="1:10" x14ac:dyDescent="0.25">
      <c r="A279" t="s">
        <v>601</v>
      </c>
      <c r="B279" t="s">
        <v>602</v>
      </c>
      <c r="C279">
        <v>73930771</v>
      </c>
      <c r="D279" t="s">
        <v>124</v>
      </c>
      <c r="E279" t="s">
        <v>133</v>
      </c>
      <c r="F279" t="s">
        <v>595</v>
      </c>
      <c r="G279" s="56">
        <v>44459</v>
      </c>
      <c r="H279">
        <v>53</v>
      </c>
      <c r="I279" t="s">
        <v>175</v>
      </c>
      <c r="J279" s="56"/>
    </row>
    <row r="280" spans="1:10" x14ac:dyDescent="0.25">
      <c r="A280" t="s">
        <v>601</v>
      </c>
      <c r="B280" t="s">
        <v>58</v>
      </c>
      <c r="C280">
        <v>72519113</v>
      </c>
      <c r="D280" t="s">
        <v>124</v>
      </c>
      <c r="E280" t="s">
        <v>518</v>
      </c>
      <c r="F280" t="s">
        <v>595</v>
      </c>
      <c r="G280" s="56">
        <v>43119</v>
      </c>
      <c r="H280">
        <v>97</v>
      </c>
      <c r="I280" t="s">
        <v>175</v>
      </c>
      <c r="J280" s="56"/>
    </row>
    <row r="281" spans="1:10" x14ac:dyDescent="0.25">
      <c r="A281" t="s">
        <v>601</v>
      </c>
      <c r="B281" t="s">
        <v>49</v>
      </c>
      <c r="C281">
        <v>40702064</v>
      </c>
      <c r="D281" t="s">
        <v>124</v>
      </c>
      <c r="E281" t="s">
        <v>518</v>
      </c>
      <c r="F281" t="s">
        <v>595</v>
      </c>
      <c r="G281" s="56">
        <v>43313</v>
      </c>
      <c r="H281">
        <v>91</v>
      </c>
      <c r="I281" t="s">
        <v>175</v>
      </c>
      <c r="J281" s="56"/>
    </row>
    <row r="282" spans="1:10" x14ac:dyDescent="0.25">
      <c r="A282" t="s">
        <v>601</v>
      </c>
      <c r="B282" t="s">
        <v>48</v>
      </c>
      <c r="C282">
        <v>43307898</v>
      </c>
      <c r="D282" t="s">
        <v>124</v>
      </c>
      <c r="E282" t="s">
        <v>518</v>
      </c>
      <c r="F282" t="s">
        <v>595</v>
      </c>
      <c r="G282" s="56">
        <v>44746</v>
      </c>
      <c r="H282">
        <v>44</v>
      </c>
      <c r="I282" t="s">
        <v>175</v>
      </c>
      <c r="J282" s="56"/>
    </row>
    <row r="283" spans="1:10" x14ac:dyDescent="0.25">
      <c r="A283" t="s">
        <v>601</v>
      </c>
      <c r="B283" t="s">
        <v>77</v>
      </c>
      <c r="C283">
        <v>42251780</v>
      </c>
      <c r="D283" t="s">
        <v>124</v>
      </c>
      <c r="E283" t="s">
        <v>518</v>
      </c>
      <c r="F283" t="s">
        <v>595</v>
      </c>
      <c r="G283" s="56">
        <v>44838</v>
      </c>
      <c r="H283">
        <v>41</v>
      </c>
      <c r="I283" t="s">
        <v>175</v>
      </c>
      <c r="J283" s="56"/>
    </row>
    <row r="284" spans="1:10" x14ac:dyDescent="0.25">
      <c r="A284" t="s">
        <v>601</v>
      </c>
      <c r="B284" t="s">
        <v>73</v>
      </c>
      <c r="C284">
        <v>40318129</v>
      </c>
      <c r="D284" t="s">
        <v>124</v>
      </c>
      <c r="E284" t="s">
        <v>518</v>
      </c>
      <c r="F284" t="s">
        <v>595</v>
      </c>
      <c r="G284" s="56">
        <v>45141</v>
      </c>
      <c r="H284">
        <v>31</v>
      </c>
      <c r="I284" t="s">
        <v>175</v>
      </c>
      <c r="J284" s="56"/>
    </row>
    <row r="285" spans="1:10" x14ac:dyDescent="0.25">
      <c r="A285" t="s">
        <v>601</v>
      </c>
      <c r="B285" t="s">
        <v>41</v>
      </c>
      <c r="C285">
        <v>46461021</v>
      </c>
      <c r="D285" t="s">
        <v>124</v>
      </c>
      <c r="E285" t="s">
        <v>517</v>
      </c>
      <c r="F285" t="s">
        <v>595</v>
      </c>
      <c r="G285" s="56">
        <v>45302</v>
      </c>
      <c r="H285">
        <v>26</v>
      </c>
      <c r="I285" t="s">
        <v>175</v>
      </c>
      <c r="J285" s="56"/>
    </row>
    <row r="286" spans="1:10" x14ac:dyDescent="0.25">
      <c r="A286" t="s">
        <v>601</v>
      </c>
      <c r="B286" t="s">
        <v>51</v>
      </c>
      <c r="C286">
        <v>76089925</v>
      </c>
      <c r="D286" t="s">
        <v>124</v>
      </c>
      <c r="E286" t="s">
        <v>518</v>
      </c>
      <c r="F286" t="s">
        <v>595</v>
      </c>
      <c r="G286" s="56">
        <v>45678</v>
      </c>
      <c r="H286">
        <v>13</v>
      </c>
      <c r="I286" t="s">
        <v>175</v>
      </c>
      <c r="J286" s="56"/>
    </row>
    <row r="287" spans="1:10" x14ac:dyDescent="0.25">
      <c r="A287" t="s">
        <v>601</v>
      </c>
      <c r="B287" t="s">
        <v>55</v>
      </c>
      <c r="C287">
        <v>45119892</v>
      </c>
      <c r="D287" t="s">
        <v>124</v>
      </c>
      <c r="E287" t="s">
        <v>518</v>
      </c>
      <c r="F287" t="s">
        <v>595</v>
      </c>
      <c r="G287" s="56">
        <v>45813</v>
      </c>
      <c r="H287">
        <v>9</v>
      </c>
      <c r="I287" t="s">
        <v>175</v>
      </c>
      <c r="J287" s="56"/>
    </row>
    <row r="288" spans="1:10" x14ac:dyDescent="0.25">
      <c r="A288" t="s">
        <v>601</v>
      </c>
      <c r="B288" t="s">
        <v>40</v>
      </c>
      <c r="C288">
        <v>60976055</v>
      </c>
      <c r="D288" t="s">
        <v>124</v>
      </c>
      <c r="E288" t="s">
        <v>597</v>
      </c>
      <c r="F288" t="s">
        <v>595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601</v>
      </c>
      <c r="B289" t="s">
        <v>174</v>
      </c>
      <c r="C289">
        <v>46994661</v>
      </c>
      <c r="D289" t="s">
        <v>124</v>
      </c>
      <c r="E289" t="s">
        <v>518</v>
      </c>
      <c r="F289" t="s">
        <v>595</v>
      </c>
      <c r="G289" s="56">
        <v>45992</v>
      </c>
      <c r="H289">
        <v>3</v>
      </c>
      <c r="I289" t="s">
        <v>175</v>
      </c>
      <c r="J289" s="56"/>
    </row>
    <row r="290" spans="1:10" x14ac:dyDescent="0.25">
      <c r="A290" t="s">
        <v>601</v>
      </c>
      <c r="B290" t="s">
        <v>510</v>
      </c>
      <c r="C290">
        <v>75026229</v>
      </c>
      <c r="D290" t="s">
        <v>124</v>
      </c>
      <c r="E290" t="s">
        <v>518</v>
      </c>
      <c r="F290" t="s">
        <v>595</v>
      </c>
      <c r="G290" s="56">
        <v>46052</v>
      </c>
      <c r="H290">
        <v>1</v>
      </c>
      <c r="I290" t="s">
        <v>175</v>
      </c>
      <c r="J290" s="56"/>
    </row>
    <row r="291" spans="1:10" x14ac:dyDescent="0.25">
      <c r="A291" t="s">
        <v>601</v>
      </c>
      <c r="B291" t="s">
        <v>512</v>
      </c>
      <c r="C291">
        <v>62792399</v>
      </c>
      <c r="D291" t="s">
        <v>124</v>
      </c>
      <c r="E291" t="s">
        <v>518</v>
      </c>
      <c r="F291" t="s">
        <v>595</v>
      </c>
      <c r="G291" s="56">
        <v>46052</v>
      </c>
      <c r="H291">
        <v>1</v>
      </c>
      <c r="I291" t="s">
        <v>175</v>
      </c>
      <c r="J291" s="56"/>
    </row>
    <row r="292" spans="1:10" x14ac:dyDescent="0.25">
      <c r="A292" t="s">
        <v>601</v>
      </c>
      <c r="B292" t="s">
        <v>561</v>
      </c>
      <c r="C292">
        <v>75197920</v>
      </c>
      <c r="D292" t="s">
        <v>124</v>
      </c>
      <c r="E292" t="s">
        <v>597</v>
      </c>
      <c r="F292" t="s">
        <v>595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601</v>
      </c>
      <c r="B293" t="s">
        <v>10</v>
      </c>
      <c r="C293">
        <v>40980108</v>
      </c>
      <c r="D293" t="s">
        <v>125</v>
      </c>
      <c r="E293" t="s">
        <v>518</v>
      </c>
      <c r="F293" t="s">
        <v>595</v>
      </c>
      <c r="G293" s="56">
        <v>44704</v>
      </c>
      <c r="H293">
        <v>45</v>
      </c>
      <c r="I293" t="s">
        <v>159</v>
      </c>
      <c r="J293" s="56"/>
    </row>
    <row r="294" spans="1:10" x14ac:dyDescent="0.25">
      <c r="A294" t="s">
        <v>601</v>
      </c>
      <c r="B294" t="s">
        <v>75</v>
      </c>
      <c r="C294">
        <v>71264767</v>
      </c>
      <c r="D294" t="s">
        <v>125</v>
      </c>
      <c r="E294" t="s">
        <v>518</v>
      </c>
      <c r="F294" t="s">
        <v>595</v>
      </c>
      <c r="G294" s="56">
        <v>44714</v>
      </c>
      <c r="H294">
        <v>45</v>
      </c>
      <c r="I294" t="s">
        <v>159</v>
      </c>
      <c r="J294" s="56"/>
    </row>
    <row r="295" spans="1:10" x14ac:dyDescent="0.25">
      <c r="A295" t="s">
        <v>601</v>
      </c>
      <c r="B295" t="s">
        <v>12</v>
      </c>
      <c r="C295">
        <v>45262585</v>
      </c>
      <c r="D295" t="s">
        <v>125</v>
      </c>
      <c r="E295" t="s">
        <v>518</v>
      </c>
      <c r="F295" t="s">
        <v>595</v>
      </c>
      <c r="G295" s="56">
        <v>44868</v>
      </c>
      <c r="H295">
        <v>40</v>
      </c>
      <c r="I295" t="s">
        <v>159</v>
      </c>
      <c r="J295" s="56"/>
    </row>
    <row r="296" spans="1:10" x14ac:dyDescent="0.25">
      <c r="A296" t="s">
        <v>601</v>
      </c>
      <c r="B296" t="s">
        <v>61</v>
      </c>
      <c r="C296">
        <v>44001162</v>
      </c>
      <c r="D296" t="s">
        <v>125</v>
      </c>
      <c r="E296" t="s">
        <v>518</v>
      </c>
      <c r="F296" t="s">
        <v>595</v>
      </c>
      <c r="G296" s="56">
        <v>44907</v>
      </c>
      <c r="H296">
        <v>38</v>
      </c>
      <c r="I296" t="s">
        <v>159</v>
      </c>
      <c r="J296" s="56"/>
    </row>
    <row r="297" spans="1:10" x14ac:dyDescent="0.25">
      <c r="A297" t="s">
        <v>601</v>
      </c>
      <c r="B297" t="s">
        <v>18</v>
      </c>
      <c r="C297">
        <v>76214436</v>
      </c>
      <c r="D297" t="s">
        <v>125</v>
      </c>
      <c r="E297" t="s">
        <v>518</v>
      </c>
      <c r="F297" t="s">
        <v>595</v>
      </c>
      <c r="G297" s="56">
        <v>45132</v>
      </c>
      <c r="H297">
        <v>31</v>
      </c>
      <c r="I297" t="s">
        <v>159</v>
      </c>
      <c r="J297" s="56"/>
    </row>
    <row r="298" spans="1:10" x14ac:dyDescent="0.25">
      <c r="A298" t="s">
        <v>601</v>
      </c>
      <c r="B298" t="s">
        <v>59</v>
      </c>
      <c r="C298">
        <v>60870839</v>
      </c>
      <c r="D298" t="s">
        <v>125</v>
      </c>
      <c r="E298" t="s">
        <v>518</v>
      </c>
      <c r="F298" t="s">
        <v>595</v>
      </c>
      <c r="G298" s="56">
        <v>45344</v>
      </c>
      <c r="H298">
        <v>24</v>
      </c>
      <c r="I298" t="s">
        <v>159</v>
      </c>
      <c r="J298" s="56"/>
    </row>
    <row r="299" spans="1:10" x14ac:dyDescent="0.25">
      <c r="A299" t="s">
        <v>601</v>
      </c>
      <c r="B299" t="s">
        <v>72</v>
      </c>
      <c r="C299">
        <v>47690367</v>
      </c>
      <c r="D299" t="s">
        <v>125</v>
      </c>
      <c r="E299" t="s">
        <v>517</v>
      </c>
      <c r="F299" t="s">
        <v>595</v>
      </c>
      <c r="G299" s="56">
        <v>45691</v>
      </c>
      <c r="H299">
        <v>13</v>
      </c>
      <c r="I299" t="s">
        <v>159</v>
      </c>
      <c r="J299" s="56"/>
    </row>
    <row r="300" spans="1:10" x14ac:dyDescent="0.25">
      <c r="A300" t="s">
        <v>601</v>
      </c>
      <c r="B300" t="s">
        <v>60</v>
      </c>
      <c r="C300">
        <v>72839865</v>
      </c>
      <c r="D300" t="s">
        <v>125</v>
      </c>
      <c r="E300" t="s">
        <v>518</v>
      </c>
      <c r="F300" t="s">
        <v>595</v>
      </c>
      <c r="G300" s="56">
        <v>45854</v>
      </c>
      <c r="H300">
        <v>7</v>
      </c>
      <c r="I300" t="s">
        <v>159</v>
      </c>
      <c r="J300" s="56"/>
    </row>
    <row r="301" spans="1:10" x14ac:dyDescent="0.25">
      <c r="A301" t="s">
        <v>601</v>
      </c>
      <c r="B301" t="s">
        <v>122</v>
      </c>
      <c r="C301">
        <v>76586998</v>
      </c>
      <c r="D301" t="s">
        <v>125</v>
      </c>
      <c r="E301" t="s">
        <v>518</v>
      </c>
      <c r="F301" t="s">
        <v>595</v>
      </c>
      <c r="G301" s="56">
        <v>45971</v>
      </c>
      <c r="H301">
        <v>4</v>
      </c>
      <c r="I301" t="s">
        <v>159</v>
      </c>
      <c r="J301" s="56"/>
    </row>
    <row r="302" spans="1:10" x14ac:dyDescent="0.25">
      <c r="A302" t="s">
        <v>601</v>
      </c>
      <c r="B302" t="s">
        <v>109</v>
      </c>
      <c r="C302">
        <v>74626735</v>
      </c>
      <c r="D302" t="s">
        <v>125</v>
      </c>
      <c r="E302" t="s">
        <v>518</v>
      </c>
      <c r="F302" t="s">
        <v>595</v>
      </c>
      <c r="G302" s="56">
        <v>46024</v>
      </c>
      <c r="H302">
        <v>2</v>
      </c>
      <c r="I302" t="s">
        <v>159</v>
      </c>
      <c r="J302" s="56"/>
    </row>
    <row r="303" spans="1:10" x14ac:dyDescent="0.25">
      <c r="A303" t="s">
        <v>601</v>
      </c>
      <c r="B303" t="s">
        <v>206</v>
      </c>
      <c r="C303">
        <v>47497410</v>
      </c>
      <c r="D303" t="s">
        <v>125</v>
      </c>
      <c r="E303" t="s">
        <v>518</v>
      </c>
      <c r="F303" t="s">
        <v>595</v>
      </c>
      <c r="G303" s="56">
        <v>46024</v>
      </c>
      <c r="H303">
        <v>2</v>
      </c>
      <c r="I303" t="s">
        <v>159</v>
      </c>
      <c r="J303" s="56"/>
    </row>
    <row r="304" spans="1:10" x14ac:dyDescent="0.25">
      <c r="A304" t="s">
        <v>601</v>
      </c>
      <c r="B304" t="s">
        <v>85</v>
      </c>
      <c r="C304">
        <v>70477743</v>
      </c>
      <c r="D304" t="s">
        <v>125</v>
      </c>
      <c r="E304" t="s">
        <v>518</v>
      </c>
      <c r="F304" t="s">
        <v>595</v>
      </c>
      <c r="G304" s="56">
        <v>46055</v>
      </c>
      <c r="H304">
        <v>1</v>
      </c>
      <c r="I304" t="s">
        <v>159</v>
      </c>
      <c r="J304" s="56"/>
    </row>
    <row r="305" spans="1:10" x14ac:dyDescent="0.25">
      <c r="A305" t="s">
        <v>601</v>
      </c>
      <c r="B305" t="s">
        <v>29</v>
      </c>
      <c r="C305">
        <v>72758956</v>
      </c>
      <c r="D305" t="s">
        <v>2</v>
      </c>
      <c r="E305" t="s">
        <v>518</v>
      </c>
      <c r="F305" t="s">
        <v>595</v>
      </c>
      <c r="G305" s="56">
        <v>44685</v>
      </c>
      <c r="H305">
        <v>46</v>
      </c>
      <c r="I305" t="s">
        <v>209</v>
      </c>
      <c r="J305" s="56"/>
    </row>
    <row r="306" spans="1:10" x14ac:dyDescent="0.25">
      <c r="A306" t="s">
        <v>601</v>
      </c>
      <c r="B306" t="s">
        <v>15</v>
      </c>
      <c r="C306">
        <v>47587400</v>
      </c>
      <c r="D306" t="s">
        <v>2</v>
      </c>
      <c r="E306" t="s">
        <v>518</v>
      </c>
      <c r="F306" t="s">
        <v>595</v>
      </c>
      <c r="G306" s="56">
        <v>44733</v>
      </c>
      <c r="H306">
        <v>44</v>
      </c>
      <c r="I306" t="s">
        <v>209</v>
      </c>
      <c r="J306" s="56"/>
    </row>
    <row r="307" spans="1:10" x14ac:dyDescent="0.25">
      <c r="A307" t="s">
        <v>601</v>
      </c>
      <c r="B307" t="s">
        <v>76</v>
      </c>
      <c r="C307">
        <v>60914051</v>
      </c>
      <c r="D307" t="s">
        <v>2</v>
      </c>
      <c r="E307" t="s">
        <v>518</v>
      </c>
      <c r="F307" t="s">
        <v>595</v>
      </c>
      <c r="G307" s="56">
        <v>44817</v>
      </c>
      <c r="H307">
        <v>41</v>
      </c>
      <c r="I307" t="s">
        <v>209</v>
      </c>
      <c r="J307" s="56"/>
    </row>
    <row r="308" spans="1:10" x14ac:dyDescent="0.25">
      <c r="A308" t="s">
        <v>601</v>
      </c>
      <c r="B308" t="s">
        <v>25</v>
      </c>
      <c r="C308">
        <v>72373931</v>
      </c>
      <c r="D308" t="s">
        <v>2</v>
      </c>
      <c r="E308" t="s">
        <v>518</v>
      </c>
      <c r="F308" t="s">
        <v>595</v>
      </c>
      <c r="G308" s="56">
        <v>44818</v>
      </c>
      <c r="H308">
        <v>41</v>
      </c>
      <c r="I308" t="s">
        <v>209</v>
      </c>
      <c r="J308" s="56"/>
    </row>
    <row r="309" spans="1:10" x14ac:dyDescent="0.25">
      <c r="A309" t="s">
        <v>601</v>
      </c>
      <c r="B309" t="s">
        <v>79</v>
      </c>
      <c r="C309">
        <v>71262377</v>
      </c>
      <c r="D309" t="s">
        <v>2</v>
      </c>
      <c r="E309" t="s">
        <v>518</v>
      </c>
      <c r="F309" t="s">
        <v>595</v>
      </c>
      <c r="G309" s="56">
        <v>45145</v>
      </c>
      <c r="H309">
        <v>31</v>
      </c>
      <c r="I309" t="s">
        <v>209</v>
      </c>
      <c r="J309" s="56"/>
    </row>
    <row r="310" spans="1:10" x14ac:dyDescent="0.25">
      <c r="A310" t="s">
        <v>601</v>
      </c>
      <c r="B310" t="s">
        <v>68</v>
      </c>
      <c r="C310">
        <v>73257316</v>
      </c>
      <c r="D310" t="s">
        <v>2</v>
      </c>
      <c r="E310" t="s">
        <v>517</v>
      </c>
      <c r="F310" t="s">
        <v>595</v>
      </c>
      <c r="G310" s="56">
        <v>45363</v>
      </c>
      <c r="H310">
        <v>23</v>
      </c>
      <c r="I310" t="s">
        <v>209</v>
      </c>
      <c r="J310" s="56"/>
    </row>
    <row r="311" spans="1:10" x14ac:dyDescent="0.25">
      <c r="A311" t="s">
        <v>601</v>
      </c>
      <c r="B311" t="s">
        <v>42</v>
      </c>
      <c r="C311">
        <v>73725129</v>
      </c>
      <c r="D311" t="s">
        <v>2</v>
      </c>
      <c r="E311" t="s">
        <v>518</v>
      </c>
      <c r="F311" t="s">
        <v>595</v>
      </c>
      <c r="G311" s="56">
        <v>45398</v>
      </c>
      <c r="H311">
        <v>22</v>
      </c>
      <c r="I311" t="s">
        <v>209</v>
      </c>
      <c r="J311" s="56"/>
    </row>
    <row r="312" spans="1:10" x14ac:dyDescent="0.25">
      <c r="A312" t="s">
        <v>601</v>
      </c>
      <c r="B312" t="s">
        <v>38</v>
      </c>
      <c r="C312">
        <v>47411966</v>
      </c>
      <c r="D312" t="s">
        <v>2</v>
      </c>
      <c r="E312" t="s">
        <v>518</v>
      </c>
      <c r="F312" t="s">
        <v>595</v>
      </c>
      <c r="G312" s="56">
        <v>45800</v>
      </c>
      <c r="H312">
        <v>9</v>
      </c>
      <c r="I312" t="s">
        <v>209</v>
      </c>
      <c r="J312" s="56"/>
    </row>
    <row r="313" spans="1:10" x14ac:dyDescent="0.25">
      <c r="A313" t="s">
        <v>601</v>
      </c>
      <c r="B313" t="s">
        <v>26</v>
      </c>
      <c r="C313">
        <v>41005089</v>
      </c>
      <c r="D313" t="s">
        <v>6</v>
      </c>
      <c r="E313" t="s">
        <v>518</v>
      </c>
      <c r="F313" t="s">
        <v>595</v>
      </c>
      <c r="G313" s="56">
        <v>44257</v>
      </c>
      <c r="H313">
        <v>60</v>
      </c>
      <c r="I313" t="s">
        <v>603</v>
      </c>
      <c r="J313" s="56"/>
    </row>
    <row r="314" spans="1:10" x14ac:dyDescent="0.25">
      <c r="A314" t="s">
        <v>601</v>
      </c>
      <c r="B314" t="s">
        <v>19</v>
      </c>
      <c r="C314">
        <v>76656128</v>
      </c>
      <c r="D314" t="s">
        <v>6</v>
      </c>
      <c r="E314" t="s">
        <v>518</v>
      </c>
      <c r="F314" t="s">
        <v>595</v>
      </c>
      <c r="G314" s="56">
        <v>44671</v>
      </c>
      <c r="H314">
        <v>46</v>
      </c>
      <c r="I314" t="s">
        <v>603</v>
      </c>
      <c r="J314" s="56"/>
    </row>
    <row r="315" spans="1:10" x14ac:dyDescent="0.25">
      <c r="A315" t="s">
        <v>601</v>
      </c>
      <c r="B315" t="s">
        <v>35</v>
      </c>
      <c r="C315">
        <v>10491198</v>
      </c>
      <c r="D315" t="s">
        <v>6</v>
      </c>
      <c r="E315" t="s">
        <v>518</v>
      </c>
      <c r="F315" t="s">
        <v>595</v>
      </c>
      <c r="G315" s="56">
        <v>44746</v>
      </c>
      <c r="H315">
        <v>44</v>
      </c>
      <c r="I315" t="s">
        <v>604</v>
      </c>
      <c r="J315" s="56"/>
    </row>
    <row r="316" spans="1:10" x14ac:dyDescent="0.25">
      <c r="A316" t="s">
        <v>601</v>
      </c>
      <c r="B316" t="s">
        <v>78</v>
      </c>
      <c r="C316">
        <v>10706451</v>
      </c>
      <c r="D316" t="s">
        <v>6</v>
      </c>
      <c r="E316" t="s">
        <v>518</v>
      </c>
      <c r="F316" t="s">
        <v>595</v>
      </c>
      <c r="G316" s="56">
        <v>44943</v>
      </c>
      <c r="H316">
        <v>37</v>
      </c>
      <c r="I316" t="s">
        <v>604</v>
      </c>
      <c r="J316" s="56"/>
    </row>
    <row r="317" spans="1:10" x14ac:dyDescent="0.25">
      <c r="A317" t="s">
        <v>601</v>
      </c>
      <c r="B317" t="s">
        <v>37</v>
      </c>
      <c r="C317">
        <v>70988976</v>
      </c>
      <c r="D317" t="s">
        <v>6</v>
      </c>
      <c r="E317" t="s">
        <v>518</v>
      </c>
      <c r="F317" t="s">
        <v>595</v>
      </c>
      <c r="G317" s="56">
        <v>45112</v>
      </c>
      <c r="H317">
        <v>32</v>
      </c>
      <c r="I317" t="s">
        <v>604</v>
      </c>
      <c r="J317" s="56"/>
    </row>
    <row r="318" spans="1:10" x14ac:dyDescent="0.25">
      <c r="A318" t="s">
        <v>601</v>
      </c>
      <c r="B318" t="s">
        <v>34</v>
      </c>
      <c r="C318">
        <v>76824571</v>
      </c>
      <c r="D318" t="s">
        <v>6</v>
      </c>
      <c r="E318" t="s">
        <v>518</v>
      </c>
      <c r="F318" t="s">
        <v>595</v>
      </c>
      <c r="G318" s="56">
        <v>45173</v>
      </c>
      <c r="H318">
        <v>30</v>
      </c>
      <c r="I318" t="s">
        <v>603</v>
      </c>
      <c r="J318" s="56"/>
    </row>
    <row r="319" spans="1:10" x14ac:dyDescent="0.25">
      <c r="A319" t="s">
        <v>601</v>
      </c>
      <c r="B319" t="s">
        <v>80</v>
      </c>
      <c r="C319">
        <v>45084594</v>
      </c>
      <c r="D319" t="s">
        <v>6</v>
      </c>
      <c r="E319" t="s">
        <v>518</v>
      </c>
      <c r="F319" t="s">
        <v>595</v>
      </c>
      <c r="G319" s="56">
        <v>45281</v>
      </c>
      <c r="H319">
        <v>26</v>
      </c>
      <c r="I319" t="s">
        <v>603</v>
      </c>
      <c r="J319" s="56"/>
    </row>
    <row r="320" spans="1:10" x14ac:dyDescent="0.25">
      <c r="A320" t="s">
        <v>601</v>
      </c>
      <c r="B320" t="s">
        <v>11</v>
      </c>
      <c r="C320">
        <v>45139159</v>
      </c>
      <c r="D320" t="s">
        <v>6</v>
      </c>
      <c r="E320" t="s">
        <v>517</v>
      </c>
      <c r="F320" t="s">
        <v>595</v>
      </c>
      <c r="G320" s="56">
        <v>45369</v>
      </c>
      <c r="H320">
        <v>23</v>
      </c>
      <c r="I320" t="s">
        <v>603</v>
      </c>
      <c r="J320" s="56"/>
    </row>
    <row r="321" spans="1:10" x14ac:dyDescent="0.25">
      <c r="A321" t="s">
        <v>601</v>
      </c>
      <c r="B321" t="s">
        <v>81</v>
      </c>
      <c r="C321">
        <v>72716299</v>
      </c>
      <c r="D321" t="s">
        <v>6</v>
      </c>
      <c r="E321" t="s">
        <v>518</v>
      </c>
      <c r="F321" t="s">
        <v>595</v>
      </c>
      <c r="G321" s="56">
        <v>45511</v>
      </c>
      <c r="H321">
        <v>19</v>
      </c>
      <c r="I321" t="s">
        <v>603</v>
      </c>
      <c r="J321" s="56"/>
    </row>
    <row r="322" spans="1:10" x14ac:dyDescent="0.25">
      <c r="A322" t="s">
        <v>601</v>
      </c>
      <c r="B322" t="s">
        <v>50</v>
      </c>
      <c r="C322">
        <v>72733809</v>
      </c>
      <c r="D322" t="s">
        <v>6</v>
      </c>
      <c r="E322" t="s">
        <v>518</v>
      </c>
      <c r="F322" t="s">
        <v>595</v>
      </c>
      <c r="G322" s="56">
        <v>45789</v>
      </c>
      <c r="H322">
        <v>9</v>
      </c>
      <c r="I322" t="s">
        <v>603</v>
      </c>
      <c r="J322" s="56"/>
    </row>
    <row r="323" spans="1:10" x14ac:dyDescent="0.25">
      <c r="A323" t="s">
        <v>601</v>
      </c>
      <c r="B323" t="s">
        <v>97</v>
      </c>
      <c r="C323">
        <v>74602206</v>
      </c>
      <c r="D323" t="s">
        <v>6</v>
      </c>
      <c r="E323" t="s">
        <v>518</v>
      </c>
      <c r="F323" t="s">
        <v>595</v>
      </c>
      <c r="G323" s="56">
        <v>45884</v>
      </c>
      <c r="H323">
        <v>6</v>
      </c>
      <c r="I323" t="s">
        <v>604</v>
      </c>
      <c r="J323" s="56"/>
    </row>
    <row r="324" spans="1:10" x14ac:dyDescent="0.25">
      <c r="A324" t="s">
        <v>601</v>
      </c>
      <c r="B324" t="s">
        <v>105</v>
      </c>
      <c r="C324">
        <v>48344037</v>
      </c>
      <c r="D324" t="s">
        <v>6</v>
      </c>
      <c r="E324" t="s">
        <v>518</v>
      </c>
      <c r="F324" t="s">
        <v>595</v>
      </c>
      <c r="G324" s="56">
        <v>46027</v>
      </c>
      <c r="H324">
        <v>2</v>
      </c>
      <c r="I324" t="s">
        <v>603</v>
      </c>
      <c r="J324" s="56"/>
    </row>
    <row r="325" spans="1:10" x14ac:dyDescent="0.25">
      <c r="A325" t="s">
        <v>601</v>
      </c>
      <c r="B325" t="s">
        <v>23</v>
      </c>
      <c r="C325">
        <v>72413556</v>
      </c>
      <c r="D325" t="s">
        <v>3</v>
      </c>
      <c r="E325" t="s">
        <v>518</v>
      </c>
      <c r="F325" t="s">
        <v>595</v>
      </c>
      <c r="G325" s="56">
        <v>44109</v>
      </c>
      <c r="H325">
        <v>65</v>
      </c>
      <c r="I325" t="s">
        <v>159</v>
      </c>
      <c r="J325" s="56"/>
    </row>
    <row r="326" spans="1:10" x14ac:dyDescent="0.25">
      <c r="A326" t="s">
        <v>601</v>
      </c>
      <c r="B326" t="s">
        <v>13</v>
      </c>
      <c r="C326">
        <v>72512391</v>
      </c>
      <c r="D326" t="s">
        <v>3</v>
      </c>
      <c r="E326" t="s">
        <v>518</v>
      </c>
      <c r="F326" t="s">
        <v>595</v>
      </c>
      <c r="G326" s="56">
        <v>44809</v>
      </c>
      <c r="H326">
        <v>42</v>
      </c>
      <c r="I326" t="s">
        <v>159</v>
      </c>
      <c r="J326" s="56"/>
    </row>
    <row r="327" spans="1:10" x14ac:dyDescent="0.25">
      <c r="A327" t="s">
        <v>601</v>
      </c>
      <c r="B327" t="s">
        <v>33</v>
      </c>
      <c r="C327">
        <v>80689573</v>
      </c>
      <c r="D327" t="s">
        <v>3</v>
      </c>
      <c r="E327" t="s">
        <v>518</v>
      </c>
      <c r="F327" t="s">
        <v>595</v>
      </c>
      <c r="G327" s="56">
        <v>44867</v>
      </c>
      <c r="H327">
        <v>40</v>
      </c>
      <c r="I327" t="s">
        <v>159</v>
      </c>
      <c r="J327" s="56"/>
    </row>
    <row r="328" spans="1:10" x14ac:dyDescent="0.25">
      <c r="A328" t="s">
        <v>601</v>
      </c>
      <c r="B328" t="s">
        <v>17</v>
      </c>
      <c r="C328">
        <v>70876605</v>
      </c>
      <c r="D328" t="s">
        <v>3</v>
      </c>
      <c r="E328" t="s">
        <v>518</v>
      </c>
      <c r="F328" t="s">
        <v>595</v>
      </c>
      <c r="G328" s="56">
        <v>44886</v>
      </c>
      <c r="H328">
        <v>39</v>
      </c>
      <c r="I328" t="s">
        <v>159</v>
      </c>
      <c r="J328" s="56"/>
    </row>
    <row r="329" spans="1:10" x14ac:dyDescent="0.25">
      <c r="A329" t="s">
        <v>601</v>
      </c>
      <c r="B329" t="s">
        <v>65</v>
      </c>
      <c r="C329">
        <v>47659267</v>
      </c>
      <c r="D329" t="s">
        <v>3</v>
      </c>
      <c r="E329" t="s">
        <v>518</v>
      </c>
      <c r="F329" t="s">
        <v>595</v>
      </c>
      <c r="G329" s="56">
        <v>45019</v>
      </c>
      <c r="H329">
        <v>35</v>
      </c>
      <c r="I329" t="s">
        <v>159</v>
      </c>
      <c r="J329" s="56"/>
    </row>
    <row r="330" spans="1:10" x14ac:dyDescent="0.25">
      <c r="A330" t="s">
        <v>601</v>
      </c>
      <c r="B330" t="s">
        <v>22</v>
      </c>
      <c r="C330">
        <v>70551168</v>
      </c>
      <c r="D330" t="s">
        <v>3</v>
      </c>
      <c r="E330" t="s">
        <v>518</v>
      </c>
      <c r="F330" t="s">
        <v>595</v>
      </c>
      <c r="G330" s="56">
        <v>45295</v>
      </c>
      <c r="H330">
        <v>26</v>
      </c>
      <c r="I330" t="s">
        <v>159</v>
      </c>
      <c r="J330" s="56"/>
    </row>
    <row r="331" spans="1:10" x14ac:dyDescent="0.25">
      <c r="A331" t="s">
        <v>601</v>
      </c>
      <c r="B331" t="s">
        <v>24</v>
      </c>
      <c r="C331">
        <v>43614775</v>
      </c>
      <c r="D331" t="s">
        <v>3</v>
      </c>
      <c r="E331" t="s">
        <v>517</v>
      </c>
      <c r="F331" t="s">
        <v>595</v>
      </c>
      <c r="G331" s="56">
        <v>45334</v>
      </c>
      <c r="H331">
        <v>24</v>
      </c>
      <c r="I331" t="s">
        <v>159</v>
      </c>
      <c r="J331" s="56"/>
    </row>
    <row r="332" spans="1:10" x14ac:dyDescent="0.25">
      <c r="A332" t="s">
        <v>601</v>
      </c>
      <c r="B332" t="s">
        <v>31</v>
      </c>
      <c r="C332">
        <v>75882265</v>
      </c>
      <c r="D332" t="s">
        <v>3</v>
      </c>
      <c r="E332" t="s">
        <v>597</v>
      </c>
      <c r="F332" t="s">
        <v>595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601</v>
      </c>
      <c r="B333" t="s">
        <v>32</v>
      </c>
      <c r="C333">
        <v>48584670</v>
      </c>
      <c r="D333" t="s">
        <v>3</v>
      </c>
      <c r="E333" t="s">
        <v>518</v>
      </c>
      <c r="F333" t="s">
        <v>595</v>
      </c>
      <c r="G333" s="56">
        <v>45526</v>
      </c>
      <c r="H333">
        <v>18</v>
      </c>
      <c r="I333" t="s">
        <v>159</v>
      </c>
      <c r="J333" s="56"/>
    </row>
    <row r="334" spans="1:10" x14ac:dyDescent="0.25">
      <c r="A334" t="s">
        <v>601</v>
      </c>
      <c r="B334" t="s">
        <v>96</v>
      </c>
      <c r="C334">
        <v>46793103</v>
      </c>
      <c r="D334" t="s">
        <v>3</v>
      </c>
      <c r="E334" t="s">
        <v>518</v>
      </c>
      <c r="F334" t="s">
        <v>595</v>
      </c>
      <c r="G334" s="56">
        <v>45882</v>
      </c>
      <c r="H334">
        <v>6</v>
      </c>
      <c r="I334" t="s">
        <v>159</v>
      </c>
      <c r="J334" s="56"/>
    </row>
    <row r="335" spans="1:10" x14ac:dyDescent="0.25">
      <c r="A335" t="s">
        <v>601</v>
      </c>
      <c r="B335" t="s">
        <v>207</v>
      </c>
      <c r="C335">
        <v>75069320</v>
      </c>
      <c r="D335" t="s">
        <v>3</v>
      </c>
      <c r="E335" t="s">
        <v>518</v>
      </c>
      <c r="F335" t="s">
        <v>595</v>
      </c>
      <c r="G335" s="56">
        <v>46029</v>
      </c>
      <c r="H335">
        <v>2</v>
      </c>
      <c r="I335" t="s">
        <v>159</v>
      </c>
      <c r="J335" s="56"/>
    </row>
    <row r="336" spans="1:10" x14ac:dyDescent="0.25">
      <c r="A336" t="s">
        <v>601</v>
      </c>
      <c r="B336" t="s">
        <v>393</v>
      </c>
      <c r="C336">
        <v>44883074</v>
      </c>
      <c r="D336" t="s">
        <v>3</v>
      </c>
      <c r="E336" t="s">
        <v>518</v>
      </c>
      <c r="F336" t="s">
        <v>595</v>
      </c>
      <c r="G336" s="56">
        <v>46038</v>
      </c>
      <c r="H336">
        <v>1</v>
      </c>
      <c r="I336" t="s">
        <v>159</v>
      </c>
      <c r="J336" s="56"/>
    </row>
    <row r="337" spans="1:10" x14ac:dyDescent="0.25">
      <c r="A337" t="s">
        <v>601</v>
      </c>
      <c r="B337" t="s">
        <v>566</v>
      </c>
      <c r="C337">
        <v>73233992</v>
      </c>
      <c r="D337" t="s">
        <v>124</v>
      </c>
      <c r="E337" t="s">
        <v>518</v>
      </c>
      <c r="F337" t="s">
        <v>595</v>
      </c>
      <c r="G337" s="56">
        <v>46064</v>
      </c>
      <c r="H337">
        <v>1</v>
      </c>
      <c r="I337" t="s">
        <v>175</v>
      </c>
      <c r="J337" s="56"/>
    </row>
    <row r="338" spans="1:10" x14ac:dyDescent="0.25">
      <c r="A338" t="s">
        <v>601</v>
      </c>
      <c r="B338" t="s">
        <v>574</v>
      </c>
      <c r="C338">
        <v>10330959</v>
      </c>
      <c r="D338" t="s">
        <v>124</v>
      </c>
      <c r="E338" t="s">
        <v>518</v>
      </c>
      <c r="F338" t="s">
        <v>595</v>
      </c>
      <c r="G338" s="56">
        <v>46078</v>
      </c>
      <c r="H338">
        <v>0</v>
      </c>
      <c r="I338" t="s">
        <v>175</v>
      </c>
      <c r="J338" s="56"/>
    </row>
    <row r="339" spans="1:10" x14ac:dyDescent="0.25">
      <c r="A339" t="s">
        <v>601</v>
      </c>
      <c r="B339" t="s">
        <v>580</v>
      </c>
      <c r="C339">
        <v>78564842</v>
      </c>
      <c r="D339" t="s">
        <v>124</v>
      </c>
      <c r="E339" t="s">
        <v>518</v>
      </c>
      <c r="F339" t="s">
        <v>595</v>
      </c>
      <c r="G339" s="56">
        <v>46078</v>
      </c>
      <c r="H339">
        <v>0</v>
      </c>
      <c r="I339" t="s">
        <v>175</v>
      </c>
      <c r="J339" s="56"/>
    </row>
    <row r="340" spans="1:10" x14ac:dyDescent="0.25">
      <c r="A340" t="s">
        <v>605</v>
      </c>
      <c r="B340" t="s">
        <v>219</v>
      </c>
      <c r="C340">
        <v>74122258</v>
      </c>
      <c r="D340" t="s">
        <v>6</v>
      </c>
      <c r="E340" t="s">
        <v>133</v>
      </c>
      <c r="F340" t="s">
        <v>595</v>
      </c>
      <c r="G340" s="56">
        <v>44022</v>
      </c>
      <c r="H340">
        <v>68</v>
      </c>
      <c r="I340" t="s">
        <v>209</v>
      </c>
      <c r="J340" s="56"/>
    </row>
    <row r="341" spans="1:10" x14ac:dyDescent="0.25">
      <c r="A341" t="s">
        <v>605</v>
      </c>
      <c r="B341" t="s">
        <v>248</v>
      </c>
      <c r="C341">
        <v>44265602</v>
      </c>
      <c r="D341" t="s">
        <v>2</v>
      </c>
      <c r="E341" t="s">
        <v>133</v>
      </c>
      <c r="F341" t="s">
        <v>595</v>
      </c>
      <c r="G341" s="56">
        <v>44673</v>
      </c>
      <c r="H341">
        <v>46</v>
      </c>
      <c r="I341" t="s">
        <v>159</v>
      </c>
      <c r="J341" s="56"/>
    </row>
    <row r="342" spans="1:10" x14ac:dyDescent="0.25">
      <c r="A342" t="s">
        <v>605</v>
      </c>
      <c r="B342" t="s">
        <v>226</v>
      </c>
      <c r="C342">
        <v>73049631</v>
      </c>
      <c r="D342" t="s">
        <v>3</v>
      </c>
      <c r="E342" t="s">
        <v>133</v>
      </c>
      <c r="F342" t="s">
        <v>595</v>
      </c>
      <c r="G342" s="56">
        <v>43506</v>
      </c>
      <c r="H342">
        <v>85</v>
      </c>
      <c r="I342" t="s">
        <v>209</v>
      </c>
      <c r="J342" s="56"/>
    </row>
    <row r="343" spans="1:10" x14ac:dyDescent="0.25">
      <c r="A343" t="s">
        <v>605</v>
      </c>
      <c r="B343" t="s">
        <v>222</v>
      </c>
      <c r="C343">
        <v>75000131</v>
      </c>
      <c r="D343" t="s">
        <v>125</v>
      </c>
      <c r="E343" t="s">
        <v>133</v>
      </c>
      <c r="F343" t="s">
        <v>595</v>
      </c>
      <c r="G343" s="56">
        <v>44874</v>
      </c>
      <c r="H343">
        <v>40</v>
      </c>
      <c r="I343" t="s">
        <v>159</v>
      </c>
      <c r="J343" s="56"/>
    </row>
    <row r="344" spans="1:10" x14ac:dyDescent="0.25">
      <c r="A344" t="s">
        <v>605</v>
      </c>
      <c r="B344" t="s">
        <v>214</v>
      </c>
      <c r="C344">
        <v>46872195</v>
      </c>
      <c r="D344" t="s">
        <v>7</v>
      </c>
      <c r="E344" t="s">
        <v>133</v>
      </c>
      <c r="F344" t="s">
        <v>595</v>
      </c>
      <c r="G344" s="56">
        <v>43805</v>
      </c>
      <c r="H344">
        <v>75</v>
      </c>
      <c r="I344" t="s">
        <v>175</v>
      </c>
      <c r="J344" s="56"/>
    </row>
    <row r="345" spans="1:10" x14ac:dyDescent="0.25">
      <c r="A345" t="s">
        <v>605</v>
      </c>
      <c r="B345" t="s">
        <v>58</v>
      </c>
      <c r="C345">
        <v>72519113</v>
      </c>
      <c r="D345" t="s">
        <v>7</v>
      </c>
      <c r="E345" t="s">
        <v>517</v>
      </c>
      <c r="F345" t="s">
        <v>595</v>
      </c>
      <c r="G345" s="56">
        <v>43119</v>
      </c>
      <c r="H345">
        <v>97</v>
      </c>
      <c r="I345" t="s">
        <v>175</v>
      </c>
      <c r="J345" s="56"/>
    </row>
    <row r="346" spans="1:10" x14ac:dyDescent="0.25">
      <c r="A346" t="s">
        <v>605</v>
      </c>
      <c r="B346" t="s">
        <v>49</v>
      </c>
      <c r="C346">
        <v>40702064</v>
      </c>
      <c r="D346" t="s">
        <v>7</v>
      </c>
      <c r="E346" t="s">
        <v>518</v>
      </c>
      <c r="F346" t="s">
        <v>595</v>
      </c>
      <c r="G346" s="56">
        <v>43313</v>
      </c>
      <c r="H346">
        <v>91</v>
      </c>
      <c r="I346" t="s">
        <v>606</v>
      </c>
      <c r="J346" s="56"/>
    </row>
    <row r="347" spans="1:10" x14ac:dyDescent="0.25">
      <c r="A347" t="s">
        <v>605</v>
      </c>
      <c r="B347" t="s">
        <v>23</v>
      </c>
      <c r="C347">
        <v>72413556</v>
      </c>
      <c r="D347" t="s">
        <v>2</v>
      </c>
      <c r="E347" t="s">
        <v>518</v>
      </c>
      <c r="F347" t="s">
        <v>595</v>
      </c>
      <c r="G347" s="56">
        <v>44109</v>
      </c>
      <c r="H347">
        <v>65</v>
      </c>
      <c r="I347" t="s">
        <v>159</v>
      </c>
      <c r="J347" s="56"/>
    </row>
    <row r="348" spans="1:10" x14ac:dyDescent="0.25">
      <c r="A348" t="s">
        <v>605</v>
      </c>
      <c r="B348" t="s">
        <v>26</v>
      </c>
      <c r="C348">
        <v>41005089</v>
      </c>
      <c r="D348" t="s">
        <v>6</v>
      </c>
      <c r="E348" t="s">
        <v>517</v>
      </c>
      <c r="F348" t="s">
        <v>595</v>
      </c>
      <c r="G348" s="56">
        <v>44257</v>
      </c>
      <c r="H348">
        <v>60</v>
      </c>
      <c r="I348" t="s">
        <v>603</v>
      </c>
      <c r="J348" s="56"/>
    </row>
    <row r="349" spans="1:10" x14ac:dyDescent="0.25">
      <c r="A349" t="s">
        <v>605</v>
      </c>
      <c r="B349" t="s">
        <v>19</v>
      </c>
      <c r="C349">
        <v>76656128</v>
      </c>
      <c r="D349" t="s">
        <v>6</v>
      </c>
      <c r="E349" t="s">
        <v>518</v>
      </c>
      <c r="F349" t="s">
        <v>595</v>
      </c>
      <c r="G349" s="56">
        <v>44671</v>
      </c>
      <c r="H349">
        <v>46</v>
      </c>
      <c r="I349" t="s">
        <v>603</v>
      </c>
      <c r="J349" s="56"/>
    </row>
    <row r="350" spans="1:10" x14ac:dyDescent="0.25">
      <c r="A350" t="s">
        <v>605</v>
      </c>
      <c r="B350" t="s">
        <v>29</v>
      </c>
      <c r="C350">
        <v>72758956</v>
      </c>
      <c r="D350" t="s">
        <v>3</v>
      </c>
      <c r="E350" t="s">
        <v>518</v>
      </c>
      <c r="F350" t="s">
        <v>595</v>
      </c>
      <c r="G350" s="56">
        <v>44685</v>
      </c>
      <c r="H350">
        <v>46</v>
      </c>
      <c r="I350" t="s">
        <v>603</v>
      </c>
      <c r="J350" s="56"/>
    </row>
    <row r="351" spans="1:10" x14ac:dyDescent="0.25">
      <c r="A351" t="s">
        <v>605</v>
      </c>
      <c r="B351" t="s">
        <v>10</v>
      </c>
      <c r="C351">
        <v>40980108</v>
      </c>
      <c r="D351" t="s">
        <v>125</v>
      </c>
      <c r="E351" t="s">
        <v>517</v>
      </c>
      <c r="F351" t="s">
        <v>595</v>
      </c>
      <c r="G351" s="56">
        <v>44704</v>
      </c>
      <c r="H351">
        <v>45</v>
      </c>
      <c r="I351" t="s">
        <v>159</v>
      </c>
      <c r="J351" s="56"/>
    </row>
    <row r="352" spans="1:10" x14ac:dyDescent="0.25">
      <c r="A352" t="s">
        <v>605</v>
      </c>
      <c r="B352" t="s">
        <v>75</v>
      </c>
      <c r="C352">
        <v>71264767</v>
      </c>
      <c r="D352" t="s">
        <v>125</v>
      </c>
      <c r="E352" t="s">
        <v>518</v>
      </c>
      <c r="F352" t="s">
        <v>595</v>
      </c>
      <c r="G352" s="56">
        <v>44714</v>
      </c>
      <c r="H352">
        <v>45</v>
      </c>
      <c r="I352" t="s">
        <v>159</v>
      </c>
      <c r="J352" s="56"/>
    </row>
    <row r="353" spans="1:10" x14ac:dyDescent="0.25">
      <c r="A353" t="s">
        <v>605</v>
      </c>
      <c r="B353" t="s">
        <v>15</v>
      </c>
      <c r="C353">
        <v>47587400</v>
      </c>
      <c r="D353" t="s">
        <v>2</v>
      </c>
      <c r="E353" t="s">
        <v>518</v>
      </c>
      <c r="F353" t="s">
        <v>595</v>
      </c>
      <c r="G353" s="56">
        <v>44733</v>
      </c>
      <c r="H353">
        <v>44</v>
      </c>
      <c r="I353" t="s">
        <v>159</v>
      </c>
      <c r="J353" s="56"/>
    </row>
    <row r="354" spans="1:10" x14ac:dyDescent="0.25">
      <c r="A354" t="s">
        <v>605</v>
      </c>
      <c r="B354" t="s">
        <v>48</v>
      </c>
      <c r="C354">
        <v>43307898</v>
      </c>
      <c r="D354" t="s">
        <v>7</v>
      </c>
      <c r="E354" t="s">
        <v>518</v>
      </c>
      <c r="F354" t="s">
        <v>595</v>
      </c>
      <c r="G354" s="56">
        <v>44746</v>
      </c>
      <c r="H354">
        <v>44</v>
      </c>
      <c r="I354" t="s">
        <v>606</v>
      </c>
      <c r="J354" s="56"/>
    </row>
    <row r="355" spans="1:10" x14ac:dyDescent="0.25">
      <c r="A355" t="s">
        <v>605</v>
      </c>
      <c r="B355" t="s">
        <v>35</v>
      </c>
      <c r="C355">
        <v>10491198</v>
      </c>
      <c r="D355" t="s">
        <v>6</v>
      </c>
      <c r="E355" t="s">
        <v>518</v>
      </c>
      <c r="F355" t="s">
        <v>595</v>
      </c>
      <c r="G355" s="56">
        <v>44746</v>
      </c>
      <c r="H355">
        <v>44</v>
      </c>
      <c r="I355" t="s">
        <v>607</v>
      </c>
      <c r="J355" s="56"/>
    </row>
    <row r="356" spans="1:10" x14ac:dyDescent="0.25">
      <c r="A356" t="s">
        <v>605</v>
      </c>
      <c r="B356" t="s">
        <v>13</v>
      </c>
      <c r="C356">
        <v>72512391</v>
      </c>
      <c r="D356" t="s">
        <v>2</v>
      </c>
      <c r="E356" t="s">
        <v>518</v>
      </c>
      <c r="F356" t="s">
        <v>595</v>
      </c>
      <c r="G356" s="56">
        <v>44809</v>
      </c>
      <c r="H356">
        <v>42</v>
      </c>
      <c r="I356" t="s">
        <v>159</v>
      </c>
      <c r="J356" s="56"/>
    </row>
    <row r="357" spans="1:10" x14ac:dyDescent="0.25">
      <c r="A357" t="s">
        <v>605</v>
      </c>
      <c r="B357" t="s">
        <v>76</v>
      </c>
      <c r="C357">
        <v>60914051</v>
      </c>
      <c r="D357" t="s">
        <v>3</v>
      </c>
      <c r="E357" t="s">
        <v>518</v>
      </c>
      <c r="F357" t="s">
        <v>595</v>
      </c>
      <c r="G357" s="56">
        <v>44817</v>
      </c>
      <c r="H357">
        <v>41</v>
      </c>
      <c r="I357" t="s">
        <v>608</v>
      </c>
      <c r="J357" s="56"/>
    </row>
    <row r="358" spans="1:10" x14ac:dyDescent="0.25">
      <c r="A358" t="s">
        <v>605</v>
      </c>
      <c r="B358" t="s">
        <v>25</v>
      </c>
      <c r="C358">
        <v>72373931</v>
      </c>
      <c r="D358" t="s">
        <v>2</v>
      </c>
      <c r="E358" t="s">
        <v>518</v>
      </c>
      <c r="F358" t="s">
        <v>595</v>
      </c>
      <c r="G358" s="56">
        <v>44818</v>
      </c>
      <c r="H358">
        <v>41</v>
      </c>
      <c r="I358" t="s">
        <v>159</v>
      </c>
      <c r="J358" s="56"/>
    </row>
    <row r="359" spans="1:10" x14ac:dyDescent="0.25">
      <c r="A359" t="s">
        <v>605</v>
      </c>
      <c r="B359" t="s">
        <v>77</v>
      </c>
      <c r="C359">
        <v>42251780</v>
      </c>
      <c r="D359" t="s">
        <v>7</v>
      </c>
      <c r="E359" t="s">
        <v>518</v>
      </c>
      <c r="F359" t="s">
        <v>595</v>
      </c>
      <c r="G359" s="56">
        <v>44838</v>
      </c>
      <c r="H359">
        <v>41</v>
      </c>
      <c r="I359" t="s">
        <v>606</v>
      </c>
      <c r="J359" s="56"/>
    </row>
    <row r="360" spans="1:10" x14ac:dyDescent="0.25">
      <c r="A360" t="s">
        <v>605</v>
      </c>
      <c r="B360" t="s">
        <v>12</v>
      </c>
      <c r="C360">
        <v>45262585</v>
      </c>
      <c r="D360" t="s">
        <v>125</v>
      </c>
      <c r="E360" t="s">
        <v>518</v>
      </c>
      <c r="F360" t="s">
        <v>595</v>
      </c>
      <c r="G360" s="56">
        <v>44868</v>
      </c>
      <c r="H360">
        <v>40</v>
      </c>
      <c r="I360" t="s">
        <v>159</v>
      </c>
      <c r="J360" s="56"/>
    </row>
    <row r="361" spans="1:10" x14ac:dyDescent="0.25">
      <c r="A361" t="s">
        <v>605</v>
      </c>
      <c r="B361" t="s">
        <v>17</v>
      </c>
      <c r="C361">
        <v>70876605</v>
      </c>
      <c r="D361" t="s">
        <v>2</v>
      </c>
      <c r="E361" t="s">
        <v>518</v>
      </c>
      <c r="F361" t="s">
        <v>595</v>
      </c>
      <c r="G361" s="56">
        <v>44886</v>
      </c>
      <c r="H361">
        <v>39</v>
      </c>
      <c r="I361" t="s">
        <v>159</v>
      </c>
      <c r="J361" s="56"/>
    </row>
    <row r="362" spans="1:10" x14ac:dyDescent="0.25">
      <c r="A362" t="s">
        <v>605</v>
      </c>
      <c r="B362" t="s">
        <v>61</v>
      </c>
      <c r="C362">
        <v>44001162</v>
      </c>
      <c r="D362" t="s">
        <v>125</v>
      </c>
      <c r="E362" t="s">
        <v>518</v>
      </c>
      <c r="F362" t="s">
        <v>595</v>
      </c>
      <c r="G362" s="56">
        <v>44907</v>
      </c>
      <c r="H362">
        <v>38</v>
      </c>
      <c r="I362" t="s">
        <v>159</v>
      </c>
      <c r="J362" s="56"/>
    </row>
    <row r="363" spans="1:10" x14ac:dyDescent="0.25">
      <c r="A363" t="s">
        <v>605</v>
      </c>
      <c r="B363" t="s">
        <v>78</v>
      </c>
      <c r="C363">
        <v>10706451</v>
      </c>
      <c r="D363" t="s">
        <v>3</v>
      </c>
      <c r="E363" t="s">
        <v>518</v>
      </c>
      <c r="F363" t="s">
        <v>595</v>
      </c>
      <c r="G363" s="56">
        <v>44943</v>
      </c>
      <c r="H363">
        <v>37</v>
      </c>
      <c r="I363" t="s">
        <v>608</v>
      </c>
      <c r="J363" s="56"/>
    </row>
    <row r="364" spans="1:10" x14ac:dyDescent="0.25">
      <c r="A364" t="s">
        <v>605</v>
      </c>
      <c r="B364" t="s">
        <v>65</v>
      </c>
      <c r="C364">
        <v>47659267</v>
      </c>
      <c r="D364" t="s">
        <v>2</v>
      </c>
      <c r="E364" t="s">
        <v>518</v>
      </c>
      <c r="F364" t="s">
        <v>595</v>
      </c>
      <c r="G364" s="56">
        <v>45019</v>
      </c>
      <c r="H364">
        <v>35</v>
      </c>
      <c r="I364" t="s">
        <v>159</v>
      </c>
      <c r="J364" s="56"/>
    </row>
    <row r="365" spans="1:10" x14ac:dyDescent="0.25">
      <c r="A365" t="s">
        <v>605</v>
      </c>
      <c r="B365" t="s">
        <v>37</v>
      </c>
      <c r="C365">
        <v>70988976</v>
      </c>
      <c r="D365" t="s">
        <v>6</v>
      </c>
      <c r="E365" t="s">
        <v>518</v>
      </c>
      <c r="F365" t="s">
        <v>595</v>
      </c>
      <c r="G365" s="56">
        <v>45112</v>
      </c>
      <c r="H365">
        <v>32</v>
      </c>
      <c r="I365" t="s">
        <v>607</v>
      </c>
      <c r="J365" s="56"/>
    </row>
    <row r="366" spans="1:10" x14ac:dyDescent="0.25">
      <c r="A366" t="s">
        <v>605</v>
      </c>
      <c r="B366" t="s">
        <v>18</v>
      </c>
      <c r="C366">
        <v>76214436</v>
      </c>
      <c r="D366" t="s">
        <v>125</v>
      </c>
      <c r="E366" t="s">
        <v>518</v>
      </c>
      <c r="F366" t="s">
        <v>595</v>
      </c>
      <c r="G366" s="56">
        <v>45132</v>
      </c>
      <c r="H366">
        <v>31</v>
      </c>
      <c r="I366" t="s">
        <v>159</v>
      </c>
      <c r="J366" s="56"/>
    </row>
    <row r="367" spans="1:10" x14ac:dyDescent="0.25">
      <c r="A367" t="s">
        <v>605</v>
      </c>
      <c r="B367" t="s">
        <v>73</v>
      </c>
      <c r="C367">
        <v>40318129</v>
      </c>
      <c r="D367" t="s">
        <v>7</v>
      </c>
      <c r="E367" t="s">
        <v>518</v>
      </c>
      <c r="F367" t="s">
        <v>595</v>
      </c>
      <c r="G367" s="56">
        <v>45141</v>
      </c>
      <c r="H367">
        <v>31</v>
      </c>
      <c r="I367" t="s">
        <v>606</v>
      </c>
      <c r="J367" s="56"/>
    </row>
    <row r="368" spans="1:10" x14ac:dyDescent="0.25">
      <c r="A368" t="s">
        <v>605</v>
      </c>
      <c r="B368" t="s">
        <v>79</v>
      </c>
      <c r="C368">
        <v>71262377</v>
      </c>
      <c r="D368" t="s">
        <v>3</v>
      </c>
      <c r="E368" t="s">
        <v>518</v>
      </c>
      <c r="F368" t="s">
        <v>595</v>
      </c>
      <c r="G368" s="56">
        <v>45145</v>
      </c>
      <c r="H368">
        <v>31</v>
      </c>
      <c r="I368" t="s">
        <v>603</v>
      </c>
      <c r="J368" s="56"/>
    </row>
    <row r="369" spans="1:10" x14ac:dyDescent="0.25">
      <c r="A369" t="s">
        <v>605</v>
      </c>
      <c r="B369" t="s">
        <v>34</v>
      </c>
      <c r="C369">
        <v>76824571</v>
      </c>
      <c r="D369" t="s">
        <v>6</v>
      </c>
      <c r="E369" t="s">
        <v>518</v>
      </c>
      <c r="F369" t="s">
        <v>595</v>
      </c>
      <c r="G369" s="56">
        <v>45173</v>
      </c>
      <c r="H369">
        <v>30</v>
      </c>
      <c r="I369" t="s">
        <v>603</v>
      </c>
      <c r="J369" s="56"/>
    </row>
    <row r="370" spans="1:10" x14ac:dyDescent="0.25">
      <c r="A370" t="s">
        <v>605</v>
      </c>
      <c r="B370" t="s">
        <v>80</v>
      </c>
      <c r="C370">
        <v>45084594</v>
      </c>
      <c r="D370" t="s">
        <v>6</v>
      </c>
      <c r="E370" t="s">
        <v>518</v>
      </c>
      <c r="F370" t="s">
        <v>595</v>
      </c>
      <c r="G370" s="56">
        <v>45281</v>
      </c>
      <c r="H370">
        <v>26</v>
      </c>
      <c r="I370" t="s">
        <v>603</v>
      </c>
      <c r="J370" s="56"/>
    </row>
    <row r="371" spans="1:10" x14ac:dyDescent="0.25">
      <c r="A371" t="s">
        <v>605</v>
      </c>
      <c r="B371" t="s">
        <v>22</v>
      </c>
      <c r="C371">
        <v>70551168</v>
      </c>
      <c r="D371" t="s">
        <v>2</v>
      </c>
      <c r="E371" t="s">
        <v>518</v>
      </c>
      <c r="F371" t="s">
        <v>595</v>
      </c>
      <c r="G371" s="56">
        <v>45295</v>
      </c>
      <c r="H371">
        <v>26</v>
      </c>
      <c r="I371" t="s">
        <v>159</v>
      </c>
      <c r="J371" s="56"/>
    </row>
    <row r="372" spans="1:10" x14ac:dyDescent="0.25">
      <c r="A372" t="s">
        <v>605</v>
      </c>
      <c r="B372" t="s">
        <v>41</v>
      </c>
      <c r="C372">
        <v>46461021</v>
      </c>
      <c r="D372" t="s">
        <v>7</v>
      </c>
      <c r="E372" t="s">
        <v>518</v>
      </c>
      <c r="F372" t="s">
        <v>595</v>
      </c>
      <c r="G372" s="56">
        <v>45302</v>
      </c>
      <c r="H372">
        <v>26</v>
      </c>
      <c r="I372" t="s">
        <v>609</v>
      </c>
      <c r="J372" s="56"/>
    </row>
    <row r="373" spans="1:10" x14ac:dyDescent="0.25">
      <c r="A373" t="s">
        <v>605</v>
      </c>
      <c r="B373" t="s">
        <v>24</v>
      </c>
      <c r="C373">
        <v>43614775</v>
      </c>
      <c r="D373" t="s">
        <v>2</v>
      </c>
      <c r="E373" t="s">
        <v>518</v>
      </c>
      <c r="F373" t="s">
        <v>595</v>
      </c>
      <c r="G373" s="56">
        <v>45334</v>
      </c>
      <c r="H373">
        <v>24</v>
      </c>
      <c r="I373" t="s">
        <v>159</v>
      </c>
      <c r="J373" s="56"/>
    </row>
    <row r="374" spans="1:10" x14ac:dyDescent="0.25">
      <c r="A374" t="s">
        <v>605</v>
      </c>
      <c r="B374" t="s">
        <v>59</v>
      </c>
      <c r="C374">
        <v>60870839</v>
      </c>
      <c r="D374" t="s">
        <v>125</v>
      </c>
      <c r="E374" t="s">
        <v>518</v>
      </c>
      <c r="F374" t="s">
        <v>595</v>
      </c>
      <c r="G374" s="56">
        <v>45344</v>
      </c>
      <c r="H374">
        <v>24</v>
      </c>
      <c r="I374" t="s">
        <v>159</v>
      </c>
      <c r="J374" s="56"/>
    </row>
    <row r="375" spans="1:10" x14ac:dyDescent="0.25">
      <c r="A375" t="s">
        <v>605</v>
      </c>
      <c r="B375" t="s">
        <v>68</v>
      </c>
      <c r="C375">
        <v>73257316</v>
      </c>
      <c r="D375" t="s">
        <v>3</v>
      </c>
      <c r="E375" t="s">
        <v>518</v>
      </c>
      <c r="F375" t="s">
        <v>595</v>
      </c>
      <c r="G375" s="56">
        <v>45363</v>
      </c>
      <c r="H375">
        <v>23</v>
      </c>
      <c r="I375" t="s">
        <v>603</v>
      </c>
      <c r="J375" s="56"/>
    </row>
    <row r="376" spans="1:10" x14ac:dyDescent="0.25">
      <c r="A376" t="s">
        <v>605</v>
      </c>
      <c r="B376" t="s">
        <v>11</v>
      </c>
      <c r="C376">
        <v>45139159</v>
      </c>
      <c r="D376" t="s">
        <v>6</v>
      </c>
      <c r="E376" t="s">
        <v>518</v>
      </c>
      <c r="F376" t="s">
        <v>595</v>
      </c>
      <c r="G376" s="56">
        <v>45369</v>
      </c>
      <c r="H376">
        <v>23</v>
      </c>
      <c r="I376" t="s">
        <v>603</v>
      </c>
      <c r="J376" s="56"/>
    </row>
    <row r="377" spans="1:10" x14ac:dyDescent="0.25">
      <c r="A377" t="s">
        <v>605</v>
      </c>
      <c r="B377" t="s">
        <v>42</v>
      </c>
      <c r="C377">
        <v>73725129</v>
      </c>
      <c r="D377" t="s">
        <v>2</v>
      </c>
      <c r="E377" t="s">
        <v>517</v>
      </c>
      <c r="F377" t="s">
        <v>595</v>
      </c>
      <c r="G377" s="56">
        <v>45398</v>
      </c>
      <c r="H377">
        <v>22</v>
      </c>
      <c r="I377" t="s">
        <v>159</v>
      </c>
      <c r="J377" s="56"/>
    </row>
    <row r="378" spans="1:10" x14ac:dyDescent="0.25">
      <c r="A378" t="s">
        <v>605</v>
      </c>
      <c r="B378" t="s">
        <v>81</v>
      </c>
      <c r="C378">
        <v>72716299</v>
      </c>
      <c r="D378" t="s">
        <v>6</v>
      </c>
      <c r="E378" t="s">
        <v>518</v>
      </c>
      <c r="F378" t="s">
        <v>595</v>
      </c>
      <c r="G378" s="56">
        <v>45511</v>
      </c>
      <c r="H378">
        <v>19</v>
      </c>
      <c r="I378" t="s">
        <v>603</v>
      </c>
      <c r="J378" s="56"/>
    </row>
    <row r="379" spans="1:10" x14ac:dyDescent="0.25">
      <c r="A379" t="s">
        <v>605</v>
      </c>
      <c r="B379" t="s">
        <v>32</v>
      </c>
      <c r="C379">
        <v>48584670</v>
      </c>
      <c r="D379" t="s">
        <v>3</v>
      </c>
      <c r="E379" t="s">
        <v>518</v>
      </c>
      <c r="F379" t="s">
        <v>595</v>
      </c>
      <c r="G379" s="56">
        <v>45526</v>
      </c>
      <c r="H379">
        <v>18</v>
      </c>
      <c r="I379" t="s">
        <v>603</v>
      </c>
      <c r="J379" s="56"/>
    </row>
    <row r="380" spans="1:10" x14ac:dyDescent="0.25">
      <c r="A380" t="s">
        <v>605</v>
      </c>
      <c r="B380" t="s">
        <v>51</v>
      </c>
      <c r="C380">
        <v>76089925</v>
      </c>
      <c r="D380" t="s">
        <v>7</v>
      </c>
      <c r="E380" t="s">
        <v>518</v>
      </c>
      <c r="F380" t="s">
        <v>595</v>
      </c>
      <c r="G380" s="56">
        <v>45678</v>
      </c>
      <c r="H380">
        <v>13</v>
      </c>
      <c r="I380" t="s">
        <v>606</v>
      </c>
      <c r="J380" s="56"/>
    </row>
    <row r="381" spans="1:10" x14ac:dyDescent="0.25">
      <c r="A381" t="s">
        <v>605</v>
      </c>
      <c r="B381" t="s">
        <v>72</v>
      </c>
      <c r="C381">
        <v>47690367</v>
      </c>
      <c r="D381" t="s">
        <v>125</v>
      </c>
      <c r="E381" t="s">
        <v>518</v>
      </c>
      <c r="F381" t="s">
        <v>595</v>
      </c>
      <c r="G381" s="56">
        <v>45691</v>
      </c>
      <c r="H381">
        <v>13</v>
      </c>
      <c r="I381" t="s">
        <v>159</v>
      </c>
      <c r="J381" s="56"/>
    </row>
    <row r="382" spans="1:10" x14ac:dyDescent="0.25">
      <c r="A382" t="s">
        <v>605</v>
      </c>
      <c r="B382" t="s">
        <v>50</v>
      </c>
      <c r="C382">
        <v>72733809</v>
      </c>
      <c r="D382" t="s">
        <v>6</v>
      </c>
      <c r="E382" t="s">
        <v>518</v>
      </c>
      <c r="F382" t="s">
        <v>595</v>
      </c>
      <c r="G382" s="56">
        <v>45789</v>
      </c>
      <c r="H382">
        <v>9</v>
      </c>
      <c r="I382" t="s">
        <v>603</v>
      </c>
      <c r="J382" s="56"/>
    </row>
    <row r="383" spans="1:10" x14ac:dyDescent="0.25">
      <c r="A383" t="s">
        <v>605</v>
      </c>
      <c r="B383" t="s">
        <v>38</v>
      </c>
      <c r="C383">
        <v>47411966</v>
      </c>
      <c r="D383" t="s">
        <v>3</v>
      </c>
      <c r="E383" t="s">
        <v>518</v>
      </c>
      <c r="F383" t="s">
        <v>595</v>
      </c>
      <c r="G383" s="56">
        <v>45800</v>
      </c>
      <c r="H383">
        <v>9</v>
      </c>
      <c r="I383" t="s">
        <v>608</v>
      </c>
      <c r="J383" s="56"/>
    </row>
    <row r="384" spans="1:10" x14ac:dyDescent="0.25">
      <c r="A384" t="s">
        <v>605</v>
      </c>
      <c r="B384" t="s">
        <v>55</v>
      </c>
      <c r="C384">
        <v>45119892</v>
      </c>
      <c r="D384" t="s">
        <v>610</v>
      </c>
      <c r="E384" t="s">
        <v>518</v>
      </c>
      <c r="F384" t="s">
        <v>595</v>
      </c>
      <c r="G384" s="56">
        <v>45813</v>
      </c>
      <c r="H384">
        <v>9</v>
      </c>
      <c r="I384" t="s">
        <v>610</v>
      </c>
      <c r="J384" s="56"/>
    </row>
    <row r="385" spans="1:10" x14ac:dyDescent="0.25">
      <c r="A385" t="s">
        <v>605</v>
      </c>
      <c r="B385" t="s">
        <v>60</v>
      </c>
      <c r="C385">
        <v>72839865</v>
      </c>
      <c r="D385" t="s">
        <v>125</v>
      </c>
      <c r="E385" t="s">
        <v>518</v>
      </c>
      <c r="F385" t="s">
        <v>595</v>
      </c>
      <c r="G385" s="56">
        <v>45854</v>
      </c>
      <c r="H385">
        <v>7</v>
      </c>
      <c r="I385" t="s">
        <v>159</v>
      </c>
      <c r="J385" s="56"/>
    </row>
    <row r="386" spans="1:10" x14ac:dyDescent="0.25">
      <c r="A386" t="s">
        <v>605</v>
      </c>
      <c r="B386" t="s">
        <v>96</v>
      </c>
      <c r="C386">
        <v>46793103</v>
      </c>
      <c r="D386" t="s">
        <v>3</v>
      </c>
      <c r="E386" t="s">
        <v>518</v>
      </c>
      <c r="F386" t="s">
        <v>595</v>
      </c>
      <c r="G386" s="56">
        <v>45882</v>
      </c>
      <c r="H386">
        <v>6</v>
      </c>
      <c r="I386" t="s">
        <v>603</v>
      </c>
      <c r="J386" s="56"/>
    </row>
    <row r="387" spans="1:10" x14ac:dyDescent="0.25">
      <c r="A387" t="s">
        <v>605</v>
      </c>
      <c r="B387" t="s">
        <v>97</v>
      </c>
      <c r="C387">
        <v>74602206</v>
      </c>
      <c r="D387" t="s">
        <v>6</v>
      </c>
      <c r="E387" t="s">
        <v>518</v>
      </c>
      <c r="F387" t="s">
        <v>595</v>
      </c>
      <c r="G387" s="56">
        <v>45884</v>
      </c>
      <c r="H387">
        <v>6</v>
      </c>
      <c r="I387" t="s">
        <v>607</v>
      </c>
      <c r="J387" s="56"/>
    </row>
    <row r="388" spans="1:10" x14ac:dyDescent="0.25">
      <c r="A388" t="s">
        <v>605</v>
      </c>
      <c r="B388" t="s">
        <v>122</v>
      </c>
      <c r="C388">
        <v>76586998</v>
      </c>
      <c r="D388" t="s">
        <v>125</v>
      </c>
      <c r="E388" t="s">
        <v>518</v>
      </c>
      <c r="F388" t="s">
        <v>595</v>
      </c>
      <c r="G388" s="56">
        <v>45971</v>
      </c>
      <c r="H388">
        <v>4</v>
      </c>
      <c r="I388" t="s">
        <v>159</v>
      </c>
      <c r="J388" s="56"/>
    </row>
    <row r="389" spans="1:10" x14ac:dyDescent="0.25">
      <c r="A389" t="s">
        <v>605</v>
      </c>
      <c r="B389" t="s">
        <v>174</v>
      </c>
      <c r="C389">
        <v>46994661</v>
      </c>
      <c r="D389" t="s">
        <v>3</v>
      </c>
      <c r="E389" t="s">
        <v>518</v>
      </c>
      <c r="F389" t="s">
        <v>595</v>
      </c>
      <c r="G389" s="56">
        <v>45992</v>
      </c>
      <c r="H389">
        <v>3</v>
      </c>
      <c r="I389" t="s">
        <v>603</v>
      </c>
      <c r="J389" s="56"/>
    </row>
    <row r="390" spans="1:10" x14ac:dyDescent="0.25">
      <c r="A390" t="s">
        <v>605</v>
      </c>
      <c r="B390" t="s">
        <v>109</v>
      </c>
      <c r="C390">
        <v>74626735</v>
      </c>
      <c r="D390" t="s">
        <v>125</v>
      </c>
      <c r="E390" t="s">
        <v>518</v>
      </c>
      <c r="F390" t="s">
        <v>595</v>
      </c>
      <c r="G390" s="56">
        <v>46024</v>
      </c>
      <c r="H390">
        <v>2</v>
      </c>
      <c r="I390" t="s">
        <v>159</v>
      </c>
      <c r="J390" s="56"/>
    </row>
    <row r="391" spans="1:10" x14ac:dyDescent="0.25">
      <c r="A391" t="s">
        <v>605</v>
      </c>
      <c r="B391" t="s">
        <v>206</v>
      </c>
      <c r="C391">
        <v>47497410</v>
      </c>
      <c r="D391" t="s">
        <v>125</v>
      </c>
      <c r="E391" t="s">
        <v>518</v>
      </c>
      <c r="F391" t="s">
        <v>595</v>
      </c>
      <c r="G391" s="56">
        <v>46024</v>
      </c>
      <c r="H391">
        <v>2</v>
      </c>
      <c r="I391" t="s">
        <v>159</v>
      </c>
      <c r="J391" s="56"/>
    </row>
    <row r="392" spans="1:10" x14ac:dyDescent="0.25">
      <c r="A392" t="s">
        <v>605</v>
      </c>
      <c r="B392" t="s">
        <v>105</v>
      </c>
      <c r="C392">
        <v>48344037</v>
      </c>
      <c r="D392" t="s">
        <v>6</v>
      </c>
      <c r="E392" t="s">
        <v>518</v>
      </c>
      <c r="F392" t="s">
        <v>595</v>
      </c>
      <c r="G392" s="56">
        <v>46027</v>
      </c>
      <c r="H392">
        <v>2</v>
      </c>
      <c r="I392" t="s">
        <v>603</v>
      </c>
      <c r="J392" s="56"/>
    </row>
    <row r="393" spans="1:10" x14ac:dyDescent="0.25">
      <c r="A393" t="s">
        <v>605</v>
      </c>
      <c r="B393" t="s">
        <v>207</v>
      </c>
      <c r="C393">
        <v>75069320</v>
      </c>
      <c r="D393" t="s">
        <v>2</v>
      </c>
      <c r="E393" t="s">
        <v>518</v>
      </c>
      <c r="F393" t="s">
        <v>595</v>
      </c>
      <c r="G393" s="56">
        <v>46029</v>
      </c>
      <c r="H393">
        <v>2</v>
      </c>
      <c r="I393" t="s">
        <v>159</v>
      </c>
      <c r="J393" s="56"/>
    </row>
    <row r="394" spans="1:10" x14ac:dyDescent="0.25">
      <c r="A394" t="s">
        <v>605</v>
      </c>
      <c r="B394" t="s">
        <v>393</v>
      </c>
      <c r="C394">
        <v>44883074</v>
      </c>
      <c r="D394" t="s">
        <v>2</v>
      </c>
      <c r="E394" t="s">
        <v>518</v>
      </c>
      <c r="F394" t="s">
        <v>595</v>
      </c>
      <c r="G394" s="56">
        <v>46038</v>
      </c>
      <c r="H394">
        <v>1</v>
      </c>
      <c r="I394" t="s">
        <v>159</v>
      </c>
      <c r="J394" s="56"/>
    </row>
    <row r="395" spans="1:10" x14ac:dyDescent="0.25">
      <c r="A395" t="s">
        <v>605</v>
      </c>
      <c r="B395" t="s">
        <v>510</v>
      </c>
      <c r="C395">
        <v>75026229</v>
      </c>
      <c r="D395" t="s">
        <v>3</v>
      </c>
      <c r="E395" t="s">
        <v>518</v>
      </c>
      <c r="F395" t="s">
        <v>595</v>
      </c>
      <c r="G395" s="56">
        <v>46052</v>
      </c>
      <c r="H395">
        <v>1</v>
      </c>
      <c r="I395" t="s">
        <v>603</v>
      </c>
      <c r="J395" s="56"/>
    </row>
    <row r="396" spans="1:10" x14ac:dyDescent="0.25">
      <c r="A396" t="s">
        <v>605</v>
      </c>
      <c r="B396" t="s">
        <v>512</v>
      </c>
      <c r="C396">
        <v>62792399</v>
      </c>
      <c r="D396" t="s">
        <v>7</v>
      </c>
      <c r="E396" t="s">
        <v>518</v>
      </c>
      <c r="F396" t="s">
        <v>595</v>
      </c>
      <c r="G396" s="56">
        <v>46052</v>
      </c>
      <c r="H396">
        <v>1</v>
      </c>
      <c r="I396" t="s">
        <v>609</v>
      </c>
      <c r="J396" s="56"/>
    </row>
    <row r="397" spans="1:10" x14ac:dyDescent="0.25">
      <c r="A397" t="s">
        <v>605</v>
      </c>
      <c r="B397" t="s">
        <v>85</v>
      </c>
      <c r="C397">
        <v>70477743</v>
      </c>
      <c r="D397" t="s">
        <v>125</v>
      </c>
      <c r="E397" t="s">
        <v>518</v>
      </c>
      <c r="F397" t="s">
        <v>595</v>
      </c>
      <c r="G397" s="56">
        <v>46055</v>
      </c>
      <c r="H397">
        <v>1</v>
      </c>
      <c r="I397" t="s">
        <v>159</v>
      </c>
      <c r="J397" s="56"/>
    </row>
    <row r="398" spans="1:10" x14ac:dyDescent="0.25">
      <c r="A398" t="s">
        <v>605</v>
      </c>
      <c r="B398" t="s">
        <v>566</v>
      </c>
      <c r="C398">
        <v>73233992</v>
      </c>
      <c r="D398" t="s">
        <v>7</v>
      </c>
      <c r="E398" t="s">
        <v>518</v>
      </c>
      <c r="F398" t="s">
        <v>595</v>
      </c>
      <c r="G398" s="56">
        <v>46065</v>
      </c>
      <c r="H398">
        <v>0</v>
      </c>
      <c r="I398" t="s">
        <v>609</v>
      </c>
      <c r="J398" s="56"/>
    </row>
    <row r="399" spans="1:10" x14ac:dyDescent="0.25">
      <c r="A399" t="s">
        <v>605</v>
      </c>
      <c r="B399" t="s">
        <v>574</v>
      </c>
      <c r="C399">
        <v>10330959</v>
      </c>
      <c r="D399" t="s">
        <v>7</v>
      </c>
      <c r="E399" t="s">
        <v>518</v>
      </c>
      <c r="F399" t="s">
        <v>595</v>
      </c>
      <c r="G399" s="56">
        <v>46073</v>
      </c>
      <c r="H399">
        <v>0</v>
      </c>
      <c r="I399" t="s">
        <v>609</v>
      </c>
      <c r="J399" s="56"/>
    </row>
    <row r="400" spans="1:10" x14ac:dyDescent="0.25">
      <c r="A400" t="s">
        <v>605</v>
      </c>
      <c r="B400" t="s">
        <v>580</v>
      </c>
      <c r="C400">
        <v>78564842</v>
      </c>
      <c r="D400" t="s">
        <v>7</v>
      </c>
      <c r="E400" t="s">
        <v>597</v>
      </c>
      <c r="F400" t="s">
        <v>595</v>
      </c>
      <c r="G400" s="56">
        <v>46078</v>
      </c>
      <c r="H400">
        <v>0</v>
      </c>
      <c r="I400" t="s">
        <v>609</v>
      </c>
      <c r="J400" s="56">
        <v>46086</v>
      </c>
    </row>
    <row r="401" spans="1:10" x14ac:dyDescent="0.25">
      <c r="A401" t="s">
        <v>605</v>
      </c>
      <c r="B401" t="s">
        <v>581</v>
      </c>
      <c r="C401">
        <v>43184866</v>
      </c>
      <c r="D401" t="s">
        <v>2</v>
      </c>
      <c r="E401" t="s">
        <v>518</v>
      </c>
      <c r="F401" t="s">
        <v>595</v>
      </c>
      <c r="G401" s="56">
        <v>46083</v>
      </c>
      <c r="H401">
        <v>0</v>
      </c>
      <c r="I401" t="s">
        <v>159</v>
      </c>
      <c r="J401" s="56"/>
    </row>
    <row r="402" spans="1:10" x14ac:dyDescent="0.25">
      <c r="A402" t="s">
        <v>605</v>
      </c>
      <c r="B402" t="s">
        <v>582</v>
      </c>
      <c r="C402">
        <v>10762187</v>
      </c>
      <c r="D402" t="s">
        <v>7</v>
      </c>
      <c r="E402" t="s">
        <v>518</v>
      </c>
      <c r="F402" t="s">
        <v>595</v>
      </c>
      <c r="G402" s="56">
        <v>46083</v>
      </c>
      <c r="H402">
        <v>0</v>
      </c>
      <c r="I402" t="s">
        <v>609</v>
      </c>
      <c r="J402" s="56"/>
    </row>
    <row r="403" spans="1:10" x14ac:dyDescent="0.25">
      <c r="A403" t="s">
        <v>605</v>
      </c>
      <c r="B403" t="s">
        <v>584</v>
      </c>
      <c r="C403">
        <v>75693756</v>
      </c>
      <c r="D403" t="s">
        <v>7</v>
      </c>
      <c r="E403" t="s">
        <v>518</v>
      </c>
      <c r="F403" t="s">
        <v>595</v>
      </c>
      <c r="G403" s="56">
        <v>46084</v>
      </c>
      <c r="H403">
        <v>0</v>
      </c>
      <c r="I403" t="s">
        <v>609</v>
      </c>
      <c r="J403" s="56"/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3"/>
  <sheetViews>
    <sheetView topLeftCell="A100" zoomScale="85" zoomScaleNormal="85" workbookViewId="0">
      <selection activeCell="D185" sqref="D185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2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2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2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2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2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2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2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2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2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2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2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2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2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2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2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  <c r="L175" s="45"/>
    </row>
    <row r="176" spans="1:12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  <c r="L176" s="45"/>
    </row>
    <row r="177" spans="1:12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  <c r="L177" s="45"/>
    </row>
    <row r="178" spans="1:12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  <c r="L178" s="45"/>
    </row>
    <row r="179" spans="1:12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2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2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2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2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2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2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2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2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2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2" x14ac:dyDescent="0.25">
      <c r="A189" s="51" t="str">
        <f>_xlfn.CONCAT(TablaMeta[[#This Row],[AÑO]],TablaMeta[[#This Row],[mes]],TablaMeta[[#This Row],[Equipo]])</f>
        <v>2026MARZOSANDY</v>
      </c>
      <c r="B189" s="48" t="s">
        <v>208</v>
      </c>
      <c r="C189" s="26" t="s">
        <v>141</v>
      </c>
      <c r="D189" s="78" t="s">
        <v>3</v>
      </c>
      <c r="E189" s="76">
        <v>504401</v>
      </c>
      <c r="F189" s="76">
        <v>32500</v>
      </c>
      <c r="G189" s="73" t="s">
        <v>209</v>
      </c>
    </row>
    <row r="190" spans="1:12" x14ac:dyDescent="0.25">
      <c r="A190" s="51" t="str">
        <f>_xlfn.CONCAT(TablaMeta[[#This Row],[AÑO]],TablaMeta[[#This Row],[mes]],TablaMeta[[#This Row],[Equipo]])</f>
        <v>2026MARZOJOHAN</v>
      </c>
      <c r="B190" s="48" t="s">
        <v>208</v>
      </c>
      <c r="C190" s="26" t="s">
        <v>141</v>
      </c>
      <c r="D190" s="78" t="s">
        <v>125</v>
      </c>
      <c r="E190" s="76">
        <v>609835</v>
      </c>
      <c r="F190" s="76">
        <v>56000</v>
      </c>
      <c r="G190" s="73" t="s">
        <v>159</v>
      </c>
    </row>
    <row r="191" spans="1:12" x14ac:dyDescent="0.25">
      <c r="A191" s="51" t="str">
        <f>_xlfn.CONCAT(TablaMeta[[#This Row],[AÑO]],TablaMeta[[#This Row],[mes]],TablaMeta[[#This Row],[Equipo]])</f>
        <v>2026MARZOJORGE</v>
      </c>
      <c r="B191" s="48" t="s">
        <v>208</v>
      </c>
      <c r="C191" s="26" t="s">
        <v>141</v>
      </c>
      <c r="D191" s="78" t="s">
        <v>2</v>
      </c>
      <c r="E191" s="76">
        <v>609835</v>
      </c>
      <c r="F191" s="76">
        <v>56000</v>
      </c>
      <c r="G191" s="73" t="s">
        <v>159</v>
      </c>
    </row>
    <row r="192" spans="1:12" x14ac:dyDescent="0.25">
      <c r="A192" s="51" t="str">
        <f>_xlfn.CONCAT(TablaMeta[[#This Row],[AÑO]],TablaMeta[[#This Row],[mes]],TablaMeta[[#This Row],[Equipo]])</f>
        <v>2026MARZOKENNETH</v>
      </c>
      <c r="B192" s="48" t="s">
        <v>208</v>
      </c>
      <c r="C192" s="26" t="s">
        <v>141</v>
      </c>
      <c r="D192" s="78" t="s">
        <v>6</v>
      </c>
      <c r="E192" s="76">
        <v>466781</v>
      </c>
      <c r="F192" s="76">
        <v>30500</v>
      </c>
      <c r="G192" s="73" t="s">
        <v>209</v>
      </c>
    </row>
    <row r="193" spans="1:7" x14ac:dyDescent="0.25">
      <c r="A193" s="52" t="str">
        <f>_xlfn.CONCAT(TablaMeta[[#This Row],[AÑO]],TablaMeta[[#This Row],[mes]],TablaMeta[[#This Row],[Equipo]])</f>
        <v>2026MARZOLEONOR</v>
      </c>
      <c r="B193" s="49" t="s">
        <v>208</v>
      </c>
      <c r="C193" s="26" t="s">
        <v>141</v>
      </c>
      <c r="D193" s="79" t="s">
        <v>7</v>
      </c>
      <c r="E193" s="77">
        <v>268288</v>
      </c>
      <c r="F193" s="77">
        <v>16000</v>
      </c>
      <c r="G193" s="74" t="s">
        <v>175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2026-03-12T14:13:50Z</dcterms:modified>
</cp:coreProperties>
</file>