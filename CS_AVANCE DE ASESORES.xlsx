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79192F4-5FF3-42D0-AEDC-C42F9BB9CA13}" xr6:coauthVersionLast="47" xr6:coauthVersionMax="47" xr10:uidLastSave="{00000000-0000-0000-0000-000000000000}"/>
  <bookViews>
    <workbookView xWindow="-120" yWindow="-120" windowWidth="20730" windowHeight="11040" firstSheet="15" activeTab="17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28" l="1"/>
  <c r="F74" i="28"/>
  <c r="F65" i="28"/>
  <c r="F52" i="28"/>
  <c r="F35" i="28"/>
  <c r="F32" i="28"/>
  <c r="F8" i="28"/>
  <c r="F22" i="28"/>
  <c r="F17" i="28"/>
  <c r="F83" i="28"/>
  <c r="F10" i="28"/>
  <c r="F82" i="28"/>
  <c r="F99" i="28"/>
  <c r="F66" i="28"/>
  <c r="F31" i="28"/>
  <c r="F53" i="28"/>
  <c r="F48" i="28"/>
  <c r="F27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1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90" i="28"/>
  <c r="F7" i="28"/>
  <c r="F29" i="28"/>
  <c r="F54" i="28"/>
  <c r="F49" i="28"/>
  <c r="F94" i="28"/>
  <c r="F100" i="28"/>
  <c r="F79" i="28"/>
  <c r="F20" i="28"/>
  <c r="F105" i="28"/>
  <c r="F68" i="28"/>
  <c r="F28" i="28"/>
  <c r="F87" i="28"/>
  <c r="F102" i="28"/>
  <c r="F108" i="28"/>
  <c r="F98" i="28"/>
  <c r="F62" i="28"/>
  <c r="F39" i="28"/>
  <c r="F56" i="28"/>
  <c r="F41" i="28"/>
  <c r="F60" i="28"/>
  <c r="F36" i="28"/>
  <c r="F14" i="28"/>
  <c r="F59" i="28"/>
  <c r="F25" i="28"/>
  <c r="F38" i="28"/>
  <c r="F78" i="28"/>
  <c r="F93" i="28"/>
  <c r="F11" i="28"/>
  <c r="F63" i="28"/>
  <c r="F40" i="28"/>
  <c r="F26" i="28"/>
  <c r="F95" i="28"/>
  <c r="F107" i="28"/>
  <c r="F64" i="28"/>
  <c r="F18" i="28"/>
  <c r="F50" i="28"/>
  <c r="F51" i="28"/>
  <c r="F106" i="28"/>
  <c r="F61" i="28"/>
  <c r="F37" i="28"/>
  <c r="F97" i="28"/>
  <c r="F101" i="28"/>
  <c r="F67" i="28"/>
  <c r="F33" i="28"/>
  <c r="F71" i="28"/>
  <c r="F24" i="28"/>
  <c r="F92" i="28"/>
  <c r="F96" i="28"/>
  <c r="F103" i="28"/>
  <c r="F55" i="28"/>
  <c r="F3" i="28"/>
  <c r="F12" i="28"/>
  <c r="F104" i="28"/>
  <c r="F16" i="28"/>
  <c r="F15" i="28"/>
  <c r="F88" i="28"/>
  <c r="F80" i="28"/>
  <c r="F89" i="28"/>
  <c r="F84" i="28"/>
  <c r="F75" i="28"/>
  <c r="G46" i="28"/>
  <c r="G74" i="28"/>
  <c r="G65" i="28"/>
  <c r="G52" i="28"/>
  <c r="G35" i="28"/>
  <c r="G32" i="28"/>
  <c r="G8" i="28"/>
  <c r="G22" i="28"/>
  <c r="G17" i="28"/>
  <c r="G83" i="28"/>
  <c r="G10" i="28"/>
  <c r="G82" i="28"/>
  <c r="G99" i="28"/>
  <c r="G66" i="28"/>
  <c r="G31" i="28"/>
  <c r="G53" i="28"/>
  <c r="G48" i="28"/>
  <c r="G27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1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90" i="28"/>
  <c r="G7" i="28"/>
  <c r="G29" i="28"/>
  <c r="G54" i="28"/>
  <c r="G49" i="28"/>
  <c r="G94" i="28"/>
  <c r="G100" i="28"/>
  <c r="G79" i="28"/>
  <c r="G20" i="28"/>
  <c r="G105" i="28"/>
  <c r="G68" i="28"/>
  <c r="G28" i="28"/>
  <c r="G87" i="28"/>
  <c r="G102" i="28"/>
  <c r="G108" i="28"/>
  <c r="G98" i="28"/>
  <c r="G62" i="28"/>
  <c r="G39" i="28"/>
  <c r="G56" i="28"/>
  <c r="G41" i="28"/>
  <c r="G60" i="28"/>
  <c r="G36" i="28"/>
  <c r="G14" i="28"/>
  <c r="G59" i="28"/>
  <c r="G25" i="28"/>
  <c r="G38" i="28"/>
  <c r="G78" i="28"/>
  <c r="G93" i="28"/>
  <c r="G11" i="28"/>
  <c r="G63" i="28"/>
  <c r="G40" i="28"/>
  <c r="G26" i="28"/>
  <c r="G95" i="28"/>
  <c r="G107" i="28"/>
  <c r="G64" i="28"/>
  <c r="G18" i="28"/>
  <c r="G50" i="28"/>
  <c r="G51" i="28"/>
  <c r="G106" i="28"/>
  <c r="G61" i="28"/>
  <c r="G37" i="28"/>
  <c r="G97" i="28"/>
  <c r="G101" i="28"/>
  <c r="G67" i="28"/>
  <c r="G33" i="28"/>
  <c r="G71" i="28"/>
  <c r="G24" i="28"/>
  <c r="G92" i="28"/>
  <c r="G96" i="28"/>
  <c r="G103" i="28"/>
  <c r="G55" i="28"/>
  <c r="G3" i="28"/>
  <c r="G12" i="28"/>
  <c r="G104" i="28"/>
  <c r="G16" i="28"/>
  <c r="G15" i="28"/>
  <c r="G88" i="28"/>
  <c r="G80" i="28"/>
  <c r="G89" i="28"/>
  <c r="G84" i="28"/>
  <c r="G75" i="28"/>
  <c r="A205" i="22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B57" i="17" a="1"/>
  <c r="B57" i="17" s="1"/>
  <c r="B56" i="17" a="1"/>
  <c r="B56" i="17" s="1"/>
  <c r="B55" i="17" a="1"/>
  <c r="B55" i="17" s="1"/>
  <c r="B54" i="17" a="1"/>
  <c r="B54" i="17" s="1"/>
  <c r="K54" i="17" s="1" a="1"/>
  <c r="K54" i="17" s="1"/>
  <c r="B53" i="17" a="1"/>
  <c r="B53" i="17" s="1"/>
  <c r="P48" i="36" l="1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7" i="17" a="1"/>
  <c r="A57" i="17" s="1"/>
  <c r="J57" i="17" a="1"/>
  <c r="J57" i="17" s="1"/>
  <c r="K57" i="17" a="1"/>
  <c r="K57" i="17" s="1"/>
  <c r="H57" i="17" a="1"/>
  <c r="H57" i="17" s="1"/>
  <c r="I57" i="17" a="1"/>
  <c r="I57" i="17" s="1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K55" i="17" a="1"/>
  <c r="K55" i="17" s="1"/>
  <c r="H55" i="17" a="1"/>
  <c r="H55" i="17" s="1"/>
  <c r="J55" i="17" a="1"/>
  <c r="J55" i="17" s="1"/>
  <c r="I55" i="17" a="1"/>
  <c r="I55" i="17" s="1"/>
  <c r="A55" i="17" a="1"/>
  <c r="A55" i="17" s="1"/>
  <c r="A54" i="17" a="1"/>
  <c r="A54" i="17" s="1"/>
  <c r="J54" i="17" a="1"/>
  <c r="J54" i="17" s="1"/>
  <c r="I54" i="17" a="1"/>
  <c r="I54" i="17" s="1"/>
  <c r="H54" i="17" a="1"/>
  <c r="H54" i="17" s="1"/>
  <c r="K53" i="17" a="1"/>
  <c r="K53" i="17" s="1"/>
  <c r="A53" i="17" a="1"/>
  <c r="A53" i="17" s="1"/>
  <c r="H53" i="17" a="1"/>
  <c r="H53" i="17" s="1"/>
  <c r="I53" i="17" a="1"/>
  <c r="I53" i="17" s="1"/>
  <c r="J53" i="17" a="1"/>
  <c r="J53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7" i="17"/>
  <c r="E56" i="17"/>
  <c r="E55" i="17"/>
  <c r="E54" i="17"/>
  <c r="E53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B52" i="17" a="1"/>
  <c r="B52" i="17" s="1"/>
  <c r="A52" i="17" l="1" a="1"/>
  <c r="A52" i="17" s="1"/>
  <c r="E52" i="17" s="1"/>
  <c r="H52" i="17" a="1"/>
  <c r="H52" i="17" s="1"/>
  <c r="I52" i="17" a="1"/>
  <c r="I52" i="17" s="1"/>
  <c r="J52" i="17" a="1"/>
  <c r="J52" i="17" s="1"/>
  <c r="K52" i="17" a="1"/>
  <c r="K52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8" i="17" l="1"/>
  <c r="K45" i="17" a="1"/>
  <c r="K45" i="17" s="1"/>
  <c r="J45" i="17" a="1"/>
  <c r="J45" i="17" s="1"/>
  <c r="H45" i="17" a="1"/>
  <c r="H45" i="17" s="1"/>
  <c r="I45" i="17" a="1"/>
  <c r="I45" i="17" s="1"/>
  <c r="K44" i="17" a="1"/>
  <c r="K44" i="17" s="1"/>
  <c r="H44" i="17" a="1"/>
  <c r="H44" i="17" s="1"/>
  <c r="I44" i="17" a="1"/>
  <c r="I44" i="17" s="1"/>
  <c r="J44" i="17" a="1"/>
  <c r="J44" i="17" s="1"/>
  <c r="I41" i="17" a="1"/>
  <c r="I41" i="17" s="1"/>
  <c r="H41" i="17" a="1"/>
  <c r="H41" i="17" s="1"/>
  <c r="J41" i="17" a="1"/>
  <c r="J41" i="17" s="1"/>
  <c r="K41" i="17" a="1"/>
  <c r="K41" i="17" s="1"/>
  <c r="J40" i="17" a="1"/>
  <c r="J40" i="17" s="1"/>
  <c r="I40" i="17" a="1"/>
  <c r="I40" i="17" s="1"/>
  <c r="K40" i="17" a="1"/>
  <c r="K40" i="17" s="1"/>
  <c r="H40" i="17" a="1"/>
  <c r="H40" i="17" s="1"/>
  <c r="K39" i="17" a="1"/>
  <c r="K39" i="17" s="1"/>
  <c r="J39" i="17" a="1"/>
  <c r="J39" i="17" s="1"/>
  <c r="H39" i="17" a="1"/>
  <c r="H39" i="17" s="1"/>
  <c r="I39" i="17" a="1"/>
  <c r="I39" i="17" s="1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37" i="17"/>
  <c r="P43" i="17"/>
  <c r="P42" i="17"/>
  <c r="P38" i="17"/>
  <c r="P44" i="17"/>
  <c r="P39" i="17"/>
  <c r="P45" i="17"/>
  <c r="P40" i="17"/>
  <c r="P46" i="17"/>
  <c r="P41" i="17"/>
  <c r="H43" i="17" a="1"/>
  <c r="H43" i="17" s="1"/>
  <c r="I43" i="17" a="1"/>
  <c r="I43" i="17" s="1"/>
  <c r="J43" i="17" a="1"/>
  <c r="J43" i="17" s="1"/>
  <c r="K43" i="17" a="1"/>
  <c r="K43" i="17" s="1"/>
  <c r="H42" i="17" a="1"/>
  <c r="H42" i="17" s="1"/>
  <c r="I42" i="17" a="1"/>
  <c r="I42" i="17" s="1"/>
  <c r="J42" i="17" a="1"/>
  <c r="J42" i="17" s="1"/>
  <c r="K42" i="17" a="1"/>
  <c r="K42" i="17" s="1"/>
  <c r="P57" i="17"/>
  <c r="P56" i="17"/>
  <c r="P55" i="17"/>
  <c r="P54" i="17"/>
  <c r="A51" i="17" a="1"/>
  <c r="A51" i="17" s="1"/>
  <c r="J51" i="17" a="1"/>
  <c r="J51" i="17" s="1"/>
  <c r="H51" i="17" a="1"/>
  <c r="H51" i="17" s="1"/>
  <c r="I51" i="17" a="1"/>
  <c r="I51" i="17" s="1"/>
  <c r="K51" i="17" a="1"/>
  <c r="K51" i="17" s="1"/>
  <c r="H50" i="17" a="1"/>
  <c r="H50" i="17" s="1"/>
  <c r="P53" i="17"/>
  <c r="K50" i="17" a="1"/>
  <c r="K50" i="17" s="1"/>
  <c r="J50" i="17" a="1"/>
  <c r="J50" i="17" s="1"/>
  <c r="A50" i="17" a="1"/>
  <c r="A50" i="17" s="1"/>
  <c r="I50" i="17" a="1"/>
  <c r="I50" i="17" s="1"/>
  <c r="A49" i="17" a="1"/>
  <c r="A49" i="17" s="1"/>
  <c r="E49" i="17" s="1"/>
  <c r="H49" i="17" a="1"/>
  <c r="H49" i="17" s="1"/>
  <c r="I49" i="17" a="1"/>
  <c r="I49" i="17" s="1"/>
  <c r="K49" i="17" a="1"/>
  <c r="K49" i="17" s="1"/>
  <c r="J49" i="17" a="1"/>
  <c r="J49" i="17" s="1"/>
  <c r="P52" i="17"/>
  <c r="A48" i="17" a="1"/>
  <c r="A48" i="17" s="1"/>
  <c r="J48" i="17" a="1"/>
  <c r="J48" i="17" s="1"/>
  <c r="H48" i="17" a="1"/>
  <c r="H48" i="17" s="1"/>
  <c r="I48" i="17" a="1"/>
  <c r="I48" i="17" s="1"/>
  <c r="K48" i="17" a="1"/>
  <c r="K48" i="17" s="1"/>
  <c r="P51" i="17"/>
  <c r="P50" i="17"/>
  <c r="A47" i="17" a="1"/>
  <c r="A47" i="17" s="1"/>
  <c r="E47" i="17" s="1"/>
  <c r="H47" i="17" a="1"/>
  <c r="H47" i="17" s="1"/>
  <c r="I47" i="17" a="1"/>
  <c r="I47" i="17" s="1"/>
  <c r="K47" i="17" a="1"/>
  <c r="K47" i="17" s="1"/>
  <c r="J47" i="17" a="1"/>
  <c r="J47" i="17" s="1"/>
  <c r="A46" i="17" a="1"/>
  <c r="A46" i="17" s="1"/>
  <c r="E46" i="17" s="1"/>
  <c r="H46" i="17" a="1"/>
  <c r="H46" i="17" s="1"/>
  <c r="I46" i="17" a="1"/>
  <c r="I46" i="17" s="1"/>
  <c r="P49" i="17"/>
  <c r="K46" i="17" a="1"/>
  <c r="K46" i="17" s="1"/>
  <c r="J46" i="17" a="1"/>
  <c r="J46" i="17" s="1"/>
  <c r="P48" i="17"/>
  <c r="A45" i="17" a="1"/>
  <c r="A45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2" i="17" a="1"/>
  <c r="A42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1" i="17" a="1"/>
  <c r="A41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40" i="17" a="1"/>
  <c r="A40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9" i="17" a="1"/>
  <c r="A39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8" i="17" a="1"/>
  <c r="A38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7" i="17" a="1"/>
  <c r="A37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I36" i="17" a="1"/>
  <c r="I36" i="17" s="1"/>
  <c r="J36" i="17" a="1"/>
  <c r="J36" i="17" s="1"/>
  <c r="A36" i="17" a="1"/>
  <c r="A36" i="17" s="1"/>
  <c r="K36" i="17" a="1"/>
  <c r="K36" i="17" s="1"/>
  <c r="H36" i="17" a="1"/>
  <c r="H36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4" i="17" a="1"/>
  <c r="A44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3" i="17" a="1"/>
  <c r="A43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7" i="17"/>
  <c r="P26" i="17"/>
  <c r="P25" i="17"/>
  <c r="P24" i="17"/>
  <c r="P17" i="17"/>
  <c r="P33" i="17"/>
  <c r="P32" i="17"/>
  <c r="P16" i="17"/>
  <c r="P15" i="17"/>
  <c r="P30" i="17"/>
  <c r="P21" i="17"/>
  <c r="P12" i="17"/>
  <c r="P20" i="17"/>
  <c r="P10" i="17"/>
  <c r="P28" i="17"/>
  <c r="P19" i="17"/>
  <c r="P9" i="17"/>
  <c r="P36" i="17"/>
  <c r="P18" i="17"/>
  <c r="P35" i="17"/>
  <c r="P27" i="17"/>
  <c r="P31" i="17"/>
  <c r="P23" i="17"/>
  <c r="P14" i="17"/>
  <c r="P22" i="17"/>
  <c r="P13" i="17"/>
  <c r="P11" i="17"/>
  <c r="P29" i="17"/>
  <c r="P34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1" i="17" l="1"/>
  <c r="E50" i="17"/>
  <c r="E48" i="17"/>
  <c r="E18" i="17"/>
  <c r="E45" i="17"/>
  <c r="E17" i="17"/>
  <c r="E19" i="17"/>
  <c r="E40" i="17"/>
  <c r="E42" i="17"/>
  <c r="E44" i="17"/>
  <c r="E43" i="17"/>
  <c r="E41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36" l="1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AM48" i="36"/>
  <c r="C52" i="36" a="1"/>
  <c r="C52" i="36" s="1"/>
  <c r="D52" i="36" s="1"/>
  <c r="C45" i="17" a="1"/>
  <c r="C45" i="17" s="1"/>
  <c r="C48" i="17" a="1"/>
  <c r="C48" i="17" s="1"/>
  <c r="D48" i="17" s="1"/>
  <c r="C50" i="17" a="1"/>
  <c r="C50" i="17" s="1"/>
  <c r="D50" i="17" s="1"/>
  <c r="C49" i="17" a="1"/>
  <c r="C49" i="17" s="1"/>
  <c r="D49" i="17" s="1"/>
  <c r="C24" i="17" a="1"/>
  <c r="C24" i="17" s="1"/>
  <c r="C51" i="17" a="1"/>
  <c r="C51" i="17" s="1"/>
  <c r="D51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4" i="17" a="1"/>
  <c r="C54" i="17" s="1"/>
  <c r="D54" i="17" s="1"/>
  <c r="AM18" i="36"/>
  <c r="C47" i="36" a="1"/>
  <c r="C47" i="36" s="1"/>
  <c r="AM11" i="36"/>
  <c r="C46" i="36" a="1"/>
  <c r="C46" i="36" s="1"/>
  <c r="AM28" i="36"/>
  <c r="C45" i="36" a="1"/>
  <c r="C45" i="36" s="1"/>
  <c r="AM30" i="36"/>
  <c r="C44" i="36" a="1"/>
  <c r="C44" i="36" s="1"/>
  <c r="AM27" i="36"/>
  <c r="C43" i="36" a="1"/>
  <c r="C43" i="36" s="1"/>
  <c r="AM26" i="36"/>
  <c r="C42" i="36" a="1"/>
  <c r="C42" i="36" s="1"/>
  <c r="AM24" i="36"/>
  <c r="C41" i="36" a="1"/>
  <c r="C41" i="36" s="1"/>
  <c r="AM25" i="36"/>
  <c r="AM23" i="36"/>
  <c r="C40" i="36" a="1"/>
  <c r="C40" i="36" s="1"/>
  <c r="Q48" i="36" s="1"/>
  <c r="M48" i="36" s="1"/>
  <c r="N48" i="36" s="1" a="1"/>
  <c r="N48" i="36" s="1"/>
  <c r="AM22" i="36"/>
  <c r="C39" i="36" a="1"/>
  <c r="C39" i="36" s="1"/>
  <c r="AM21" i="36"/>
  <c r="C38" i="36" a="1"/>
  <c r="C38" i="36" s="1"/>
  <c r="AM29" i="36"/>
  <c r="AM20" i="36"/>
  <c r="C37" i="36" a="1"/>
  <c r="C37" i="36" s="1"/>
  <c r="AM32" i="36"/>
  <c r="C36" i="36" a="1"/>
  <c r="C36" i="36" s="1"/>
  <c r="AM35" i="36"/>
  <c r="C35" i="36" a="1"/>
  <c r="C35" i="36" s="1"/>
  <c r="AM33" i="36"/>
  <c r="C34" i="36" a="1"/>
  <c r="C34" i="36" s="1"/>
  <c r="AM31" i="36"/>
  <c r="C33" i="36" a="1"/>
  <c r="C33" i="36" s="1"/>
  <c r="AM34" i="36"/>
  <c r="C32" i="36" a="1"/>
  <c r="C32" i="36" s="1"/>
  <c r="AM38" i="36"/>
  <c r="C31" i="36" a="1"/>
  <c r="C31" i="36" s="1"/>
  <c r="AM39" i="36"/>
  <c r="C30" i="36" a="1"/>
  <c r="C30" i="36" s="1"/>
  <c r="C29" i="36" a="1"/>
  <c r="C29" i="36" s="1"/>
  <c r="AM40" i="36"/>
  <c r="C28" i="36" a="1"/>
  <c r="C28" i="36" s="1"/>
  <c r="AM37" i="36"/>
  <c r="C27" i="36" a="1"/>
  <c r="C27" i="36" s="1"/>
  <c r="AM36" i="36"/>
  <c r="AM49" i="36"/>
  <c r="C26" i="36" a="1"/>
  <c r="C26" i="36" s="1"/>
  <c r="C25" i="36" a="1"/>
  <c r="C25" i="36" s="1"/>
  <c r="C24" i="36" a="1"/>
  <c r="C24" i="36" s="1"/>
  <c r="AM47" i="36"/>
  <c r="C23" i="36" a="1"/>
  <c r="C23" i="36" s="1"/>
  <c r="C22" i="36" a="1"/>
  <c r="C22" i="36" s="1"/>
  <c r="AM45" i="36"/>
  <c r="AM41" i="36"/>
  <c r="C21" i="36" a="1"/>
  <c r="C21" i="36" s="1"/>
  <c r="C20" i="36" a="1"/>
  <c r="C20" i="36" s="1"/>
  <c r="AM44" i="36"/>
  <c r="AM43" i="36"/>
  <c r="C19" i="36" a="1"/>
  <c r="C19" i="36" s="1"/>
  <c r="C18" i="36" a="1"/>
  <c r="C18" i="36" s="1"/>
  <c r="AM46" i="36"/>
  <c r="AM42" i="36"/>
  <c r="C17" i="36" a="1"/>
  <c r="C17" i="36" s="1"/>
  <c r="C16" i="36" a="1"/>
  <c r="C16" i="36" s="1"/>
  <c r="AM58" i="36"/>
  <c r="C15" i="36" a="1"/>
  <c r="C15" i="36" s="1"/>
  <c r="AM54" i="36"/>
  <c r="C14" i="36" a="1"/>
  <c r="C14" i="36" s="1"/>
  <c r="AM53" i="36"/>
  <c r="C13" i="36" a="1"/>
  <c r="C13" i="36" s="1"/>
  <c r="AM57" i="36"/>
  <c r="C12" i="36" a="1"/>
  <c r="C12" i="36" s="1"/>
  <c r="AM56" i="36"/>
  <c r="C11" i="36" a="1"/>
  <c r="C11" i="36" s="1"/>
  <c r="AM55" i="36"/>
  <c r="C10" i="36" a="1"/>
  <c r="C10" i="36" s="1"/>
  <c r="AM59" i="36"/>
  <c r="C9" i="36" a="1"/>
  <c r="C9" i="36" s="1"/>
  <c r="AM50" i="36"/>
  <c r="C8" i="36" a="1"/>
  <c r="C8" i="36" s="1"/>
  <c r="AM51" i="36"/>
  <c r="C7" i="36" a="1"/>
  <c r="C7" i="36" s="1"/>
  <c r="AM52" i="36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AO14" i="35"/>
  <c r="C58" i="35" a="1"/>
  <c r="C58" i="35" s="1"/>
  <c r="AO9" i="35"/>
  <c r="C57" i="35" a="1"/>
  <c r="C57" i="35" s="1"/>
  <c r="AO19" i="35"/>
  <c r="C56" i="35" a="1"/>
  <c r="C56" i="35" s="1"/>
  <c r="AO10" i="35"/>
  <c r="C55" i="35" a="1"/>
  <c r="C55" i="35" s="1"/>
  <c r="AO12" i="35"/>
  <c r="C54" i="35" a="1"/>
  <c r="C54" i="35" s="1"/>
  <c r="AO15" i="35"/>
  <c r="C53" i="35" a="1"/>
  <c r="C53" i="35" s="1"/>
  <c r="AO17" i="35"/>
  <c r="C52" i="35" a="1"/>
  <c r="C52" i="35" s="1"/>
  <c r="AO13" i="35"/>
  <c r="C51" i="35" a="1"/>
  <c r="C51" i="35" s="1"/>
  <c r="AO16" i="35"/>
  <c r="C50" i="35" a="1"/>
  <c r="C50" i="35" s="1"/>
  <c r="AO18" i="35"/>
  <c r="C49" i="35" a="1"/>
  <c r="C49" i="35" s="1"/>
  <c r="AO11" i="35"/>
  <c r="C48" i="35" a="1"/>
  <c r="C48" i="35" s="1"/>
  <c r="AO28" i="35"/>
  <c r="C47" i="35" a="1"/>
  <c r="C47" i="35" s="1"/>
  <c r="AO30" i="35"/>
  <c r="C46" i="35" a="1"/>
  <c r="C46" i="35" s="1"/>
  <c r="AO27" i="35"/>
  <c r="C45" i="35" a="1"/>
  <c r="C45" i="35" s="1"/>
  <c r="AO26" i="35"/>
  <c r="C44" i="35" a="1"/>
  <c r="C44" i="35" s="1"/>
  <c r="AO24" i="35"/>
  <c r="C43" i="35" a="1"/>
  <c r="C43" i="35" s="1"/>
  <c r="AO25" i="35"/>
  <c r="C42" i="35" a="1"/>
  <c r="C42" i="35" s="1"/>
  <c r="AO23" i="35"/>
  <c r="C41" i="35" a="1"/>
  <c r="C41" i="35" s="1"/>
  <c r="AO22" i="35"/>
  <c r="C40" i="35" a="1"/>
  <c r="C40" i="35" s="1"/>
  <c r="AO21" i="35"/>
  <c r="C39" i="35" a="1"/>
  <c r="C39" i="35" s="1"/>
  <c r="AO29" i="35"/>
  <c r="C38" i="35" a="1"/>
  <c r="C38" i="35" s="1"/>
  <c r="AO61" i="35"/>
  <c r="C9" i="35" a="1"/>
  <c r="C9" i="35" s="1"/>
  <c r="C8" i="35" a="1"/>
  <c r="C8" i="35" s="1"/>
  <c r="AO54" i="35"/>
  <c r="C6" i="35" a="1"/>
  <c r="C6" i="35" s="1"/>
  <c r="C5" i="35" a="1"/>
  <c r="C5" i="35" s="1"/>
  <c r="C3" i="35" a="1"/>
  <c r="C3" i="35" s="1"/>
  <c r="C57" i="17" a="1"/>
  <c r="C57" i="17" s="1"/>
  <c r="D57" i="17" s="1"/>
  <c r="C56" i="17" a="1"/>
  <c r="C56" i="17" s="1"/>
  <c r="D56" i="17" s="1"/>
  <c r="C53" i="17" a="1"/>
  <c r="C53" i="17" s="1"/>
  <c r="D53" i="17" s="1"/>
  <c r="AM9" i="36"/>
  <c r="AM19" i="36"/>
  <c r="AM10" i="36"/>
  <c r="AM12" i="36"/>
  <c r="AM17" i="36"/>
  <c r="C50" i="36" a="1"/>
  <c r="C50" i="36" s="1"/>
  <c r="C49" i="36" a="1"/>
  <c r="C49" i="36" s="1"/>
  <c r="AO20" i="35"/>
  <c r="C37" i="35" a="1"/>
  <c r="C37" i="35" s="1"/>
  <c r="AO32" i="35"/>
  <c r="C36" i="35" a="1"/>
  <c r="C36" i="35" s="1"/>
  <c r="AO35" i="35"/>
  <c r="C35" i="35" a="1"/>
  <c r="C35" i="35" s="1"/>
  <c r="AO33" i="35"/>
  <c r="C34" i="35" a="1"/>
  <c r="C34" i="35" s="1"/>
  <c r="AO31" i="35"/>
  <c r="AO34" i="35"/>
  <c r="C33" i="35" a="1"/>
  <c r="C33" i="35" s="1"/>
  <c r="C32" i="35" a="1"/>
  <c r="C32" i="35" s="1"/>
  <c r="AO39" i="35"/>
  <c r="C31" i="35" a="1"/>
  <c r="C31" i="35" s="1"/>
  <c r="AO40" i="35"/>
  <c r="C30" i="35" a="1"/>
  <c r="C30" i="35" s="1"/>
  <c r="AO37" i="35"/>
  <c r="C29" i="35" a="1"/>
  <c r="C29" i="35" s="1"/>
  <c r="AO41" i="35"/>
  <c r="C28" i="35" a="1"/>
  <c r="C28" i="35" s="1"/>
  <c r="AO38" i="35"/>
  <c r="C27" i="35" a="1"/>
  <c r="C27" i="35" s="1"/>
  <c r="AO36" i="35"/>
  <c r="C26" i="35" a="1"/>
  <c r="C26" i="35" s="1"/>
  <c r="AO51" i="35"/>
  <c r="C25" i="35" a="1"/>
  <c r="C25" i="35" s="1"/>
  <c r="AO50" i="35"/>
  <c r="C24" i="35" a="1"/>
  <c r="C24" i="35" s="1"/>
  <c r="AO49" i="35"/>
  <c r="C23" i="35" a="1"/>
  <c r="C23" i="35" s="1"/>
  <c r="AO48" i="35"/>
  <c r="C22" i="35" a="1"/>
  <c r="C22" i="35" s="1"/>
  <c r="AO46" i="35"/>
  <c r="AO42" i="35"/>
  <c r="C21" i="35" a="1"/>
  <c r="C21" i="35" s="1"/>
  <c r="C20" i="35" a="1"/>
  <c r="C20" i="35" s="1"/>
  <c r="AO45" i="35"/>
  <c r="AO44" i="35"/>
  <c r="C19" i="35" a="1"/>
  <c r="C19" i="35" s="1"/>
  <c r="C18" i="35" a="1"/>
  <c r="C18" i="35" s="1"/>
  <c r="AO47" i="35"/>
  <c r="C17" i="35" a="1"/>
  <c r="C17" i="35" s="1"/>
  <c r="AO43" i="35"/>
  <c r="C16" i="35" a="1"/>
  <c r="C16" i="35" s="1"/>
  <c r="AO60" i="35"/>
  <c r="AO56" i="35"/>
  <c r="C15" i="35" a="1"/>
  <c r="C15" i="35" s="1"/>
  <c r="AO55" i="35"/>
  <c r="C14" i="35" a="1"/>
  <c r="C14" i="35" s="1"/>
  <c r="C13" i="35" a="1"/>
  <c r="C13" i="35" s="1"/>
  <c r="AO59" i="35"/>
  <c r="C12" i="35" a="1"/>
  <c r="C12" i="35" s="1"/>
  <c r="AO58" i="35"/>
  <c r="C11" i="35" a="1"/>
  <c r="C11" i="35" s="1"/>
  <c r="AO57" i="35"/>
  <c r="C10" i="35" a="1"/>
  <c r="C10" i="35" s="1"/>
  <c r="AO52" i="35"/>
  <c r="AO53" i="35"/>
  <c r="C7" i="35" a="1"/>
  <c r="C7" i="35" s="1"/>
  <c r="C4" i="35" a="1"/>
  <c r="C4" i="35" s="1"/>
  <c r="C55" i="17" a="1"/>
  <c r="C55" i="17" s="1"/>
  <c r="D55" i="17" s="1"/>
  <c r="AM14" i="36"/>
  <c r="AM15" i="36"/>
  <c r="C51" i="36" a="1"/>
  <c r="C51" i="36" s="1"/>
  <c r="AM13" i="36"/>
  <c r="AM16" i="36"/>
  <c r="C48" i="36" a="1"/>
  <c r="C48" i="36" s="1"/>
  <c r="C52" i="17" a="1"/>
  <c r="C52" i="17" s="1"/>
  <c r="D52" i="17" s="1"/>
  <c r="C38" i="17" a="1"/>
  <c r="C38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1" i="17" a="1"/>
  <c r="C41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40" i="17" a="1"/>
  <c r="C40" i="17" s="1"/>
  <c r="D40" i="17" s="1"/>
  <c r="C46" i="17" a="1"/>
  <c r="C46" i="17" s="1"/>
  <c r="D46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4" i="17" a="1"/>
  <c r="C44" i="17" s="1"/>
  <c r="D44" i="17" s="1"/>
  <c r="C37" i="17" a="1"/>
  <c r="C37" i="17" s="1"/>
  <c r="D37" i="17" s="1"/>
  <c r="C43" i="17" a="1"/>
  <c r="C43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9" i="17" a="1"/>
  <c r="C39" i="17" s="1"/>
  <c r="D39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C36" i="17" a="1"/>
  <c r="C36" i="17" s="1"/>
  <c r="AP11" i="17"/>
  <c r="AP12" i="17"/>
  <c r="AP13" i="17"/>
  <c r="AP9" i="17"/>
  <c r="AP10" i="17"/>
  <c r="C42" i="17" a="1"/>
  <c r="C42" i="17" s="1"/>
  <c r="C6" i="17" a="1"/>
  <c r="C6" i="17" s="1"/>
  <c r="C16" i="17" a="1"/>
  <c r="C16" i="17" s="1"/>
  <c r="C47" i="17" a="1"/>
  <c r="C47" i="17" s="1"/>
  <c r="D47" i="17" s="1"/>
  <c r="D45" i="17"/>
  <c r="E39" i="17"/>
  <c r="E37" i="17"/>
  <c r="E38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E36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7" i="17" l="1"/>
  <c r="M57" i="17" s="1"/>
  <c r="N57" i="17" s="1" a="1"/>
  <c r="N57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4" i="17"/>
  <c r="M44" i="17" s="1"/>
  <c r="N44" i="17" s="1" a="1"/>
  <c r="N44" i="17" s="1"/>
  <c r="Q41" i="17"/>
  <c r="M41" i="17" s="1"/>
  <c r="N41" i="17" s="1" a="1"/>
  <c r="N41" i="17" s="1"/>
  <c r="Q45" i="17"/>
  <c r="M45" i="17" s="1"/>
  <c r="N45" i="17" s="1" a="1"/>
  <c r="N45" i="17" s="1"/>
  <c r="Q42" i="17"/>
  <c r="M42" i="17" s="1"/>
  <c r="N42" i="17" s="1" a="1"/>
  <c r="N42" i="17" s="1"/>
  <c r="Q40" i="17"/>
  <c r="M40" i="17" s="1"/>
  <c r="N40" i="17" s="1" a="1"/>
  <c r="N40" i="17" s="1"/>
  <c r="Q37" i="17"/>
  <c r="M37" i="17" s="1"/>
  <c r="N37" i="17" s="1" a="1"/>
  <c r="N37" i="17" s="1"/>
  <c r="Q43" i="17"/>
  <c r="M43" i="17" s="1"/>
  <c r="N43" i="17" s="1" a="1"/>
  <c r="N43" i="17" s="1"/>
  <c r="Q38" i="17"/>
  <c r="M38" i="17" s="1"/>
  <c r="N38" i="17" s="1" a="1"/>
  <c r="N38" i="17" s="1"/>
  <c r="D19" i="17"/>
  <c r="Q46" i="17"/>
  <c r="M46" i="17" s="1"/>
  <c r="N46" i="17" s="1" a="1"/>
  <c r="N46" i="17" s="1"/>
  <c r="Q56" i="17"/>
  <c r="M56" i="17" s="1"/>
  <c r="N56" i="17" s="1" a="1"/>
  <c r="N56" i="17" s="1"/>
  <c r="Q58" i="17"/>
  <c r="M58" i="17" s="1"/>
  <c r="N58" i="17" s="1" a="1"/>
  <c r="N58" i="17" s="1"/>
  <c r="D18" i="17"/>
  <c r="Q39" i="17"/>
  <c r="M39" i="17" s="1"/>
  <c r="N39" i="17" s="1" a="1"/>
  <c r="N39" i="17" s="1"/>
  <c r="Q54" i="17"/>
  <c r="M54" i="17" s="1"/>
  <c r="N54" i="17" s="1" a="1"/>
  <c r="N54" i="17" s="1"/>
  <c r="D41" i="17"/>
  <c r="Q55" i="17"/>
  <c r="M55" i="17" s="1"/>
  <c r="N55" i="17" s="1" a="1"/>
  <c r="N55" i="17" s="1"/>
  <c r="Q53" i="17"/>
  <c r="M53" i="17" s="1"/>
  <c r="N53" i="17" s="1" a="1"/>
  <c r="N53" i="17" s="1"/>
  <c r="Q51" i="17"/>
  <c r="M51" i="17" s="1"/>
  <c r="N51" i="17" s="1" a="1"/>
  <c r="N51" i="17" s="1"/>
  <c r="D42" i="17"/>
  <c r="Q52" i="17"/>
  <c r="M52" i="17" s="1"/>
  <c r="N52" i="17" s="1" a="1"/>
  <c r="N52" i="17" s="1"/>
  <c r="Q50" i="17"/>
  <c r="M50" i="17" s="1"/>
  <c r="N50" i="17" s="1" a="1"/>
  <c r="N50" i="17" s="1"/>
  <c r="D43" i="17"/>
  <c r="D38" i="17"/>
  <c r="Q48" i="17"/>
  <c r="M48" i="17" s="1"/>
  <c r="N48" i="17" s="1" a="1"/>
  <c r="N48" i="17" s="1"/>
  <c r="E32" i="17"/>
  <c r="D32" i="17"/>
  <c r="E15" i="17"/>
  <c r="D15" i="17"/>
  <c r="E27" i="17"/>
  <c r="D27" i="17"/>
  <c r="E16" i="17"/>
  <c r="D16" i="17"/>
  <c r="E21" i="17"/>
  <c r="O43" i="17" s="1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O52" i="17" s="1"/>
  <c r="AN52" i="17" s="1"/>
  <c r="D22" i="17"/>
  <c r="E30" i="17"/>
  <c r="D30" i="17"/>
  <c r="E13" i="17"/>
  <c r="D13" i="17"/>
  <c r="E25" i="17"/>
  <c r="D25" i="17"/>
  <c r="E14" i="17"/>
  <c r="D14" i="17"/>
  <c r="E10" i="17"/>
  <c r="D10" i="17"/>
  <c r="E12" i="17"/>
  <c r="O58" i="17" s="1"/>
  <c r="AN58" i="17" s="1"/>
  <c r="D12" i="17"/>
  <c r="E11" i="17"/>
  <c r="D11" i="17"/>
  <c r="E26" i="17"/>
  <c r="D26" i="17"/>
  <c r="O54" i="17"/>
  <c r="AN54" i="17" s="1"/>
  <c r="D7" i="17"/>
  <c r="D9" i="17"/>
  <c r="D8" i="17"/>
  <c r="D35" i="17"/>
  <c r="D36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45" i="17"/>
  <c r="AN45" i="17" s="1"/>
  <c r="O55" i="17"/>
  <c r="AN55" i="17" s="1"/>
  <c r="O41" i="17"/>
  <c r="O38" i="17"/>
  <c r="AN38" i="17" s="1"/>
  <c r="O37" i="17"/>
  <c r="AN37" i="17" s="1"/>
  <c r="O47" i="17"/>
  <c r="AN47" i="17" s="1"/>
  <c r="O57" i="17"/>
  <c r="AN57" i="17" s="1"/>
  <c r="O53" i="17"/>
  <c r="AN53" i="17" s="1"/>
  <c r="O44" i="17"/>
  <c r="AN44" i="17" s="1"/>
  <c r="O39" i="17"/>
  <c r="AN39" i="17" s="1"/>
  <c r="O50" i="17"/>
  <c r="AN50" i="17" s="1"/>
  <c r="O40" i="17"/>
  <c r="AN40" i="17" s="1"/>
  <c r="O46" i="17"/>
  <c r="AN46" i="17" s="1"/>
  <c r="O51" i="17"/>
  <c r="AN51" i="17" s="1"/>
  <c r="O56" i="17"/>
  <c r="AN56" i="17" s="1"/>
  <c r="O18" i="17"/>
  <c r="AN18" i="17" s="1"/>
  <c r="O10" i="17"/>
  <c r="AN10" i="17" s="1"/>
  <c r="O35" i="17"/>
  <c r="AN35" i="17" s="1"/>
  <c r="O34" i="17"/>
  <c r="AN34" i="17" s="1"/>
  <c r="O36" i="17"/>
  <c r="AN36" i="17" s="1"/>
  <c r="O16" i="17"/>
  <c r="AN16" i="17" s="1"/>
  <c r="O48" i="17"/>
  <c r="AN48" i="17" s="1"/>
  <c r="O14" i="17"/>
  <c r="AN14" i="17" s="1"/>
  <c r="O11" i="17"/>
  <c r="AN11" i="17" s="1"/>
  <c r="AN43" i="17"/>
  <c r="O30" i="17"/>
  <c r="AN30" i="17" s="1"/>
  <c r="O49" i="17"/>
  <c r="AN49" i="17" s="1"/>
  <c r="O32" i="17"/>
  <c r="AN32" i="17" s="1"/>
  <c r="Q49" i="17"/>
  <c r="M49" i="17" s="1"/>
  <c r="N49" i="17" s="1" a="1"/>
  <c r="N49" i="17" s="1"/>
  <c r="O15" i="17"/>
  <c r="AN15" i="17" s="1"/>
  <c r="O20" i="17"/>
  <c r="AN20" i="17" s="1"/>
  <c r="O13" i="17"/>
  <c r="AN13" i="17" s="1"/>
  <c r="O24" i="17"/>
  <c r="AN24" i="17" s="1"/>
  <c r="O21" i="17"/>
  <c r="AN21" i="17" s="1"/>
  <c r="O19" i="17"/>
  <c r="AN19" i="17" s="1"/>
  <c r="O12" i="17"/>
  <c r="AN12" i="17" s="1"/>
  <c r="O23" i="17"/>
  <c r="AN23" i="17" s="1"/>
  <c r="O31" i="17"/>
  <c r="AN31" i="17" s="1"/>
  <c r="O33" i="17"/>
  <c r="AN33" i="17" s="1"/>
  <c r="O17" i="17"/>
  <c r="AN17" i="17" s="1"/>
  <c r="O22" i="17"/>
  <c r="AN22" i="17" s="1"/>
  <c r="AN42" i="17"/>
  <c r="O25" i="17"/>
  <c r="AN25" i="17" s="1"/>
  <c r="AN41" i="17"/>
  <c r="O27" i="17"/>
  <c r="AN27" i="17" s="1"/>
  <c r="O29" i="17"/>
  <c r="AN29" i="17" s="1"/>
  <c r="O26" i="17"/>
  <c r="AN26" i="17" s="1"/>
  <c r="O28" i="17"/>
  <c r="AN28" i="17" s="1"/>
  <c r="O9" i="17"/>
  <c r="AN9" i="17" s="1"/>
  <c r="Q47" i="17"/>
  <c r="M47" i="17" s="1"/>
  <c r="N47" i="17" s="1" a="1"/>
  <c r="N47" i="17" s="1"/>
  <c r="Q36" i="17"/>
  <c r="M36" i="17" s="1"/>
  <c r="N36" i="17" s="1" a="1"/>
  <c r="N36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5" i="17"/>
  <c r="M35" i="17" s="1"/>
  <c r="N35" i="17" s="1" a="1"/>
  <c r="N35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3" i="17"/>
  <c r="M33" i="17" s="1"/>
  <c r="N33" i="17" s="1" a="1"/>
  <c r="N33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2" i="17"/>
  <c r="M32" i="17" s="1"/>
  <c r="N32" i="17" s="1" a="1"/>
  <c r="N32" i="17" s="1"/>
  <c r="Q34" i="17"/>
  <c r="M34" i="17" s="1"/>
  <c r="N34" i="17" s="1" a="1"/>
  <c r="N34" i="17" s="1"/>
  <c r="Q19" i="17"/>
  <c r="M19" i="17" s="1"/>
  <c r="N19" i="17" s="1" a="1"/>
  <c r="N19" i="17" s="1"/>
  <c r="Q18" i="17"/>
  <c r="M18" i="17" s="1"/>
  <c r="N18" i="17" s="1" a="1"/>
  <c r="N18" i="17" s="1"/>
  <c r="Q31" i="17"/>
  <c r="M31" i="17" s="1"/>
  <c r="N31" i="17" s="1" a="1"/>
  <c r="N31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<sst xmlns="http://schemas.openxmlformats.org/spreadsheetml/2006/main" count="15486" uniqueCount="638">
  <si>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</si>
  <si>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</si>
  <si>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</si>
  <si>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</si>
  <si>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</si>
  <si>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</si>
  <si>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</si>
  <si>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</si>
  <si>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</si>
  <si>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</si>
  <si>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</si>
  <si>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</si>
  <si>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</si>
  <si>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</si>
  <si>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</si>
  <si>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</si>
  <si>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</si>
  <si>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</si>
  <si>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</si>
  <si>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</si>
  <si>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</si>
  <si>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</si>
  <si>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</si>
  <si>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</si>
  <si>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</si>
  <si>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</si>
  <si>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</si>
  <si>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</si>
  <si>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</si>
  <si>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</si>
  <si>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</si>
  <si>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</si>
  <si>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</si>
  <si>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</si>
  <si>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</si>
  <si>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</si>
  <si>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</si>
  <si>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</si>
  <si>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</si>
  <si>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</si>
  <si>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</si>
  <si>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</si>
  <si>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</si>
  <si>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</si>
  <si>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</si>
  <si>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</si>
  <si>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</si>
  <si>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</si>
  <si>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</si>
  <si>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</si>
  <si>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</si>
  <si>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</si>
  <si>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</si>
  <si>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</si>
  <si>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</si>
  <si>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</si>
  <si>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</si>
  <si>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</si>
  <si>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</si>
  <si>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</si>
  <si>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</si>
  <si>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</si>
  <si>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</si>
  <si>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</si>
  <si>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</si>
  <si>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</si>
  <si>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</si>
  <si>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</si>
  <si>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</si>
  <si>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</si>
  <si>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</si>
  <si>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</si>
  <si>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</si>
  <si>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</si>
  <si>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</si>
  <si>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</si>
  <si>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</si>
  <si>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</si>
  <si>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</si>
  <si>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</si>
  <si>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</si>
  <si>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</si>
  <si>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</si>
  <si>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</si>
  <si>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</si>
  <si>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</si>
  <si>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</si>
  <si>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</si>
  <si>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</si>
  <si>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</si>
  <si>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</si>
  <si>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</si>
  <si>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</si>
  <si>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</si>
  <si>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</si>
  <si>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</si>
  <si>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</si>
  <si>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</si>
  <si>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</si>
  <si>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</si>
  <si>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</si>
  <si>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</si>
  <si>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</si>
  <si>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</si>
  <si>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</si>
  <si>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</si>
  <si>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</si>
  <si>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</si>
  <si>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</si>
  <si>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</si>
  <si>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</si>
  <si>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</si>
  <si>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</si>
  <si>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</si>
  <si>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</si>
  <si>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</si>
  <si>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</si>
  <si>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</si>
  <si>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</si>
  <si>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</si>
  <si>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</si>
  <si>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</si>
  <si>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</si>
  <si>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</si>
  <si>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</si>
  <si>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</si>
  <si>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</si>
  <si>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</si>
  <si>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</si>
  <si>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</si>
  <si>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</si>
  <si>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</si>
  <si>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</si>
  <si>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</si>
  <si>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</si>
  <si>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</si>
  <si>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</si>
  <si>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</si>
  <si>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</si>
  <si>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</si>
  <si>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</si>
  <si>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</si>
  <si>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</si>
  <si>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</si>
  <si>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</si>
  <si>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</si>
  <si>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</si>
  <si>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</si>
  <si>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</si>
  <si>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</si>
  <si>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</si>
  <si>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</si>
  <si>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</si>
  <si>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</si>
  <si>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</si>
  <si>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</si>
  <si>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</si>
  <si>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</si>
  <si>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</si>
  <si>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</si>
  <si>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</si>
  <si>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</si>
  <si>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</si>
  <si>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</si>
  <si>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</si>
  <si>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</si>
  <si>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</si>
  <si>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</si>
  <si>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</si>
  <si>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</si>
  <si>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</si>
  <si>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</si>
  <si>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</si>
  <si>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</si>
  <si>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</si>
  <si>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</si>
  <si>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</si>
  <si>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</si>
  <si>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</si>
  <si>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</si>
  <si>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</si>
  <si>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</si>
  <si>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</si>
  <si>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</si>
  <si>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</si>
  <si>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</si>
  <si>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</si>
  <si>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</si>
  <si>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</si>
  <si>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</si>
  <si>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</si>
  <si>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</si>
  <si>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</si>
  <si>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</si>
  <si>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</si>
  <si>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</si>
  <si>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</si>
  <si>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</si>
  <si>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</si>
  <si>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</si>
  <si>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</si>
  <si>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</si>
  <si>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</si>
  <si>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</si>
  <si>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</si>
  <si>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</si>
  <si>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</si>
  <si>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</si>
  <si>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</si>
  <si>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</si>
  <si>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</si>
  <si>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</si>
  <si>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</si>
  <si>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</si>
  <si>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</si>
  <si>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</si>
  <si>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</si>
  <si>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</si>
  <si>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</si>
  <si>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</si>
  <si>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</si>
  <si>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</si>
  <si>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</si>
  <si>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</si>
  <si>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</si>
  <si>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</si>
  <si>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</si>
  <si>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</si>
  <si>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</si>
  <si>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</si>
  <si>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</si>
  <si>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</si>
  <si>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</si>
  <si>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</si>
  <si>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</si>
  <si>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</si>
  <si>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</si>
  <si>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</si>
  <si>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</si>
  <si>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</si>
  <si>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</si>
  <si>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</si>
  <si>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</si>
  <si>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</si>
  <si>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</si>
  <si>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</si>
  <si>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</si>
  <si>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</si>
  <si>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</si>
  <si>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</si>
  <si>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</si>
  <si>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</si>
  <si>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</si>
  <si>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</si>
  <si>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</si>
  <si>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</si>
  <si>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</si>
  <si>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</si>
  <si>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</si>
  <si>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</si>
  <si>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</si>
  <si>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</si>
  <si>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</si>
  <si>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</si>
  <si>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</si>
  <si>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</si>
  <si>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</si>
  <si>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</si>
  <si>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</si>
  <si>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</si>
  <si>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</si>
  <si>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</si>
  <si>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</si>
  <si>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</si>
  <si>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</si>
  <si>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</si>
  <si>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</si>
  <si>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</si>
  <si>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</si>
  <si>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</si>
  <si>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</si>
  <si>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</si>
  <si>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</si>
  <si>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</si>
  <si>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</si>
  <si>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</si>
  <si>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</si>
  <si>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</si>
  <si>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</si>
  <si>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</si>
  <si>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</si>
  <si>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</si>
  <si>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</si>
  <si>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</si>
  <si>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</si>
  <si>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</si>
  <si>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</si>
  <si>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</si>
  <si>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</si>
  <si>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</si>
  <si>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</si>
  <si>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</si>
  <si>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</si>
  <si>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</si>
  <si>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</si>
  <si>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</si>
  <si>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</si>
  <si>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</si>
  <si>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</si>
  <si>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</si>
  <si>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</si>
  <si>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</si>
  <si>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</si>
  <si>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</si>
  <si>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</si>
  <si>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</si>
  <si>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</si>
  <si>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</si>
  <si>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</si>
  <si>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</si>
  <si>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</si>
  <si>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</si>
  <si>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</si>
  <si>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</si>
  <si>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</si>
  <si>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</si>
  <si>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</si>
  <si>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</si>
  <si>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</si>
  <si>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</si>
  <si>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</si>
  <si>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</si>
  <si>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</si>
  <si>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</si>
  <si>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</si>
  <si>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</si>
  <si>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</si>
  <si>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</si>
  <si>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</si>
  <si>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</si>
  <si>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</si>
  <si>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</si>
  <si>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</si>
  <si>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</si>
  <si>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</si>
  <si>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</si>
  <si>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</si>
  <si>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</si>
  <si>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</si>
  <si>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</si>
  <si>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</si>
  <si>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</si>
  <si>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</si>
  <si>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</si>
  <si>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</si>
  <si>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</si>
  <si>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</si>
  <si>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PRACTICANTE</t>
  </si>
  <si>
    <t>GERENTE DE PROYECTOS Y CONSULTORIA</t>
  </si>
  <si>
    <t>ANALISTA DE CAPACITACIÓN  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</si>
  <si>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</si>
  <si>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</si>
  <si>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</si>
  <si>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</si>
  <si>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</si>
  <si>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</si>
  <si>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</si>
  <si>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</si>
  <si>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</si>
  <si>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</si>
  <si>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</si>
  <si>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</si>
  <si>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</si>
  <si>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</si>
  <si>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</si>
  <si>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</si>
  <si>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</si>
  <si>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</si>
  <si>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</si>
  <si>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</si>
  <si>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</si>
  <si>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</si>
  <si>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</si>
  <si>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</si>
  <si>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</si>
  <si>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</si>
  <si>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</si>
  <si>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</si>
  <si>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</si>
  <si>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</si>
  <si>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</si>
  <si>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</si>
  <si>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</si>
  <si>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</si>
  <si>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</si>
  <si>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</si>
  <si>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</si>
  <si>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</si>
  <si>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</si>
  <si>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</si>
  <si>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</si>
  <si>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</si>
  <si>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</si>
  <si>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</si>
  <si>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</si>
  <si>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</si>
  <si>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</si>
  <si>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</si>
  <si>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</si>
  <si>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</si>
  <si>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</si>
  <si>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</si>
  <si>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</si>
  <si>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</si>
  <si>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</si>
  <si>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</si>
  <si>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</si>
  <si>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</si>
  <si>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</si>
  <si>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</si>
  <si>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</si>
  <si>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</si>
  <si>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</si>
  <si>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</si>
  <si>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</si>
  <si>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</si>
  <si>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</si>
  <si>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</si>
  <si>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</si>
  <si>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</si>
  <si>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</si>
  <si>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</si>
  <si>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</si>
  <si>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</si>
  <si>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</si>
  <si>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</si>
  <si>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</si>
  <si>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</si>
  <si>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</si>
  <si>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</si>
  <si>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</si>
  <si>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</si>
  <si>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</si>
  <si>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</si>
  <si>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</si>
  <si>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</si>
  <si>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</si>
  <si>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</si>
  <si>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</si>
  <si>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</si>
  <si>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</si>
  <si>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</si>
  <si>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</si>
  <si>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</si>
  <si>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</si>
  <si>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</si>
  <si>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</si>
  <si>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</si>
  <si>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</si>
  <si>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</si>
  <si>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</si>
  <si>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</si>
  <si>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</si>
  <si>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</si>
  <si>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</si>
  <si>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</si>
  <si>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</si>
  <si>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</si>
  <si>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</si>
  <si>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</si>
  <si>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</si>
  <si>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</si>
  <si>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</si>
  <si>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</si>
  <si>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</si>
  <si>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</si>
  <si>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</si>
  <si>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</si>
  <si>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</si>
  <si>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</si>
  <si>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</si>
  <si>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</si>
  <si>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</si>
  <si>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</si>
  <si>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</si>
  <si>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</si>
  <si>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</si>
  <si>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</si>
  <si>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</si>
  <si>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</si>
  <si>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</si>
  <si>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</si>
  <si>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</si>
  <si>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</si>
  <si>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</si>
  <si>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</si>
  <si>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</si>
  <si>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</si>
  <si>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</si>
  <si>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</si>
  <si>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</si>
  <si>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</si>
  <si>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</si>
  <si>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</si>
  <si>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</si>
  <si>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</si>
  <si>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</si>
  <si>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</si>
  <si>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</si>
  <si>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</si>
  <si>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</si>
  <si>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</si>
  <si>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</si>
  <si>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</si>
  <si>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</si>
  <si>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</si>
  <si>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</si>
  <si>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</si>
  <si>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</si>
  <si>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</si>
  <si>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</si>
  <si>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</si>
  <si>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</si>
  <si>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</si>
  <si>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</si>
  <si>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</si>
  <si>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</si>
  <si>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</si>
  <si>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</si>
  <si>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</si>
  <si>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</si>
  <si>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</si>
  <si>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</si>
  <si>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</si>
  <si>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</si>
  <si>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</si>
  <si>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</si>
  <si>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</si>
  <si>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</si>
  <si>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</si>
  <si>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</si>
  <si>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</si>
  <si>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</si>
  <si>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</si>
  <si>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</si>
  <si>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</si>
  <si>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</si>
  <si>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</si>
  <si>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</si>
  <si>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</si>
  <si>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</si>
  <si>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</si>
  <si>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</si>
  <si>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</si>
  <si>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</si>
  <si>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</si>
  <si>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</si>
  <si>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</si>
  <si>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</si>
  <si>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</si>
  <si>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</si>
  <si>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</si>
  <si>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</si>
  <si>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</si>
  <si>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</si>
  <si>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</si>
  <si>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</si>
  <si>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</si>
  <si>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</si>
  <si>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</si>
  <si>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</si>
  <si>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</si>
  <si>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</si>
  <si>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</si>
  <si>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</si>
  <si>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</si>
  <si>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</si>
  <si>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</si>
  <si>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</si>
  <si>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</si>
  <si>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</si>
  <si>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</si>
  <si>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</si>
  <si>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</si>
  <si>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</si>
  <si>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</si>
  <si>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</si>
  <si>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</si>
  <si>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</si>
  <si>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</si>
  <si>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</si>
  <si>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</si>
  <si>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</si>
  <si>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</si>
  <si>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</si>
  <si>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</si>
  <si>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</si>
  <si>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</si>
  <si>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</si>
  <si>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</si>
  <si>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</si>
  <si>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</si>
  <si>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</si>
  <si>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</si>
  <si>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</si>
  <si>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</si>
  <si>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</si>
  <si>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</si>
  <si>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</si>
  <si>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</si>
  <si>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</si>
  <si>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</si>
  <si>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</si>
  <si>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</si>
  <si>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</si>
  <si>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</si>
  <si>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</si>
  <si>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</si>
  <si>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</si>
  <si>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</si>
  <si>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</si>
  <si>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</si>
  <si>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</si>
  <si>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</si>
  <si>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</si>
  <si>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</si>
  <si>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</si>
  <si>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</si>
  <si>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</si>
  <si>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</si>
  <si>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</si>
  <si>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</si>
  <si>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</si>
  <si>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</si>
  <si>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>GENESIS VICUÑA</t>
  </si>
  <si>
    <t xml:space="preserve">ERIKA VILLAR </t>
  </si>
  <si>
    <t xml:space="preserve">CRISTINA TICONA </t>
  </si>
  <si>
    <t>NICOLE CAURURO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</si>
</sst>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235">
    <dxf>
      <numFmt numFmtId="19" formatCode="d/mm/yyyy"/>
    </dxf>
    <dxf>
      <numFmt numFmtId="19" formatCode="d/mm/yyyy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>VLOOKUP($M$3&amp;$N$3&amp;DATA_MARZO_202651[[#This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>VLOOKUP($M$3&amp;$N$3&amp;DATA_MARZO_202659[[#This Row],[SUPERVISOR]],TablaMeta[],7,0)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8" tableType="queryTable" totalsRowShown="0">
  <autoFilter ref="A1:G108" xr:uid="{0607F3E9-4FEE-4CE6-B9AE-D177C1FED03F}"/>
  <sortState xmlns:xlrd2="http://schemas.microsoft.com/office/spreadsheetml/2017/richdata2" ref="A2:G108">
    <sortCondition ref="C1:C108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0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1"/>
    <tableColumn id="2" xr3:uid="{4CE5A949-AEFE-46EE-A6C7-63B5F40645ED}" uniqueName="2" name="ASESOR" queryTableFieldId="2" dataDxfId="30"/>
    <tableColumn id="3" xr3:uid="{FC855FAD-67D1-4191-8099-B240DE5A7E19}" uniqueName="3" name="DNI" queryTableFieldId="3"/>
    <tableColumn id="4" xr3:uid="{B28762A1-8785-4BA1-B48A-2105A7540479}" uniqueName="4" name="EQUIPO" queryTableFieldId="4" dataDxfId="29"/>
    <tableColumn id="5" xr3:uid="{4F3B4D22-3444-4707-91B7-A75F49F6498B}" uniqueName="5" name="CONDICION" queryTableFieldId="5" dataDxfId="28"/>
    <tableColumn id="6" xr3:uid="{8D887E6F-5C9F-49FF-A6D9-8DCCAC8D9020}" uniqueName="6" name="TIPO" queryTableFieldId="6" dataDxfId="27"/>
    <tableColumn id="7" xr3:uid="{36632EEE-E592-453A-A97A-3195965F4742}" uniqueName="7" name="FECHA DE INGRESO" queryTableFieldId="7" dataDxfId="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6"/>
    <tableColumn id="10" xr3:uid="{EA137E28-70F4-408B-9000-9FD7EB104A9B}" uniqueName="10" name="FECHA DE CESE" queryTableFieldId="10" dataDxfId="1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5" headerRowBorderDxfId="24" tableBorderDxfId="23" totalsRowBorderDxfId="22">
  <autoFilter ref="A1:G208" xr:uid="{C41E08BB-0323-438E-BFE0-76BBB5F11D04}"/>
  <tableColumns count="7">
    <tableColumn id="1" xr3:uid="{392AC838-52ED-4D24-AEEF-DBB8AB8874AD}" name="CONCAT" dataDxfId="21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0"/>
    <tableColumn id="2" xr3:uid="{6AF5A16E-DFBE-42B7-BDA1-6E8694A629C3}" name="mes" dataDxfId="19"/>
    <tableColumn id="4" xr3:uid="{10D1F902-532A-4C8C-AB27-C2F522F14EA7}" name="Equipo" dataDxfId="18"/>
    <tableColumn id="5" xr3:uid="{75A35478-8934-432E-843B-D174D5C58C71}" name="Meta_Equipo" dataDxfId="17"/>
    <tableColumn id="6" xr3:uid="{C4DF57EE-8F57-44C8-ABE6-43EEF1F9DA62}" name="Meta_Asesor" dataDxfId="16"/>
    <tableColumn id="3" xr3:uid="{95E3CE54-9C14-4F51-963D-FFEEB667B07A}" name="SEGG" dataDxfId="1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436</v>
      </c>
      <c r="I3" s="56">
        <v>45133</v>
      </c>
      <c r="J3" s="56" t="s">
        <v>506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414</v>
      </c>
      <c r="I4" s="56">
        <v>44301</v>
      </c>
      <c r="J4" s="56" t="s">
        <v>506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446</v>
      </c>
      <c r="I5" s="56">
        <v>43035</v>
      </c>
      <c r="J5" s="56" t="s">
        <v>506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427</v>
      </c>
      <c r="I6" s="56">
        <v>45334</v>
      </c>
      <c r="J6" s="56" t="s">
        <v>506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415</v>
      </c>
      <c r="I7" s="56">
        <v>44735</v>
      </c>
      <c r="J7" s="56" t="s">
        <v>506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491</v>
      </c>
      <c r="I8" s="56">
        <v>45399</v>
      </c>
      <c r="J8" s="56" t="s">
        <v>506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538</v>
      </c>
      <c r="T8" s="13" t="s">
        <v>508</v>
      </c>
      <c r="U8" s="13" t="s">
        <v>530</v>
      </c>
      <c r="V8" s="13" t="s">
        <v>534</v>
      </c>
      <c r="W8" s="13" t="s">
        <v>509</v>
      </c>
      <c r="X8" s="13" t="s">
        <v>510</v>
      </c>
      <c r="Y8" s="13" t="s">
        <v>511</v>
      </c>
      <c r="Z8" s="13" t="s">
        <v>512</v>
      </c>
      <c r="AA8" s="13" t="s">
        <v>513</v>
      </c>
      <c r="AB8" s="13" t="s">
        <v>531</v>
      </c>
      <c r="AC8" s="13" t="s">
        <v>535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518</v>
      </c>
      <c r="AI8" s="13" t="s">
        <v>532</v>
      </c>
      <c r="AJ8" s="13" t="s">
        <v>536</v>
      </c>
      <c r="AK8" s="13" t="s">
        <v>519</v>
      </c>
      <c r="AL8" s="13" t="s">
        <v>520</v>
      </c>
      <c r="AM8" s="13" t="s">
        <v>521</v>
      </c>
      <c r="AN8" s="13" t="s">
        <v>522</v>
      </c>
      <c r="AO8" s="13" t="s">
        <v>523</v>
      </c>
      <c r="AP8" s="13" t="s">
        <v>533</v>
      </c>
      <c r="AQ8" s="13" t="s">
        <v>537</v>
      </c>
      <c r="AR8" s="13" t="s">
        <v>524</v>
      </c>
      <c r="AS8" s="13" t="s">
        <v>525</v>
      </c>
      <c r="AT8" s="13" t="s">
        <v>526</v>
      </c>
      <c r="AU8" s="13" t="s">
        <v>527</v>
      </c>
      <c r="AV8" s="13" t="s">
        <v>528</v>
      </c>
      <c r="AW8" s="13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538</v>
      </c>
      <c r="BE8" s="19" t="s">
        <v>508</v>
      </c>
      <c r="BF8" s="19" t="s">
        <v>530</v>
      </c>
      <c r="BG8" s="19" t="s">
        <v>534</v>
      </c>
      <c r="BH8" s="19" t="s">
        <v>509</v>
      </c>
      <c r="BI8" s="19" t="s">
        <v>510</v>
      </c>
      <c r="BJ8" s="19" t="s">
        <v>511</v>
      </c>
      <c r="BK8" s="19" t="s">
        <v>512</v>
      </c>
      <c r="BL8" s="19" t="s">
        <v>513</v>
      </c>
      <c r="BM8" s="19" t="s">
        <v>531</v>
      </c>
      <c r="BN8" s="19" t="s">
        <v>535</v>
      </c>
      <c r="BO8" s="19" t="s">
        <v>514</v>
      </c>
      <c r="BP8" s="19" t="s">
        <v>515</v>
      </c>
      <c r="BQ8" s="19" t="s">
        <v>516</v>
      </c>
      <c r="BR8" s="19" t="s">
        <v>517</v>
      </c>
      <c r="BS8" s="19" t="s">
        <v>518</v>
      </c>
      <c r="BT8" s="19" t="s">
        <v>532</v>
      </c>
      <c r="BU8" s="19" t="s">
        <v>536</v>
      </c>
      <c r="BV8" s="19" t="s">
        <v>519</v>
      </c>
      <c r="BW8" s="19" t="s">
        <v>520</v>
      </c>
      <c r="BX8" s="19" t="s">
        <v>521</v>
      </c>
      <c r="BY8" s="19" t="s">
        <v>522</v>
      </c>
      <c r="BZ8" s="19" t="s">
        <v>523</v>
      </c>
      <c r="CA8" s="19" t="s">
        <v>533</v>
      </c>
      <c r="CB8" s="19" t="s">
        <v>537</v>
      </c>
      <c r="CC8" s="19" t="s">
        <v>524</v>
      </c>
      <c r="CD8" s="19" t="s">
        <v>525</v>
      </c>
      <c r="CE8" s="19" t="s">
        <v>526</v>
      </c>
      <c r="CF8" s="19" t="s">
        <v>527</v>
      </c>
      <c r="CG8" s="19" t="s">
        <v>528</v>
      </c>
      <c r="CH8" s="19" t="s">
        <v>529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384</v>
      </c>
      <c r="I9" s="56">
        <v>44461</v>
      </c>
      <c r="J9" s="56" t="s">
        <v>506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385</v>
      </c>
      <c r="I10" s="56">
        <v>44811</v>
      </c>
      <c r="J10" s="56" t="s">
        <v>506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386</v>
      </c>
      <c r="I11" s="56">
        <v>44811</v>
      </c>
      <c r="J11" s="56" t="s">
        <v>506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437</v>
      </c>
      <c r="I12" s="56">
        <v>45133</v>
      </c>
      <c r="J12" s="56" t="s">
        <v>506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403</v>
      </c>
      <c r="I13" s="56">
        <v>44357</v>
      </c>
      <c r="J13" s="56" t="s">
        <v>506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404</v>
      </c>
      <c r="I14" s="56">
        <v>44673</v>
      </c>
      <c r="J14" s="56" t="s">
        <v>506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416</v>
      </c>
      <c r="I15" s="56">
        <v>44909</v>
      </c>
      <c r="J15" s="56" t="s">
        <v>506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438</v>
      </c>
      <c r="I16" s="56">
        <v>45285</v>
      </c>
      <c r="J16" s="56" t="s">
        <v>506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429</v>
      </c>
      <c r="I17" s="56">
        <v>45429</v>
      </c>
      <c r="J17" s="56" t="s">
        <v>506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430</v>
      </c>
      <c r="I18" s="56">
        <v>45506</v>
      </c>
      <c r="J18" s="56" t="s">
        <v>506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447</v>
      </c>
      <c r="I19" s="56">
        <v>45299</v>
      </c>
      <c r="J19" s="56" t="s">
        <v>506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439</v>
      </c>
      <c r="I20" s="56">
        <v>45334</v>
      </c>
      <c r="J20" s="56" t="s">
        <v>506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468</v>
      </c>
      <c r="I21" s="56">
        <v>44657</v>
      </c>
      <c r="J21" s="56" t="s">
        <v>506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393</v>
      </c>
      <c r="I22" s="56">
        <v>45334</v>
      </c>
      <c r="J22" s="56" t="s">
        <v>506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394</v>
      </c>
      <c r="I23" s="56">
        <v>44870</v>
      </c>
      <c r="J23" s="56" t="s">
        <v>506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387</v>
      </c>
      <c r="I24" s="56">
        <v>44811</v>
      </c>
      <c r="J24" s="56" t="s">
        <v>506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395</v>
      </c>
      <c r="I25" s="56">
        <v>45530</v>
      </c>
      <c r="J25" s="56" t="s">
        <v>506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388</v>
      </c>
      <c r="I26" s="56">
        <v>45449</v>
      </c>
      <c r="J26" s="56" t="s">
        <v>506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419</v>
      </c>
      <c r="I27" s="56">
        <v>45423</v>
      </c>
      <c r="J27" s="56" t="s">
        <v>506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464</v>
      </c>
      <c r="I28" s="56">
        <v>45721</v>
      </c>
      <c r="J28" s="56" t="s">
        <v>506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420</v>
      </c>
      <c r="I29" s="56">
        <v>45399</v>
      </c>
      <c r="J29" s="56" t="s">
        <v>506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440</v>
      </c>
      <c r="I30" s="56">
        <v>44937</v>
      </c>
      <c r="J30" s="56" t="s">
        <v>506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448</v>
      </c>
      <c r="I31" s="56">
        <v>45590</v>
      </c>
      <c r="J31" s="56" t="s">
        <v>506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441</v>
      </c>
      <c r="I32" s="56">
        <v>42814</v>
      </c>
      <c r="J32" s="56" t="s">
        <v>506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396</v>
      </c>
      <c r="I33" s="56">
        <v>44259</v>
      </c>
      <c r="J33" s="56" t="s">
        <v>506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431</v>
      </c>
      <c r="I34" s="56">
        <v>45082</v>
      </c>
      <c r="J34" s="56" t="s">
        <v>506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389</v>
      </c>
      <c r="I35" s="56">
        <v>45075</v>
      </c>
      <c r="J35" s="56" t="s">
        <v>506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556</v>
      </c>
      <c r="G36" s="3">
        <v>500</v>
      </c>
      <c r="H36" t="s">
        <v>558</v>
      </c>
      <c r="I36" s="56">
        <v>45512</v>
      </c>
      <c r="J36" s="56" t="s">
        <v>506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443</v>
      </c>
      <c r="I37" s="56">
        <v>45021</v>
      </c>
      <c r="J37" s="56" t="s">
        <v>506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432</v>
      </c>
      <c r="I38" s="56">
        <v>45142</v>
      </c>
      <c r="J38" s="56" t="s">
        <v>506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405</v>
      </c>
      <c r="I39" s="56">
        <v>43132</v>
      </c>
      <c r="J39" s="56" t="s">
        <v>506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397</v>
      </c>
      <c r="I40" s="56">
        <v>44748</v>
      </c>
      <c r="J40" s="56" t="s">
        <v>506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398</v>
      </c>
      <c r="I41" s="56">
        <v>44840</v>
      </c>
      <c r="J41" s="56" t="s">
        <v>506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406</v>
      </c>
      <c r="I42" s="56">
        <v>44748</v>
      </c>
      <c r="J42" s="56" t="s">
        <v>506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556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399</v>
      </c>
      <c r="I43" s="56">
        <v>45344</v>
      </c>
      <c r="J43" s="56" t="s">
        <v>506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407</v>
      </c>
      <c r="I44" s="56">
        <v>45523</v>
      </c>
      <c r="J44" s="56" t="s">
        <v>506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444</v>
      </c>
      <c r="I45" s="56">
        <v>44869</v>
      </c>
      <c r="J45" s="56" t="s">
        <v>506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546</v>
      </c>
      <c r="G46" s="3">
        <v>22661</v>
      </c>
      <c r="H46" t="s">
        <v>547</v>
      </c>
      <c r="I46" s="56">
        <v>45131</v>
      </c>
      <c r="J46" s="56" t="s">
        <v>506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450</v>
      </c>
      <c r="I47" s="56">
        <v>44111</v>
      </c>
      <c r="J47" s="56" t="s">
        <v>506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557</v>
      </c>
      <c r="G48" s="3">
        <v>16189</v>
      </c>
      <c r="H48" t="s">
        <v>559</v>
      </c>
      <c r="I48" s="56">
        <v>44830</v>
      </c>
      <c r="J48" s="56" t="s">
        <v>506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408</v>
      </c>
      <c r="I49" s="56">
        <v>45334</v>
      </c>
      <c r="J49" s="56" t="s">
        <v>506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421</v>
      </c>
      <c r="I50" s="56">
        <v>44687</v>
      </c>
      <c r="J50" s="56" t="s">
        <v>506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451</v>
      </c>
      <c r="I51" s="56">
        <v>44820</v>
      </c>
      <c r="J51" s="56" t="s">
        <v>506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422</v>
      </c>
      <c r="I52" s="56">
        <v>44510</v>
      </c>
      <c r="J52" s="56" t="s">
        <v>506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546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390</v>
      </c>
      <c r="I53" s="56">
        <v>44888</v>
      </c>
      <c r="J53" s="56" t="s">
        <v>506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409</v>
      </c>
      <c r="I54" s="56">
        <v>45441</v>
      </c>
      <c r="J54" s="56" t="s">
        <v>506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557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433</v>
      </c>
      <c r="I55" s="56">
        <v>44716</v>
      </c>
      <c r="J55" s="56" t="s">
        <v>506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542</v>
      </c>
      <c r="G56" s="3">
        <v>3930</v>
      </c>
      <c r="H56" t="s">
        <v>544</v>
      </c>
      <c r="I56" s="56">
        <v>44716</v>
      </c>
      <c r="J56" s="56" t="s">
        <v>506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410</v>
      </c>
      <c r="I57" s="56">
        <v>45471</v>
      </c>
      <c r="J57" s="56" t="s">
        <v>506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411</v>
      </c>
      <c r="I58" s="56">
        <v>44941</v>
      </c>
      <c r="J58" s="56" t="s">
        <v>506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391</v>
      </c>
      <c r="I59" s="56">
        <v>45334</v>
      </c>
      <c r="J59" s="56" t="s">
        <v>506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423</v>
      </c>
      <c r="I60" s="56">
        <v>44971</v>
      </c>
      <c r="J60" s="56" t="s">
        <v>506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434</v>
      </c>
      <c r="I61" s="56">
        <v>45371</v>
      </c>
      <c r="J61" s="56" t="s">
        <v>506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400</v>
      </c>
      <c r="I62" s="56">
        <v>44470</v>
      </c>
      <c r="J62" s="56" t="s">
        <v>506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542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452</v>
      </c>
      <c r="I63" s="56">
        <v>45316</v>
      </c>
      <c r="J63" s="56" t="s">
        <v>506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560</v>
      </c>
      <c r="G64" s="3">
        <v>1931</v>
      </c>
      <c r="H64" t="s">
        <v>561</v>
      </c>
      <c r="I64" s="56">
        <v>45454</v>
      </c>
      <c r="J64" s="56" t="s">
        <v>506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549</v>
      </c>
      <c r="G65" s="3">
        <v>300</v>
      </c>
      <c r="H65" t="s">
        <v>552</v>
      </c>
      <c r="I65" s="56">
        <v>45544</v>
      </c>
      <c r="J65" s="56" t="s">
        <v>506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424</v>
      </c>
      <c r="I66" s="56">
        <v>45451</v>
      </c>
      <c r="J66" s="56" t="s">
        <v>506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425</v>
      </c>
      <c r="I67" s="56">
        <v>45145</v>
      </c>
      <c r="J67" s="56" t="s">
        <v>506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453</v>
      </c>
      <c r="I68" s="56">
        <v>45399</v>
      </c>
      <c r="J68" s="56" t="s">
        <v>506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402</v>
      </c>
      <c r="I69" s="56">
        <v>44945</v>
      </c>
      <c r="J69" s="56" t="s">
        <v>506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426</v>
      </c>
      <c r="I70" s="56">
        <v>44748</v>
      </c>
      <c r="J70" s="56" t="s">
        <v>506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560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454</v>
      </c>
      <c r="I71" s="56">
        <v>44706</v>
      </c>
      <c r="J71" s="56" t="s">
        <v>506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549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413</v>
      </c>
      <c r="I72" s="56">
        <v>44819</v>
      </c>
      <c r="J72" s="56" t="s">
        <v>506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4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436</v>
      </c>
      <c r="I3" s="56">
        <v>45133</v>
      </c>
      <c r="J3" s="56" t="s">
        <v>506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414</v>
      </c>
      <c r="I4" s="56">
        <v>44301</v>
      </c>
      <c r="J4" s="56" t="s">
        <v>506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446</v>
      </c>
      <c r="I5" s="56">
        <v>43035</v>
      </c>
      <c r="J5" s="56" t="s">
        <v>506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427</v>
      </c>
      <c r="I6" s="56">
        <v>45334</v>
      </c>
      <c r="J6" s="56" t="s">
        <v>506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428</v>
      </c>
      <c r="I7" s="56">
        <v>45323</v>
      </c>
      <c r="J7" s="56" t="s">
        <v>506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415</v>
      </c>
      <c r="I8" s="56">
        <v>44735</v>
      </c>
      <c r="J8" s="56" t="s">
        <v>506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538</v>
      </c>
      <c r="T8" s="13" t="s">
        <v>508</v>
      </c>
      <c r="U8" s="13" t="s">
        <v>530</v>
      </c>
      <c r="V8" s="13" t="s">
        <v>534</v>
      </c>
      <c r="W8" s="13" t="s">
        <v>509</v>
      </c>
      <c r="X8" s="13" t="s">
        <v>510</v>
      </c>
      <c r="Y8" s="13" t="s">
        <v>511</v>
      </c>
      <c r="Z8" s="13" t="s">
        <v>512</v>
      </c>
      <c r="AA8" s="13" t="s">
        <v>513</v>
      </c>
      <c r="AB8" s="13" t="s">
        <v>531</v>
      </c>
      <c r="AC8" s="13" t="s">
        <v>535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518</v>
      </c>
      <c r="AI8" s="13" t="s">
        <v>532</v>
      </c>
      <c r="AJ8" s="13" t="s">
        <v>536</v>
      </c>
      <c r="AK8" s="13" t="s">
        <v>519</v>
      </c>
      <c r="AL8" s="13" t="s">
        <v>520</v>
      </c>
      <c r="AM8" s="13" t="s">
        <v>521</v>
      </c>
      <c r="AN8" s="13" t="s">
        <v>522</v>
      </c>
      <c r="AO8" s="13" t="s">
        <v>523</v>
      </c>
      <c r="AP8" s="13" t="s">
        <v>533</v>
      </c>
      <c r="AQ8" s="13" t="s">
        <v>537</v>
      </c>
      <c r="AR8" s="13" t="s">
        <v>524</v>
      </c>
      <c r="AS8" s="13" t="s">
        <v>525</v>
      </c>
      <c r="AT8" s="13" t="s">
        <v>526</v>
      </c>
      <c r="AU8" s="13" t="s">
        <v>527</v>
      </c>
      <c r="AV8" s="13" t="s">
        <v>528</v>
      </c>
      <c r="AW8" s="13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538</v>
      </c>
      <c r="BE8" s="19" t="s">
        <v>508</v>
      </c>
      <c r="BF8" s="19" t="s">
        <v>530</v>
      </c>
      <c r="BG8" s="19" t="s">
        <v>534</v>
      </c>
      <c r="BH8" s="19" t="s">
        <v>509</v>
      </c>
      <c r="BI8" s="19" t="s">
        <v>510</v>
      </c>
      <c r="BJ8" s="19" t="s">
        <v>511</v>
      </c>
      <c r="BK8" s="19" t="s">
        <v>512</v>
      </c>
      <c r="BL8" s="19" t="s">
        <v>513</v>
      </c>
      <c r="BM8" s="19" t="s">
        <v>531</v>
      </c>
      <c r="BN8" s="19" t="s">
        <v>535</v>
      </c>
      <c r="BO8" s="19" t="s">
        <v>514</v>
      </c>
      <c r="BP8" s="19" t="s">
        <v>515</v>
      </c>
      <c r="BQ8" s="19" t="s">
        <v>516</v>
      </c>
      <c r="BR8" s="19" t="s">
        <v>517</v>
      </c>
      <c r="BS8" s="19" t="s">
        <v>518</v>
      </c>
      <c r="BT8" s="19" t="s">
        <v>532</v>
      </c>
      <c r="BU8" s="19" t="s">
        <v>536</v>
      </c>
      <c r="BV8" s="19" t="s">
        <v>519</v>
      </c>
      <c r="BW8" s="19" t="s">
        <v>520</v>
      </c>
      <c r="BX8" s="19" t="s">
        <v>521</v>
      </c>
      <c r="BY8" s="19" t="s">
        <v>522</v>
      </c>
      <c r="BZ8" s="19" t="s">
        <v>523</v>
      </c>
      <c r="CA8" s="19" t="s">
        <v>533</v>
      </c>
      <c r="CB8" s="19" t="s">
        <v>537</v>
      </c>
      <c r="CC8" s="19" t="s">
        <v>524</v>
      </c>
      <c r="CD8" s="19" t="s">
        <v>525</v>
      </c>
      <c r="CE8" s="19" t="s">
        <v>526</v>
      </c>
      <c r="CF8" s="19" t="s">
        <v>527</v>
      </c>
      <c r="CG8" s="19" t="s">
        <v>528</v>
      </c>
      <c r="CH8" s="19" t="s">
        <v>529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491</v>
      </c>
      <c r="I9" s="56">
        <v>45399</v>
      </c>
      <c r="J9" s="56" t="s">
        <v>506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384</v>
      </c>
      <c r="I10" s="56">
        <v>44461</v>
      </c>
      <c r="J10" s="56" t="s">
        <v>506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385</v>
      </c>
      <c r="I11" s="56">
        <v>44811</v>
      </c>
      <c r="J11" s="56" t="s">
        <v>506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386</v>
      </c>
      <c r="I12" s="56">
        <v>44811</v>
      </c>
      <c r="J12" s="56" t="s">
        <v>506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437</v>
      </c>
      <c r="I13" s="56">
        <v>45133</v>
      </c>
      <c r="J13" s="56" t="s">
        <v>506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403</v>
      </c>
      <c r="I14" s="56">
        <v>44357</v>
      </c>
      <c r="J14" s="56" t="s">
        <v>506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404</v>
      </c>
      <c r="I15" s="56">
        <v>44673</v>
      </c>
      <c r="J15" s="56" t="s">
        <v>506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392</v>
      </c>
      <c r="I16" s="56">
        <v>45304</v>
      </c>
      <c r="J16" s="56" t="s">
        <v>506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416</v>
      </c>
      <c r="I17" s="56">
        <v>44909</v>
      </c>
      <c r="J17" s="56" t="s">
        <v>506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438</v>
      </c>
      <c r="I18" s="56">
        <v>45285</v>
      </c>
      <c r="J18" s="56" t="s">
        <v>506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429</v>
      </c>
      <c r="I19" s="56">
        <v>45429</v>
      </c>
      <c r="J19" s="56" t="s">
        <v>506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430</v>
      </c>
      <c r="I20" s="56">
        <v>45506</v>
      </c>
      <c r="J20" s="56" t="s">
        <v>506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447</v>
      </c>
      <c r="I21" s="56">
        <v>45299</v>
      </c>
      <c r="J21" s="56" t="s">
        <v>506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439</v>
      </c>
      <c r="I22" s="56">
        <v>45334</v>
      </c>
      <c r="J22" s="56" t="s">
        <v>506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468</v>
      </c>
      <c r="I23" s="56">
        <v>44657</v>
      </c>
      <c r="J23" s="56" t="s">
        <v>506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393</v>
      </c>
      <c r="I24" s="56">
        <v>45334</v>
      </c>
      <c r="J24" s="56" t="s">
        <v>506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394</v>
      </c>
      <c r="I25" s="56">
        <v>44870</v>
      </c>
      <c r="J25" s="56" t="s">
        <v>506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387</v>
      </c>
      <c r="I26" s="56">
        <v>44811</v>
      </c>
      <c r="J26" s="56" t="s">
        <v>506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395</v>
      </c>
      <c r="I27" s="56">
        <v>45530</v>
      </c>
      <c r="J27" s="56" t="s">
        <v>506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419</v>
      </c>
      <c r="I28" s="56">
        <v>45423</v>
      </c>
      <c r="J28" s="56" t="s">
        <v>506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464</v>
      </c>
      <c r="I29" s="56">
        <v>45721</v>
      </c>
      <c r="J29" s="56" t="s">
        <v>506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420</v>
      </c>
      <c r="I30" s="56">
        <v>45399</v>
      </c>
      <c r="J30" s="56" t="s">
        <v>506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440</v>
      </c>
      <c r="I31" s="56">
        <v>44937</v>
      </c>
      <c r="J31" s="56" t="s">
        <v>506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448</v>
      </c>
      <c r="I32" s="56">
        <v>45590</v>
      </c>
      <c r="J32" s="56" t="s">
        <v>506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441</v>
      </c>
      <c r="I33" s="56">
        <v>42814</v>
      </c>
      <c r="J33" s="56" t="s">
        <v>506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396</v>
      </c>
      <c r="I34" s="56">
        <v>44259</v>
      </c>
      <c r="J34" s="56" t="s">
        <v>506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431</v>
      </c>
      <c r="I35" s="56">
        <v>45082</v>
      </c>
      <c r="J35" s="56" t="s">
        <v>506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389</v>
      </c>
      <c r="I36" s="56">
        <v>45075</v>
      </c>
      <c r="J36" s="56" t="s">
        <v>506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556</v>
      </c>
      <c r="G37" s="3">
        <v>13600</v>
      </c>
      <c r="H37" t="s">
        <v>558</v>
      </c>
      <c r="I37" s="56">
        <v>45512</v>
      </c>
      <c r="J37" s="56" t="s">
        <v>506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443</v>
      </c>
      <c r="I38" s="56">
        <v>45021</v>
      </c>
      <c r="J38" s="56" t="s">
        <v>506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432</v>
      </c>
      <c r="I39" s="56">
        <v>45142</v>
      </c>
      <c r="J39" s="56" t="s">
        <v>506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405</v>
      </c>
      <c r="I40" s="56">
        <v>43132</v>
      </c>
      <c r="J40" s="56" t="s">
        <v>506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397</v>
      </c>
      <c r="I41" s="56">
        <v>44748</v>
      </c>
      <c r="J41" s="56" t="s">
        <v>506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449</v>
      </c>
      <c r="I42" s="56">
        <v>0</v>
      </c>
      <c r="J42" s="56" t="s">
        <v>506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398</v>
      </c>
      <c r="I43" s="56">
        <v>44840</v>
      </c>
      <c r="J43" s="56" t="s">
        <v>506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556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406</v>
      </c>
      <c r="I44" s="56">
        <v>44748</v>
      </c>
      <c r="J44" s="56" t="s">
        <v>506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399</v>
      </c>
      <c r="I45" s="56">
        <v>45344</v>
      </c>
      <c r="J45" s="56" t="s">
        <v>506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407</v>
      </c>
      <c r="I46" s="56">
        <v>45523</v>
      </c>
      <c r="J46" s="56" t="s">
        <v>506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444</v>
      </c>
      <c r="I47" s="56">
        <v>44869</v>
      </c>
      <c r="J47" s="56" t="s">
        <v>506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546</v>
      </c>
      <c r="G48" s="3">
        <v>67343</v>
      </c>
      <c r="H48" t="s">
        <v>547</v>
      </c>
      <c r="I48" s="56">
        <v>45131</v>
      </c>
      <c r="J48" s="56" t="s">
        <v>506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450</v>
      </c>
      <c r="I49" s="56">
        <v>44111</v>
      </c>
      <c r="J49" s="56" t="s">
        <v>506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557</v>
      </c>
      <c r="G50" s="3">
        <v>3836</v>
      </c>
      <c r="H50" t="s">
        <v>559</v>
      </c>
      <c r="I50" s="56">
        <v>44830</v>
      </c>
      <c r="J50" s="56" t="s">
        <v>506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445</v>
      </c>
      <c r="I51" s="56">
        <v>45364</v>
      </c>
      <c r="J51" s="56" t="s">
        <v>506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408</v>
      </c>
      <c r="I52" s="56">
        <v>45334</v>
      </c>
      <c r="J52" s="56" t="s">
        <v>506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421</v>
      </c>
      <c r="I53" s="56">
        <v>44687</v>
      </c>
      <c r="J53" s="56" t="s">
        <v>506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451</v>
      </c>
      <c r="I54" s="56">
        <v>44820</v>
      </c>
      <c r="J54" s="56" t="s">
        <v>506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546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422</v>
      </c>
      <c r="I55" s="56">
        <v>44510</v>
      </c>
      <c r="J55" s="56" t="s">
        <v>506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390</v>
      </c>
      <c r="I56" s="56">
        <v>44888</v>
      </c>
      <c r="J56" s="56" t="s">
        <v>506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557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409</v>
      </c>
      <c r="I57" s="56">
        <v>45441</v>
      </c>
      <c r="J57" s="56" t="s">
        <v>506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433</v>
      </c>
      <c r="I58" s="56">
        <v>44716</v>
      </c>
      <c r="J58" s="56" t="s">
        <v>506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542</v>
      </c>
      <c r="G59" s="3">
        <v>8065</v>
      </c>
      <c r="H59" t="s">
        <v>544</v>
      </c>
      <c r="I59" s="56">
        <v>44716</v>
      </c>
      <c r="J59" s="56" t="s">
        <v>506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410</v>
      </c>
      <c r="I60" s="56">
        <v>45471</v>
      </c>
      <c r="J60" s="56" t="s">
        <v>506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411</v>
      </c>
      <c r="I61" s="56">
        <v>44941</v>
      </c>
      <c r="J61" s="56" t="s">
        <v>506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391</v>
      </c>
      <c r="I62" s="56">
        <v>45334</v>
      </c>
      <c r="J62" s="56" t="s">
        <v>506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423</v>
      </c>
      <c r="I63" s="56">
        <v>44971</v>
      </c>
      <c r="J63" s="56" t="s">
        <v>506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434</v>
      </c>
      <c r="I64" s="56">
        <v>45371</v>
      </c>
      <c r="J64" s="56" t="s">
        <v>506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400</v>
      </c>
      <c r="I65" s="56">
        <v>44470</v>
      </c>
      <c r="J65" s="56" t="s">
        <v>506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542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543</v>
      </c>
      <c r="G66" s="3">
        <v>9580</v>
      </c>
      <c r="H66" t="s">
        <v>545</v>
      </c>
      <c r="I66" s="56">
        <v>45343</v>
      </c>
      <c r="J66" s="56" t="s">
        <v>506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435</v>
      </c>
      <c r="I67" s="56">
        <v>45348</v>
      </c>
      <c r="J67" s="56" t="s">
        <v>506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452</v>
      </c>
      <c r="I68" s="56">
        <v>45316</v>
      </c>
      <c r="J68" s="56" t="s">
        <v>506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424</v>
      </c>
      <c r="I69" s="56">
        <v>45451</v>
      </c>
      <c r="J69" s="56" t="s">
        <v>506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425</v>
      </c>
      <c r="I70" s="56">
        <v>45145</v>
      </c>
      <c r="J70" s="56" t="s">
        <v>506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412</v>
      </c>
      <c r="I71" s="56">
        <v>45175</v>
      </c>
      <c r="J71" s="56" t="s">
        <v>506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453</v>
      </c>
      <c r="I72" s="56">
        <v>45399</v>
      </c>
      <c r="J72" s="56" t="s">
        <v>506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543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402</v>
      </c>
      <c r="I73" s="56">
        <v>44945</v>
      </c>
      <c r="J73" s="56" t="s">
        <v>506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426</v>
      </c>
      <c r="I74" s="56">
        <v>44748</v>
      </c>
      <c r="J74" s="56" t="s">
        <v>506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454</v>
      </c>
      <c r="I75" s="56">
        <v>44706</v>
      </c>
      <c r="J75" s="56" t="s">
        <v>506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413</v>
      </c>
      <c r="I76" s="56">
        <v>44819</v>
      </c>
      <c r="J76" s="56" t="s">
        <v>506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3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384</v>
      </c>
      <c r="I3" s="56">
        <v>44461</v>
      </c>
      <c r="J3" s="56" t="s">
        <v>506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385</v>
      </c>
      <c r="I4" s="56">
        <v>44811</v>
      </c>
      <c r="J4" s="56" t="s">
        <v>506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386</v>
      </c>
      <c r="I5" s="56">
        <v>44811</v>
      </c>
      <c r="J5" s="56" t="s">
        <v>506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387</v>
      </c>
      <c r="I6" s="56">
        <v>44811</v>
      </c>
      <c r="J6" s="56" t="s">
        <v>506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388</v>
      </c>
      <c r="I7" s="56">
        <v>45457</v>
      </c>
      <c r="J7" s="56" t="s">
        <v>506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389</v>
      </c>
      <c r="I8" s="56">
        <v>45075</v>
      </c>
      <c r="J8" s="56" t="s">
        <v>506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538</v>
      </c>
      <c r="T8" s="71" t="s">
        <v>508</v>
      </c>
      <c r="U8" s="71" t="s">
        <v>530</v>
      </c>
      <c r="V8" s="71" t="s">
        <v>534</v>
      </c>
      <c r="W8" s="71" t="s">
        <v>509</v>
      </c>
      <c r="X8" s="71" t="s">
        <v>510</v>
      </c>
      <c r="Y8" s="71" t="s">
        <v>511</v>
      </c>
      <c r="Z8" s="71" t="s">
        <v>512</v>
      </c>
      <c r="AA8" s="71" t="s">
        <v>513</v>
      </c>
      <c r="AB8" s="71" t="s">
        <v>531</v>
      </c>
      <c r="AC8" s="71" t="s">
        <v>535</v>
      </c>
      <c r="AD8" s="71" t="s">
        <v>514</v>
      </c>
      <c r="AE8" s="71" t="s">
        <v>515</v>
      </c>
      <c r="AF8" s="71" t="s">
        <v>516</v>
      </c>
      <c r="AG8" s="71" t="s">
        <v>517</v>
      </c>
      <c r="AH8" s="71" t="s">
        <v>518</v>
      </c>
      <c r="AI8" s="71" t="s">
        <v>532</v>
      </c>
      <c r="AJ8" s="71" t="s">
        <v>536</v>
      </c>
      <c r="AK8" s="71" t="s">
        <v>519</v>
      </c>
      <c r="AL8" s="71" t="s">
        <v>520</v>
      </c>
      <c r="AM8" s="71" t="s">
        <v>521</v>
      </c>
      <c r="AN8" s="71" t="s">
        <v>522</v>
      </c>
      <c r="AO8" s="71" t="s">
        <v>523</v>
      </c>
      <c r="AP8" s="71" t="s">
        <v>533</v>
      </c>
      <c r="AQ8" s="71" t="s">
        <v>537</v>
      </c>
      <c r="AR8" s="71" t="s">
        <v>524</v>
      </c>
      <c r="AS8" s="71" t="s">
        <v>525</v>
      </c>
      <c r="AT8" s="71" t="s">
        <v>526</v>
      </c>
      <c r="AU8" s="71" t="s">
        <v>527</v>
      </c>
      <c r="AV8" s="71" t="s">
        <v>528</v>
      </c>
      <c r="AW8" s="71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390</v>
      </c>
      <c r="I9" s="56">
        <v>44888</v>
      </c>
      <c r="J9" s="56" t="s">
        <v>506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391</v>
      </c>
      <c r="I10" s="56">
        <v>45334</v>
      </c>
      <c r="J10" s="56" t="s">
        <v>506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392</v>
      </c>
      <c r="I11" s="56">
        <v>45304</v>
      </c>
      <c r="J11" s="56" t="s">
        <v>506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393</v>
      </c>
      <c r="I12" s="56">
        <v>45334</v>
      </c>
      <c r="J12" s="56" t="s">
        <v>506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394</v>
      </c>
      <c r="I13" s="56">
        <v>44870</v>
      </c>
      <c r="J13" s="56" t="s">
        <v>506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395</v>
      </c>
      <c r="I14" s="56">
        <v>45530</v>
      </c>
      <c r="J14" s="56" t="s">
        <v>506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396</v>
      </c>
      <c r="I15" s="56">
        <v>44259</v>
      </c>
      <c r="J15" s="56" t="s">
        <v>506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397</v>
      </c>
      <c r="I16" s="56">
        <v>44748</v>
      </c>
      <c r="J16" s="56" t="s">
        <v>506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398</v>
      </c>
      <c r="I17" s="56">
        <v>44840</v>
      </c>
      <c r="J17" s="56" t="s">
        <v>506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399</v>
      </c>
      <c r="I18" s="56">
        <v>45344</v>
      </c>
      <c r="J18" s="56" t="s">
        <v>506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400</v>
      </c>
      <c r="I19" s="56">
        <v>44470</v>
      </c>
      <c r="J19" s="56" t="s">
        <v>506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401</v>
      </c>
      <c r="I20" s="56">
        <v>45668</v>
      </c>
      <c r="J20" s="56" t="s">
        <v>506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402</v>
      </c>
      <c r="I21" s="56">
        <v>44945</v>
      </c>
      <c r="J21" s="56" t="s">
        <v>506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403</v>
      </c>
      <c r="I22" s="56">
        <v>44357</v>
      </c>
      <c r="J22" s="56" t="s">
        <v>506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404</v>
      </c>
      <c r="I23" s="56">
        <v>44673</v>
      </c>
      <c r="J23" s="56" t="s">
        <v>506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405</v>
      </c>
      <c r="I24" s="56">
        <v>43132</v>
      </c>
      <c r="J24" s="56" t="s">
        <v>506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406</v>
      </c>
      <c r="I25" s="56">
        <v>44748</v>
      </c>
      <c r="J25" s="56" t="s">
        <v>506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407</v>
      </c>
      <c r="I26" s="56">
        <v>45523</v>
      </c>
      <c r="J26" s="56" t="s">
        <v>506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408</v>
      </c>
      <c r="I27" s="56">
        <v>45334</v>
      </c>
      <c r="J27" s="56" t="s">
        <v>506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409</v>
      </c>
      <c r="I28" s="56">
        <v>45441</v>
      </c>
      <c r="J28" s="56" t="s">
        <v>506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410</v>
      </c>
      <c r="I29" s="56">
        <v>45471</v>
      </c>
      <c r="J29" s="56" t="s">
        <v>506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411</v>
      </c>
      <c r="I30" s="56">
        <v>44941</v>
      </c>
      <c r="J30" s="56" t="s">
        <v>506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412</v>
      </c>
      <c r="I31" s="56">
        <v>45175</v>
      </c>
      <c r="J31" s="56" t="s">
        <v>506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413</v>
      </c>
      <c r="I32" s="56">
        <v>44819</v>
      </c>
      <c r="J32" s="56" t="s">
        <v>506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414</v>
      </c>
      <c r="I33" s="56">
        <v>44301</v>
      </c>
      <c r="J33" s="56" t="s">
        <v>506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415</v>
      </c>
      <c r="I34" s="56">
        <v>44735</v>
      </c>
      <c r="J34" s="56" t="s">
        <v>506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416</v>
      </c>
      <c r="I35" s="56">
        <v>44909</v>
      </c>
      <c r="J35" s="56" t="s">
        <v>506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417</v>
      </c>
      <c r="I36" s="56">
        <v>45675</v>
      </c>
      <c r="J36" s="56" t="s">
        <v>506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418</v>
      </c>
      <c r="I37" s="56">
        <v>45674</v>
      </c>
      <c r="J37" s="56" t="s">
        <v>506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419</v>
      </c>
      <c r="I38" s="56">
        <v>45423</v>
      </c>
      <c r="J38" s="56" t="s">
        <v>506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420</v>
      </c>
      <c r="I39" s="56">
        <v>45399</v>
      </c>
      <c r="J39" s="56" t="s">
        <v>506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421</v>
      </c>
      <c r="I40" s="56">
        <v>44687</v>
      </c>
      <c r="J40" s="56" t="s">
        <v>506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422</v>
      </c>
      <c r="I41" s="56">
        <v>44510</v>
      </c>
      <c r="J41" s="56" t="s">
        <v>506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423</v>
      </c>
      <c r="I42" s="56">
        <v>44971</v>
      </c>
      <c r="J42" s="56" t="s">
        <v>506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424</v>
      </c>
      <c r="I43" s="56">
        <v>45451</v>
      </c>
      <c r="J43" s="56" t="s">
        <v>506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425</v>
      </c>
      <c r="I44" s="56">
        <v>45145</v>
      </c>
      <c r="J44" s="56" t="s">
        <v>506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426</v>
      </c>
      <c r="I45" s="56">
        <v>44748</v>
      </c>
      <c r="J45" s="56" t="s">
        <v>506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427</v>
      </c>
      <c r="I46" s="56">
        <v>45334</v>
      </c>
      <c r="J46" s="56" t="s">
        <v>506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428</v>
      </c>
      <c r="I47" s="56">
        <v>45323</v>
      </c>
      <c r="J47" s="56" t="s">
        <v>506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429</v>
      </c>
      <c r="I48" s="56">
        <v>45429</v>
      </c>
      <c r="J48" s="56" t="s">
        <v>506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430</v>
      </c>
      <c r="I49" s="56">
        <v>45506</v>
      </c>
      <c r="J49" s="56" t="s">
        <v>506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431</v>
      </c>
      <c r="I50" s="56">
        <v>45082</v>
      </c>
      <c r="J50" s="56" t="s">
        <v>506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432</v>
      </c>
      <c r="I51" s="56">
        <v>45142</v>
      </c>
      <c r="J51" s="56" t="s">
        <v>506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433</v>
      </c>
      <c r="I52" s="56">
        <v>44716</v>
      </c>
      <c r="J52" s="56" t="s">
        <v>506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434</v>
      </c>
      <c r="I53" s="56">
        <v>45371</v>
      </c>
      <c r="J53" s="56" t="s">
        <v>506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435</v>
      </c>
      <c r="I54" s="56">
        <v>45348</v>
      </c>
      <c r="J54" s="56" t="s">
        <v>506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546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436</v>
      </c>
      <c r="I55" s="56">
        <v>45133</v>
      </c>
      <c r="J55" s="56" t="s">
        <v>506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437</v>
      </c>
      <c r="I56" s="56">
        <v>45133</v>
      </c>
      <c r="J56" s="56" t="s">
        <v>506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438</v>
      </c>
      <c r="I57" s="56">
        <v>45285</v>
      </c>
      <c r="J57" s="56" t="s">
        <v>506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439</v>
      </c>
      <c r="I58" s="56">
        <v>45334</v>
      </c>
      <c r="J58" s="56" t="s">
        <v>506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440</v>
      </c>
      <c r="I59" s="56">
        <v>44937</v>
      </c>
      <c r="J59" s="56" t="s">
        <v>506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441</v>
      </c>
      <c r="I60" s="56">
        <v>42814</v>
      </c>
      <c r="J60" s="56" t="s">
        <v>506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442</v>
      </c>
      <c r="I61" s="56">
        <v>45671</v>
      </c>
      <c r="J61" s="56" t="s">
        <v>506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443</v>
      </c>
      <c r="I62" s="56">
        <v>45021</v>
      </c>
      <c r="J62" s="56" t="s">
        <v>506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444</v>
      </c>
      <c r="I63" s="56">
        <v>44869</v>
      </c>
      <c r="J63" s="56" t="s">
        <v>506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445</v>
      </c>
      <c r="I64" s="56">
        <v>45364</v>
      </c>
      <c r="J64" s="56" t="s">
        <v>506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542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446</v>
      </c>
      <c r="I65" s="56">
        <v>43035</v>
      </c>
      <c r="J65" s="56" t="s">
        <v>506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447</v>
      </c>
      <c r="I66" s="56">
        <v>45299</v>
      </c>
      <c r="J66" s="56" t="s">
        <v>506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448</v>
      </c>
      <c r="I67" s="56">
        <v>45590</v>
      </c>
      <c r="J67" s="56" t="s">
        <v>506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449</v>
      </c>
      <c r="I68" s="56">
        <v>0</v>
      </c>
      <c r="J68" s="56" t="s">
        <v>506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450</v>
      </c>
      <c r="I69" s="56">
        <v>44111</v>
      </c>
      <c r="J69" s="56" t="s">
        <v>506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451</v>
      </c>
      <c r="I70" s="56">
        <v>44820</v>
      </c>
      <c r="J70" s="56" t="s">
        <v>506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452</v>
      </c>
      <c r="I71" s="56">
        <v>45316</v>
      </c>
      <c r="J71" s="56" t="s">
        <v>506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453</v>
      </c>
      <c r="I72" s="56">
        <v>45399</v>
      </c>
      <c r="J72" s="56" t="s">
        <v>506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543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454</v>
      </c>
      <c r="I73" s="56">
        <v>44706</v>
      </c>
      <c r="J73" s="56" t="s">
        <v>506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542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542</v>
      </c>
      <c r="G74">
        <v>12973</v>
      </c>
      <c r="H74" t="s">
        <v>544</v>
      </c>
      <c r="I74" s="56">
        <v>44716</v>
      </c>
      <c r="J74" s="56" t="s">
        <v>506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543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543</v>
      </c>
      <c r="G75">
        <v>3270</v>
      </c>
      <c r="H75" t="s">
        <v>545</v>
      </c>
      <c r="I75" s="56">
        <v>45343</v>
      </c>
      <c r="J75" s="56" t="s">
        <v>506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546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546</v>
      </c>
      <c r="G76">
        <v>2025</v>
      </c>
      <c r="H76" t="s">
        <v>547</v>
      </c>
      <c r="I76" s="56">
        <v>45131</v>
      </c>
      <c r="J76" s="56" t="s">
        <v>506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446</v>
      </c>
      <c r="I3" s="56">
        <v>43035</v>
      </c>
      <c r="J3" t="s">
        <v>506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455</v>
      </c>
      <c r="I4" s="56">
        <v>45084</v>
      </c>
      <c r="J4" t="s">
        <v>506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447</v>
      </c>
      <c r="I5" s="56">
        <v>45299</v>
      </c>
      <c r="J5" t="s">
        <v>506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448</v>
      </c>
      <c r="I6" s="56">
        <v>45590</v>
      </c>
      <c r="J6" t="s">
        <v>506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450</v>
      </c>
      <c r="I7" s="56">
        <v>44111</v>
      </c>
      <c r="J7" t="s">
        <v>506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452</v>
      </c>
      <c r="I8" s="56">
        <v>45316</v>
      </c>
      <c r="J8" t="s">
        <v>506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538</v>
      </c>
      <c r="T8" s="71" t="s">
        <v>508</v>
      </c>
      <c r="U8" s="71" t="s">
        <v>530</v>
      </c>
      <c r="V8" s="71" t="s">
        <v>534</v>
      </c>
      <c r="W8" s="71" t="s">
        <v>509</v>
      </c>
      <c r="X8" s="71" t="s">
        <v>510</v>
      </c>
      <c r="Y8" s="71" t="s">
        <v>511</v>
      </c>
      <c r="Z8" s="71" t="s">
        <v>512</v>
      </c>
      <c r="AA8" s="71" t="s">
        <v>513</v>
      </c>
      <c r="AB8" s="71" t="s">
        <v>531</v>
      </c>
      <c r="AC8" s="71" t="s">
        <v>535</v>
      </c>
      <c r="AD8" s="71" t="s">
        <v>514</v>
      </c>
      <c r="AE8" s="71" t="s">
        <v>515</v>
      </c>
      <c r="AF8" s="71" t="s">
        <v>516</v>
      </c>
      <c r="AG8" s="71" t="s">
        <v>517</v>
      </c>
      <c r="AH8" s="71" t="s">
        <v>518</v>
      </c>
      <c r="AI8" s="71" t="s">
        <v>532</v>
      </c>
      <c r="AJ8" s="71" t="s">
        <v>536</v>
      </c>
      <c r="AK8" s="71" t="s">
        <v>519</v>
      </c>
      <c r="AL8" s="71" t="s">
        <v>520</v>
      </c>
      <c r="AM8" s="71" t="s">
        <v>521</v>
      </c>
      <c r="AN8" s="71" t="s">
        <v>522</v>
      </c>
      <c r="AO8" s="71" t="s">
        <v>523</v>
      </c>
      <c r="AP8" s="71" t="s">
        <v>533</v>
      </c>
      <c r="AQ8" s="71" t="s">
        <v>537</v>
      </c>
      <c r="AR8" s="71" t="s">
        <v>524</v>
      </c>
      <c r="AS8" s="71" t="s">
        <v>525</v>
      </c>
      <c r="AT8" s="71" t="s">
        <v>526</v>
      </c>
      <c r="AU8" s="71" t="s">
        <v>527</v>
      </c>
      <c r="AV8" s="71" t="s">
        <v>528</v>
      </c>
      <c r="AW8" s="71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453</v>
      </c>
      <c r="I9" s="56">
        <v>45399</v>
      </c>
      <c r="J9" t="s">
        <v>506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454</v>
      </c>
      <c r="I10" s="56">
        <v>44706</v>
      </c>
      <c r="J10" t="s">
        <v>506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413</v>
      </c>
      <c r="I11" s="56">
        <v>44819</v>
      </c>
      <c r="J11" t="s">
        <v>506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427</v>
      </c>
      <c r="I12" s="56">
        <v>45334</v>
      </c>
      <c r="J12" t="s">
        <v>506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428</v>
      </c>
      <c r="I13" s="56">
        <v>45323</v>
      </c>
      <c r="J13" t="s">
        <v>506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429</v>
      </c>
      <c r="I14" s="56">
        <v>45429</v>
      </c>
      <c r="J14" t="s">
        <v>506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430</v>
      </c>
      <c r="I15" s="56">
        <v>45506</v>
      </c>
      <c r="J15" t="s">
        <v>506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432</v>
      </c>
      <c r="I16" s="56">
        <v>45142</v>
      </c>
      <c r="J16" t="s">
        <v>506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421</v>
      </c>
      <c r="I17" s="56">
        <v>44687</v>
      </c>
      <c r="J17" t="s">
        <v>506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433</v>
      </c>
      <c r="I18" s="56">
        <v>44716</v>
      </c>
      <c r="J18" t="s">
        <v>506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434</v>
      </c>
      <c r="I19" s="56">
        <v>45371</v>
      </c>
      <c r="J19" t="s">
        <v>506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435</v>
      </c>
      <c r="I20" s="56">
        <v>45348</v>
      </c>
      <c r="J20" t="s">
        <v>506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392</v>
      </c>
      <c r="I21" s="56">
        <v>45304</v>
      </c>
      <c r="J21" t="s">
        <v>506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393</v>
      </c>
      <c r="I22" s="56">
        <v>45334</v>
      </c>
      <c r="J22" t="s">
        <v>506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394</v>
      </c>
      <c r="I23" s="56">
        <v>44870</v>
      </c>
      <c r="J23" t="s">
        <v>506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395</v>
      </c>
      <c r="I24" s="56">
        <v>45530</v>
      </c>
      <c r="J24" t="s">
        <v>506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396</v>
      </c>
      <c r="I25" s="56">
        <v>44259</v>
      </c>
      <c r="J25" t="s">
        <v>506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398</v>
      </c>
      <c r="I26" s="56">
        <v>44840</v>
      </c>
      <c r="J26" t="s">
        <v>506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399</v>
      </c>
      <c r="I27" s="56">
        <v>45344</v>
      </c>
      <c r="J27" t="s">
        <v>506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400</v>
      </c>
      <c r="I28" s="56">
        <v>44470</v>
      </c>
      <c r="J28" t="s">
        <v>506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456</v>
      </c>
      <c r="I29" s="56">
        <v>45714</v>
      </c>
      <c r="J29" t="s">
        <v>506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401</v>
      </c>
      <c r="I30" s="56">
        <v>45668</v>
      </c>
      <c r="J30" t="s">
        <v>506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402</v>
      </c>
      <c r="I31" s="56">
        <v>44945</v>
      </c>
      <c r="J31" t="s">
        <v>506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457</v>
      </c>
      <c r="I32" s="56">
        <v>44951</v>
      </c>
      <c r="J32" t="s">
        <v>506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385</v>
      </c>
      <c r="I33" s="56">
        <v>44811</v>
      </c>
      <c r="J33" t="s">
        <v>506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386</v>
      </c>
      <c r="I34" s="56">
        <v>44811</v>
      </c>
      <c r="J34" t="s">
        <v>506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387</v>
      </c>
      <c r="I35" s="56">
        <v>44811</v>
      </c>
      <c r="J35" t="s">
        <v>506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388</v>
      </c>
      <c r="I36" s="56">
        <v>45457</v>
      </c>
      <c r="J36" t="s">
        <v>506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389</v>
      </c>
      <c r="I37" s="56">
        <v>45075</v>
      </c>
      <c r="J37" t="s">
        <v>506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397</v>
      </c>
      <c r="I38" s="56">
        <v>44748</v>
      </c>
      <c r="J38" t="s">
        <v>506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390</v>
      </c>
      <c r="I39" s="56">
        <v>44888</v>
      </c>
      <c r="J39" t="s">
        <v>506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391</v>
      </c>
      <c r="I40" s="56">
        <v>45334</v>
      </c>
      <c r="J40" t="s">
        <v>506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458</v>
      </c>
      <c r="I41" s="56">
        <v>44566</v>
      </c>
      <c r="J41" t="s">
        <v>506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403</v>
      </c>
      <c r="I42" s="56">
        <v>44357</v>
      </c>
      <c r="J42" t="s">
        <v>506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404</v>
      </c>
      <c r="I43" s="56">
        <v>44673</v>
      </c>
      <c r="J43" t="s">
        <v>506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405</v>
      </c>
      <c r="I44" s="56">
        <v>43132</v>
      </c>
      <c r="J44" t="s">
        <v>506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406</v>
      </c>
      <c r="I45" s="56">
        <v>44748</v>
      </c>
      <c r="J45" t="s">
        <v>506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408</v>
      </c>
      <c r="I46" s="56">
        <v>45334</v>
      </c>
      <c r="J46" t="s">
        <v>506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459</v>
      </c>
      <c r="I47" s="56">
        <v>44993</v>
      </c>
      <c r="J47" t="s">
        <v>506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409</v>
      </c>
      <c r="I48" s="56">
        <v>45441</v>
      </c>
      <c r="J48" t="s">
        <v>506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410</v>
      </c>
      <c r="I49" s="56">
        <v>45471</v>
      </c>
      <c r="J49" t="s">
        <v>506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460</v>
      </c>
      <c r="I50" s="56">
        <v>45700</v>
      </c>
      <c r="J50" t="s">
        <v>506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412</v>
      </c>
      <c r="I51" s="56">
        <v>45175</v>
      </c>
      <c r="J51" t="s">
        <v>506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436</v>
      </c>
      <c r="I52" s="56">
        <v>45133</v>
      </c>
      <c r="J52" t="s">
        <v>506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437</v>
      </c>
      <c r="I53" s="56">
        <v>45133</v>
      </c>
      <c r="J53" t="s">
        <v>506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461</v>
      </c>
      <c r="I54" s="56">
        <v>44104</v>
      </c>
      <c r="J54" t="s">
        <v>506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438</v>
      </c>
      <c r="I55" s="56">
        <v>45285</v>
      </c>
      <c r="J55" t="s">
        <v>506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439</v>
      </c>
      <c r="I56" s="56">
        <v>45334</v>
      </c>
      <c r="J56" t="s">
        <v>506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440</v>
      </c>
      <c r="I57" s="56">
        <v>44937</v>
      </c>
      <c r="J57" t="s">
        <v>506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441</v>
      </c>
      <c r="I58" s="56">
        <v>42814</v>
      </c>
      <c r="J58" t="s">
        <v>506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442</v>
      </c>
      <c r="I59" s="56">
        <v>45671</v>
      </c>
      <c r="J59" t="s">
        <v>506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444</v>
      </c>
      <c r="I60" s="56">
        <v>44869</v>
      </c>
      <c r="J60" t="s">
        <v>506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445</v>
      </c>
      <c r="I61" s="56">
        <v>45364</v>
      </c>
      <c r="J61" t="s">
        <v>506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414</v>
      </c>
      <c r="I62" s="56">
        <v>44301</v>
      </c>
      <c r="J62" t="s">
        <v>506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415</v>
      </c>
      <c r="I63" s="56">
        <v>44735</v>
      </c>
      <c r="J63" t="s">
        <v>506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416</v>
      </c>
      <c r="I64" s="56">
        <v>44909</v>
      </c>
      <c r="J64" t="s">
        <v>506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417</v>
      </c>
      <c r="I65" s="56">
        <v>45675</v>
      </c>
      <c r="J65" t="s">
        <v>506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418</v>
      </c>
      <c r="I66" s="56">
        <v>45674</v>
      </c>
      <c r="J66" t="s">
        <v>506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419</v>
      </c>
      <c r="I67" s="56">
        <v>45423</v>
      </c>
      <c r="J67" t="s">
        <v>506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420</v>
      </c>
      <c r="I68" s="56">
        <v>45399</v>
      </c>
      <c r="J68" t="s">
        <v>506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422</v>
      </c>
      <c r="I69" s="56">
        <v>44510</v>
      </c>
      <c r="J69" t="s">
        <v>506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424</v>
      </c>
      <c r="I70" s="56">
        <v>45451</v>
      </c>
      <c r="J70" t="s">
        <v>506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425</v>
      </c>
      <c r="I71" s="56">
        <v>45145</v>
      </c>
      <c r="J71" t="s">
        <v>506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426</v>
      </c>
      <c r="I72" s="56">
        <v>44748</v>
      </c>
      <c r="J72" t="s">
        <v>506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446</v>
      </c>
      <c r="I3" s="56">
        <v>43035</v>
      </c>
      <c r="J3" t="s">
        <v>506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462</v>
      </c>
      <c r="I4" s="56">
        <v>45727</v>
      </c>
      <c r="J4" t="s">
        <v>506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455</v>
      </c>
      <c r="I5" s="56">
        <v>45084</v>
      </c>
      <c r="J5" t="s">
        <v>506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447</v>
      </c>
      <c r="I6" s="56">
        <v>45299</v>
      </c>
      <c r="J6" t="s">
        <v>506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448</v>
      </c>
      <c r="I7" s="56">
        <v>45590</v>
      </c>
      <c r="J7" t="s">
        <v>506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450</v>
      </c>
      <c r="I8" s="56">
        <v>44111</v>
      </c>
      <c r="J8" t="s">
        <v>506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538</v>
      </c>
      <c r="T8" s="71" t="s">
        <v>508</v>
      </c>
      <c r="U8" s="71" t="s">
        <v>530</v>
      </c>
      <c r="V8" s="71" t="s">
        <v>534</v>
      </c>
      <c r="W8" s="71" t="s">
        <v>509</v>
      </c>
      <c r="X8" s="71" t="s">
        <v>510</v>
      </c>
      <c r="Y8" s="71" t="s">
        <v>511</v>
      </c>
      <c r="Z8" s="71" t="s">
        <v>512</v>
      </c>
      <c r="AA8" s="71" t="s">
        <v>513</v>
      </c>
      <c r="AB8" s="71" t="s">
        <v>531</v>
      </c>
      <c r="AC8" s="71" t="s">
        <v>535</v>
      </c>
      <c r="AD8" s="71" t="s">
        <v>514</v>
      </c>
      <c r="AE8" s="71" t="s">
        <v>515</v>
      </c>
      <c r="AF8" s="71" t="s">
        <v>516</v>
      </c>
      <c r="AG8" s="71" t="s">
        <v>517</v>
      </c>
      <c r="AH8" s="71" t="s">
        <v>518</v>
      </c>
      <c r="AI8" s="71" t="s">
        <v>532</v>
      </c>
      <c r="AJ8" s="71" t="s">
        <v>536</v>
      </c>
      <c r="AK8" s="71" t="s">
        <v>519</v>
      </c>
      <c r="AL8" s="71" t="s">
        <v>520</v>
      </c>
      <c r="AM8" s="71" t="s">
        <v>521</v>
      </c>
      <c r="AN8" s="71" t="s">
        <v>522</v>
      </c>
      <c r="AO8" s="71" t="s">
        <v>523</v>
      </c>
      <c r="AP8" s="71" t="s">
        <v>533</v>
      </c>
      <c r="AQ8" s="71" t="s">
        <v>537</v>
      </c>
      <c r="AR8" s="71" t="s">
        <v>524</v>
      </c>
      <c r="AS8" s="71" t="s">
        <v>525</v>
      </c>
      <c r="AT8" s="71" t="s">
        <v>526</v>
      </c>
      <c r="AU8" s="71" t="s">
        <v>527</v>
      </c>
      <c r="AV8" s="71" t="s">
        <v>528</v>
      </c>
      <c r="AW8" s="71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451</v>
      </c>
      <c r="I9" s="56">
        <v>44820</v>
      </c>
      <c r="J9" t="s">
        <v>506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463</v>
      </c>
      <c r="I10" s="56">
        <v>45727</v>
      </c>
      <c r="J10" t="s">
        <v>506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452</v>
      </c>
      <c r="I11" s="56">
        <v>45316</v>
      </c>
      <c r="J11" t="s">
        <v>506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454</v>
      </c>
      <c r="I12" s="56">
        <v>44706</v>
      </c>
      <c r="J12" t="s">
        <v>506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413</v>
      </c>
      <c r="I13" s="56">
        <v>44819</v>
      </c>
      <c r="J13" t="s">
        <v>506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427</v>
      </c>
      <c r="I14" s="56">
        <v>45334</v>
      </c>
      <c r="J14" t="s">
        <v>506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429</v>
      </c>
      <c r="I15" s="56">
        <v>45429</v>
      </c>
      <c r="J15" t="s">
        <v>506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432</v>
      </c>
      <c r="I16" s="56">
        <v>45142</v>
      </c>
      <c r="J16" t="s">
        <v>506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421</v>
      </c>
      <c r="I17" s="56">
        <v>44687</v>
      </c>
      <c r="J17" t="s">
        <v>506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433</v>
      </c>
      <c r="I18" s="56">
        <v>44716</v>
      </c>
      <c r="J18" t="s">
        <v>506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460</v>
      </c>
      <c r="I19" s="56">
        <v>45700</v>
      </c>
      <c r="J19" t="s">
        <v>506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434</v>
      </c>
      <c r="I20" s="56">
        <v>45371</v>
      </c>
      <c r="J20" t="s">
        <v>506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435</v>
      </c>
      <c r="I21" s="56">
        <v>45348</v>
      </c>
      <c r="J21" t="s">
        <v>506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392</v>
      </c>
      <c r="I22" s="56">
        <v>45304</v>
      </c>
      <c r="J22" t="s">
        <v>506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393</v>
      </c>
      <c r="I23" s="56">
        <v>45334</v>
      </c>
      <c r="J23" t="s">
        <v>506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394</v>
      </c>
      <c r="I24" s="56">
        <v>44870</v>
      </c>
      <c r="J24" t="s">
        <v>506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395</v>
      </c>
      <c r="I25" s="56">
        <v>45530</v>
      </c>
      <c r="J25" t="s">
        <v>506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464</v>
      </c>
      <c r="I26" s="56">
        <v>45721</v>
      </c>
      <c r="J26" t="s">
        <v>506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396</v>
      </c>
      <c r="I27" s="56">
        <v>44259</v>
      </c>
      <c r="J27" t="s">
        <v>506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398</v>
      </c>
      <c r="I28" s="56">
        <v>44840</v>
      </c>
      <c r="J28" t="s">
        <v>506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400</v>
      </c>
      <c r="I29" s="56">
        <v>44470</v>
      </c>
      <c r="J29" t="s">
        <v>506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402</v>
      </c>
      <c r="I30" s="56">
        <v>44945</v>
      </c>
      <c r="J30" t="s">
        <v>506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457</v>
      </c>
      <c r="I31" s="56">
        <v>44951</v>
      </c>
      <c r="J31" t="s">
        <v>506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385</v>
      </c>
      <c r="I32" s="56">
        <v>44811</v>
      </c>
      <c r="J32" t="s">
        <v>506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386</v>
      </c>
      <c r="I33" s="56">
        <v>44811</v>
      </c>
      <c r="J33" t="s">
        <v>506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387</v>
      </c>
      <c r="I34" s="56">
        <v>44811</v>
      </c>
      <c r="J34" t="s">
        <v>506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388</v>
      </c>
      <c r="I35" s="56">
        <v>45457</v>
      </c>
      <c r="J35" t="s">
        <v>506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389</v>
      </c>
      <c r="I36" s="56">
        <v>45075</v>
      </c>
      <c r="J36" t="s">
        <v>506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397</v>
      </c>
      <c r="I37" s="56">
        <v>44748</v>
      </c>
      <c r="J37" t="s">
        <v>506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390</v>
      </c>
      <c r="I38" s="56">
        <v>44888</v>
      </c>
      <c r="J38" t="s">
        <v>506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391</v>
      </c>
      <c r="I39" s="56">
        <v>45334</v>
      </c>
      <c r="J39" t="s">
        <v>506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458</v>
      </c>
      <c r="I40" s="56">
        <v>44566</v>
      </c>
      <c r="J40" t="s">
        <v>506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403</v>
      </c>
      <c r="I41" s="56">
        <v>44357</v>
      </c>
      <c r="J41" t="s">
        <v>506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404</v>
      </c>
      <c r="I42" s="56">
        <v>44673</v>
      </c>
      <c r="J42" t="s">
        <v>506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430</v>
      </c>
      <c r="I43" s="56">
        <v>45506</v>
      </c>
      <c r="J43" t="s">
        <v>506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405</v>
      </c>
      <c r="I44" s="56">
        <v>43132</v>
      </c>
      <c r="J44" t="s">
        <v>506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406</v>
      </c>
      <c r="I45" s="56">
        <v>44748</v>
      </c>
      <c r="J45" t="s">
        <v>506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408</v>
      </c>
      <c r="I46" s="56">
        <v>45334</v>
      </c>
      <c r="J46" t="s">
        <v>506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459</v>
      </c>
      <c r="I47" s="56">
        <v>44993</v>
      </c>
      <c r="J47" t="s">
        <v>506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409</v>
      </c>
      <c r="I48" s="56">
        <v>45441</v>
      </c>
      <c r="J48" t="s">
        <v>506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410</v>
      </c>
      <c r="I49" s="56">
        <v>45471</v>
      </c>
      <c r="J49" t="s">
        <v>506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411</v>
      </c>
      <c r="I50" s="56">
        <v>44941</v>
      </c>
      <c r="J50" t="s">
        <v>506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465</v>
      </c>
      <c r="I51" s="56">
        <v>45727</v>
      </c>
      <c r="J51" t="s">
        <v>506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412</v>
      </c>
      <c r="I52" s="56">
        <v>45175</v>
      </c>
      <c r="J52" t="s">
        <v>506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414</v>
      </c>
      <c r="I53" s="56">
        <v>44301</v>
      </c>
      <c r="J53" t="s">
        <v>506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415</v>
      </c>
      <c r="I54" s="56">
        <v>44735</v>
      </c>
      <c r="J54" t="s">
        <v>506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416</v>
      </c>
      <c r="I55" s="56">
        <v>44909</v>
      </c>
      <c r="J55" t="s">
        <v>506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466</v>
      </c>
      <c r="I56" s="56">
        <v>45727</v>
      </c>
      <c r="J56" t="s">
        <v>506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417</v>
      </c>
      <c r="I57" s="56">
        <v>45675</v>
      </c>
      <c r="J57" t="s">
        <v>506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418</v>
      </c>
      <c r="I58" s="56">
        <v>45674</v>
      </c>
      <c r="J58" t="s">
        <v>506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419</v>
      </c>
      <c r="I59" s="56">
        <v>45423</v>
      </c>
      <c r="J59" t="s">
        <v>506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420</v>
      </c>
      <c r="I60" s="56">
        <v>45399</v>
      </c>
      <c r="J60" t="s">
        <v>506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423</v>
      </c>
      <c r="I61" s="56">
        <v>44971</v>
      </c>
      <c r="J61" t="s">
        <v>506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424</v>
      </c>
      <c r="I62" s="56">
        <v>45451</v>
      </c>
      <c r="J62" t="s">
        <v>506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425</v>
      </c>
      <c r="I63" s="56">
        <v>45145</v>
      </c>
      <c r="J63" t="s">
        <v>506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426</v>
      </c>
      <c r="I64" s="56">
        <v>44748</v>
      </c>
      <c r="J64" t="s">
        <v>506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436</v>
      </c>
      <c r="I65" s="56">
        <v>45133</v>
      </c>
      <c r="J65" t="s">
        <v>506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437</v>
      </c>
      <c r="I66" s="56">
        <v>45133</v>
      </c>
      <c r="J66" t="s">
        <v>506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461</v>
      </c>
      <c r="I67" s="56">
        <v>44104</v>
      </c>
      <c r="J67" t="s">
        <v>506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438</v>
      </c>
      <c r="I68" s="56">
        <v>45285</v>
      </c>
      <c r="J68" t="s">
        <v>506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439</v>
      </c>
      <c r="I69" s="56">
        <v>45334</v>
      </c>
      <c r="J69" t="s">
        <v>506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440</v>
      </c>
      <c r="I70" s="56">
        <v>44937</v>
      </c>
      <c r="J70" t="s">
        <v>506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441</v>
      </c>
      <c r="I71" s="56">
        <v>42814</v>
      </c>
      <c r="J71" t="s">
        <v>506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443</v>
      </c>
      <c r="I72" s="56">
        <v>45021</v>
      </c>
      <c r="J72" t="s">
        <v>506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444</v>
      </c>
      <c r="I73" s="56">
        <v>44869</v>
      </c>
      <c r="J73" t="s">
        <v>506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445</v>
      </c>
      <c r="I74" s="56">
        <v>45364</v>
      </c>
      <c r="J74" t="s">
        <v>506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428</v>
      </c>
      <c r="I75" s="56">
        <v>45323</v>
      </c>
      <c r="J75" t="s">
        <v>506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442</v>
      </c>
      <c r="I76" s="56">
        <v>45671</v>
      </c>
      <c r="J76" t="s">
        <v>506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422</v>
      </c>
      <c r="I77" s="56">
        <v>44510</v>
      </c>
      <c r="J77" t="s">
        <v>506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401</v>
      </c>
      <c r="I78" s="56">
        <v>45668</v>
      </c>
      <c r="J78" t="s">
        <v>506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431</v>
      </c>
      <c r="I79" s="56">
        <v>45082</v>
      </c>
      <c r="J79" t="s">
        <v>506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427</v>
      </c>
      <c r="I3" s="56">
        <v>45334</v>
      </c>
      <c r="J3" t="s">
        <v>506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462</v>
      </c>
      <c r="I4" s="56">
        <v>45727</v>
      </c>
      <c r="J4" t="s">
        <v>506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447</v>
      </c>
      <c r="I5" s="56">
        <v>45299</v>
      </c>
      <c r="J5" t="s">
        <v>506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450</v>
      </c>
      <c r="I6" s="56">
        <v>44111</v>
      </c>
      <c r="J6" t="s">
        <v>506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451</v>
      </c>
      <c r="I7" s="56">
        <v>44820</v>
      </c>
      <c r="J7" t="s">
        <v>506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463</v>
      </c>
      <c r="I8" s="56">
        <v>45727</v>
      </c>
      <c r="J8" t="s">
        <v>506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538</v>
      </c>
      <c r="T8" s="71" t="s">
        <v>508</v>
      </c>
      <c r="U8" s="71" t="s">
        <v>530</v>
      </c>
      <c r="V8" s="71" t="s">
        <v>534</v>
      </c>
      <c r="W8" s="71" t="s">
        <v>509</v>
      </c>
      <c r="X8" s="71" t="s">
        <v>510</v>
      </c>
      <c r="Y8" s="71" t="s">
        <v>511</v>
      </c>
      <c r="Z8" s="71" t="s">
        <v>512</v>
      </c>
      <c r="AA8" s="71" t="s">
        <v>513</v>
      </c>
      <c r="AB8" s="71" t="s">
        <v>531</v>
      </c>
      <c r="AC8" s="71" t="s">
        <v>535</v>
      </c>
      <c r="AD8" s="71" t="s">
        <v>514</v>
      </c>
      <c r="AE8" s="71" t="s">
        <v>515</v>
      </c>
      <c r="AF8" s="71" t="s">
        <v>516</v>
      </c>
      <c r="AG8" s="71" t="s">
        <v>517</v>
      </c>
      <c r="AH8" s="71" t="s">
        <v>518</v>
      </c>
      <c r="AI8" s="71" t="s">
        <v>532</v>
      </c>
      <c r="AJ8" s="71" t="s">
        <v>536</v>
      </c>
      <c r="AK8" s="71" t="s">
        <v>519</v>
      </c>
      <c r="AL8" s="71" t="s">
        <v>520</v>
      </c>
      <c r="AM8" s="71" t="s">
        <v>521</v>
      </c>
      <c r="AN8" s="71" t="s">
        <v>522</v>
      </c>
      <c r="AO8" s="71" t="s">
        <v>523</v>
      </c>
      <c r="AP8" s="71" t="s">
        <v>533</v>
      </c>
      <c r="AQ8" s="71" t="s">
        <v>537</v>
      </c>
      <c r="AR8" s="71" t="s">
        <v>524</v>
      </c>
      <c r="AS8" s="71" t="s">
        <v>525</v>
      </c>
      <c r="AT8" s="71" t="s">
        <v>526</v>
      </c>
      <c r="AU8" s="71" t="s">
        <v>527</v>
      </c>
      <c r="AV8" s="71" t="s">
        <v>528</v>
      </c>
      <c r="AW8" s="71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424</v>
      </c>
      <c r="I9" s="56">
        <v>45451</v>
      </c>
      <c r="J9" t="s">
        <v>506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413</v>
      </c>
      <c r="I10" s="56">
        <v>44819</v>
      </c>
      <c r="J10" t="s">
        <v>506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467</v>
      </c>
      <c r="I11" s="56">
        <v>45775</v>
      </c>
      <c r="J11" t="s">
        <v>506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448</v>
      </c>
      <c r="I12" s="56">
        <v>45590</v>
      </c>
      <c r="J12" t="s">
        <v>506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443</v>
      </c>
      <c r="I13" s="56">
        <v>45021</v>
      </c>
      <c r="J13" t="s">
        <v>506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433</v>
      </c>
      <c r="I14" s="56">
        <v>44716</v>
      </c>
      <c r="J14" t="s">
        <v>506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391</v>
      </c>
      <c r="I15" s="56">
        <v>45334</v>
      </c>
      <c r="J15" t="s">
        <v>506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460</v>
      </c>
      <c r="I16" s="56">
        <v>45700</v>
      </c>
      <c r="J16" t="s">
        <v>506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435</v>
      </c>
      <c r="I17" s="56">
        <v>45348</v>
      </c>
      <c r="J17" t="s">
        <v>506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452</v>
      </c>
      <c r="I18" s="56">
        <v>45316</v>
      </c>
      <c r="J18" t="s">
        <v>506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394</v>
      </c>
      <c r="I19" s="56">
        <v>44870</v>
      </c>
      <c r="J19" t="s">
        <v>506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387</v>
      </c>
      <c r="I20" s="56">
        <v>44811</v>
      </c>
      <c r="J20" t="s">
        <v>506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398</v>
      </c>
      <c r="I21" s="56">
        <v>44840</v>
      </c>
      <c r="J21" t="s">
        <v>506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421</v>
      </c>
      <c r="I22" s="56">
        <v>44687</v>
      </c>
      <c r="J22" t="s">
        <v>506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390</v>
      </c>
      <c r="I23" s="56">
        <v>44888</v>
      </c>
      <c r="J23" t="s">
        <v>506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434</v>
      </c>
      <c r="I24" s="56">
        <v>45371</v>
      </c>
      <c r="J24" t="s">
        <v>506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454</v>
      </c>
      <c r="I25" s="56">
        <v>44706</v>
      </c>
      <c r="J25" t="s">
        <v>506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446</v>
      </c>
      <c r="I26" s="56">
        <v>43035</v>
      </c>
      <c r="J26" t="s">
        <v>506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385</v>
      </c>
      <c r="I27" s="56">
        <v>44811</v>
      </c>
      <c r="J27" t="s">
        <v>506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386</v>
      </c>
      <c r="I28" s="56">
        <v>44811</v>
      </c>
      <c r="J28" t="s">
        <v>506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455</v>
      </c>
      <c r="I29" s="56">
        <v>45084</v>
      </c>
      <c r="J29" t="s">
        <v>506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388</v>
      </c>
      <c r="I30" s="56">
        <v>45457</v>
      </c>
      <c r="J30" t="s">
        <v>506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445</v>
      </c>
      <c r="I31" s="56">
        <v>45364</v>
      </c>
      <c r="J31" t="s">
        <v>506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423</v>
      </c>
      <c r="I32" s="56">
        <v>44971</v>
      </c>
      <c r="J32" t="s">
        <v>506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458</v>
      </c>
      <c r="I33" s="56">
        <v>44566</v>
      </c>
      <c r="J33" t="s">
        <v>506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436</v>
      </c>
      <c r="I34" s="56">
        <v>45133</v>
      </c>
      <c r="J34" t="s">
        <v>506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430</v>
      </c>
      <c r="I35" s="56">
        <v>45506</v>
      </c>
      <c r="J35" t="s">
        <v>506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468</v>
      </c>
      <c r="I36" s="56">
        <v>45748</v>
      </c>
      <c r="J36" t="s">
        <v>506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405</v>
      </c>
      <c r="I37" s="56">
        <v>43132</v>
      </c>
      <c r="J37" t="s">
        <v>506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406</v>
      </c>
      <c r="I38" s="56">
        <v>44748</v>
      </c>
      <c r="J38" t="s">
        <v>506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408</v>
      </c>
      <c r="I39" s="56">
        <v>45334</v>
      </c>
      <c r="J39" t="s">
        <v>506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459</v>
      </c>
      <c r="I40" s="56">
        <v>44993</v>
      </c>
      <c r="J40" t="s">
        <v>506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411</v>
      </c>
      <c r="I41" s="56">
        <v>44941</v>
      </c>
      <c r="J41" t="s">
        <v>506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465</v>
      </c>
      <c r="I42" s="56">
        <v>45727</v>
      </c>
      <c r="J42" t="s">
        <v>506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412</v>
      </c>
      <c r="I43" s="56">
        <v>45175</v>
      </c>
      <c r="J43" t="s">
        <v>506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414</v>
      </c>
      <c r="I44" s="56">
        <v>44301</v>
      </c>
      <c r="J44" t="s">
        <v>506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415</v>
      </c>
      <c r="I45" s="56">
        <v>44735</v>
      </c>
      <c r="J45" t="s">
        <v>506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461</v>
      </c>
      <c r="I46" s="56">
        <v>44104</v>
      </c>
      <c r="J46" t="s">
        <v>506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392</v>
      </c>
      <c r="I47" s="56">
        <v>45304</v>
      </c>
      <c r="J47" t="s">
        <v>506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419</v>
      </c>
      <c r="I48" s="56">
        <v>45423</v>
      </c>
      <c r="J48" t="s">
        <v>506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420</v>
      </c>
      <c r="I49" s="56">
        <v>45399</v>
      </c>
      <c r="J49" t="s">
        <v>506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432</v>
      </c>
      <c r="I50" s="56">
        <v>45142</v>
      </c>
      <c r="J50" t="s">
        <v>506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397</v>
      </c>
      <c r="I51" s="56">
        <v>44748</v>
      </c>
      <c r="J51" t="s">
        <v>506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425</v>
      </c>
      <c r="I52" s="56">
        <v>45145</v>
      </c>
      <c r="J52" t="s">
        <v>506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437</v>
      </c>
      <c r="I53" s="56">
        <v>45133</v>
      </c>
      <c r="J53" t="s">
        <v>506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466</v>
      </c>
      <c r="I54" s="56">
        <v>45727</v>
      </c>
      <c r="J54" t="s">
        <v>506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439</v>
      </c>
      <c r="I55" s="56">
        <v>45334</v>
      </c>
      <c r="J55" t="s">
        <v>506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418</v>
      </c>
      <c r="I56" s="56">
        <v>45674</v>
      </c>
      <c r="J56" t="s">
        <v>506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440</v>
      </c>
      <c r="I57" s="56">
        <v>44937</v>
      </c>
      <c r="J57" t="s">
        <v>506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444</v>
      </c>
      <c r="I58" s="56">
        <v>44869</v>
      </c>
      <c r="J58" t="s">
        <v>506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402</v>
      </c>
      <c r="I59" s="56">
        <v>44945</v>
      </c>
      <c r="J59" t="s">
        <v>506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457</v>
      </c>
      <c r="I60" s="56">
        <v>44951</v>
      </c>
      <c r="J60" t="s">
        <v>506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469</v>
      </c>
      <c r="I61" s="56">
        <v>45772</v>
      </c>
      <c r="J61" t="s">
        <v>506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416</v>
      </c>
      <c r="I62" s="56">
        <v>44909</v>
      </c>
      <c r="J62" t="s">
        <v>506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438</v>
      </c>
      <c r="I63" s="56">
        <v>45285</v>
      </c>
      <c r="J63" t="s">
        <v>506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393</v>
      </c>
      <c r="I64" s="56">
        <v>45334</v>
      </c>
      <c r="J64" t="s">
        <v>506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417</v>
      </c>
      <c r="I65" s="56">
        <v>45675</v>
      </c>
      <c r="J65" t="s">
        <v>506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395</v>
      </c>
      <c r="I66" s="56">
        <v>45530</v>
      </c>
      <c r="J66" t="s">
        <v>506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464</v>
      </c>
      <c r="I67" s="56">
        <v>45721</v>
      </c>
      <c r="J67" t="s">
        <v>506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400</v>
      </c>
      <c r="I68" s="56">
        <v>44470</v>
      </c>
      <c r="J68" t="s">
        <v>506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426</v>
      </c>
      <c r="I69" s="56">
        <v>44748</v>
      </c>
      <c r="J69" t="s">
        <v>506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427</v>
      </c>
      <c r="I3" s="56">
        <v>45334</v>
      </c>
      <c r="J3" t="s">
        <v>506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462</v>
      </c>
      <c r="I4" s="56">
        <v>45727</v>
      </c>
      <c r="J4" t="s">
        <v>506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447</v>
      </c>
      <c r="I5" s="56">
        <v>45299</v>
      </c>
      <c r="J5" t="s">
        <v>506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396</v>
      </c>
      <c r="I6" s="56">
        <v>44259</v>
      </c>
      <c r="J6" t="s">
        <v>506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450</v>
      </c>
      <c r="I7" s="56">
        <v>44111</v>
      </c>
      <c r="J7" t="s">
        <v>506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451</v>
      </c>
      <c r="I8" s="56">
        <v>44820</v>
      </c>
      <c r="J8" t="s">
        <v>506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538</v>
      </c>
      <c r="T8" s="71" t="s">
        <v>508</v>
      </c>
      <c r="U8" s="71" t="s">
        <v>530</v>
      </c>
      <c r="V8" s="71" t="s">
        <v>534</v>
      </c>
      <c r="W8" s="71" t="s">
        <v>509</v>
      </c>
      <c r="X8" s="71" t="s">
        <v>510</v>
      </c>
      <c r="Y8" s="71" t="s">
        <v>511</v>
      </c>
      <c r="Z8" s="71" t="s">
        <v>512</v>
      </c>
      <c r="AA8" s="71" t="s">
        <v>513</v>
      </c>
      <c r="AB8" s="71" t="s">
        <v>531</v>
      </c>
      <c r="AC8" s="71" t="s">
        <v>535</v>
      </c>
      <c r="AD8" s="71" t="s">
        <v>514</v>
      </c>
      <c r="AE8" s="71" t="s">
        <v>515</v>
      </c>
      <c r="AF8" s="71" t="s">
        <v>516</v>
      </c>
      <c r="AG8" s="71" t="s">
        <v>517</v>
      </c>
      <c r="AH8" s="71" t="s">
        <v>518</v>
      </c>
      <c r="AI8" s="71" t="s">
        <v>532</v>
      </c>
      <c r="AJ8" s="71" t="s">
        <v>536</v>
      </c>
      <c r="AK8" s="71" t="s">
        <v>519</v>
      </c>
      <c r="AL8" s="71" t="s">
        <v>520</v>
      </c>
      <c r="AM8" s="71" t="s">
        <v>521</v>
      </c>
      <c r="AN8" s="71" t="s">
        <v>522</v>
      </c>
      <c r="AO8" s="71" t="s">
        <v>523</v>
      </c>
      <c r="AP8" s="71" t="s">
        <v>533</v>
      </c>
      <c r="AQ8" s="71" t="s">
        <v>537</v>
      </c>
      <c r="AR8" s="71" t="s">
        <v>524</v>
      </c>
      <c r="AS8" s="71" t="s">
        <v>525</v>
      </c>
      <c r="AT8" s="71" t="s">
        <v>526</v>
      </c>
      <c r="AU8" s="71" t="s">
        <v>527</v>
      </c>
      <c r="AV8" s="71" t="s">
        <v>528</v>
      </c>
      <c r="AW8" s="71" t="s">
        <v>529</v>
      </c>
      <c r="AX8" s="65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463</v>
      </c>
      <c r="I9" s="56">
        <v>45727</v>
      </c>
      <c r="J9" t="s">
        <v>506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424</v>
      </c>
      <c r="I10" s="56">
        <v>45451</v>
      </c>
      <c r="J10" t="s">
        <v>506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413</v>
      </c>
      <c r="I11" s="56">
        <v>44819</v>
      </c>
      <c r="J11" t="s">
        <v>506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470</v>
      </c>
      <c r="I12" s="56">
        <v>45798</v>
      </c>
      <c r="J12" t="s">
        <v>506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416</v>
      </c>
      <c r="I13" s="56">
        <v>44909</v>
      </c>
      <c r="J13" t="s">
        <v>506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448</v>
      </c>
      <c r="I14" s="56">
        <v>45590</v>
      </c>
      <c r="J14" t="s">
        <v>506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443</v>
      </c>
      <c r="I15" s="56">
        <v>45021</v>
      </c>
      <c r="J15" t="s">
        <v>506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433</v>
      </c>
      <c r="I16" s="56">
        <v>44716</v>
      </c>
      <c r="J16" t="s">
        <v>506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391</v>
      </c>
      <c r="I17" s="56">
        <v>45334</v>
      </c>
      <c r="J17" t="s">
        <v>506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460</v>
      </c>
      <c r="I18" s="56">
        <v>45700</v>
      </c>
      <c r="J18" t="s">
        <v>506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435</v>
      </c>
      <c r="I19" s="56">
        <v>45348</v>
      </c>
      <c r="J19" t="s">
        <v>506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393</v>
      </c>
      <c r="I20" s="56">
        <v>45334</v>
      </c>
      <c r="J20" t="s">
        <v>506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394</v>
      </c>
      <c r="I21" s="56">
        <v>44870</v>
      </c>
      <c r="J21" t="s">
        <v>506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387</v>
      </c>
      <c r="I22" s="56">
        <v>44811</v>
      </c>
      <c r="J22" t="s">
        <v>506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398</v>
      </c>
      <c r="I23" s="56">
        <v>44840</v>
      </c>
      <c r="J23" t="s">
        <v>506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421</v>
      </c>
      <c r="I24" s="56">
        <v>44687</v>
      </c>
      <c r="J24" t="s">
        <v>506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390</v>
      </c>
      <c r="I25" s="56">
        <v>44888</v>
      </c>
      <c r="J25" t="s">
        <v>506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434</v>
      </c>
      <c r="I26" s="56">
        <v>45371</v>
      </c>
      <c r="J26" t="s">
        <v>506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471</v>
      </c>
      <c r="I27" s="56">
        <v>45798</v>
      </c>
      <c r="J27" t="s">
        <v>506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454</v>
      </c>
      <c r="I28" s="56">
        <v>44706</v>
      </c>
      <c r="J28" t="s">
        <v>506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446</v>
      </c>
      <c r="I29" s="56">
        <v>43035</v>
      </c>
      <c r="J29" t="s">
        <v>506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384</v>
      </c>
      <c r="I30" s="56">
        <v>44461</v>
      </c>
      <c r="J30" t="s">
        <v>506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385</v>
      </c>
      <c r="I31" s="56">
        <v>44811</v>
      </c>
      <c r="J31" t="s">
        <v>506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386</v>
      </c>
      <c r="I32" s="56">
        <v>44811</v>
      </c>
      <c r="J32" t="s">
        <v>506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455</v>
      </c>
      <c r="I33" s="56">
        <v>45084</v>
      </c>
      <c r="J33" t="s">
        <v>506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388</v>
      </c>
      <c r="I34" s="56">
        <v>45457</v>
      </c>
      <c r="J34" t="s">
        <v>506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445</v>
      </c>
      <c r="I35" s="56">
        <v>45364</v>
      </c>
      <c r="J35" t="s">
        <v>506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423</v>
      </c>
      <c r="I36" s="56">
        <v>44971</v>
      </c>
      <c r="J36" t="s">
        <v>506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458</v>
      </c>
      <c r="I37" s="56">
        <v>44566</v>
      </c>
      <c r="J37" t="s">
        <v>506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436</v>
      </c>
      <c r="I38" s="56">
        <v>45133</v>
      </c>
      <c r="J38" t="s">
        <v>506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404</v>
      </c>
      <c r="I39" s="56">
        <v>44673</v>
      </c>
      <c r="J39" t="s">
        <v>506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430</v>
      </c>
      <c r="I40" s="56">
        <v>45506</v>
      </c>
      <c r="J40" t="s">
        <v>506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468</v>
      </c>
      <c r="I41" s="56">
        <v>45748</v>
      </c>
      <c r="J41" t="s">
        <v>506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472</v>
      </c>
      <c r="I42" s="56">
        <v>45804</v>
      </c>
      <c r="J42" t="s">
        <v>506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405</v>
      </c>
      <c r="I43" s="56">
        <v>43132</v>
      </c>
      <c r="J43" t="s">
        <v>506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406</v>
      </c>
      <c r="I44" s="56">
        <v>44748</v>
      </c>
      <c r="J44" t="s">
        <v>506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407</v>
      </c>
      <c r="I45" s="56">
        <v>45523</v>
      </c>
      <c r="J45" t="s">
        <v>506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408</v>
      </c>
      <c r="I46" s="56">
        <v>45334</v>
      </c>
      <c r="J46" t="s">
        <v>506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459</v>
      </c>
      <c r="I47" s="56">
        <v>44993</v>
      </c>
      <c r="J47" t="s">
        <v>506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411</v>
      </c>
      <c r="I48" s="56">
        <v>44941</v>
      </c>
      <c r="J48" t="s">
        <v>506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412</v>
      </c>
      <c r="I49" s="56">
        <v>45175</v>
      </c>
      <c r="J49" t="s">
        <v>506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473</v>
      </c>
      <c r="I50" s="56">
        <v>45803</v>
      </c>
      <c r="J50" t="s">
        <v>506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438</v>
      </c>
      <c r="I51" s="56">
        <v>45285</v>
      </c>
      <c r="J51" t="s">
        <v>506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417</v>
      </c>
      <c r="I52" s="56">
        <v>45675</v>
      </c>
      <c r="J52" t="s">
        <v>506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432</v>
      </c>
      <c r="I53" s="56">
        <v>45142</v>
      </c>
      <c r="J53" t="s">
        <v>506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444</v>
      </c>
      <c r="I54" s="56">
        <v>44869</v>
      </c>
      <c r="J54" t="s">
        <v>506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474</v>
      </c>
      <c r="I55" s="56">
        <v>45805</v>
      </c>
      <c r="J55" t="s">
        <v>506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400</v>
      </c>
      <c r="I56" s="56">
        <v>44470</v>
      </c>
      <c r="J56" t="s">
        <v>506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457</v>
      </c>
      <c r="I57" s="56">
        <v>44951</v>
      </c>
      <c r="J57" t="s">
        <v>506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469</v>
      </c>
      <c r="I58" s="56">
        <v>45772</v>
      </c>
      <c r="J58" t="s">
        <v>506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414</v>
      </c>
      <c r="I59" s="56">
        <v>44301</v>
      </c>
      <c r="J59" t="s">
        <v>506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437</v>
      </c>
      <c r="I60" s="56">
        <v>45133</v>
      </c>
      <c r="J60" t="s">
        <v>506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392</v>
      </c>
      <c r="I61" s="56">
        <v>45304</v>
      </c>
      <c r="J61" t="s">
        <v>506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429</v>
      </c>
      <c r="I62" s="56">
        <v>45429</v>
      </c>
      <c r="J62" t="s">
        <v>506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439</v>
      </c>
      <c r="I63" s="56">
        <v>45334</v>
      </c>
      <c r="J63" t="s">
        <v>506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420</v>
      </c>
      <c r="I64" s="56">
        <v>45399</v>
      </c>
      <c r="J64" t="s">
        <v>506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440</v>
      </c>
      <c r="I65" s="56">
        <v>44937</v>
      </c>
      <c r="J65" t="s">
        <v>506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475</v>
      </c>
      <c r="I66" s="56">
        <v>45785</v>
      </c>
      <c r="J66" t="s">
        <v>506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476</v>
      </c>
      <c r="I67" s="56">
        <v>45793</v>
      </c>
      <c r="J67" t="s">
        <v>506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426</v>
      </c>
      <c r="I68" s="56">
        <v>44748</v>
      </c>
      <c r="J68" t="s">
        <v>506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415</v>
      </c>
      <c r="I69" s="56">
        <v>44735</v>
      </c>
      <c r="J69" t="s">
        <v>506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461</v>
      </c>
      <c r="I70" s="56">
        <v>44104</v>
      </c>
      <c r="J70" t="s">
        <v>506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418</v>
      </c>
      <c r="I71" s="56">
        <v>45674</v>
      </c>
      <c r="J71" t="s">
        <v>506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395</v>
      </c>
      <c r="I72" s="56">
        <v>45530</v>
      </c>
      <c r="J72" t="s">
        <v>506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419</v>
      </c>
      <c r="I73" s="56">
        <v>45423</v>
      </c>
      <c r="J73" t="s">
        <v>506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441</v>
      </c>
      <c r="I74" s="56">
        <v>42814</v>
      </c>
      <c r="J74" t="s">
        <v>506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477</v>
      </c>
      <c r="I75" s="56">
        <v>45800</v>
      </c>
      <c r="J75" t="s">
        <v>506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478</v>
      </c>
      <c r="I76" s="56">
        <v>45800</v>
      </c>
      <c r="J76" t="s">
        <v>506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425</v>
      </c>
      <c r="I77" s="56">
        <v>45145</v>
      </c>
      <c r="J77" t="s">
        <v>506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402</v>
      </c>
      <c r="I78" s="56">
        <v>44945</v>
      </c>
      <c r="J78" t="s">
        <v>506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69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384</v>
      </c>
      <c r="I3" s="68">
        <v>44459</v>
      </c>
      <c r="J3" s="68" t="s">
        <v>505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421</v>
      </c>
      <c r="I4" s="68">
        <v>44685</v>
      </c>
      <c r="J4" s="68" t="s">
        <v>505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414</v>
      </c>
      <c r="I5" s="68">
        <v>44824</v>
      </c>
      <c r="J5" s="68" t="s">
        <v>505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436</v>
      </c>
      <c r="I6" s="68">
        <v>45132</v>
      </c>
      <c r="J6" s="68" t="s">
        <v>505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432</v>
      </c>
      <c r="I7" s="68">
        <v>45141</v>
      </c>
      <c r="J7" s="68" t="s">
        <v>505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419</v>
      </c>
      <c r="I8" s="68">
        <v>45427</v>
      </c>
      <c r="J8" s="68" t="s">
        <v>505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538</v>
      </c>
      <c r="T8" s="71" t="s">
        <v>508</v>
      </c>
      <c r="U8" s="71" t="s">
        <v>530</v>
      </c>
      <c r="V8" s="71" t="s">
        <v>534</v>
      </c>
      <c r="W8" s="71" t="s">
        <v>509</v>
      </c>
      <c r="X8" s="71" t="s">
        <v>510</v>
      </c>
      <c r="Y8" s="71" t="s">
        <v>511</v>
      </c>
      <c r="Z8" s="71" t="s">
        <v>512</v>
      </c>
      <c r="AA8" s="71" t="s">
        <v>513</v>
      </c>
      <c r="AB8" s="71" t="s">
        <v>531</v>
      </c>
      <c r="AC8" s="71" t="s">
        <v>535</v>
      </c>
      <c r="AD8" s="71" t="s">
        <v>514</v>
      </c>
      <c r="AE8" s="71" t="s">
        <v>515</v>
      </c>
      <c r="AF8" s="71" t="s">
        <v>516</v>
      </c>
      <c r="AG8" s="71" t="s">
        <v>517</v>
      </c>
      <c r="AH8" s="71" t="s">
        <v>518</v>
      </c>
      <c r="AI8" s="71" t="s">
        <v>532</v>
      </c>
      <c r="AJ8" s="71" t="s">
        <v>536</v>
      </c>
      <c r="AK8" s="71" t="s">
        <v>519</v>
      </c>
      <c r="AL8" s="71" t="s">
        <v>520</v>
      </c>
      <c r="AM8" s="71" t="s">
        <v>521</v>
      </c>
      <c r="AN8" s="71" t="s">
        <v>522</v>
      </c>
      <c r="AO8" s="71" t="s">
        <v>523</v>
      </c>
      <c r="AP8" s="71" t="s">
        <v>533</v>
      </c>
      <c r="AQ8" s="71" t="s">
        <v>537</v>
      </c>
      <c r="AR8" s="71" t="s">
        <v>524</v>
      </c>
      <c r="AS8" s="71" t="s">
        <v>525</v>
      </c>
      <c r="AT8" s="71" t="s">
        <v>526</v>
      </c>
      <c r="AU8" s="71" t="s">
        <v>527</v>
      </c>
      <c r="AV8" s="71" t="s">
        <v>528</v>
      </c>
      <c r="AW8" s="71" t="s">
        <v>529</v>
      </c>
      <c r="AX8" s="65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450</v>
      </c>
      <c r="I9" s="56">
        <v>44111</v>
      </c>
      <c r="J9" t="s">
        <v>506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447</v>
      </c>
      <c r="I10" s="56">
        <v>45299</v>
      </c>
      <c r="J10" t="s">
        <v>506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396</v>
      </c>
      <c r="I11" s="56">
        <v>44259</v>
      </c>
      <c r="J11" t="s">
        <v>506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451</v>
      </c>
      <c r="I12" s="56">
        <v>44820</v>
      </c>
      <c r="J12" t="s">
        <v>506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413</v>
      </c>
      <c r="I13" s="56">
        <v>44819</v>
      </c>
      <c r="J13" t="s">
        <v>506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427</v>
      </c>
      <c r="I14" s="56">
        <v>45334</v>
      </c>
      <c r="J14" t="s">
        <v>506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463</v>
      </c>
      <c r="I15" s="56">
        <v>45727</v>
      </c>
      <c r="J15" t="s">
        <v>506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479</v>
      </c>
      <c r="I16" s="56">
        <v>45819</v>
      </c>
      <c r="J16" t="s">
        <v>506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462</v>
      </c>
      <c r="I17" s="56">
        <v>45727</v>
      </c>
      <c r="J17" t="s">
        <v>506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435</v>
      </c>
      <c r="I18" s="56">
        <v>45348</v>
      </c>
      <c r="J18" t="s">
        <v>506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416</v>
      </c>
      <c r="I19" s="56">
        <v>44909</v>
      </c>
      <c r="J19" t="s">
        <v>506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433</v>
      </c>
      <c r="I20" s="56">
        <v>44716</v>
      </c>
      <c r="J20" t="s">
        <v>506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448</v>
      </c>
      <c r="I21" s="56">
        <v>45590</v>
      </c>
      <c r="J21" t="s">
        <v>506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443</v>
      </c>
      <c r="I22" s="56">
        <v>45021</v>
      </c>
      <c r="J22" t="s">
        <v>506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391</v>
      </c>
      <c r="I23" s="56">
        <v>45334</v>
      </c>
      <c r="J23" t="s">
        <v>506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452</v>
      </c>
      <c r="I24" s="56">
        <v>45316</v>
      </c>
      <c r="J24" t="s">
        <v>506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460</v>
      </c>
      <c r="I25" s="56">
        <v>45700</v>
      </c>
      <c r="J25" t="s">
        <v>506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470</v>
      </c>
      <c r="I26" s="56">
        <v>45798</v>
      </c>
      <c r="J26" t="s">
        <v>506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387</v>
      </c>
      <c r="I27" s="56">
        <v>44811</v>
      </c>
      <c r="J27" t="s">
        <v>506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434</v>
      </c>
      <c r="I28" s="56">
        <v>45371</v>
      </c>
      <c r="J28" t="s">
        <v>506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454</v>
      </c>
      <c r="I29" s="56">
        <v>44706</v>
      </c>
      <c r="J29" t="s">
        <v>506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390</v>
      </c>
      <c r="I30" s="56">
        <v>44888</v>
      </c>
      <c r="J30" t="s">
        <v>506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394</v>
      </c>
      <c r="I31" s="56">
        <v>44870</v>
      </c>
      <c r="J31" t="s">
        <v>506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398</v>
      </c>
      <c r="I32" s="56">
        <v>44840</v>
      </c>
      <c r="J32" t="s">
        <v>506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471</v>
      </c>
      <c r="I33" s="56">
        <v>45798</v>
      </c>
      <c r="J33" t="s">
        <v>506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393</v>
      </c>
      <c r="I34" s="56">
        <v>45334</v>
      </c>
      <c r="J34" t="s">
        <v>506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446</v>
      </c>
      <c r="I35" s="56">
        <v>43035</v>
      </c>
      <c r="J35" t="s">
        <v>506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423</v>
      </c>
      <c r="I36" s="56">
        <v>44971</v>
      </c>
      <c r="J36" t="s">
        <v>506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455</v>
      </c>
      <c r="I37" s="56">
        <v>45084</v>
      </c>
      <c r="J37" t="s">
        <v>506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458</v>
      </c>
      <c r="I38" s="56">
        <v>44566</v>
      </c>
      <c r="J38" t="s">
        <v>506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386</v>
      </c>
      <c r="I39" s="56">
        <v>44811</v>
      </c>
      <c r="J39" t="s">
        <v>506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388</v>
      </c>
      <c r="I40" s="56">
        <v>45457</v>
      </c>
      <c r="J40" t="s">
        <v>506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445</v>
      </c>
      <c r="I41" s="56">
        <v>45364</v>
      </c>
      <c r="J41" t="s">
        <v>506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385</v>
      </c>
      <c r="I42" s="56">
        <v>44811</v>
      </c>
      <c r="J42" t="s">
        <v>506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407</v>
      </c>
      <c r="I43" s="56">
        <v>45523</v>
      </c>
      <c r="J43" t="s">
        <v>506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468</v>
      </c>
      <c r="I44" s="56">
        <v>45748</v>
      </c>
      <c r="J44" t="s">
        <v>506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406</v>
      </c>
      <c r="I45" s="56">
        <v>44748</v>
      </c>
      <c r="J45" t="s">
        <v>506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404</v>
      </c>
      <c r="I46" s="56">
        <v>44673</v>
      </c>
      <c r="J46" t="s">
        <v>506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408</v>
      </c>
      <c r="I47" s="56">
        <v>45334</v>
      </c>
      <c r="J47" t="s">
        <v>506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412</v>
      </c>
      <c r="I48" s="56">
        <v>45175</v>
      </c>
      <c r="J48" t="s">
        <v>506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405</v>
      </c>
      <c r="I49" s="56">
        <v>43132</v>
      </c>
      <c r="J49" t="s">
        <v>506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430</v>
      </c>
      <c r="I50" s="56">
        <v>45506</v>
      </c>
      <c r="J50" t="s">
        <v>506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472</v>
      </c>
      <c r="I51" s="56">
        <v>45804</v>
      </c>
      <c r="J51" t="s">
        <v>506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411</v>
      </c>
      <c r="I52" s="56">
        <v>44941</v>
      </c>
      <c r="J52" t="s">
        <v>506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459</v>
      </c>
      <c r="I53" s="56">
        <v>44993</v>
      </c>
      <c r="J53" t="s">
        <v>506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438</v>
      </c>
      <c r="I54" s="56">
        <v>45285</v>
      </c>
      <c r="J54" t="s">
        <v>506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417</v>
      </c>
      <c r="I55" s="56">
        <v>45675</v>
      </c>
      <c r="J55" t="s">
        <v>506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457</v>
      </c>
      <c r="I56" s="56">
        <v>44951</v>
      </c>
      <c r="J56" t="s">
        <v>506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400</v>
      </c>
      <c r="I57" s="56">
        <v>44470</v>
      </c>
      <c r="J57" t="s">
        <v>506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474</v>
      </c>
      <c r="I58" s="56">
        <v>45805</v>
      </c>
      <c r="J58" t="s">
        <v>506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469</v>
      </c>
      <c r="I59" s="56">
        <v>45772</v>
      </c>
      <c r="J59" t="s">
        <v>506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480</v>
      </c>
      <c r="I60" s="56">
        <v>45818</v>
      </c>
      <c r="J60" t="s">
        <v>506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397</v>
      </c>
      <c r="I61" s="56">
        <v>44748</v>
      </c>
      <c r="J61" t="s">
        <v>506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444</v>
      </c>
      <c r="I62" s="56">
        <v>44869</v>
      </c>
      <c r="J62" t="s">
        <v>506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473</v>
      </c>
      <c r="I63" s="56">
        <v>45803</v>
      </c>
      <c r="J63" t="s">
        <v>506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439</v>
      </c>
      <c r="I64" s="56">
        <v>45334</v>
      </c>
      <c r="J64" t="s">
        <v>506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437</v>
      </c>
      <c r="I65" s="56">
        <v>45133</v>
      </c>
      <c r="J65" t="s">
        <v>506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392</v>
      </c>
      <c r="I66" s="56">
        <v>45304</v>
      </c>
      <c r="J66" t="s">
        <v>506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424</v>
      </c>
      <c r="I67" s="56">
        <v>45451</v>
      </c>
      <c r="J67" t="s">
        <v>506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440</v>
      </c>
      <c r="I68" s="56">
        <v>44937</v>
      </c>
      <c r="J68" t="s">
        <v>506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429</v>
      </c>
      <c r="I69" s="56">
        <v>45429</v>
      </c>
      <c r="J69" t="s">
        <v>506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420</v>
      </c>
      <c r="I70" s="56">
        <v>45399</v>
      </c>
      <c r="J70" t="s">
        <v>506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476</v>
      </c>
      <c r="I71" s="56">
        <v>45793</v>
      </c>
      <c r="J71" t="s">
        <v>506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426</v>
      </c>
      <c r="I72" s="56">
        <v>44748</v>
      </c>
      <c r="J72" t="s">
        <v>506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481</v>
      </c>
      <c r="I73" s="56">
        <v>38525</v>
      </c>
      <c r="J73" t="s">
        <v>506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415</v>
      </c>
      <c r="I74" s="56">
        <v>44735</v>
      </c>
      <c r="J74" t="s">
        <v>506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402</v>
      </c>
      <c r="I75" s="56">
        <v>44945</v>
      </c>
      <c r="J75" t="s">
        <v>506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395</v>
      </c>
      <c r="I76" s="56">
        <v>45530</v>
      </c>
      <c r="J76" t="s">
        <v>506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425</v>
      </c>
      <c r="I77" s="56">
        <v>45145</v>
      </c>
      <c r="J77" t="s">
        <v>506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441</v>
      </c>
      <c r="I78" s="56">
        <v>42814</v>
      </c>
      <c r="J78" t="s">
        <v>506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461</v>
      </c>
      <c r="I79" s="56">
        <v>44104</v>
      </c>
      <c r="J79" t="s">
        <v>506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418</v>
      </c>
      <c r="I80" s="56">
        <v>45674</v>
      </c>
      <c r="J80" t="s">
        <v>506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478</v>
      </c>
      <c r="I81" s="56">
        <v>45800</v>
      </c>
      <c r="J81" t="s">
        <v>506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482</v>
      </c>
      <c r="I82" s="56">
        <v>45832</v>
      </c>
      <c r="J82" t="s">
        <v>506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453</v>
      </c>
      <c r="I83" s="56">
        <v>45399</v>
      </c>
      <c r="J83" t="s">
        <v>506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381</v>
      </c>
      <c r="I2" s="58" t="s">
        <v>563</v>
      </c>
      <c r="J2" s="60" t="s">
        <v>504</v>
      </c>
      <c r="K2" s="60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413</v>
      </c>
      <c r="I3" s="56">
        <v>44819</v>
      </c>
      <c r="J3" t="s">
        <v>506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450</v>
      </c>
      <c r="I4" s="56">
        <v>44111</v>
      </c>
      <c r="J4" t="s">
        <v>506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447</v>
      </c>
      <c r="I5" s="56">
        <v>45299</v>
      </c>
      <c r="J5" t="s">
        <v>506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451</v>
      </c>
      <c r="I6" s="56">
        <v>44820</v>
      </c>
      <c r="J6" t="s">
        <v>506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439</v>
      </c>
      <c r="I7" s="56">
        <v>45334</v>
      </c>
      <c r="J7" t="s">
        <v>506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396</v>
      </c>
      <c r="I8" s="56">
        <v>44259</v>
      </c>
      <c r="J8" t="s">
        <v>506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538</v>
      </c>
      <c r="T8" s="71" t="s">
        <v>508</v>
      </c>
      <c r="U8" s="71" t="s">
        <v>530</v>
      </c>
      <c r="V8" s="71" t="s">
        <v>534</v>
      </c>
      <c r="W8" s="71" t="s">
        <v>509</v>
      </c>
      <c r="X8" s="71" t="s">
        <v>510</v>
      </c>
      <c r="Y8" s="71" t="s">
        <v>511</v>
      </c>
      <c r="Z8" s="71" t="s">
        <v>512</v>
      </c>
      <c r="AA8" s="71" t="s">
        <v>513</v>
      </c>
      <c r="AB8" s="71" t="s">
        <v>531</v>
      </c>
      <c r="AC8" s="71" t="s">
        <v>535</v>
      </c>
      <c r="AD8" s="71" t="s">
        <v>514</v>
      </c>
      <c r="AE8" s="71" t="s">
        <v>515</v>
      </c>
      <c r="AF8" s="71" t="s">
        <v>516</v>
      </c>
      <c r="AG8" s="71" t="s">
        <v>517</v>
      </c>
      <c r="AH8" s="71" t="s">
        <v>518</v>
      </c>
      <c r="AI8" s="71" t="s">
        <v>532</v>
      </c>
      <c r="AJ8" s="71" t="s">
        <v>536</v>
      </c>
      <c r="AK8" s="71" t="s">
        <v>519</v>
      </c>
      <c r="AL8" s="71" t="s">
        <v>520</v>
      </c>
      <c r="AM8" s="71" t="s">
        <v>521</v>
      </c>
      <c r="AN8" s="71" t="s">
        <v>522</v>
      </c>
      <c r="AO8" s="71" t="s">
        <v>523</v>
      </c>
      <c r="AP8" s="71" t="s">
        <v>533</v>
      </c>
      <c r="AQ8" s="71" t="s">
        <v>537</v>
      </c>
      <c r="AR8" s="71" t="s">
        <v>524</v>
      </c>
      <c r="AS8" s="71" t="s">
        <v>525</v>
      </c>
      <c r="AT8" s="71" t="s">
        <v>526</v>
      </c>
      <c r="AU8" s="71" t="s">
        <v>527</v>
      </c>
      <c r="AV8" s="71" t="s">
        <v>528</v>
      </c>
      <c r="AW8" s="71" t="s">
        <v>529</v>
      </c>
      <c r="AX8" s="65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421</v>
      </c>
      <c r="I9" s="56">
        <v>44687</v>
      </c>
      <c r="J9" t="s">
        <v>506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483</v>
      </c>
      <c r="I10" s="56">
        <v>45845</v>
      </c>
      <c r="J10" t="s">
        <v>506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417</v>
      </c>
      <c r="I11" s="56">
        <v>45675</v>
      </c>
      <c r="J11" t="s">
        <v>506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453</v>
      </c>
      <c r="I12" s="56">
        <v>45399</v>
      </c>
      <c r="J12" t="s">
        <v>506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435</v>
      </c>
      <c r="I13" s="56">
        <v>45348</v>
      </c>
      <c r="J13" t="s">
        <v>506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433</v>
      </c>
      <c r="I14" s="56">
        <v>44716</v>
      </c>
      <c r="J14" t="s">
        <v>506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446</v>
      </c>
      <c r="I15" s="56">
        <v>43035</v>
      </c>
      <c r="J15" t="s">
        <v>506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391</v>
      </c>
      <c r="I16" s="56">
        <v>45334</v>
      </c>
      <c r="J16" t="s">
        <v>506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460</v>
      </c>
      <c r="I17" s="56">
        <v>45700</v>
      </c>
      <c r="J17" t="s">
        <v>506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416</v>
      </c>
      <c r="I18" s="56">
        <v>44909</v>
      </c>
      <c r="J18" t="s">
        <v>506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448</v>
      </c>
      <c r="I19" s="56">
        <v>45590</v>
      </c>
      <c r="J19" t="s">
        <v>506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443</v>
      </c>
      <c r="I20" s="56">
        <v>45021</v>
      </c>
      <c r="J20" t="s">
        <v>506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428</v>
      </c>
      <c r="I21" s="56">
        <v>45323</v>
      </c>
      <c r="J21" t="s">
        <v>506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452</v>
      </c>
      <c r="I22" s="56">
        <v>45316</v>
      </c>
      <c r="J22" t="s">
        <v>506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438</v>
      </c>
      <c r="I23" s="56">
        <v>45285</v>
      </c>
      <c r="J23" t="s">
        <v>506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393</v>
      </c>
      <c r="I24" s="56">
        <v>45334</v>
      </c>
      <c r="J24" t="s">
        <v>506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454</v>
      </c>
      <c r="I25" s="56">
        <v>44706</v>
      </c>
      <c r="J25" t="s">
        <v>506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390</v>
      </c>
      <c r="I26" s="56">
        <v>44888</v>
      </c>
      <c r="J26" t="s">
        <v>506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394</v>
      </c>
      <c r="I27" s="56">
        <v>44870</v>
      </c>
      <c r="J27" t="s">
        <v>506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434</v>
      </c>
      <c r="I28" s="56">
        <v>45371</v>
      </c>
      <c r="J28" t="s">
        <v>506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415</v>
      </c>
      <c r="I29" s="56">
        <v>44735</v>
      </c>
      <c r="J29" t="s">
        <v>506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437</v>
      </c>
      <c r="I30" s="56">
        <v>45133</v>
      </c>
      <c r="J30" t="s">
        <v>506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387</v>
      </c>
      <c r="I31" s="56">
        <v>44811</v>
      </c>
      <c r="J31" t="s">
        <v>506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471</v>
      </c>
      <c r="I32" s="56">
        <v>45798</v>
      </c>
      <c r="J32" t="s">
        <v>506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386</v>
      </c>
      <c r="I33" s="56">
        <v>44811</v>
      </c>
      <c r="J33" t="s">
        <v>506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423</v>
      </c>
      <c r="I34" s="56">
        <v>44971</v>
      </c>
      <c r="J34" t="s">
        <v>506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388</v>
      </c>
      <c r="I35" s="56">
        <v>45457</v>
      </c>
      <c r="J35" t="s">
        <v>506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455</v>
      </c>
      <c r="I36" s="56">
        <v>45084</v>
      </c>
      <c r="J36" t="s">
        <v>506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385</v>
      </c>
      <c r="I37" s="56">
        <v>44811</v>
      </c>
      <c r="J37" t="s">
        <v>506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419</v>
      </c>
      <c r="I38" s="56">
        <v>45423</v>
      </c>
      <c r="J38" t="s">
        <v>506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445</v>
      </c>
      <c r="I39" s="56">
        <v>45364</v>
      </c>
      <c r="J39" t="s">
        <v>506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384</v>
      </c>
      <c r="I40" s="56">
        <v>44461</v>
      </c>
      <c r="J40" t="s">
        <v>506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458</v>
      </c>
      <c r="I41" s="56">
        <v>44566</v>
      </c>
      <c r="J41" t="s">
        <v>506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408</v>
      </c>
      <c r="I42" s="56">
        <v>45334</v>
      </c>
      <c r="J42" t="s">
        <v>506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402</v>
      </c>
      <c r="I43" s="56">
        <v>44945</v>
      </c>
      <c r="J43" t="s">
        <v>506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406</v>
      </c>
      <c r="I44" s="56">
        <v>44748</v>
      </c>
      <c r="J44" t="s">
        <v>506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444</v>
      </c>
      <c r="I45" s="56">
        <v>44869</v>
      </c>
      <c r="J45" t="s">
        <v>506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411</v>
      </c>
      <c r="I46" s="56">
        <v>44941</v>
      </c>
      <c r="J46" t="s">
        <v>506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412</v>
      </c>
      <c r="I47" s="56">
        <v>45175</v>
      </c>
      <c r="J47" t="s">
        <v>506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405</v>
      </c>
      <c r="I48" s="56">
        <v>43132</v>
      </c>
      <c r="J48" t="s">
        <v>506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474</v>
      </c>
      <c r="I49" s="56">
        <v>45805</v>
      </c>
      <c r="J49" t="s">
        <v>506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429</v>
      </c>
      <c r="I50" s="56">
        <v>45429</v>
      </c>
      <c r="J50" t="s">
        <v>506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395</v>
      </c>
      <c r="I51" s="56">
        <v>45530</v>
      </c>
      <c r="J51" t="s">
        <v>506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457</v>
      </c>
      <c r="I52" s="56">
        <v>44951</v>
      </c>
      <c r="J52" t="s">
        <v>506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436</v>
      </c>
      <c r="I53" s="56">
        <v>45133</v>
      </c>
      <c r="J53" t="s">
        <v>506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468</v>
      </c>
      <c r="I54" s="56">
        <v>45748</v>
      </c>
      <c r="J54" t="s">
        <v>506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414</v>
      </c>
      <c r="I55" s="56">
        <v>44301</v>
      </c>
      <c r="J55" t="s">
        <v>506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424</v>
      </c>
      <c r="I56" s="56">
        <v>45451</v>
      </c>
      <c r="J56" t="s">
        <v>506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461</v>
      </c>
      <c r="I57" s="56">
        <v>44104</v>
      </c>
      <c r="J57" t="s">
        <v>506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404</v>
      </c>
      <c r="I58" s="56">
        <v>44673</v>
      </c>
      <c r="J58" t="s">
        <v>506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459</v>
      </c>
      <c r="I59" s="56">
        <v>44993</v>
      </c>
      <c r="J59" t="s">
        <v>506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397</v>
      </c>
      <c r="I60" s="56">
        <v>44748</v>
      </c>
      <c r="J60" t="s">
        <v>506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463</v>
      </c>
      <c r="I61" s="56">
        <v>45727</v>
      </c>
      <c r="J61" t="s">
        <v>506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400</v>
      </c>
      <c r="I62" s="56">
        <v>44470</v>
      </c>
      <c r="J62" t="s">
        <v>506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432</v>
      </c>
      <c r="I63" s="56">
        <v>45142</v>
      </c>
      <c r="J63" t="s">
        <v>506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430</v>
      </c>
      <c r="I64" s="56">
        <v>45506</v>
      </c>
      <c r="J64" t="s">
        <v>506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472</v>
      </c>
      <c r="I65" s="56">
        <v>45804</v>
      </c>
      <c r="J65" t="s">
        <v>506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392</v>
      </c>
      <c r="I66" s="56">
        <v>45304</v>
      </c>
      <c r="J66" t="s">
        <v>506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426</v>
      </c>
      <c r="I67" s="56">
        <v>44748</v>
      </c>
      <c r="J67" t="s">
        <v>506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440</v>
      </c>
      <c r="I68" s="56">
        <v>44937</v>
      </c>
      <c r="J68" t="s">
        <v>506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420</v>
      </c>
      <c r="I69" s="56">
        <v>45399</v>
      </c>
      <c r="J69" t="s">
        <v>506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478</v>
      </c>
      <c r="I70" s="56">
        <v>45800</v>
      </c>
      <c r="J70" t="s">
        <v>506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476</v>
      </c>
      <c r="I71" s="56">
        <v>45793</v>
      </c>
      <c r="J71" t="s">
        <v>506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399</v>
      </c>
      <c r="I72" s="56">
        <v>45344</v>
      </c>
      <c r="J72" t="s">
        <v>506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481</v>
      </c>
      <c r="I73" s="56">
        <v>38525</v>
      </c>
      <c r="J73" t="s">
        <v>506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484</v>
      </c>
      <c r="I74" s="56">
        <v>45853</v>
      </c>
      <c r="J74" t="s">
        <v>506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425</v>
      </c>
      <c r="I75" s="56">
        <v>45145</v>
      </c>
      <c r="J75" t="s">
        <v>506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398</v>
      </c>
      <c r="I76" s="56">
        <v>44840</v>
      </c>
      <c r="J76" t="s">
        <v>506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441</v>
      </c>
      <c r="I77" s="56">
        <v>42814</v>
      </c>
      <c r="J77" t="s">
        <v>506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407</v>
      </c>
      <c r="I78" s="56">
        <v>45523</v>
      </c>
      <c r="J78" t="s">
        <v>506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462</v>
      </c>
      <c r="I79" s="56">
        <v>45727</v>
      </c>
      <c r="J79" t="s">
        <v>506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469</v>
      </c>
      <c r="I80" s="56">
        <v>45772</v>
      </c>
      <c r="J80" t="s">
        <v>506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418</v>
      </c>
      <c r="I81" s="56">
        <v>45674</v>
      </c>
      <c r="J81" t="s">
        <v>506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479</v>
      </c>
      <c r="I82" s="56">
        <v>45819</v>
      </c>
      <c r="J82" t="s">
        <v>506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480</v>
      </c>
      <c r="I83" s="56">
        <v>45818</v>
      </c>
      <c r="J83" t="s">
        <v>506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470</v>
      </c>
      <c r="I84" s="56">
        <v>45798</v>
      </c>
      <c r="J84" t="s">
        <v>506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485</v>
      </c>
      <c r="I85" s="56">
        <v>45862</v>
      </c>
      <c r="J85" t="s">
        <v>506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381</v>
      </c>
      <c r="I2" s="70" t="s">
        <v>563</v>
      </c>
      <c r="J2" s="60" t="s">
        <v>504</v>
      </c>
      <c r="K2" s="60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400</v>
      </c>
      <c r="I3" s="68">
        <v>44470</v>
      </c>
      <c r="J3" s="68" t="s">
        <v>505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433</v>
      </c>
      <c r="I4" s="68">
        <v>44714</v>
      </c>
      <c r="J4" s="68" t="s">
        <v>505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413</v>
      </c>
      <c r="I5" s="68">
        <v>44817</v>
      </c>
      <c r="J5" s="68" t="s">
        <v>505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398</v>
      </c>
      <c r="I6" s="68">
        <v>44838</v>
      </c>
      <c r="J6" s="68" t="s">
        <v>505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402</v>
      </c>
      <c r="I7" s="68">
        <v>44943</v>
      </c>
      <c r="J7" s="68" t="s">
        <v>505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458</v>
      </c>
      <c r="I8" s="68">
        <v>45145</v>
      </c>
      <c r="J8" s="68" t="s">
        <v>505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538</v>
      </c>
      <c r="T8" s="71" t="s">
        <v>508</v>
      </c>
      <c r="U8" s="71" t="s">
        <v>530</v>
      </c>
      <c r="V8" s="71" t="s">
        <v>534</v>
      </c>
      <c r="W8" s="71" t="s">
        <v>509</v>
      </c>
      <c r="X8" s="71" t="s">
        <v>510</v>
      </c>
      <c r="Y8" s="71" t="s">
        <v>511</v>
      </c>
      <c r="Z8" s="71" t="s">
        <v>512</v>
      </c>
      <c r="AA8" s="71" t="s">
        <v>513</v>
      </c>
      <c r="AB8" s="71" t="s">
        <v>531</v>
      </c>
      <c r="AC8" s="71" t="s">
        <v>535</v>
      </c>
      <c r="AD8" s="71" t="s">
        <v>514</v>
      </c>
      <c r="AE8" s="71" t="s">
        <v>515</v>
      </c>
      <c r="AF8" s="71" t="s">
        <v>516</v>
      </c>
      <c r="AG8" s="71" t="s">
        <v>517</v>
      </c>
      <c r="AH8" s="71" t="s">
        <v>518</v>
      </c>
      <c r="AI8" s="71" t="s">
        <v>532</v>
      </c>
      <c r="AJ8" s="71" t="s">
        <v>536</v>
      </c>
      <c r="AK8" s="71" t="s">
        <v>519</v>
      </c>
      <c r="AL8" s="71" t="s">
        <v>520</v>
      </c>
      <c r="AM8" s="71" t="s">
        <v>521</v>
      </c>
      <c r="AN8" s="71" t="s">
        <v>522</v>
      </c>
      <c r="AO8" s="71" t="s">
        <v>523</v>
      </c>
      <c r="AP8" s="71" t="s">
        <v>533</v>
      </c>
      <c r="AQ8" s="71" t="s">
        <v>537</v>
      </c>
      <c r="AR8" s="71" t="s">
        <v>524</v>
      </c>
      <c r="AS8" s="71" t="s">
        <v>525</v>
      </c>
      <c r="AT8" s="71" t="s">
        <v>526</v>
      </c>
      <c r="AU8" s="71" t="s">
        <v>527</v>
      </c>
      <c r="AV8" s="71" t="s">
        <v>528</v>
      </c>
      <c r="AW8" s="71" t="s">
        <v>529</v>
      </c>
      <c r="AX8" s="65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438</v>
      </c>
      <c r="I9" s="68">
        <v>45281</v>
      </c>
      <c r="J9" s="68" t="s">
        <v>505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430</v>
      </c>
      <c r="I10" s="68">
        <v>45511</v>
      </c>
      <c r="J10" s="68" t="s">
        <v>505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450</v>
      </c>
      <c r="I11" s="56">
        <v>44111</v>
      </c>
      <c r="J11" t="s">
        <v>506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439</v>
      </c>
      <c r="I12" s="56">
        <v>45334</v>
      </c>
      <c r="J12" t="s">
        <v>506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447</v>
      </c>
      <c r="I13" s="56">
        <v>45299</v>
      </c>
      <c r="J13" t="s">
        <v>506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396</v>
      </c>
      <c r="I14" s="56">
        <v>44259</v>
      </c>
      <c r="J14" t="s">
        <v>506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451</v>
      </c>
      <c r="I15" s="56">
        <v>44820</v>
      </c>
      <c r="J15" t="s">
        <v>506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421</v>
      </c>
      <c r="I16" s="56">
        <v>44687</v>
      </c>
      <c r="J16" t="s">
        <v>506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417</v>
      </c>
      <c r="I17" s="56">
        <v>45675</v>
      </c>
      <c r="J17" t="s">
        <v>506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483</v>
      </c>
      <c r="I18" s="56">
        <v>45845</v>
      </c>
      <c r="J18" t="s">
        <v>506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453</v>
      </c>
      <c r="I19" s="56">
        <v>45399</v>
      </c>
      <c r="J19" t="s">
        <v>506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486</v>
      </c>
      <c r="I20" s="56">
        <v>45875</v>
      </c>
      <c r="J20" t="s">
        <v>506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435</v>
      </c>
      <c r="I21" s="56">
        <v>45348</v>
      </c>
      <c r="J21" t="s">
        <v>506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448</v>
      </c>
      <c r="I22" s="56">
        <v>45590</v>
      </c>
      <c r="J22" t="s">
        <v>506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428</v>
      </c>
      <c r="I23" s="56">
        <v>45323</v>
      </c>
      <c r="J23" t="s">
        <v>506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391</v>
      </c>
      <c r="I24" s="56">
        <v>45334</v>
      </c>
      <c r="J24" t="s">
        <v>506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446</v>
      </c>
      <c r="I25" s="56">
        <v>43035</v>
      </c>
      <c r="J25" t="s">
        <v>506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416</v>
      </c>
      <c r="I26" s="56">
        <v>44909</v>
      </c>
      <c r="J26" t="s">
        <v>506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460</v>
      </c>
      <c r="I27" s="56">
        <v>45700</v>
      </c>
      <c r="J27" t="s">
        <v>506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443</v>
      </c>
      <c r="I28" s="56">
        <v>45021</v>
      </c>
      <c r="J28" t="s">
        <v>506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452</v>
      </c>
      <c r="I29" s="56">
        <v>45316</v>
      </c>
      <c r="J29" t="s">
        <v>506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487</v>
      </c>
      <c r="I30" s="56">
        <v>44644</v>
      </c>
      <c r="J30" t="s">
        <v>506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454</v>
      </c>
      <c r="I31" s="56">
        <v>44706</v>
      </c>
      <c r="J31" t="s">
        <v>506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390</v>
      </c>
      <c r="I32" s="56">
        <v>44888</v>
      </c>
      <c r="J32" t="s">
        <v>506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434</v>
      </c>
      <c r="I33" s="56">
        <v>45371</v>
      </c>
      <c r="J33" t="s">
        <v>506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393</v>
      </c>
      <c r="I34" s="56">
        <v>45334</v>
      </c>
      <c r="J34" t="s">
        <v>506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387</v>
      </c>
      <c r="I35" s="56">
        <v>44811</v>
      </c>
      <c r="J35" t="s">
        <v>506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394</v>
      </c>
      <c r="I36" s="56">
        <v>44870</v>
      </c>
      <c r="J36" t="s">
        <v>506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415</v>
      </c>
      <c r="I37" s="56">
        <v>44735</v>
      </c>
      <c r="J37" t="s">
        <v>506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488</v>
      </c>
      <c r="I38" s="56">
        <v>45882</v>
      </c>
      <c r="J38" t="s">
        <v>506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437</v>
      </c>
      <c r="I39" s="56">
        <v>45133</v>
      </c>
      <c r="J39" t="s">
        <v>506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384</v>
      </c>
      <c r="I40" s="56">
        <v>44461</v>
      </c>
      <c r="J40" t="s">
        <v>506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388</v>
      </c>
      <c r="I41" s="56">
        <v>45457</v>
      </c>
      <c r="J41" t="s">
        <v>506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423</v>
      </c>
      <c r="I42" s="56">
        <v>44971</v>
      </c>
      <c r="J42" t="s">
        <v>506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386</v>
      </c>
      <c r="I43" s="56">
        <v>44811</v>
      </c>
      <c r="J43" t="s">
        <v>506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445</v>
      </c>
      <c r="I44" s="56">
        <v>45364</v>
      </c>
      <c r="J44" t="s">
        <v>506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419</v>
      </c>
      <c r="I45" s="56">
        <v>45423</v>
      </c>
      <c r="J45" t="s">
        <v>506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455</v>
      </c>
      <c r="I46" s="56">
        <v>45084</v>
      </c>
      <c r="J46" t="s">
        <v>506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425</v>
      </c>
      <c r="I47" s="56">
        <v>45145</v>
      </c>
      <c r="J47" t="s">
        <v>506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442</v>
      </c>
      <c r="I48" s="56">
        <v>45671</v>
      </c>
      <c r="J48" t="s">
        <v>506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408</v>
      </c>
      <c r="I49" s="56">
        <v>45334</v>
      </c>
      <c r="J49" t="s">
        <v>506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412</v>
      </c>
      <c r="I50" s="56">
        <v>45175</v>
      </c>
      <c r="J50" t="s">
        <v>506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405</v>
      </c>
      <c r="I51" s="56">
        <v>43132</v>
      </c>
      <c r="J51" t="s">
        <v>506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406</v>
      </c>
      <c r="I52" s="56">
        <v>44748</v>
      </c>
      <c r="J52" t="s">
        <v>506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395</v>
      </c>
      <c r="I53" s="56">
        <v>45530</v>
      </c>
      <c r="J53" t="s">
        <v>506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429</v>
      </c>
      <c r="I54" s="56">
        <v>45429</v>
      </c>
      <c r="J54" t="s">
        <v>506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474</v>
      </c>
      <c r="I55" s="56">
        <v>45805</v>
      </c>
      <c r="J55" t="s">
        <v>506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444</v>
      </c>
      <c r="I56" s="56">
        <v>44869</v>
      </c>
      <c r="J56" t="s">
        <v>506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457</v>
      </c>
      <c r="I57" s="56">
        <v>44951</v>
      </c>
      <c r="J57" t="s">
        <v>506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411</v>
      </c>
      <c r="I58" s="56">
        <v>44941</v>
      </c>
      <c r="J58" t="s">
        <v>506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489</v>
      </c>
      <c r="I59" s="56">
        <v>45896</v>
      </c>
      <c r="J59" t="s">
        <v>506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404</v>
      </c>
      <c r="I60" s="56">
        <v>44673</v>
      </c>
      <c r="J60" t="s">
        <v>506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436</v>
      </c>
      <c r="I61" s="56">
        <v>45133</v>
      </c>
      <c r="J61" t="s">
        <v>506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468</v>
      </c>
      <c r="I62" s="56">
        <v>45748</v>
      </c>
      <c r="J62" t="s">
        <v>506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414</v>
      </c>
      <c r="I63" s="56">
        <v>44301</v>
      </c>
      <c r="J63" t="s">
        <v>506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463</v>
      </c>
      <c r="I64" s="56">
        <v>45727</v>
      </c>
      <c r="J64" t="s">
        <v>506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424</v>
      </c>
      <c r="I65" s="56">
        <v>45451</v>
      </c>
      <c r="J65" t="s">
        <v>506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432</v>
      </c>
      <c r="I66" s="56">
        <v>45142</v>
      </c>
      <c r="J66" t="s">
        <v>506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459</v>
      </c>
      <c r="I67" s="56">
        <v>44993</v>
      </c>
      <c r="J67" t="s">
        <v>506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397</v>
      </c>
      <c r="I68" s="56">
        <v>44748</v>
      </c>
      <c r="J68" t="s">
        <v>506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461</v>
      </c>
      <c r="I69" s="56">
        <v>44104</v>
      </c>
      <c r="J69" t="s">
        <v>506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420</v>
      </c>
      <c r="I70" s="56">
        <v>45399</v>
      </c>
      <c r="J70" t="s">
        <v>506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472</v>
      </c>
      <c r="I71" s="56">
        <v>45804</v>
      </c>
      <c r="J71" t="s">
        <v>506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392</v>
      </c>
      <c r="I72" s="56">
        <v>45304</v>
      </c>
      <c r="J72" t="s">
        <v>506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399</v>
      </c>
      <c r="I73" s="56">
        <v>45344</v>
      </c>
      <c r="J73" t="s">
        <v>506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476</v>
      </c>
      <c r="I74" s="56">
        <v>45793</v>
      </c>
      <c r="J74" t="s">
        <v>506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426</v>
      </c>
      <c r="I75" s="56">
        <v>44748</v>
      </c>
      <c r="J75" t="s">
        <v>506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481</v>
      </c>
      <c r="I76" s="56">
        <v>38525</v>
      </c>
      <c r="J76" t="s">
        <v>506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490</v>
      </c>
      <c r="I77" s="56">
        <v>45889</v>
      </c>
      <c r="J77" t="s">
        <v>506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491</v>
      </c>
      <c r="I78" s="56">
        <v>45399</v>
      </c>
      <c r="J78" t="s">
        <v>506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492</v>
      </c>
      <c r="I79" s="56">
        <v>45896</v>
      </c>
      <c r="J79" t="s">
        <v>506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484</v>
      </c>
      <c r="I80" s="56">
        <v>45853</v>
      </c>
      <c r="J80" t="s">
        <v>506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407</v>
      </c>
      <c r="I81" s="56">
        <v>45523</v>
      </c>
      <c r="J81" t="s">
        <v>506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441</v>
      </c>
      <c r="I82" s="56">
        <v>42814</v>
      </c>
      <c r="J82" t="s">
        <v>506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418</v>
      </c>
      <c r="I83" s="56">
        <v>45674</v>
      </c>
      <c r="J83" t="s">
        <v>506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485</v>
      </c>
      <c r="I84" s="56">
        <v>45862</v>
      </c>
      <c r="J84" t="s">
        <v>506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462</v>
      </c>
      <c r="I85" s="56">
        <v>45727</v>
      </c>
      <c r="J85" t="s">
        <v>506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480</v>
      </c>
      <c r="I86" s="56">
        <v>45818</v>
      </c>
      <c r="J86" t="s">
        <v>506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479</v>
      </c>
      <c r="I87" s="56">
        <v>45819</v>
      </c>
      <c r="J87" t="s">
        <v>506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493</v>
      </c>
      <c r="I88" s="56">
        <v>45875</v>
      </c>
      <c r="J88" t="s">
        <v>506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469</v>
      </c>
      <c r="I89" s="56">
        <v>45772</v>
      </c>
      <c r="J89" t="s">
        <v>506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494</v>
      </c>
      <c r="I90" s="56">
        <v>45895</v>
      </c>
      <c r="J90" t="s">
        <v>506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478</v>
      </c>
      <c r="I91" s="56">
        <v>45800</v>
      </c>
      <c r="J91" t="s">
        <v>506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381</v>
      </c>
      <c r="I2" s="57" t="s">
        <v>383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490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472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493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463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444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461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480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420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441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462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400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394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392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474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443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393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424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423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442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483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433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402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390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421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411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384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434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432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404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414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430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454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391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413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491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451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412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404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494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69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390</v>
      </c>
      <c r="I3" s="68">
        <v>44886</v>
      </c>
      <c r="J3" s="68" t="s">
        <v>505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405</v>
      </c>
      <c r="I4" s="68">
        <v>45112</v>
      </c>
      <c r="J4" s="68" t="s">
        <v>505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435</v>
      </c>
      <c r="I5" s="68">
        <v>45344</v>
      </c>
      <c r="J5" s="68" t="s">
        <v>505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395</v>
      </c>
      <c r="I6" s="68">
        <v>45526</v>
      </c>
      <c r="J6" s="68" t="s">
        <v>505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388</v>
      </c>
      <c r="I7" s="68">
        <v>45457</v>
      </c>
      <c r="J7" s="68" t="s">
        <v>505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459</v>
      </c>
      <c r="I8" s="68">
        <v>44993</v>
      </c>
      <c r="J8" s="68" t="s">
        <v>505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538</v>
      </c>
      <c r="T8" s="13" t="s">
        <v>508</v>
      </c>
      <c r="U8" s="13" t="s">
        <v>530</v>
      </c>
      <c r="V8" s="13" t="s">
        <v>534</v>
      </c>
      <c r="W8" s="13" t="s">
        <v>509</v>
      </c>
      <c r="X8" s="13" t="s">
        <v>510</v>
      </c>
      <c r="Y8" s="13" t="s">
        <v>511</v>
      </c>
      <c r="Z8" s="13" t="s">
        <v>512</v>
      </c>
      <c r="AA8" s="13" t="s">
        <v>513</v>
      </c>
      <c r="AB8" s="13" t="s">
        <v>531</v>
      </c>
      <c r="AC8" s="13" t="s">
        <v>535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518</v>
      </c>
      <c r="AI8" s="13" t="s">
        <v>532</v>
      </c>
      <c r="AJ8" s="13" t="s">
        <v>536</v>
      </c>
      <c r="AK8" s="13" t="s">
        <v>519</v>
      </c>
      <c r="AL8" s="13" t="s">
        <v>520</v>
      </c>
      <c r="AM8" s="13" t="s">
        <v>521</v>
      </c>
      <c r="AN8" s="13" t="s">
        <v>522</v>
      </c>
      <c r="AO8" s="13" t="s">
        <v>523</v>
      </c>
      <c r="AP8" s="13" t="s">
        <v>533</v>
      </c>
      <c r="AQ8" s="13" t="s">
        <v>537</v>
      </c>
      <c r="AR8" s="13" t="s">
        <v>524</v>
      </c>
      <c r="AS8" s="13" t="s">
        <v>525</v>
      </c>
      <c r="AT8" s="13" t="s">
        <v>526</v>
      </c>
      <c r="AU8" s="13" t="s">
        <v>527</v>
      </c>
      <c r="AV8" s="13" t="s">
        <v>528</v>
      </c>
      <c r="AW8" s="13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538</v>
      </c>
      <c r="BE8" s="40" t="s">
        <v>508</v>
      </c>
      <c r="BF8" s="40" t="s">
        <v>530</v>
      </c>
      <c r="BG8" s="40" t="s">
        <v>534</v>
      </c>
      <c r="BH8" s="40" t="s">
        <v>509</v>
      </c>
      <c r="BI8" s="40" t="s">
        <v>510</v>
      </c>
      <c r="BJ8" s="40" t="s">
        <v>511</v>
      </c>
      <c r="BK8" s="40" t="s">
        <v>512</v>
      </c>
      <c r="BL8" s="40" t="s">
        <v>513</v>
      </c>
      <c r="BM8" s="40" t="s">
        <v>531</v>
      </c>
      <c r="BN8" s="40" t="s">
        <v>535</v>
      </c>
      <c r="BO8" s="40" t="s">
        <v>514</v>
      </c>
      <c r="BP8" s="40" t="s">
        <v>515</v>
      </c>
      <c r="BQ8" s="40" t="s">
        <v>516</v>
      </c>
      <c r="BR8" s="40" t="s">
        <v>517</v>
      </c>
      <c r="BS8" s="40" t="s">
        <v>518</v>
      </c>
      <c r="BT8" s="40" t="s">
        <v>532</v>
      </c>
      <c r="BU8" s="40" t="s">
        <v>536</v>
      </c>
      <c r="BV8" s="40" t="s">
        <v>519</v>
      </c>
      <c r="BW8" s="40" t="s">
        <v>520</v>
      </c>
      <c r="BX8" s="40" t="s">
        <v>521</v>
      </c>
      <c r="BY8" s="40" t="s">
        <v>522</v>
      </c>
      <c r="BZ8" s="40" t="s">
        <v>523</v>
      </c>
      <c r="CA8" s="40" t="s">
        <v>533</v>
      </c>
      <c r="CB8" s="40" t="s">
        <v>537</v>
      </c>
      <c r="CC8" s="40" t="s">
        <v>524</v>
      </c>
      <c r="CD8" s="40" t="s">
        <v>525</v>
      </c>
      <c r="CE8" s="40" t="s">
        <v>526</v>
      </c>
      <c r="CF8" s="40" t="s">
        <v>527</v>
      </c>
      <c r="CG8" s="40" t="s">
        <v>528</v>
      </c>
      <c r="CH8" s="40" t="s">
        <v>529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450</v>
      </c>
      <c r="I9" s="56">
        <v>44111</v>
      </c>
      <c r="J9" s="56" t="s">
        <v>506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472</v>
      </c>
      <c r="I10" s="56">
        <v>45804</v>
      </c>
      <c r="J10" s="56" t="s">
        <v>506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426</v>
      </c>
      <c r="I11" s="56">
        <v>44748</v>
      </c>
      <c r="J11" s="56" t="s">
        <v>506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476</v>
      </c>
      <c r="I12" s="56">
        <v>45793</v>
      </c>
      <c r="J12" s="56" t="s">
        <v>506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486</v>
      </c>
      <c r="I13" s="56">
        <v>45875</v>
      </c>
      <c r="J13" s="56" t="s">
        <v>506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490</v>
      </c>
      <c r="I14" s="56">
        <v>45889</v>
      </c>
      <c r="J14" s="56" t="s">
        <v>506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444</v>
      </c>
      <c r="I15" s="56">
        <v>44869</v>
      </c>
      <c r="J15" s="56" t="s">
        <v>506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397</v>
      </c>
      <c r="I16" s="56">
        <v>44748</v>
      </c>
      <c r="J16" s="56" t="s">
        <v>506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462</v>
      </c>
      <c r="I17" s="56">
        <v>45727</v>
      </c>
      <c r="J17" s="56" t="s">
        <v>506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493</v>
      </c>
      <c r="I18" s="56">
        <v>45875</v>
      </c>
      <c r="J18" s="56" t="s">
        <v>506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429</v>
      </c>
      <c r="I19" s="56">
        <v>45429</v>
      </c>
      <c r="J19" s="56" t="s">
        <v>506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487</v>
      </c>
      <c r="I20" s="56">
        <v>44644</v>
      </c>
      <c r="J20" s="56" t="s">
        <v>506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406</v>
      </c>
      <c r="I21" s="56">
        <v>44748</v>
      </c>
      <c r="J21" s="56" t="s">
        <v>506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480</v>
      </c>
      <c r="I22" s="56">
        <v>45818</v>
      </c>
      <c r="J22" s="56" t="s">
        <v>506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419</v>
      </c>
      <c r="I23" s="56">
        <v>45423</v>
      </c>
      <c r="J23" s="56" t="s">
        <v>506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400</v>
      </c>
      <c r="I24" s="56">
        <v>44470</v>
      </c>
      <c r="J24" s="56" t="s">
        <v>506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491</v>
      </c>
      <c r="I25" s="56">
        <v>45399</v>
      </c>
      <c r="J25" s="56" t="s">
        <v>506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495</v>
      </c>
      <c r="I26" s="56">
        <v>45917</v>
      </c>
      <c r="J26" s="56" t="s">
        <v>506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441</v>
      </c>
      <c r="I27" s="56">
        <v>42814</v>
      </c>
      <c r="J27" s="56" t="s">
        <v>506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461</v>
      </c>
      <c r="I28" s="56">
        <v>44104</v>
      </c>
      <c r="J28" s="56" t="s">
        <v>506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443</v>
      </c>
      <c r="I29" s="56">
        <v>45021</v>
      </c>
      <c r="J29" s="56" t="s">
        <v>506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488</v>
      </c>
      <c r="I30" s="56">
        <v>45882</v>
      </c>
      <c r="J30" s="56" t="s">
        <v>506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393</v>
      </c>
      <c r="I31" s="56">
        <v>45334</v>
      </c>
      <c r="J31" s="56" t="s">
        <v>506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415</v>
      </c>
      <c r="I32" s="56">
        <v>44735</v>
      </c>
      <c r="J32" s="56" t="s">
        <v>506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474</v>
      </c>
      <c r="I33" s="56">
        <v>45805</v>
      </c>
      <c r="J33" s="56" t="s">
        <v>506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394</v>
      </c>
      <c r="I34" s="56">
        <v>44870</v>
      </c>
      <c r="J34" s="56" t="s">
        <v>506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425</v>
      </c>
      <c r="I35" s="56">
        <v>45145</v>
      </c>
      <c r="J35" s="56" t="s">
        <v>506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392</v>
      </c>
      <c r="I36" s="56">
        <v>45304</v>
      </c>
      <c r="J36" s="56" t="s">
        <v>506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455</v>
      </c>
      <c r="I37" s="56">
        <v>45084</v>
      </c>
      <c r="J37" s="56" t="s">
        <v>506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445</v>
      </c>
      <c r="I38" s="56">
        <v>45364</v>
      </c>
      <c r="J38" s="56" t="s">
        <v>506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458</v>
      </c>
      <c r="I39" s="56">
        <v>44566</v>
      </c>
      <c r="J39" s="56" t="s">
        <v>506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442</v>
      </c>
      <c r="I40" s="56">
        <v>45671</v>
      </c>
      <c r="J40" s="56" t="s">
        <v>506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396</v>
      </c>
      <c r="I41" s="56">
        <v>44259</v>
      </c>
      <c r="J41" s="56" t="s">
        <v>506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424</v>
      </c>
      <c r="I42" s="56">
        <v>45451</v>
      </c>
      <c r="J42" s="56" t="s">
        <v>506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483</v>
      </c>
      <c r="I43" s="56">
        <v>45845</v>
      </c>
      <c r="J43" s="56" t="s">
        <v>506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423</v>
      </c>
      <c r="I44" s="56">
        <v>44971</v>
      </c>
      <c r="J44" s="56" t="s">
        <v>506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433</v>
      </c>
      <c r="I45" s="56">
        <v>44716</v>
      </c>
      <c r="J45" s="56" t="s">
        <v>506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447</v>
      </c>
      <c r="I46" s="56">
        <v>45299</v>
      </c>
      <c r="J46" s="56" t="s">
        <v>506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402</v>
      </c>
      <c r="I47" s="56">
        <v>44945</v>
      </c>
      <c r="J47" s="56" t="s">
        <v>506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386</v>
      </c>
      <c r="I48" s="56">
        <v>44811</v>
      </c>
      <c r="J48" s="56" t="s">
        <v>506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489</v>
      </c>
      <c r="I49" s="56">
        <v>45896</v>
      </c>
      <c r="J49" s="56" t="s">
        <v>506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411</v>
      </c>
      <c r="I50" s="56">
        <v>44941</v>
      </c>
      <c r="J50" s="56" t="s">
        <v>506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421</v>
      </c>
      <c r="I51" s="56">
        <v>44687</v>
      </c>
      <c r="J51" s="56" t="s">
        <v>506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408</v>
      </c>
      <c r="I52" s="56">
        <v>45334</v>
      </c>
      <c r="J52" s="56" t="s">
        <v>506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384</v>
      </c>
      <c r="I53" s="56">
        <v>44461</v>
      </c>
      <c r="J53" s="56" t="s">
        <v>506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428</v>
      </c>
      <c r="I54" s="56">
        <v>45323</v>
      </c>
      <c r="J54" s="56" t="s">
        <v>506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414</v>
      </c>
      <c r="I55" s="56">
        <v>44301</v>
      </c>
      <c r="J55" s="56" t="s">
        <v>506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434</v>
      </c>
      <c r="I56" s="56">
        <v>45371</v>
      </c>
      <c r="J56" s="56" t="s">
        <v>506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446</v>
      </c>
      <c r="I57" s="56">
        <v>43035</v>
      </c>
      <c r="J57" s="56" t="s">
        <v>506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468</v>
      </c>
      <c r="I58" s="56">
        <v>45748</v>
      </c>
      <c r="J58" s="56" t="s">
        <v>506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436</v>
      </c>
      <c r="I59" s="56">
        <v>45133</v>
      </c>
      <c r="J59" s="56" t="s">
        <v>506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432</v>
      </c>
      <c r="I60" s="56">
        <v>45142</v>
      </c>
      <c r="J60" s="56" t="s">
        <v>506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416</v>
      </c>
      <c r="I61" s="56">
        <v>44909</v>
      </c>
      <c r="J61" s="56" t="s">
        <v>506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430</v>
      </c>
      <c r="I62" s="56">
        <v>45506</v>
      </c>
      <c r="J62" s="56" t="s">
        <v>506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413</v>
      </c>
      <c r="I63" s="56">
        <v>44819</v>
      </c>
      <c r="J63" s="56" t="s">
        <v>506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454</v>
      </c>
      <c r="I64" s="56">
        <v>44706</v>
      </c>
      <c r="J64" s="56" t="s">
        <v>506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417</v>
      </c>
      <c r="I65" s="56">
        <v>45675</v>
      </c>
      <c r="J65" s="56" t="s">
        <v>506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420</v>
      </c>
      <c r="I66" s="56">
        <v>45399</v>
      </c>
      <c r="J66" s="56" t="s">
        <v>506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451</v>
      </c>
      <c r="I67" s="56">
        <v>44820</v>
      </c>
      <c r="J67" s="56" t="s">
        <v>506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448</v>
      </c>
      <c r="I68" s="56">
        <v>45590</v>
      </c>
      <c r="J68" s="56" t="s">
        <v>506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438</v>
      </c>
      <c r="I69" s="56">
        <v>45285</v>
      </c>
      <c r="J69" s="56" t="s">
        <v>506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404</v>
      </c>
      <c r="I70" s="56">
        <v>44673</v>
      </c>
      <c r="J70" s="56" t="s">
        <v>506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412</v>
      </c>
      <c r="I71" s="56">
        <v>45175</v>
      </c>
      <c r="J71" s="56" t="s">
        <v>506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387</v>
      </c>
      <c r="I72" s="56">
        <v>44811</v>
      </c>
      <c r="J72" s="56" t="s">
        <v>506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439</v>
      </c>
      <c r="I73" s="56">
        <v>45334</v>
      </c>
      <c r="J73" s="56" t="s">
        <v>506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418</v>
      </c>
      <c r="I74" s="56">
        <v>45674</v>
      </c>
      <c r="J74" s="56" t="s">
        <v>506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398</v>
      </c>
      <c r="I75" s="56">
        <v>44840</v>
      </c>
      <c r="J75" s="56" t="s">
        <v>506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479</v>
      </c>
      <c r="I76" s="56">
        <v>45819</v>
      </c>
      <c r="J76" s="56" t="s">
        <v>506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494</v>
      </c>
      <c r="I77" s="56">
        <v>45895</v>
      </c>
      <c r="J77" s="56" t="s">
        <v>506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407</v>
      </c>
      <c r="I78" s="56">
        <v>45523</v>
      </c>
      <c r="J78" s="56" t="s">
        <v>506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399</v>
      </c>
      <c r="I79" s="56">
        <v>45344</v>
      </c>
      <c r="J79" s="56" t="s">
        <v>506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69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451</v>
      </c>
      <c r="I3" s="68">
        <v>44818</v>
      </c>
      <c r="J3" s="68" t="s">
        <v>505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444</v>
      </c>
      <c r="I4" s="68">
        <v>44867</v>
      </c>
      <c r="J4" s="68" t="s">
        <v>505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394</v>
      </c>
      <c r="I5" s="68">
        <v>44868</v>
      </c>
      <c r="J5" s="68" t="s">
        <v>505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412</v>
      </c>
      <c r="I6" s="68">
        <v>45173</v>
      </c>
      <c r="J6" s="68" t="s">
        <v>505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421</v>
      </c>
      <c r="I7" s="56">
        <v>44687</v>
      </c>
      <c r="J7" t="s">
        <v>506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442</v>
      </c>
      <c r="I8" s="56">
        <v>45671</v>
      </c>
      <c r="J8" t="s">
        <v>506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538</v>
      </c>
      <c r="T8" s="13" t="s">
        <v>508</v>
      </c>
      <c r="U8" s="13" t="s">
        <v>530</v>
      </c>
      <c r="V8" s="13" t="s">
        <v>534</v>
      </c>
      <c r="W8" s="13" t="s">
        <v>509</v>
      </c>
      <c r="X8" s="13" t="s">
        <v>510</v>
      </c>
      <c r="Y8" s="13" t="s">
        <v>511</v>
      </c>
      <c r="Z8" s="13" t="s">
        <v>512</v>
      </c>
      <c r="AA8" s="13" t="s">
        <v>513</v>
      </c>
      <c r="AB8" s="13" t="s">
        <v>531</v>
      </c>
      <c r="AC8" s="13" t="s">
        <v>535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518</v>
      </c>
      <c r="AI8" s="13" t="s">
        <v>532</v>
      </c>
      <c r="AJ8" s="13" t="s">
        <v>536</v>
      </c>
      <c r="AK8" s="13" t="s">
        <v>519</v>
      </c>
      <c r="AL8" s="13" t="s">
        <v>520</v>
      </c>
      <c r="AM8" s="13" t="s">
        <v>521</v>
      </c>
      <c r="AN8" s="13" t="s">
        <v>522</v>
      </c>
      <c r="AO8" s="13" t="s">
        <v>523</v>
      </c>
      <c r="AP8" s="13" t="s">
        <v>533</v>
      </c>
      <c r="AQ8" s="13" t="s">
        <v>537</v>
      </c>
      <c r="AR8" s="13" t="s">
        <v>524</v>
      </c>
      <c r="AS8" s="13" t="s">
        <v>525</v>
      </c>
      <c r="AT8" s="13" t="s">
        <v>526</v>
      </c>
      <c r="AU8" s="13" t="s">
        <v>527</v>
      </c>
      <c r="AV8" s="13" t="s">
        <v>528</v>
      </c>
      <c r="AW8" s="13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538</v>
      </c>
      <c r="BE8" s="19" t="s">
        <v>508</v>
      </c>
      <c r="BF8" s="19" t="s">
        <v>530</v>
      </c>
      <c r="BG8" s="19" t="s">
        <v>534</v>
      </c>
      <c r="BH8" s="19" t="s">
        <v>509</v>
      </c>
      <c r="BI8" s="19" t="s">
        <v>510</v>
      </c>
      <c r="BJ8" s="19" t="s">
        <v>511</v>
      </c>
      <c r="BK8" s="19" t="s">
        <v>512</v>
      </c>
      <c r="BL8" s="19" t="s">
        <v>513</v>
      </c>
      <c r="BM8" s="19" t="s">
        <v>531</v>
      </c>
      <c r="BN8" s="19" t="s">
        <v>535</v>
      </c>
      <c r="BO8" s="19" t="s">
        <v>514</v>
      </c>
      <c r="BP8" s="19" t="s">
        <v>515</v>
      </c>
      <c r="BQ8" s="19" t="s">
        <v>516</v>
      </c>
      <c r="BR8" s="19" t="s">
        <v>517</v>
      </c>
      <c r="BS8" s="19" t="s">
        <v>518</v>
      </c>
      <c r="BT8" s="19" t="s">
        <v>532</v>
      </c>
      <c r="BU8" s="19" t="s">
        <v>536</v>
      </c>
      <c r="BV8" s="19" t="s">
        <v>519</v>
      </c>
      <c r="BW8" s="19" t="s">
        <v>520</v>
      </c>
      <c r="BX8" s="19" t="s">
        <v>521</v>
      </c>
      <c r="BY8" s="19" t="s">
        <v>522</v>
      </c>
      <c r="BZ8" s="19" t="s">
        <v>523</v>
      </c>
      <c r="CA8" s="19" t="s">
        <v>533</v>
      </c>
      <c r="CB8" s="19" t="s">
        <v>537</v>
      </c>
      <c r="CC8" s="19" t="s">
        <v>524</v>
      </c>
      <c r="CD8" s="19" t="s">
        <v>525</v>
      </c>
      <c r="CE8" s="19" t="s">
        <v>526</v>
      </c>
      <c r="CF8" s="19" t="s">
        <v>527</v>
      </c>
      <c r="CG8" s="19" t="s">
        <v>528</v>
      </c>
      <c r="CH8" s="19" t="s">
        <v>529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458</v>
      </c>
      <c r="I9" s="56">
        <v>44566</v>
      </c>
      <c r="J9" t="s">
        <v>506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398</v>
      </c>
      <c r="I10" s="56">
        <v>44840</v>
      </c>
      <c r="J10" t="s">
        <v>506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480</v>
      </c>
      <c r="I11" s="56">
        <v>45818</v>
      </c>
      <c r="J11" t="s">
        <v>506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479</v>
      </c>
      <c r="I12" s="56">
        <v>45819</v>
      </c>
      <c r="J12" t="s">
        <v>506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494</v>
      </c>
      <c r="I13" s="56">
        <v>45895</v>
      </c>
      <c r="J13" t="s">
        <v>506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411</v>
      </c>
      <c r="I14" s="56">
        <v>44941</v>
      </c>
      <c r="J14" t="s">
        <v>506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415</v>
      </c>
      <c r="I15" s="56">
        <v>44735</v>
      </c>
      <c r="J15" t="s">
        <v>506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441</v>
      </c>
      <c r="I16" s="56">
        <v>42814</v>
      </c>
      <c r="J16" t="s">
        <v>506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445</v>
      </c>
      <c r="I17" s="56">
        <v>45364</v>
      </c>
      <c r="J17" t="s">
        <v>506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474</v>
      </c>
      <c r="I18" s="56">
        <v>45805</v>
      </c>
      <c r="J18" t="s">
        <v>506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420</v>
      </c>
      <c r="I19" s="56">
        <v>45399</v>
      </c>
      <c r="J19" t="s">
        <v>506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414</v>
      </c>
      <c r="I20" s="56">
        <v>44301</v>
      </c>
      <c r="J20" t="s">
        <v>506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425</v>
      </c>
      <c r="I21" s="56">
        <v>45145</v>
      </c>
      <c r="J21" t="s">
        <v>506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426</v>
      </c>
      <c r="I22" s="56">
        <v>44748</v>
      </c>
      <c r="J22" t="s">
        <v>506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417</v>
      </c>
      <c r="I23" s="56">
        <v>45675</v>
      </c>
      <c r="J23" t="s">
        <v>506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431</v>
      </c>
      <c r="I24" s="56">
        <v>45082</v>
      </c>
      <c r="J24" t="s">
        <v>506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455</v>
      </c>
      <c r="I25" s="56">
        <v>45084</v>
      </c>
      <c r="J25" t="s">
        <v>506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400</v>
      </c>
      <c r="I26" s="56">
        <v>44470</v>
      </c>
      <c r="J26" t="s">
        <v>506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432</v>
      </c>
      <c r="I27" s="56">
        <v>45142</v>
      </c>
      <c r="J27" t="s">
        <v>506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418</v>
      </c>
      <c r="I28" s="56">
        <v>45674</v>
      </c>
      <c r="J28" t="s">
        <v>506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491</v>
      </c>
      <c r="I29" s="56">
        <v>45399</v>
      </c>
      <c r="J29" t="s">
        <v>506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495</v>
      </c>
      <c r="I30" s="56">
        <v>45917</v>
      </c>
      <c r="J30" t="s">
        <v>506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462</v>
      </c>
      <c r="I31" s="56">
        <v>45727</v>
      </c>
      <c r="J31" t="s">
        <v>506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436</v>
      </c>
      <c r="I32" s="56">
        <v>45133</v>
      </c>
      <c r="J32" t="s">
        <v>506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439</v>
      </c>
      <c r="I33" s="56">
        <v>45334</v>
      </c>
      <c r="J33" t="s">
        <v>506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416</v>
      </c>
      <c r="I34" s="56">
        <v>44909</v>
      </c>
      <c r="J34" t="s">
        <v>506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402</v>
      </c>
      <c r="I35" s="56">
        <v>44945</v>
      </c>
      <c r="J35" t="s">
        <v>506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407</v>
      </c>
      <c r="I36" s="56">
        <v>45523</v>
      </c>
      <c r="J36" t="s">
        <v>506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406</v>
      </c>
      <c r="I37" s="56">
        <v>44748</v>
      </c>
      <c r="J37" t="s">
        <v>506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434</v>
      </c>
      <c r="I38" s="56">
        <v>45371</v>
      </c>
      <c r="J38" t="s">
        <v>506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396</v>
      </c>
      <c r="I39" s="56">
        <v>44259</v>
      </c>
      <c r="J39" t="s">
        <v>506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430</v>
      </c>
      <c r="I40" s="56">
        <v>45506</v>
      </c>
      <c r="J40" t="s">
        <v>506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386</v>
      </c>
      <c r="I41" s="56">
        <v>44811</v>
      </c>
      <c r="J41" t="s">
        <v>506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404</v>
      </c>
      <c r="I42" s="56">
        <v>44673</v>
      </c>
      <c r="J42" t="s">
        <v>506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443</v>
      </c>
      <c r="I43" s="56">
        <v>45021</v>
      </c>
      <c r="J43" t="s">
        <v>506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392</v>
      </c>
      <c r="I44" s="56">
        <v>45304</v>
      </c>
      <c r="J44" t="s">
        <v>506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448</v>
      </c>
      <c r="I45" s="56">
        <v>45590</v>
      </c>
      <c r="J45" t="s">
        <v>506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454</v>
      </c>
      <c r="I46" s="56">
        <v>44706</v>
      </c>
      <c r="J46" t="s">
        <v>506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428</v>
      </c>
      <c r="I47" s="56">
        <v>45323</v>
      </c>
      <c r="J47" t="s">
        <v>506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435</v>
      </c>
      <c r="I48" s="56">
        <v>45348</v>
      </c>
      <c r="J48" t="s">
        <v>506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433</v>
      </c>
      <c r="I49" s="56">
        <v>44716</v>
      </c>
      <c r="J49" t="s">
        <v>506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438</v>
      </c>
      <c r="I50" s="56">
        <v>45285</v>
      </c>
      <c r="J50" t="s">
        <v>506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468</v>
      </c>
      <c r="I51" s="56">
        <v>45748</v>
      </c>
      <c r="J51" t="s">
        <v>506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446</v>
      </c>
      <c r="I52" s="56">
        <v>43035</v>
      </c>
      <c r="J52" t="s">
        <v>506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487</v>
      </c>
      <c r="I53" s="56">
        <v>44644</v>
      </c>
      <c r="J53" t="s">
        <v>506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429</v>
      </c>
      <c r="I54" s="56">
        <v>45429</v>
      </c>
      <c r="J54" t="s">
        <v>506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405</v>
      </c>
      <c r="I55" s="56">
        <v>43132</v>
      </c>
      <c r="J55" t="s">
        <v>506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408</v>
      </c>
      <c r="I56" s="56">
        <v>45334</v>
      </c>
      <c r="J56" t="s">
        <v>506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450</v>
      </c>
      <c r="I57" s="56">
        <v>44111</v>
      </c>
      <c r="J57" t="s">
        <v>506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384</v>
      </c>
      <c r="I58" s="56">
        <v>44461</v>
      </c>
      <c r="J58" t="s">
        <v>506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395</v>
      </c>
      <c r="I59" s="56">
        <v>45530</v>
      </c>
      <c r="J59" t="s">
        <v>506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387</v>
      </c>
      <c r="I60" s="56">
        <v>44811</v>
      </c>
      <c r="J60" t="s">
        <v>506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447</v>
      </c>
      <c r="I61" s="56">
        <v>45299</v>
      </c>
      <c r="J61" t="s">
        <v>506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393</v>
      </c>
      <c r="I62" s="56">
        <v>45334</v>
      </c>
      <c r="J62" t="s">
        <v>506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390</v>
      </c>
      <c r="I63" s="56">
        <v>44888</v>
      </c>
      <c r="J63" t="s">
        <v>506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472</v>
      </c>
      <c r="I64" s="56">
        <v>45804</v>
      </c>
      <c r="J64" t="s">
        <v>506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413</v>
      </c>
      <c r="I65" s="56">
        <v>44819</v>
      </c>
      <c r="J65" t="s">
        <v>506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490</v>
      </c>
      <c r="I66" s="56">
        <v>45889</v>
      </c>
      <c r="J66" t="s">
        <v>506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436</v>
      </c>
      <c r="I3" s="56">
        <v>45133</v>
      </c>
      <c r="J3" s="56" t="s">
        <v>506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414</v>
      </c>
      <c r="I4" s="56">
        <v>44301</v>
      </c>
      <c r="J4" s="56" t="s">
        <v>506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446</v>
      </c>
      <c r="I5" s="56">
        <v>43035</v>
      </c>
      <c r="J5" s="56" t="s">
        <v>506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428</v>
      </c>
      <c r="I6" s="56">
        <v>45323</v>
      </c>
      <c r="J6" s="56" t="s">
        <v>506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415</v>
      </c>
      <c r="I7" s="56">
        <v>44735</v>
      </c>
      <c r="J7" s="56" t="s">
        <v>506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497</v>
      </c>
      <c r="I8" s="56">
        <v>45995</v>
      </c>
      <c r="J8" s="56" t="s">
        <v>506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538</v>
      </c>
      <c r="T8" s="13" t="s">
        <v>508</v>
      </c>
      <c r="U8" s="13" t="s">
        <v>530</v>
      </c>
      <c r="V8" s="13" t="s">
        <v>534</v>
      </c>
      <c r="W8" s="13" t="s">
        <v>509</v>
      </c>
      <c r="X8" s="13" t="s">
        <v>510</v>
      </c>
      <c r="Y8" s="13" t="s">
        <v>511</v>
      </c>
      <c r="Z8" s="13" t="s">
        <v>512</v>
      </c>
      <c r="AA8" s="13" t="s">
        <v>513</v>
      </c>
      <c r="AB8" s="13" t="s">
        <v>531</v>
      </c>
      <c r="AC8" s="13" t="s">
        <v>535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518</v>
      </c>
      <c r="AI8" s="13" t="s">
        <v>532</v>
      </c>
      <c r="AJ8" s="13" t="s">
        <v>536</v>
      </c>
      <c r="AK8" s="13" t="s">
        <v>519</v>
      </c>
      <c r="AL8" s="13" t="s">
        <v>520</v>
      </c>
      <c r="AM8" s="13" t="s">
        <v>521</v>
      </c>
      <c r="AN8" s="13" t="s">
        <v>522</v>
      </c>
      <c r="AO8" s="13" t="s">
        <v>523</v>
      </c>
      <c r="AP8" s="13" t="s">
        <v>533</v>
      </c>
      <c r="AQ8" s="13" t="s">
        <v>537</v>
      </c>
      <c r="AR8" s="13" t="s">
        <v>524</v>
      </c>
      <c r="AS8" s="13" t="s">
        <v>525</v>
      </c>
      <c r="AT8" s="13" t="s">
        <v>526</v>
      </c>
      <c r="AU8" s="13" t="s">
        <v>527</v>
      </c>
      <c r="AV8" s="13" t="s">
        <v>528</v>
      </c>
      <c r="AW8" s="13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538</v>
      </c>
      <c r="BE8" s="19" t="s">
        <v>508</v>
      </c>
      <c r="BF8" s="19" t="s">
        <v>530</v>
      </c>
      <c r="BG8" s="19" t="s">
        <v>534</v>
      </c>
      <c r="BH8" s="19" t="s">
        <v>509</v>
      </c>
      <c r="BI8" s="19" t="s">
        <v>510</v>
      </c>
      <c r="BJ8" s="19" t="s">
        <v>511</v>
      </c>
      <c r="BK8" s="19" t="s">
        <v>512</v>
      </c>
      <c r="BL8" s="19" t="s">
        <v>513</v>
      </c>
      <c r="BM8" s="19" t="s">
        <v>531</v>
      </c>
      <c r="BN8" s="19" t="s">
        <v>535</v>
      </c>
      <c r="BO8" s="19" t="s">
        <v>514</v>
      </c>
      <c r="BP8" s="19" t="s">
        <v>515</v>
      </c>
      <c r="BQ8" s="19" t="s">
        <v>516</v>
      </c>
      <c r="BR8" s="19" t="s">
        <v>517</v>
      </c>
      <c r="BS8" s="19" t="s">
        <v>518</v>
      </c>
      <c r="BT8" s="19" t="s">
        <v>532</v>
      </c>
      <c r="BU8" s="19" t="s">
        <v>536</v>
      </c>
      <c r="BV8" s="19" t="s">
        <v>519</v>
      </c>
      <c r="BW8" s="19" t="s">
        <v>520</v>
      </c>
      <c r="BX8" s="19" t="s">
        <v>521</v>
      </c>
      <c r="BY8" s="19" t="s">
        <v>522</v>
      </c>
      <c r="BZ8" s="19" t="s">
        <v>523</v>
      </c>
      <c r="CA8" s="19" t="s">
        <v>533</v>
      </c>
      <c r="CB8" s="19" t="s">
        <v>537</v>
      </c>
      <c r="CC8" s="19" t="s">
        <v>524</v>
      </c>
      <c r="CD8" s="19" t="s">
        <v>525</v>
      </c>
      <c r="CE8" s="19" t="s">
        <v>526</v>
      </c>
      <c r="CF8" s="19" t="s">
        <v>527</v>
      </c>
      <c r="CG8" s="19" t="s">
        <v>528</v>
      </c>
      <c r="CH8" s="19" t="s">
        <v>529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404</v>
      </c>
      <c r="I9" s="56">
        <v>44673</v>
      </c>
      <c r="J9" s="56" t="s">
        <v>506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392</v>
      </c>
      <c r="I10" s="56">
        <v>45304</v>
      </c>
      <c r="J10" s="56" t="s">
        <v>506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416</v>
      </c>
      <c r="I11" s="56">
        <v>44909</v>
      </c>
      <c r="J11" s="56" t="s">
        <v>506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438</v>
      </c>
      <c r="I12" s="56">
        <v>45285</v>
      </c>
      <c r="J12" s="56" t="s">
        <v>506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429</v>
      </c>
      <c r="I13" s="56">
        <v>45429</v>
      </c>
      <c r="J13" s="56" t="s">
        <v>506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430</v>
      </c>
      <c r="I14" s="56">
        <v>45506</v>
      </c>
      <c r="J14" s="56" t="s">
        <v>506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455</v>
      </c>
      <c r="I15" s="56">
        <v>45084</v>
      </c>
      <c r="J15" s="56" t="s">
        <v>506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447</v>
      </c>
      <c r="I16" s="56">
        <v>45299</v>
      </c>
      <c r="J16" s="56" t="s">
        <v>506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439</v>
      </c>
      <c r="I17" s="56">
        <v>45334</v>
      </c>
      <c r="J17" s="56" t="s">
        <v>506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394</v>
      </c>
      <c r="I18" s="56">
        <v>44870</v>
      </c>
      <c r="J18" s="56" t="s">
        <v>506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418</v>
      </c>
      <c r="I19" s="56">
        <v>45674</v>
      </c>
      <c r="J19" s="56" t="s">
        <v>506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387</v>
      </c>
      <c r="I20" s="56">
        <v>44811</v>
      </c>
      <c r="J20" s="56" t="s">
        <v>506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395</v>
      </c>
      <c r="I21" s="56">
        <v>45530</v>
      </c>
      <c r="J21" s="56" t="s">
        <v>506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420</v>
      </c>
      <c r="I22" s="56">
        <v>45399</v>
      </c>
      <c r="J22" s="56" t="s">
        <v>506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495</v>
      </c>
      <c r="I23" s="56">
        <v>45917</v>
      </c>
      <c r="J23" s="56" t="s">
        <v>506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448</v>
      </c>
      <c r="I24" s="56">
        <v>45590</v>
      </c>
      <c r="J24" s="56" t="s">
        <v>506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441</v>
      </c>
      <c r="I25" s="56">
        <v>42814</v>
      </c>
      <c r="J25" s="56" t="s">
        <v>506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396</v>
      </c>
      <c r="I26" s="56">
        <v>44259</v>
      </c>
      <c r="J26" s="56" t="s">
        <v>506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431</v>
      </c>
      <c r="I27" s="56">
        <v>45082</v>
      </c>
      <c r="J27" s="56" t="s">
        <v>506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442</v>
      </c>
      <c r="I28" s="56">
        <v>45671</v>
      </c>
      <c r="J28" s="56" t="s">
        <v>506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443</v>
      </c>
      <c r="I29" s="56">
        <v>45021</v>
      </c>
      <c r="J29" s="56" t="s">
        <v>506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405</v>
      </c>
      <c r="I30" s="56">
        <v>43132</v>
      </c>
      <c r="J30" s="56" t="s">
        <v>506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398</v>
      </c>
      <c r="I31" s="56">
        <v>44840</v>
      </c>
      <c r="J31" s="56" t="s">
        <v>506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406</v>
      </c>
      <c r="I32" s="56">
        <v>44748</v>
      </c>
      <c r="J32" s="56" t="s">
        <v>506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407</v>
      </c>
      <c r="I33" s="56">
        <v>45523</v>
      </c>
      <c r="J33" s="56" t="s">
        <v>506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444</v>
      </c>
      <c r="I34" s="56">
        <v>44869</v>
      </c>
      <c r="J34" s="56" t="s">
        <v>506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450</v>
      </c>
      <c r="I35" s="56">
        <v>44111</v>
      </c>
      <c r="J35" s="56" t="s">
        <v>506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445</v>
      </c>
      <c r="I36" s="56">
        <v>45364</v>
      </c>
      <c r="J36" s="56" t="s">
        <v>506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408</v>
      </c>
      <c r="I37" s="56">
        <v>45334</v>
      </c>
      <c r="J37" s="56" t="s">
        <v>506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421</v>
      </c>
      <c r="I38" s="56">
        <v>44687</v>
      </c>
      <c r="J38" s="56" t="s">
        <v>506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451</v>
      </c>
      <c r="I39" s="56">
        <v>44820</v>
      </c>
      <c r="J39" s="56" t="s">
        <v>506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390</v>
      </c>
      <c r="I40" s="56">
        <v>44888</v>
      </c>
      <c r="J40" s="56" t="s">
        <v>506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474</v>
      </c>
      <c r="I41" s="56">
        <v>45805</v>
      </c>
      <c r="J41" s="56" t="s">
        <v>506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433</v>
      </c>
      <c r="I42" s="56">
        <v>44716</v>
      </c>
      <c r="J42" s="56" t="s">
        <v>506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480</v>
      </c>
      <c r="I43" s="56">
        <v>45818</v>
      </c>
      <c r="J43" s="56" t="s">
        <v>506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434</v>
      </c>
      <c r="I44" s="56">
        <v>45371</v>
      </c>
      <c r="J44" s="56" t="s">
        <v>506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458</v>
      </c>
      <c r="I45" s="56">
        <v>44566</v>
      </c>
      <c r="J45" s="56" t="s">
        <v>506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490</v>
      </c>
      <c r="I46" s="56">
        <v>45889</v>
      </c>
      <c r="J46" s="56" t="s">
        <v>506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435</v>
      </c>
      <c r="I47" s="56">
        <v>45348</v>
      </c>
      <c r="J47" s="56" t="s">
        <v>506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425</v>
      </c>
      <c r="I48" s="56">
        <v>45145</v>
      </c>
      <c r="J48" s="56" t="s">
        <v>506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412</v>
      </c>
      <c r="I49" s="56">
        <v>45175</v>
      </c>
      <c r="J49" s="56" t="s">
        <v>506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402</v>
      </c>
      <c r="I50" s="56">
        <v>44945</v>
      </c>
      <c r="J50" s="56" t="s">
        <v>506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426</v>
      </c>
      <c r="I51" s="56">
        <v>44748</v>
      </c>
      <c r="J51" s="56" t="s">
        <v>506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454</v>
      </c>
      <c r="I52" s="56">
        <v>44706</v>
      </c>
      <c r="J52" s="56" t="s">
        <v>506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413</v>
      </c>
      <c r="I53" s="56">
        <v>44819</v>
      </c>
      <c r="J53" s="56" t="s">
        <v>506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553</v>
      </c>
      <c r="D3" s="63">
        <v>0</v>
      </c>
      <c r="E3" s="63" t="s">
        <v>125</v>
      </c>
      <c r="F3" s="62" t="s">
        <v>49</v>
      </c>
      <c r="G3" s="62"/>
      <c r="H3" s="66" t="s">
        <v>441</v>
      </c>
      <c r="I3" s="64">
        <v>43313</v>
      </c>
      <c r="J3" s="64" t="s">
        <v>505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553</v>
      </c>
      <c r="D4" s="63">
        <v>0</v>
      </c>
      <c r="E4" s="63" t="s">
        <v>4</v>
      </c>
      <c r="F4" s="62" t="s">
        <v>61</v>
      </c>
      <c r="G4" s="62"/>
      <c r="H4" s="66" t="s">
        <v>416</v>
      </c>
      <c r="I4" s="64">
        <v>44907</v>
      </c>
      <c r="J4" s="64" t="s">
        <v>505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553</v>
      </c>
      <c r="D5" s="63">
        <v>0</v>
      </c>
      <c r="E5" s="63" t="s">
        <v>3</v>
      </c>
      <c r="F5" s="62" t="s">
        <v>22</v>
      </c>
      <c r="G5" s="62"/>
      <c r="H5" s="66" t="s">
        <v>447</v>
      </c>
      <c r="I5" s="64">
        <v>45295</v>
      </c>
      <c r="J5" s="64" t="s">
        <v>505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436</v>
      </c>
      <c r="I6" s="61">
        <v>45132</v>
      </c>
      <c r="J6" s="61" t="s">
        <v>506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446</v>
      </c>
      <c r="I7" s="61">
        <v>43119</v>
      </c>
      <c r="J7" s="61" t="s">
        <v>506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427</v>
      </c>
      <c r="I8" s="61">
        <v>46024</v>
      </c>
      <c r="J8" s="61" t="s">
        <v>506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538</v>
      </c>
      <c r="T8" s="13" t="s">
        <v>508</v>
      </c>
      <c r="U8" s="13" t="s">
        <v>530</v>
      </c>
      <c r="V8" s="13" t="s">
        <v>534</v>
      </c>
      <c r="W8" s="13" t="s">
        <v>509</v>
      </c>
      <c r="X8" s="13" t="s">
        <v>510</v>
      </c>
      <c r="Y8" s="13" t="s">
        <v>511</v>
      </c>
      <c r="Z8" s="13" t="s">
        <v>512</v>
      </c>
      <c r="AA8" s="13" t="s">
        <v>513</v>
      </c>
      <c r="AB8" s="13" t="s">
        <v>531</v>
      </c>
      <c r="AC8" s="13" t="s">
        <v>535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518</v>
      </c>
      <c r="AI8" s="13" t="s">
        <v>532</v>
      </c>
      <c r="AJ8" s="13" t="s">
        <v>536</v>
      </c>
      <c r="AK8" s="13" t="s">
        <v>519</v>
      </c>
      <c r="AL8" s="13" t="s">
        <v>520</v>
      </c>
      <c r="AM8" s="13" t="s">
        <v>521</v>
      </c>
      <c r="AN8" s="13" t="s">
        <v>522</v>
      </c>
      <c r="AO8" s="13" t="s">
        <v>523</v>
      </c>
      <c r="AP8" s="13" t="s">
        <v>533</v>
      </c>
      <c r="AQ8" s="13" t="s">
        <v>537</v>
      </c>
      <c r="AR8" s="13" t="s">
        <v>524</v>
      </c>
      <c r="AS8" s="13" t="s">
        <v>525</v>
      </c>
      <c r="AT8" s="13" t="s">
        <v>526</v>
      </c>
      <c r="AU8" s="13" t="s">
        <v>527</v>
      </c>
      <c r="AV8" s="13" t="s">
        <v>528</v>
      </c>
      <c r="AW8" s="13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538</v>
      </c>
      <c r="BE8" s="19" t="s">
        <v>508</v>
      </c>
      <c r="BF8" s="19" t="s">
        <v>530</v>
      </c>
      <c r="BG8" s="19" t="s">
        <v>534</v>
      </c>
      <c r="BH8" s="19" t="s">
        <v>509</v>
      </c>
      <c r="BI8" s="19" t="s">
        <v>510</v>
      </c>
      <c r="BJ8" s="19" t="s">
        <v>511</v>
      </c>
      <c r="BK8" s="19" t="s">
        <v>512</v>
      </c>
      <c r="BL8" s="19" t="s">
        <v>513</v>
      </c>
      <c r="BM8" s="19" t="s">
        <v>531</v>
      </c>
      <c r="BN8" s="19" t="s">
        <v>535</v>
      </c>
      <c r="BO8" s="19" t="s">
        <v>514</v>
      </c>
      <c r="BP8" s="19" t="s">
        <v>515</v>
      </c>
      <c r="BQ8" s="19" t="s">
        <v>516</v>
      </c>
      <c r="BR8" s="19" t="s">
        <v>517</v>
      </c>
      <c r="BS8" s="19" t="s">
        <v>518</v>
      </c>
      <c r="BT8" s="19" t="s">
        <v>532</v>
      </c>
      <c r="BU8" s="19" t="s">
        <v>536</v>
      </c>
      <c r="BV8" s="19" t="s">
        <v>519</v>
      </c>
      <c r="BW8" s="19" t="s">
        <v>520</v>
      </c>
      <c r="BX8" s="19" t="s">
        <v>521</v>
      </c>
      <c r="BY8" s="19" t="s">
        <v>522</v>
      </c>
      <c r="BZ8" s="19" t="s">
        <v>523</v>
      </c>
      <c r="CA8" s="19" t="s">
        <v>533</v>
      </c>
      <c r="CB8" s="19" t="s">
        <v>537</v>
      </c>
      <c r="CC8" s="19" t="s">
        <v>524</v>
      </c>
      <c r="CD8" s="19" t="s">
        <v>525</v>
      </c>
      <c r="CE8" s="19" t="s">
        <v>526</v>
      </c>
      <c r="CF8" s="19" t="s">
        <v>527</v>
      </c>
      <c r="CG8" s="19" t="s">
        <v>528</v>
      </c>
      <c r="CH8" s="19" t="s">
        <v>529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428</v>
      </c>
      <c r="I9" s="61">
        <v>45854</v>
      </c>
      <c r="J9" s="61" t="s">
        <v>506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415</v>
      </c>
      <c r="I10" s="61">
        <v>44733</v>
      </c>
      <c r="J10" s="61" t="s">
        <v>506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497</v>
      </c>
      <c r="I11" s="61">
        <v>45992</v>
      </c>
      <c r="J11" s="61" t="s">
        <v>506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404</v>
      </c>
      <c r="I12" s="61">
        <v>44671</v>
      </c>
      <c r="J12" s="61" t="s">
        <v>506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392</v>
      </c>
      <c r="I13" s="61">
        <v>45302</v>
      </c>
      <c r="J13" s="61" t="s">
        <v>506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438</v>
      </c>
      <c r="I14" s="61">
        <v>45281</v>
      </c>
      <c r="J14" s="61" t="s">
        <v>506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429</v>
      </c>
      <c r="I15" s="61">
        <v>45433</v>
      </c>
      <c r="J15" s="61" t="s">
        <v>506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430</v>
      </c>
      <c r="I16" s="61">
        <v>45511</v>
      </c>
      <c r="J16" s="61" t="s">
        <v>506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382</v>
      </c>
      <c r="G17" s="36">
        <v>6131</v>
      </c>
      <c r="H17" s="34" t="s">
        <v>539</v>
      </c>
      <c r="I17" s="61">
        <v>46038</v>
      </c>
      <c r="J17" s="61" t="s">
        <v>506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455</v>
      </c>
      <c r="I18" s="61">
        <v>45691</v>
      </c>
      <c r="J18" s="56" t="s">
        <v>506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439</v>
      </c>
      <c r="I19" s="61">
        <v>45334</v>
      </c>
      <c r="J19" s="56" t="s">
        <v>506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468</v>
      </c>
      <c r="I20" s="61">
        <v>46027</v>
      </c>
      <c r="J20" s="56" t="s">
        <v>506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382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394</v>
      </c>
      <c r="I21" s="61">
        <v>44868</v>
      </c>
      <c r="J21" s="56" t="s">
        <v>506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418</v>
      </c>
      <c r="I22" s="61">
        <v>45678</v>
      </c>
      <c r="J22" s="56" t="s">
        <v>506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387</v>
      </c>
      <c r="I23" s="61">
        <v>44809</v>
      </c>
      <c r="J23" s="56" t="s">
        <v>506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395</v>
      </c>
      <c r="I24" s="61">
        <v>45526</v>
      </c>
      <c r="J24" s="56" t="s">
        <v>506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420</v>
      </c>
      <c r="I25" s="61">
        <v>45398</v>
      </c>
      <c r="J25" s="56" t="s">
        <v>506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396</v>
      </c>
      <c r="I26" s="61">
        <v>44257</v>
      </c>
      <c r="J26" s="56" t="s">
        <v>506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431</v>
      </c>
      <c r="I27" s="61">
        <v>45971</v>
      </c>
      <c r="J27" s="56" t="s">
        <v>506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442</v>
      </c>
      <c r="I28" s="61">
        <v>45882</v>
      </c>
      <c r="J28" s="56" t="s">
        <v>506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443</v>
      </c>
      <c r="I29" s="61">
        <v>45019</v>
      </c>
      <c r="J29" s="56" t="s">
        <v>506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405</v>
      </c>
      <c r="I30" s="61">
        <v>45112</v>
      </c>
      <c r="J30" s="56" t="s">
        <v>506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398</v>
      </c>
      <c r="I31" s="61">
        <v>44838</v>
      </c>
      <c r="J31" s="56" t="s">
        <v>506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406</v>
      </c>
      <c r="I32" s="61">
        <v>44746</v>
      </c>
      <c r="J32" s="56" t="s">
        <v>506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407</v>
      </c>
      <c r="I33" s="61">
        <v>45789</v>
      </c>
      <c r="J33" s="56" t="s">
        <v>506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444</v>
      </c>
      <c r="I34" s="61">
        <v>44867</v>
      </c>
      <c r="J34" s="56" t="s">
        <v>506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450</v>
      </c>
      <c r="I35" s="61">
        <v>44109</v>
      </c>
      <c r="J35" s="56" t="s">
        <v>506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445</v>
      </c>
      <c r="I36" s="61">
        <v>45363</v>
      </c>
      <c r="J36" s="56" t="s">
        <v>506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408</v>
      </c>
      <c r="I37" s="61">
        <v>45334</v>
      </c>
      <c r="J37" s="56" t="s">
        <v>506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421</v>
      </c>
      <c r="I38" s="61">
        <v>44685</v>
      </c>
      <c r="J38" s="56" t="s">
        <v>506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451</v>
      </c>
      <c r="I39" s="61">
        <v>44818</v>
      </c>
      <c r="J39" s="56" t="s">
        <v>506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390</v>
      </c>
      <c r="I40" s="61">
        <v>44886</v>
      </c>
      <c r="J40" s="56" t="s">
        <v>506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541</v>
      </c>
      <c r="I41" s="61">
        <v>46029</v>
      </c>
      <c r="J41" s="56" t="s">
        <v>506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474</v>
      </c>
      <c r="I42" s="61">
        <v>45800</v>
      </c>
      <c r="J42" s="56" t="s">
        <v>506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433</v>
      </c>
      <c r="I43" s="61">
        <v>44714</v>
      </c>
      <c r="J43" s="56" t="s">
        <v>506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540</v>
      </c>
      <c r="I44" s="61">
        <v>46024</v>
      </c>
      <c r="J44" s="56" t="s">
        <v>506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480</v>
      </c>
      <c r="I45" s="61">
        <v>45813</v>
      </c>
      <c r="J45" s="56" t="s">
        <v>506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434</v>
      </c>
      <c r="I46" s="61">
        <v>45369</v>
      </c>
      <c r="J46" s="56" t="s">
        <v>506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458</v>
      </c>
      <c r="I47" s="61">
        <v>45145</v>
      </c>
      <c r="J47" s="56" t="s">
        <v>506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490</v>
      </c>
      <c r="I48" s="61">
        <v>45884</v>
      </c>
      <c r="J48" s="56" t="s">
        <v>506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502</v>
      </c>
      <c r="G49" s="36">
        <v>14400</v>
      </c>
      <c r="H49" s="34" t="s">
        <v>503</v>
      </c>
      <c r="I49" s="61">
        <v>46041</v>
      </c>
      <c r="J49" s="56" t="s">
        <v>506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435</v>
      </c>
      <c r="I50" s="61">
        <v>45344</v>
      </c>
      <c r="J50" s="56" t="s">
        <v>506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425</v>
      </c>
      <c r="I51" s="61">
        <v>45141</v>
      </c>
      <c r="J51" s="56" t="s">
        <v>506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412</v>
      </c>
      <c r="I52" s="61">
        <v>45173</v>
      </c>
      <c r="J52" s="56" t="s">
        <v>506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502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402</v>
      </c>
      <c r="I53" s="61">
        <v>44943</v>
      </c>
      <c r="J53" s="56" t="s">
        <v>506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426</v>
      </c>
      <c r="I54" s="61">
        <v>44746</v>
      </c>
      <c r="J54" s="56" t="s">
        <v>506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454</v>
      </c>
      <c r="I55" s="61">
        <v>44704</v>
      </c>
      <c r="J55" s="56" t="s">
        <v>506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413</v>
      </c>
      <c r="I56" s="61">
        <v>44817</v>
      </c>
      <c r="J56" s="56" t="s">
        <v>506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392</v>
      </c>
      <c r="I3" s="64">
        <v>45302</v>
      </c>
      <c r="J3" s="64" t="s">
        <v>505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439</v>
      </c>
      <c r="I4" s="64">
        <v>45334</v>
      </c>
      <c r="J4" s="64" t="s">
        <v>505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445</v>
      </c>
      <c r="I5" s="64">
        <v>45363</v>
      </c>
      <c r="J5" s="64" t="s">
        <v>505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434</v>
      </c>
      <c r="I6" s="68">
        <v>45369</v>
      </c>
      <c r="J6" s="68" t="s">
        <v>505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455</v>
      </c>
      <c r="I7" s="68">
        <v>45691</v>
      </c>
      <c r="J7" s="68" t="s">
        <v>505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436</v>
      </c>
      <c r="I8" s="61">
        <v>45132</v>
      </c>
      <c r="J8" s="61" t="s">
        <v>506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538</v>
      </c>
      <c r="T8" s="13" t="s">
        <v>508</v>
      </c>
      <c r="U8" s="13" t="s">
        <v>530</v>
      </c>
      <c r="V8" s="13" t="s">
        <v>534</v>
      </c>
      <c r="W8" s="13" t="s">
        <v>509</v>
      </c>
      <c r="X8" s="13" t="s">
        <v>510</v>
      </c>
      <c r="Y8" s="13" t="s">
        <v>511</v>
      </c>
      <c r="Z8" s="13" t="s">
        <v>512</v>
      </c>
      <c r="AA8" s="13" t="s">
        <v>513</v>
      </c>
      <c r="AB8" s="13" t="s">
        <v>531</v>
      </c>
      <c r="AC8" s="13" t="s">
        <v>535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518</v>
      </c>
      <c r="AI8" s="13" t="s">
        <v>532</v>
      </c>
      <c r="AJ8" s="13" t="s">
        <v>536</v>
      </c>
      <c r="AK8" s="13" t="s">
        <v>519</v>
      </c>
      <c r="AL8" s="13" t="s">
        <v>520</v>
      </c>
      <c r="AM8" s="13" t="s">
        <v>521</v>
      </c>
      <c r="AN8" s="13" t="s">
        <v>522</v>
      </c>
      <c r="AO8" s="13" t="s">
        <v>523</v>
      </c>
      <c r="AP8" s="13" t="s">
        <v>533</v>
      </c>
      <c r="AQ8" s="13" t="s">
        <v>537</v>
      </c>
      <c r="AR8" s="13" t="s">
        <v>524</v>
      </c>
      <c r="AS8" s="13" t="s">
        <v>525</v>
      </c>
      <c r="AT8" s="13" t="s">
        <v>526</v>
      </c>
      <c r="AU8" s="13" t="s">
        <v>527</v>
      </c>
      <c r="AV8" s="13" t="s">
        <v>528</v>
      </c>
      <c r="AW8" s="13" t="s">
        <v>529</v>
      </c>
      <c r="AX8" s="14" t="s">
        <v>507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538</v>
      </c>
      <c r="BE8" s="19" t="s">
        <v>508</v>
      </c>
      <c r="BF8" s="19" t="s">
        <v>530</v>
      </c>
      <c r="BG8" s="19" t="s">
        <v>534</v>
      </c>
      <c r="BH8" s="19" t="s">
        <v>509</v>
      </c>
      <c r="BI8" s="19" t="s">
        <v>510</v>
      </c>
      <c r="BJ8" s="19" t="s">
        <v>511</v>
      </c>
      <c r="BK8" s="19" t="s">
        <v>512</v>
      </c>
      <c r="BL8" s="19" t="s">
        <v>513</v>
      </c>
      <c r="BM8" s="19" t="s">
        <v>531</v>
      </c>
      <c r="BN8" s="19" t="s">
        <v>535</v>
      </c>
      <c r="BO8" s="19" t="s">
        <v>514</v>
      </c>
      <c r="BP8" s="19" t="s">
        <v>515</v>
      </c>
      <c r="BQ8" s="19" t="s">
        <v>516</v>
      </c>
      <c r="BR8" s="19" t="s">
        <v>517</v>
      </c>
      <c r="BS8" s="19" t="s">
        <v>518</v>
      </c>
      <c r="BT8" s="19" t="s">
        <v>532</v>
      </c>
      <c r="BU8" s="19" t="s">
        <v>536</v>
      </c>
      <c r="BV8" s="19" t="s">
        <v>519</v>
      </c>
      <c r="BW8" s="19" t="s">
        <v>520</v>
      </c>
      <c r="BX8" s="19" t="s">
        <v>521</v>
      </c>
      <c r="BY8" s="19" t="s">
        <v>522</v>
      </c>
      <c r="BZ8" s="19" t="s">
        <v>523</v>
      </c>
      <c r="CA8" s="19" t="s">
        <v>533</v>
      </c>
      <c r="CB8" s="19" t="s">
        <v>537</v>
      </c>
      <c r="CC8" s="19" t="s">
        <v>524</v>
      </c>
      <c r="CD8" s="19" t="s">
        <v>525</v>
      </c>
      <c r="CE8" s="19" t="s">
        <v>526</v>
      </c>
      <c r="CF8" s="19" t="s">
        <v>527</v>
      </c>
      <c r="CG8" s="19" t="s">
        <v>528</v>
      </c>
      <c r="CH8" s="19" t="s">
        <v>529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446</v>
      </c>
      <c r="I9" s="61">
        <v>43101</v>
      </c>
      <c r="J9" s="61" t="s">
        <v>506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427</v>
      </c>
      <c r="I10" s="61">
        <v>46024</v>
      </c>
      <c r="J10" s="61" t="s">
        <v>506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428</v>
      </c>
      <c r="I11" s="61">
        <v>45854</v>
      </c>
      <c r="J11" s="61" t="s">
        <v>506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415</v>
      </c>
      <c r="I12" s="61">
        <v>44733</v>
      </c>
      <c r="J12" s="61" t="s">
        <v>506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385</v>
      </c>
      <c r="I13" s="61">
        <v>46055</v>
      </c>
      <c r="J13" s="61" t="s">
        <v>506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497</v>
      </c>
      <c r="I14" s="61">
        <v>45992</v>
      </c>
      <c r="J14" s="61" t="s">
        <v>506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404</v>
      </c>
      <c r="I15" s="61">
        <v>44671</v>
      </c>
      <c r="J15" s="61" t="s">
        <v>506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416</v>
      </c>
      <c r="I16" s="61">
        <v>44907</v>
      </c>
      <c r="J16" s="61" t="s">
        <v>506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438</v>
      </c>
      <c r="I17" s="56">
        <v>45281</v>
      </c>
      <c r="J17" s="56" t="s">
        <v>506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430</v>
      </c>
      <c r="I18" s="56">
        <v>45511</v>
      </c>
      <c r="J18" s="56" t="s">
        <v>506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382</v>
      </c>
      <c r="G19" s="3">
        <v>18000</v>
      </c>
      <c r="H19" t="s">
        <v>539</v>
      </c>
      <c r="I19" s="56">
        <v>46038</v>
      </c>
      <c r="J19" s="56" t="s">
        <v>506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500</v>
      </c>
      <c r="G20" s="3">
        <v>26813</v>
      </c>
      <c r="H20" t="s">
        <v>551</v>
      </c>
      <c r="I20" s="56">
        <v>46052</v>
      </c>
      <c r="J20" s="56" t="s">
        <v>506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382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447</v>
      </c>
      <c r="I21" s="56">
        <v>45295</v>
      </c>
      <c r="J21" s="56" t="s">
        <v>506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500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468</v>
      </c>
      <c r="I22" s="56">
        <v>46027</v>
      </c>
      <c r="J22" s="56" t="s">
        <v>506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498</v>
      </c>
      <c r="G23" s="3">
        <v>32586</v>
      </c>
      <c r="H23" t="s">
        <v>550</v>
      </c>
      <c r="I23" s="56">
        <v>46052</v>
      </c>
      <c r="J23" s="56" t="s">
        <v>506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394</v>
      </c>
      <c r="I24" s="56">
        <v>44868</v>
      </c>
      <c r="J24" s="56" t="s">
        <v>506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498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418</v>
      </c>
      <c r="I25" s="56">
        <v>45678</v>
      </c>
      <c r="J25" s="56" t="s">
        <v>506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387</v>
      </c>
      <c r="I26" s="56">
        <v>44809</v>
      </c>
      <c r="J26" s="56" t="s">
        <v>506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395</v>
      </c>
      <c r="I27" s="56">
        <v>45526</v>
      </c>
      <c r="J27" s="56" t="s">
        <v>506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420</v>
      </c>
      <c r="I28" s="56">
        <v>45398</v>
      </c>
      <c r="J28" s="56" t="s">
        <v>506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441</v>
      </c>
      <c r="I29" s="56">
        <v>43313</v>
      </c>
      <c r="J29" s="56" t="s">
        <v>506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396</v>
      </c>
      <c r="I30" s="56">
        <v>44257</v>
      </c>
      <c r="J30" s="56" t="s">
        <v>506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431</v>
      </c>
      <c r="I31" s="56">
        <v>45971</v>
      </c>
      <c r="J31" s="56" t="s">
        <v>506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442</v>
      </c>
      <c r="I32" s="56">
        <v>45882</v>
      </c>
      <c r="J32" s="56" t="s">
        <v>506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443</v>
      </c>
      <c r="I33" s="56">
        <v>45019</v>
      </c>
      <c r="J33" s="56" t="s">
        <v>506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405</v>
      </c>
      <c r="I34" s="56">
        <v>45112</v>
      </c>
      <c r="J34" s="56" t="s">
        <v>506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554</v>
      </c>
      <c r="G35" s="3">
        <v>640</v>
      </c>
      <c r="H35" t="s">
        <v>555</v>
      </c>
      <c r="I35" s="56">
        <v>46064</v>
      </c>
      <c r="J35" s="56" t="s">
        <v>506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398</v>
      </c>
      <c r="I36" s="56">
        <v>44838</v>
      </c>
      <c r="J36" s="56" t="s">
        <v>506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554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406</v>
      </c>
      <c r="I37" s="56">
        <v>44746</v>
      </c>
      <c r="J37" s="56" t="s">
        <v>506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407</v>
      </c>
      <c r="I38" s="56">
        <v>45789</v>
      </c>
      <c r="J38" s="56" t="s">
        <v>506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444</v>
      </c>
      <c r="I39" s="56">
        <v>44867</v>
      </c>
      <c r="J39" s="56" t="s">
        <v>506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450</v>
      </c>
      <c r="I40" s="56">
        <v>44109</v>
      </c>
      <c r="J40" s="56" t="s">
        <v>506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408</v>
      </c>
      <c r="I41" s="56">
        <v>45334</v>
      </c>
      <c r="J41" s="56" t="s">
        <v>506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421</v>
      </c>
      <c r="I42" s="56">
        <v>44685</v>
      </c>
      <c r="J42" s="56" t="s">
        <v>506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451</v>
      </c>
      <c r="I43" s="56">
        <v>44818</v>
      </c>
      <c r="J43" s="56" t="s">
        <v>506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390</v>
      </c>
      <c r="I44" s="56">
        <v>44886</v>
      </c>
      <c r="J44" s="56" t="s">
        <v>506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541</v>
      </c>
      <c r="I45" s="56">
        <v>46029</v>
      </c>
      <c r="J45" s="56" t="s">
        <v>506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474</v>
      </c>
      <c r="I46" s="56">
        <v>45800</v>
      </c>
      <c r="J46" s="56" t="s">
        <v>506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433</v>
      </c>
      <c r="I47" s="56">
        <v>44714</v>
      </c>
      <c r="J47" s="56" t="s">
        <v>506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540</v>
      </c>
      <c r="I48" s="56">
        <v>46024</v>
      </c>
      <c r="J48" s="56" t="s">
        <v>506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480</v>
      </c>
      <c r="I49" s="56">
        <v>45813</v>
      </c>
      <c r="J49" s="56" t="s">
        <v>506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458</v>
      </c>
      <c r="I50" s="56">
        <v>45145</v>
      </c>
      <c r="J50" s="56" t="s">
        <v>506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490</v>
      </c>
      <c r="I51" s="56">
        <v>45884</v>
      </c>
      <c r="J51" s="56" t="s">
        <v>506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435</v>
      </c>
      <c r="I52" s="56">
        <v>45344</v>
      </c>
      <c r="J52" s="56" t="s">
        <v>506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425</v>
      </c>
      <c r="I53" s="56">
        <v>45141</v>
      </c>
      <c r="J53" s="56" t="s">
        <v>506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412</v>
      </c>
      <c r="I54" s="56">
        <v>45173</v>
      </c>
      <c r="J54" s="56" t="s">
        <v>506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402</v>
      </c>
      <c r="I55" s="56">
        <v>44943</v>
      </c>
      <c r="J55" s="56" t="s">
        <v>506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426</v>
      </c>
      <c r="I56" s="56">
        <v>44746</v>
      </c>
      <c r="J56" s="56" t="s">
        <v>506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454</v>
      </c>
      <c r="I57" s="56">
        <v>44704</v>
      </c>
      <c r="J57" s="56" t="s">
        <v>506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413</v>
      </c>
      <c r="I58" s="56">
        <v>44817</v>
      </c>
      <c r="J58" s="56" t="s">
        <v>506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10" priority="1" operator="containsText" text="kenneth">
      <formula>NOT(ISERROR(SEARCH("kenneth",E3)))</formula>
    </cfRule>
  </conditionalFormatting>
  <conditionalFormatting sqref="R9:R59">
    <cfRule type="duplicateValues" dxfId="9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workbookViewId="0">
      <selection activeCell="H9" sqref="A9:H11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508</v>
      </c>
      <c r="T8" s="13" t="s">
        <v>530</v>
      </c>
      <c r="U8" s="13" t="s">
        <v>534</v>
      </c>
      <c r="V8" s="13" t="s">
        <v>509</v>
      </c>
      <c r="W8" s="13" t="s">
        <v>510</v>
      </c>
      <c r="X8" s="13" t="s">
        <v>513</v>
      </c>
      <c r="Y8" s="13" t="s">
        <v>531</v>
      </c>
      <c r="Z8" s="13" t="s">
        <v>535</v>
      </c>
      <c r="AA8" s="13" t="s">
        <v>514</v>
      </c>
      <c r="AB8" s="13" t="s">
        <v>515</v>
      </c>
      <c r="AC8" s="13" t="s">
        <v>518</v>
      </c>
      <c r="AD8" s="13" t="s">
        <v>532</v>
      </c>
      <c r="AE8" s="13" t="s">
        <v>536</v>
      </c>
      <c r="AF8" s="13" t="s">
        <v>519</v>
      </c>
      <c r="AG8" s="13" t="s">
        <v>520</v>
      </c>
      <c r="AH8" s="13" t="s">
        <v>523</v>
      </c>
      <c r="AI8" s="13" t="s">
        <v>533</v>
      </c>
      <c r="AJ8" s="13" t="s">
        <v>537</v>
      </c>
      <c r="AK8" s="13" t="s">
        <v>524</v>
      </c>
      <c r="AL8" s="13" t="s">
        <v>525</v>
      </c>
      <c r="AM8" s="13" t="s">
        <v>528</v>
      </c>
      <c r="AN8" s="13" t="s">
        <v>529</v>
      </c>
      <c r="AO8" s="14" t="s">
        <v>507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508</v>
      </c>
      <c r="AV8" s="19" t="s">
        <v>530</v>
      </c>
      <c r="AW8" s="19" t="s">
        <v>534</v>
      </c>
      <c r="AX8" s="19" t="s">
        <v>509</v>
      </c>
      <c r="AY8" s="19" t="s">
        <v>510</v>
      </c>
      <c r="AZ8" s="19" t="s">
        <v>513</v>
      </c>
      <c r="BA8" s="19" t="s">
        <v>531</v>
      </c>
      <c r="BB8" s="19" t="s">
        <v>535</v>
      </c>
      <c r="BC8" s="19" t="s">
        <v>514</v>
      </c>
      <c r="BD8" s="19" t="s">
        <v>515</v>
      </c>
      <c r="BE8" s="19" t="s">
        <v>518</v>
      </c>
      <c r="BF8" s="19" t="s">
        <v>532</v>
      </c>
      <c r="BG8" s="19" t="s">
        <v>536</v>
      </c>
      <c r="BH8" s="19" t="s">
        <v>519</v>
      </c>
      <c r="BI8" s="19" t="s">
        <v>520</v>
      </c>
      <c r="BJ8" s="19" t="s">
        <v>523</v>
      </c>
      <c r="BK8" s="19" t="s">
        <v>533</v>
      </c>
      <c r="BL8" s="19" t="s">
        <v>537</v>
      </c>
      <c r="BM8" s="19" t="s">
        <v>524</v>
      </c>
      <c r="BN8" s="19" t="s">
        <v>525</v>
      </c>
      <c r="BO8" s="19" t="s">
        <v>528</v>
      </c>
      <c r="BP8" s="19" t="s">
        <v>529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>
        <f>VLOOKUP($M$3&amp;$N$3&amp;DATA_MARZO_202651[[#This Row],[SUPERVISOR]],TablaMeta[],7,0)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382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>
        <f>VLOOKUP($M$3&amp;$N$3&amp;DATA_MARZO_202651[[#This Row],[SUPERVISOR]],TablaMeta[],7,0)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>
        <f>VLOOKUP($M$3&amp;$N$3&amp;DATA_MARZO_202651[[#This Row],[SUPERVISOR]],TablaMeta[],7,0)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>
        <f>VLOOKUP($M$3&amp;$N$3&amp;DATA_MARZO_202651[[#This Row],[SUPERVISOR]],TablaMeta[],7,0)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>
        <f>VLOOKUP($M$3&amp;$N$3&amp;DATA_MARZO_202651[[#This Row],[SUPERVISOR]],TablaMeta[],7,0)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>
        <f>VLOOKUP($M$3&amp;$N$3&amp;DATA_MARZO_202651[[#This Row],[SUPERVISOR]],TablaMeta[],7,0)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>
        <f>VLOOKUP($M$3&amp;$N$3&amp;DATA_MARZO_202651[[#This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>
        <f>VLOOKUP($M$3&amp;$N$3&amp;DATA_MARZO_202651[[#This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>
        <f>VLOOKUP($M$3&amp;$N$3&amp;DATA_MARZO_202651[[#This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>
        <f>VLOOKUP($M$3&amp;$N$3&amp;DATA_MARZO_202651[[#This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569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>
        <f>VLOOKUP($M$3&amp;$N$3&amp;DATA_MARZO_202651[[#This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>
        <f>VLOOKUP($M$3&amp;$N$3&amp;DATA_MARZO_202651[[#This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>
        <f>VLOOKUP($M$3&amp;$N$3&amp;DATA_MARZO_202651[[#This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>
        <f>VLOOKUP($M$3&amp;$N$3&amp;DATA_MARZO_202651[[#This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498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>
        <f>VLOOKUP($M$3&amp;$N$3&amp;DATA_MARZO_202651[[#This Row],[SUPERVISOR]],TablaMeta[],7,0)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>
        <f>VLOOKUP($M$3&amp;$N$3&amp;DATA_MARZO_202651[[#This Row],[SUPERVISOR]],TablaMeta[],7,0)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>
        <f>VLOOKUP($M$3&amp;$N$3&amp;DATA_MARZO_202651[[#This Row],[SUPERVISOR]],TablaMeta[],7,0)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>
        <f>VLOOKUP($M$3&amp;$N$3&amp;DATA_MARZO_202651[[#This Row],[SUPERVISOR]],TablaMeta[],7,0)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500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>
        <f>VLOOKUP($M$3&amp;$N$3&amp;DATA_MARZO_202651[[#This Row],[SUPERVISOR]],TablaMeta[],7,0)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554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>
        <f>VLOOKUP($M$3&amp;$N$3&amp;DATA_MARZO_202651[[#This Row],[SUPERVISOR]],TablaMeta[],7,0)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570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>
        <f>VLOOKUP($M$3&amp;$N$3&amp;DATA_MARZO_202651[[#This Row],[SUPERVISOR]],TablaMeta[],7,0)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>
        <f>VLOOKUP($M$3&amp;$N$3&amp;DATA_MARZO_202651[[#This Row],[SUPERVISOR]],TablaMeta[],7,0)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571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>
        <f>VLOOKUP($M$3&amp;$N$3&amp;DATA_MARZO_202651[[#This Row],[SUPERVISOR]],TablaMeta[],7,0)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562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>
        <f>VLOOKUP($M$3&amp;$N$3&amp;DATA_MARZO_202651[[#This Row],[SUPERVISOR]],TablaMeta[],7,0)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>
        <f>VLOOKUP($M$3&amp;$N$3&amp;DATA_MARZO_202651[[#This Row],[SUPERVISOR]],TablaMeta[],7,0)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>
        <f>VLOOKUP($M$3&amp;$N$3&amp;DATA_MARZO_202651[[#This Row],[SUPERVISOR]],TablaMeta[],7,0)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>
        <f>VLOOKUP($M$3&amp;$N$3&amp;DATA_MARZO_202651[[#This Row],[SUPERVISOR]],TablaMeta[],7,0)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500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>
        <f>VLOOKUP($M$3&amp;$N$3&amp;DATA_MARZO_202651[[#This Row],[SUPERVISOR]],TablaMeta[],7,0)</f>
        <v>S2-3-4 BANCO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>
        <f>VLOOKUP($M$3&amp;$N$3&amp;DATA_MARZO_202651[[#This Row],[SUPERVISOR]],TablaMeta[],7,0)</f>
        <v>S2-3-4 BANCO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554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>
        <f>VLOOKUP($M$3&amp;$N$3&amp;DATA_MARZO_202651[[#This Row],[SUPERVISOR]],TablaMeta[],7,0)</f>
        <v>S2-3-4 BANCO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562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>
        <f>VLOOKUP($M$3&amp;$N$3&amp;DATA_MARZO_202651[[#This Row],[SUPERVISOR]],TablaMeta[],7,0)</f>
        <v>S2-3-4 BANCO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571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>
        <f>VLOOKUP($M$3&amp;$N$3&amp;DATA_MARZO_202651[[#This Row],[SUPERVISOR]],TablaMeta[],7,0)</f>
        <v>S2-3-4 BANCO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570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>
        <f>VLOOKUP($M$3&amp;$N$3&amp;DATA_MARZO_202651[[#This Row],[SUPERVISOR]],TablaMeta[],7,0)</f>
        <v>S2-3-4 BANCO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>
        <f>VLOOKUP($M$3&amp;$N$3&amp;DATA_MARZO_202651[[#This Row],[SUPERVISOR]],TablaMeta[],7,0)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>
        <f>VLOOKUP($M$3&amp;$N$3&amp;DATA_MARZO_202651[[#This Row],[SUPERVISOR]],TablaMeta[],7,0)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>
        <f>VLOOKUP($M$3&amp;$N$3&amp;DATA_MARZO_202651[[#This Row],[SUPERVISOR]],TablaMeta[],7,0)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>
        <f>VLOOKUP($M$3&amp;$N$3&amp;DATA_MARZO_202651[[#This Row],[SUPERVISOR]],TablaMeta[],7,0)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>
        <f>VLOOKUP($M$3&amp;$N$3&amp;DATA_MARZO_202651[[#This Row],[SUPERVISOR]],TablaMeta[],7,0)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>
        <f>VLOOKUP($M$3&amp;$N$3&amp;DATA_MARZO_202651[[#This Row],[SUPERVISOR]],TablaMeta[],7,0)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498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>
        <f>VLOOKUP($M$3&amp;$N$3&amp;DATA_MARZO_202651[[#This Row],[SUPERVISOR]],TablaMeta[],7,0)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>
        <f>VLOOKUP($M$3&amp;$N$3&amp;DATA_MARZO_202651[[#This Row],[SUPERVISOR]],TablaMeta[],7,0)</f>
        <v>S0 - IBK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>
        <f>VLOOKUP($M$3&amp;$N$3&amp;DATA_MARZO_202651[[#This Row],[SUPERVISOR]],TablaMeta[],7,0)</f>
        <v>S0 - IBK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>
        <f>VLOOKUP($M$3&amp;$N$3&amp;DATA_MARZO_202651[[#This Row],[SUPERVISOR]],TablaMeta[],7,0)</f>
        <v>S0 - IBK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>
        <f>VLOOKUP($M$3&amp;$N$3&amp;DATA_MARZO_202651[[#This Row],[SUPERVISOR]],TablaMeta[],7,0)</f>
        <v>S0 - IBK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>
        <f>VLOOKUP($M$3&amp;$N$3&amp;DATA_MARZO_202651[[#This Row],[SUPERVISOR]],TablaMeta[],7,0)</f>
        <v>S0 - IBK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>
        <f>VLOOKUP($M$3&amp;$N$3&amp;DATA_MARZO_202651[[#This Row],[SUPERVISOR]],TablaMeta[],7,0)</f>
        <v>S0 - IBK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>
        <f>VLOOKUP($M$3&amp;$N$3&amp;DATA_MARZO_202651[[#This Row],[SUPERVISOR]],TablaMeta[],7,0)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382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>
        <f>VLOOKUP($M$3&amp;$N$3&amp;DATA_MARZO_202651[[#This Row],[SUPERVISOR]],TablaMeta[],7,0)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569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>
        <f>VLOOKUP($M$3&amp;$N$3&amp;DATA_MARZO_202651[[#This Row],[SUPERVISOR]],TablaMeta[],7,0)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>
        <f>VLOOKUP($M$3&amp;$N$3&amp;DATA_MARZO_202651[[#This Row],[SUPERVISOR]],TablaMeta[],7,0)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>
        <f>VLOOKUP($M$3&amp;$N$3&amp;DATA_MARZO_202651[[#This Row],[SUPERVISOR]],TablaMeta[],7,0)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>
        <f>VLOOKUP($M$3&amp;$N$3&amp;DATA_MARZO_202651[[#This Row],[SUPERVISOR]],TablaMeta[],7,0)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>
        <f>VLOOKUP($M$3&amp;$N$3&amp;DATA_MARZO_202651[[#This Row],[SUPERVISOR]],TablaMeta[],7,0)</f>
        <v>S0 - IBK</v>
      </c>
    </row>
  </sheetData>
  <conditionalFormatting sqref="E3:E59">
    <cfRule type="containsText" dxfId="8" priority="1" operator="containsText" text="kenneth">
      <formula>NOT(ISERROR(SEARCH("kenneth",E3)))</formula>
    </cfRule>
  </conditionalFormatting>
  <conditionalFormatting sqref="R9:R61">
    <cfRule type="duplicateValues" dxfId="7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abSelected="1" zoomScale="80" zoomScaleNormal="80" workbookViewId="0">
      <selection activeCell="E40" sqref="E4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538</v>
      </c>
      <c r="T8" s="13" t="s">
        <v>510</v>
      </c>
      <c r="U8" s="13" t="s">
        <v>511</v>
      </c>
      <c r="V8" s="13" t="s">
        <v>512</v>
      </c>
      <c r="W8" s="13" t="s">
        <v>513</v>
      </c>
      <c r="X8" s="13" t="s">
        <v>531</v>
      </c>
      <c r="Y8" s="13" t="s">
        <v>515</v>
      </c>
      <c r="Z8" s="13" t="s">
        <v>516</v>
      </c>
      <c r="AA8" s="13" t="s">
        <v>517</v>
      </c>
      <c r="AB8" s="13" t="s">
        <v>518</v>
      </c>
      <c r="AC8" s="13" t="s">
        <v>532</v>
      </c>
      <c r="AD8" s="13" t="s">
        <v>520</v>
      </c>
      <c r="AE8" s="13" t="s">
        <v>521</v>
      </c>
      <c r="AF8" s="13" t="s">
        <v>522</v>
      </c>
      <c r="AG8" s="13" t="s">
        <v>523</v>
      </c>
      <c r="AH8" s="13" t="s">
        <v>533</v>
      </c>
      <c r="AI8" s="13" t="s">
        <v>525</v>
      </c>
      <c r="AJ8" s="13" t="s">
        <v>526</v>
      </c>
      <c r="AK8" s="13" t="s">
        <v>527</v>
      </c>
      <c r="AL8" s="13" t="s">
        <v>528</v>
      </c>
      <c r="AM8" s="14" t="s">
        <v>507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538</v>
      </c>
      <c r="AT8" s="19" t="s">
        <v>510</v>
      </c>
      <c r="AU8" s="19" t="s">
        <v>511</v>
      </c>
      <c r="AV8" s="19" t="s">
        <v>512</v>
      </c>
      <c r="AW8" s="19" t="s">
        <v>513</v>
      </c>
      <c r="AX8" s="19" t="s">
        <v>531</v>
      </c>
      <c r="AY8" s="19" t="s">
        <v>515</v>
      </c>
      <c r="AZ8" s="19" t="s">
        <v>516</v>
      </c>
      <c r="BA8" s="19" t="s">
        <v>517</v>
      </c>
      <c r="BB8" s="19" t="s">
        <v>518</v>
      </c>
      <c r="BC8" s="19" t="s">
        <v>532</v>
      </c>
      <c r="BD8" s="19" t="s">
        <v>520</v>
      </c>
      <c r="BE8" s="19" t="s">
        <v>521</v>
      </c>
      <c r="BF8" s="19" t="s">
        <v>522</v>
      </c>
      <c r="BG8" s="19" t="s">
        <v>523</v>
      </c>
      <c r="BH8" s="19" t="s">
        <v>533</v>
      </c>
      <c r="BI8" s="19" t="s">
        <v>525</v>
      </c>
      <c r="BJ8" s="19" t="s">
        <v>526</v>
      </c>
      <c r="BK8" s="19" t="s">
        <v>527</v>
      </c>
      <c r="BL8" s="19" t="s">
        <v>528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>
        <f>VLOOKUP($M$3&amp;$N$3&amp;DATA_MARZO_202659[[#This Row],[SUPERVISOR]],TablaMeta[],7,0)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>
        <f>VLOOKUP($M$3&amp;$N$3&amp;DATA_MARZO_202659[[#This Row],[SUPERVISOR]],TablaMeta[],7,0)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>
        <f>VLOOKUP($M$3&amp;$N$3&amp;DATA_MARZO_202659[[#This Row],[SUPERVISOR]],TablaMeta[],7,0)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>
        <f>VLOOKUP($M$3&amp;$N$3&amp;DATA_MARZO_202659[[#This Row],[SUPERVISOR]],TablaMeta[],7,0)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>
        <f>VLOOKUP($M$3&amp;$N$3&amp;DATA_MARZO_202659[[#This Row],[SUPERVISOR]],TablaMeta[],7,0)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>
        <f>VLOOKUP($M$3&amp;$N$3&amp;DATA_MARZO_202659[[#This Row],[SUPERVISOR]],TablaMeta[],7,0)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>
        <f>VLOOKUP($M$3&amp;$N$3&amp;DATA_MARZO_202659[[#This Row],[SUPERVISOR]],TablaMeta[],7,0)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>
        <f>VLOOKUP($M$3&amp;$N$3&amp;DATA_MARZO_202659[[#This Row],[SUPERVISOR]],TablaMeta[],7,0)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>
        <f>VLOOKUP($M$3&amp;$N$3&amp;DATA_MARZO_202659[[#This Row],[SUPERVISOR]],TablaMeta[],7,0)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>
        <f>VLOOKUP($M$3&amp;$N$3&amp;DATA_MARZO_202659[[#This Row],[SUPERVISOR]],TablaMeta[],7,0)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>
        <f>VLOOKUP($M$3&amp;$N$3&amp;DATA_MARZO_202659[[#This Row],[SUPERVISOR]],TablaMeta[],7,0)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>
        <f>VLOOKUP($M$3&amp;$N$3&amp;DATA_MARZO_202659[[#This Row],[SUPERVISOR]],TablaMeta[],7,0)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498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>
        <f>VLOOKUP($M$3&amp;$N$3&amp;DATA_MARZO_202659[[#This Row],[SUPERVISOR]],TablaMeta[],7,0)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>
        <f>VLOOKUP($M$3&amp;$N$3&amp;DATA_MARZO_202659[[#This Row],[SUPERVISOR]],TablaMeta[],7,0)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>
        <f>VLOOKUP($M$3&amp;$N$3&amp;DATA_MARZO_202659[[#This Row],[SUPERVISOR]],TablaMeta[],7,0)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>
        <f>VLOOKUP($M$3&amp;$N$3&amp;DATA_MARZO_202659[[#This Row],[SUPERVISOR]],TablaMeta[],7,0)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>
        <f>VLOOKUP($M$3&amp;$N$3&amp;DATA_MARZO_202659[[#This Row],[SUPERVISOR]],TablaMeta[],7,0)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>
        <f>VLOOKUP($M$3&amp;$N$3&amp;DATA_MARZO_202659[[#This Row],[SUPERVISOR]],TablaMeta[],7,0)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569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>
        <f>VLOOKUP($M$3&amp;$N$3&amp;DATA_MARZO_202659[[#This Row],[SUPERVISOR]],TablaMeta[],7,0)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498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>
        <f>VLOOKUP($M$3&amp;$N$3&amp;DATA_MARZO_202659[[#This Row],[SUPERVISOR]],TablaMeta[],7,0)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569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>
        <f>VLOOKUP($M$3&amp;$N$3&amp;DATA_MARZO_202659[[#This Row],[SUPERVISOR]],TablaMeta[],7,0)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>
        <f>VLOOKUP($M$3&amp;$N$3&amp;DATA_MARZO_202659[[#This Row],[SUPERVISOR]],TablaMeta[],7,0)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>
        <f>VLOOKUP($M$3&amp;$N$3&amp;DATA_MARZO_202659[[#This Row],[SUPERVISOR]],TablaMeta[],7,0)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>
        <f>VLOOKUP($M$3&amp;$N$3&amp;DATA_MARZO_202659[[#This Row],[SUPERVISOR]],TablaMeta[],7,0)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>
        <f>VLOOKUP($M$3&amp;$N$3&amp;DATA_MARZO_202659[[#This Row],[SUPERVISOR]],TablaMeta[],7,0)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>
        <f>VLOOKUP($M$3&amp;$N$3&amp;DATA_MARZO_202659[[#This Row],[SUPERVISOR]],TablaMeta[],7,0)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554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>
        <f>VLOOKUP($M$3&amp;$N$3&amp;DATA_MARZO_202659[[#This Row],[SUPERVISOR]],TablaMeta[],7,0)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>
        <f>VLOOKUP($M$3&amp;$N$3&amp;DATA_MARZO_202659[[#This Row],[SUPERVISOR]],TablaMeta[],7,0)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562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>
        <f>VLOOKUP($M$3&amp;$N$3&amp;DATA_MARZO_202659[[#This Row],[SUPERVISOR]],TablaMeta[],7,0)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604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>
        <f>VLOOKUP($M$3&amp;$N$3&amp;DATA_MARZO_202659[[#This Row],[SUPERVISOR]],TablaMeta[],7,0)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571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>
        <f>VLOOKUP($M$3&amp;$N$3&amp;DATA_MARZO_202659[[#This Row],[SUPERVISOR]],TablaMeta[],7,0)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608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>
        <f>VLOOKUP($M$3&amp;$N$3&amp;DATA_MARZO_202659[[#This Row],[SUPERVISOR]],TablaMeta[],7,0)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>
        <f>VLOOKUP($M$3&amp;$N$3&amp;DATA_MARZO_202659[[#This Row],[SUPERVISOR]],TablaMeta[],7,0)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500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>
        <f>VLOOKUP($M$3&amp;$N$3&amp;DATA_MARZO_202659[[#This Row],[SUPERVISOR]],TablaMeta[],7,0)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>
        <f>VLOOKUP($M$3&amp;$N$3&amp;DATA_MARZO_202659[[#This Row],[SUPERVISOR]],TablaMeta[],7,0)</f>
        <v>S2-3-4 BANCO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554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>
        <f>VLOOKUP($M$3&amp;$N$3&amp;DATA_MARZO_202659[[#This Row],[SUPERVISOR]],TablaMeta[],7,0)</f>
        <v>S2-3-4 BANCO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562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>
        <f>VLOOKUP($M$3&amp;$N$3&amp;DATA_MARZO_202659[[#This Row],[SUPERVISOR]],TablaMeta[],7,0)</f>
        <v>S2-3-4 BANCO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604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>
        <f>VLOOKUP($M$3&amp;$N$3&amp;DATA_MARZO_202659[[#This Row],[SUPERVISOR]],TablaMeta[],7,0)</f>
        <v>S2-3-4 BANCO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571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>
        <f>VLOOKUP($M$3&amp;$N$3&amp;DATA_MARZO_202659[[#This Row],[SUPERVISOR]],TablaMeta[],7,0)</f>
        <v>S2-3-4 BANCO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605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>
        <f>VLOOKUP($M$3&amp;$N$3&amp;DATA_MARZO_202659[[#This Row],[SUPERVISOR]],TablaMeta[],7,0)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>
        <f>VLOOKUP($M$3&amp;$N$3&amp;DATA_MARZO_202659[[#This Row],[SUPERVISOR]],TablaMeta[],7,0)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>
        <f>VLOOKUP($M$3&amp;$N$3&amp;DATA_MARZO_202659[[#This Row],[SUPERVISOR]],TablaMeta[],7,0)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>
        <f>VLOOKUP($M$3&amp;$N$3&amp;DATA_MARZO_202659[[#This Row],[SUPERVISOR]],TablaMeta[],7,0)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>
        <f>VLOOKUP($M$3&amp;$N$3&amp;DATA_MARZO_202659[[#This Row],[SUPERVISOR]],TablaMeta[],7,0)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>
        <f>VLOOKUP($M$3&amp;$N$3&amp;DATA_MARZO_202659[[#This Row],[SUPERVISOR]],TablaMeta[],7,0)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>
        <f>VLOOKUP($M$3&amp;$N$3&amp;DATA_MARZO_202659[[#This Row],[SUPERVISOR]],TablaMeta[],7,0)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500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>
        <f>VLOOKUP($M$3&amp;$N$3&amp;DATA_MARZO_202659[[#This Row],[SUPERVISOR]],TablaMeta[],7,0)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>
        <f>VLOOKUP($M$3&amp;$N$3&amp;DATA_MARZO_202659[[#This Row],[SUPERVISOR]],TablaMeta[],7,0)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>
        <f>VLOOKUP($M$3&amp;$N$3&amp;DATA_MARZO_202659[[#This Row],[SUPERVISOR]],TablaMeta[],7,0)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>
        <f>VLOOKUP($M$3&amp;$N$3&amp;DATA_MARZO_202659[[#This Row],[SUPERVISOR]],TablaMeta[],7,0)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>
        <f>VLOOKUP($M$3&amp;$N$3&amp;DATA_MARZO_202659[[#This Row],[SUPERVISOR]],TablaMeta[],7,0)</f>
        <v>S1</v>
      </c>
    </row>
  </sheetData>
  <conditionalFormatting sqref="E3:E57">
    <cfRule type="containsText" dxfId="6" priority="1" operator="containsText" text="kenneth">
      <formula>NOT(ISERROR(SEARCH("kenneth",E3)))</formula>
    </cfRule>
  </conditionalFormatting>
  <conditionalFormatting sqref="R9:R59">
    <cfRule type="duplicateValues" dxfId="5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opLeftCell="A6" zoomScale="70" zoomScaleNormal="70" workbookViewId="0">
      <selection activeCell="F9" sqref="F9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381</v>
      </c>
      <c r="I2" s="8" t="s">
        <v>563</v>
      </c>
      <c r="J2" s="59" t="s">
        <v>504</v>
      </c>
      <c r="K2" s="59" t="s">
        <v>572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8" s="34" cm="1">
        <f t="array" ref="C8">_xlfn.XLOOKUP(1,(TablaMeta[CONCAT]=$M$3&amp;$N$3&amp;D1_MARZO_2026[[#This Row],[SUPER]])*(TablaMeta[SEGG]=D1_MARZO_2026[[#This Row],[SEGMENTO]]),TablaMeta[Meta_Asesor])</f>
        <v>25000</v>
      </c>
      <c r="D8" s="35">
        <f>IF(D1_MARZO_2026[[#This Row],[RECUPERO]]="VACACIONES","VACACIONES",IFERROR(D1_MARZO_2026[[#This Row],[RECUPERO]]/D1_MARZO_2026[[#This Row],[META]],""))</f>
        <v>0.2</v>
      </c>
      <c r="E8" s="35" t="str">
        <f>D1_MARZO_2026[[#This Row],[SUPER]]</f>
        <v>LEONOR</v>
      </c>
      <c r="F8" s="34" t="s">
        <v>629</v>
      </c>
      <c r="G8" s="36">
        <v>5000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534</v>
      </c>
      <c r="T8" s="13" t="s">
        <v>509</v>
      </c>
      <c r="U8" s="13" t="s">
        <v>510</v>
      </c>
      <c r="V8" s="13" t="s">
        <v>511</v>
      </c>
      <c r="W8" s="13" t="s">
        <v>512</v>
      </c>
      <c r="X8" s="13" t="s">
        <v>535</v>
      </c>
      <c r="Y8" s="13" t="s">
        <v>514</v>
      </c>
      <c r="Z8" s="13" t="s">
        <v>515</v>
      </c>
      <c r="AA8" s="13" t="s">
        <v>516</v>
      </c>
      <c r="AB8" s="13" t="s">
        <v>517</v>
      </c>
      <c r="AC8" s="13" t="s">
        <v>536</v>
      </c>
      <c r="AD8" s="13" t="s">
        <v>519</v>
      </c>
      <c r="AE8" s="13" t="s">
        <v>520</v>
      </c>
      <c r="AF8" s="13" t="s">
        <v>521</v>
      </c>
      <c r="AG8" s="13" t="s">
        <v>522</v>
      </c>
      <c r="AH8" s="13" t="s">
        <v>537</v>
      </c>
      <c r="AI8" s="13" t="s">
        <v>524</v>
      </c>
      <c r="AJ8" s="13" t="s">
        <v>525</v>
      </c>
      <c r="AK8" s="13" t="s">
        <v>526</v>
      </c>
      <c r="AL8" s="13" t="s">
        <v>527</v>
      </c>
      <c r="AM8" s="13" t="s">
        <v>528</v>
      </c>
      <c r="AN8" s="14" t="s">
        <v>507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534</v>
      </c>
      <c r="AU8" s="19" t="s">
        <v>509</v>
      </c>
      <c r="AV8" s="19" t="s">
        <v>510</v>
      </c>
      <c r="AW8" s="19" t="s">
        <v>511</v>
      </c>
      <c r="AX8" s="19" t="s">
        <v>512</v>
      </c>
      <c r="AY8" s="19" t="s">
        <v>535</v>
      </c>
      <c r="AZ8" s="19" t="s">
        <v>514</v>
      </c>
      <c r="BA8" s="19" t="s">
        <v>515</v>
      </c>
      <c r="BB8" s="19" t="s">
        <v>516</v>
      </c>
      <c r="BC8" s="19" t="s">
        <v>517</v>
      </c>
      <c r="BD8" s="19" t="s">
        <v>536</v>
      </c>
      <c r="BE8" s="19" t="s">
        <v>519</v>
      </c>
      <c r="BF8" s="19" t="s">
        <v>520</v>
      </c>
      <c r="BG8" s="19" t="s">
        <v>521</v>
      </c>
      <c r="BH8" s="19" t="s">
        <v>522</v>
      </c>
      <c r="BI8" s="19" t="s">
        <v>537</v>
      </c>
      <c r="BJ8" s="19" t="s">
        <v>524</v>
      </c>
      <c r="BK8" s="19" t="s">
        <v>525</v>
      </c>
      <c r="BL8" s="19" t="s">
        <v>526</v>
      </c>
      <c r="BM8" s="19" t="s">
        <v>527</v>
      </c>
      <c r="BN8" s="19" t="s">
        <v>528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9" s="34" cm="1">
        <f t="array" ref="C9">_xlfn.XLOOKUP(1,(TablaMeta[CONCAT]=$M$3&amp;$N$3&amp;D1_MARZO_2026[[#This Row],[SUPER]])*(TablaMeta[SEGG]=D1_MARZO_2026[[#This Row],[SEGMENTO]]),TablaMeta[Meta_Asesor])</f>
        <v>25000</v>
      </c>
      <c r="D9" s="35">
        <f>IF(D1_MARZO_2026[[#This Row],[RECUPERO]]="VACACIONES","VACACIONES",IFERROR(D1_MARZO_2026[[#This Row],[RECUPERO]]/D1_MARZO_2026[[#This Row],[META]],""))</f>
        <v>0.08</v>
      </c>
      <c r="E9" s="35" t="str">
        <f>D1_MARZO_2026[[#This Row],[SUPER]]</f>
        <v>LEONOR</v>
      </c>
      <c r="F9" s="34" t="s">
        <v>630</v>
      </c>
      <c r="G9" s="36">
        <v>2000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5000</v>
      </c>
      <c r="Q9" s="6">
        <f>VLOOKUP(DATA_MARZO_2026[[#This Row],[ASER_]],D1_MARZO_2026[[ASESOR_CRR]:[META]],2,0)</f>
        <v>25000</v>
      </c>
      <c r="R9" t="s">
        <v>80</v>
      </c>
      <c r="S9">
        <v>5000</v>
      </c>
      <c r="AN9" s="55" t="str">
        <f>VLOOKUP($M$3&amp;$N$3&amp;DATA_MARZO_2026[[#This Row],[SUPERVISOR]],TablaMeta[],7,0)</f>
        <v>S1</v>
      </c>
      <c r="AP9" s="10">
        <f>SUMIFS(TablaMeta[Meta_Equipo],TablaMeta[CONCAT],$M$3&amp;$N$3&amp;DITE_MARZO_2026[[#This Row],[SUPER]])</f>
        <v>279317</v>
      </c>
      <c r="AQ9" s="10">
        <f>MAX(DITE_MARZO_2026[[#This Row],[SUPER]:[CARTERA]])</f>
        <v>7593</v>
      </c>
      <c r="AR9" s="16">
        <f>IFERROR(DITE_MARZO_2026[[#This Row],[RECUPERO SUPERVISOR]]/DITE_MARZO_2026[[#This Row],[META SUPER]],"")</f>
        <v>2.718416709330259E-2</v>
      </c>
      <c r="AS9" s="10" t="s">
        <v>3</v>
      </c>
      <c r="AT9" s="46">
        <v>7593</v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10" s="34" cm="1">
        <f t="array" ref="C10">_xlfn.XLOOKUP(1,(TablaMeta[CONCAT]=$M$3&amp;$N$3&amp;D1_MARZO_2026[[#This Row],[SUPER]])*(TablaMeta[SEGG]=D1_MARZO_2026[[#This Row],[SEGMENTO]]),TablaMeta[Meta_Asesor])</f>
        <v>25000</v>
      </c>
      <c r="D10" s="35">
        <f>IF(D1_MARZO_2026[[#This Row],[RECUPERO]]="VACACIONES","VACACIONES",IFERROR(D1_MARZO_2026[[#This Row],[RECUPERO]]/D1_MARZO_2026[[#This Row],[META]],""))</f>
        <v>6.012E-2</v>
      </c>
      <c r="E10" s="35" t="str">
        <f>D1_MARZO_2026[[#This Row],[SUPER]]</f>
        <v>LEONOR</v>
      </c>
      <c r="F10" s="34" t="s">
        <v>636</v>
      </c>
      <c r="G10" s="36">
        <v>1503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0.08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2000</v>
      </c>
      <c r="Q10" s="6">
        <f>VLOOKUP(DATA_MARZO_2026[[#This Row],[ASER_]],D1_MARZO_2026[[ASESOR_CRR]:[META]],2,0)</f>
        <v>25000</v>
      </c>
      <c r="R10" t="s">
        <v>75</v>
      </c>
      <c r="S10">
        <v>2000</v>
      </c>
      <c r="AN10" s="55" t="str">
        <f>VLOOKUP($M$3&amp;$N$3&amp;DATA_MARZO_2026[[#This Row],[SUPERVISOR]],TablaMeta[],7,0)</f>
        <v>S1</v>
      </c>
      <c r="AP10" s="11">
        <f>SUMIFS(TablaMeta[Meta_Equipo],TablaMeta[CONCAT],$M$3&amp;$N$3&amp;DITE_MARZO_2026[[#This Row],[SUPER]])</f>
        <v>362638</v>
      </c>
      <c r="AQ10" s="11">
        <f>MAX(DITE_MARZO_2026[[#This Row],[SUPER]:[CARTERA]])</f>
        <v>8950</v>
      </c>
      <c r="AR10" s="17">
        <f>IFERROR(DITE_MARZO_2026[[#This Row],[RECUPERO SUPERVISOR]]/DITE_MARZO_2026[[#This Row],[META SUPER]],"")</f>
        <v>2.4680259652876974E-2</v>
      </c>
      <c r="AS10" s="11" t="s">
        <v>6</v>
      </c>
      <c r="AT10" s="46">
        <v>8950</v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11" s="34" cm="1">
        <f t="array" ref="C11">_xlfn.XLOOKUP(1,(TablaMeta[CONCAT]=$M$3&amp;$N$3&amp;D1_MARZO_2026[[#This Row],[SUPER]])*(TablaMeta[SEGG]=D1_MARZO_2026[[#This Row],[SEGMENTO]]),TablaMeta[Meta_Asesor])</f>
        <v>25000</v>
      </c>
      <c r="D11" s="35">
        <f>IF(D1_MARZO_2026[[#This Row],[RECUPERO]]="VACACIONES","VACACIONES",IFERROR(D1_MARZO_2026[[#This Row],[RECUPERO]]/D1_MARZO_2026[[#This Row],[META]],""))</f>
        <v>0.04</v>
      </c>
      <c r="E11" s="35" t="str">
        <f>D1_MARZO_2026[[#This Row],[SUPER]]</f>
        <v>LEONOR</v>
      </c>
      <c r="F11" t="s">
        <v>631</v>
      </c>
      <c r="G11" s="3">
        <v>1000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6.012E-2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1503</v>
      </c>
      <c r="Q11" s="6">
        <f>VLOOKUP(DATA_MARZO_2026[[#This Row],[ASER_]],D1_MARZO_2026[[ASESOR_CRR]:[META]],2,0)</f>
        <v>25000</v>
      </c>
      <c r="R11" t="s">
        <v>61</v>
      </c>
      <c r="S11">
        <v>1503</v>
      </c>
      <c r="AN11" s="55" t="str">
        <f>VLOOKUP($M$3&amp;$N$3&amp;DATA_MARZO_2026[[#This Row],[SUPERVISOR]],TablaMeta[],7,0)</f>
        <v>S1</v>
      </c>
      <c r="AP11" s="10">
        <f>SUMIFS(TablaMeta[Meta_Equipo],TablaMeta[CONCAT],$M$3&amp;$N$3&amp;DITE_MARZO_2026[[#This Row],[SUPER]])</f>
        <v>529535</v>
      </c>
      <c r="AQ11" s="10">
        <f>MAX(DITE_MARZO_2026[[#This Row],[SUPER]:[CARTERA]])</f>
        <v>6965</v>
      </c>
      <c r="AR11" s="16">
        <f>IFERROR(DITE_MARZO_2026[[#This Row],[RECUPERO SUPERVISOR]]/DITE_MARZO_2026[[#This Row],[META SUPER]],"")</f>
        <v>1.3153049373506944E-2</v>
      </c>
      <c r="AS11" s="10" t="s">
        <v>2</v>
      </c>
      <c r="AT11" s="46">
        <v>6965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12" s="34" cm="1">
        <f t="array" ref="C12">_xlfn.XLOOKUP(1,(TablaMeta[CONCAT]=$M$3&amp;$N$3&amp;D1_MARZO_2026[[#This Row],[SUPER]])*(TablaMeta[SEGG]=D1_MARZO_2026[[#This Row],[SEGMENTO]]),TablaMeta[Meta_Asesor])</f>
        <v>25000</v>
      </c>
      <c r="D12" s="35">
        <f>IF(D1_MARZO_2026[[#This Row],[RECUPERO]]="VACACIONES","VACACIONES",IFERROR(D1_MARZO_2026[[#This Row],[RECUPERO]]/D1_MARZO_2026[[#This Row],[META]],""))</f>
        <v>0.04</v>
      </c>
      <c r="E12" s="35" t="str">
        <f>D1_MARZO_2026[[#This Row],[SUPER]]</f>
        <v>LEONOR</v>
      </c>
      <c r="F12" t="s">
        <v>632</v>
      </c>
      <c r="G12" s="3">
        <v>1000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0.04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1000</v>
      </c>
      <c r="Q12" s="6">
        <f>VLOOKUP(DATA_MARZO_2026[[#This Row],[ASER_]],D1_MARZO_2026[[ASESOR_CRR]:[META]],2,0)</f>
        <v>25000</v>
      </c>
      <c r="R12" t="s">
        <v>26</v>
      </c>
      <c r="S12">
        <v>1000</v>
      </c>
      <c r="AN12" s="55" t="str">
        <f>VLOOKUP($M$3&amp;$N$3&amp;DATA_MARZO_2026[[#This Row],[SUPERVISOR]],TablaMeta[],7,0)</f>
        <v>S1</v>
      </c>
      <c r="AP12" s="11">
        <f>SUMIFS(TablaMeta[Meta_Equipo],TablaMeta[CONCAT],$M$3&amp;$N$3&amp;DITE_MARZO_2026[[#This Row],[SUPER]])</f>
        <v>1059070</v>
      </c>
      <c r="AQ12" s="11">
        <f>MAX(DITE_MARZO_2026[[#This Row],[SUPER]:[CARTERA]])</f>
        <v>11374</v>
      </c>
      <c r="AR12" s="17">
        <f>IFERROR(DITE_MARZO_2026[[#This Row],[RECUPERO SUPERVISOR]]/DITE_MARZO_2026[[#This Row],[META SUPER]],"")</f>
        <v>1.073961116828916E-2</v>
      </c>
      <c r="AS12" s="11" t="s">
        <v>609</v>
      </c>
      <c r="AT12" s="46">
        <v>11374</v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13" s="34" cm="1">
        <f t="array" ref="C13">_xlfn.XLOOKUP(1,(TablaMeta[CONCAT]=$M$3&amp;$N$3&amp;D1_MARZO_2026[[#This Row],[SUPER]])*(TablaMeta[SEGG]=D1_MARZO_2026[[#This Row],[SEGMENTO]]),TablaMeta[Meta_Asesor])</f>
        <v>25000</v>
      </c>
      <c r="D13" s="35">
        <f>IF(D1_MARZO_2026[[#This Row],[RECUPERO]]="VACACIONES","VACACIONES",IFERROR(D1_MARZO_2026[[#This Row],[RECUPERO]]/D1_MARZO_2026[[#This Row],[META]],""))</f>
        <v>2.2800000000000001E-2</v>
      </c>
      <c r="E13" s="35" t="str">
        <f>D1_MARZO_2026[[#This Row],[SUPER]]</f>
        <v>LEONOR</v>
      </c>
      <c r="F13" t="s">
        <v>633</v>
      </c>
      <c r="G13" s="3">
        <v>570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0.04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1000</v>
      </c>
      <c r="Q13" s="6">
        <f>VLOOKUP(DATA_MARZO_2026[[#This Row],[ASER_]],D1_MARZO_2026[[ASESOR_CRR]:[META]],2,0)</f>
        <v>25000</v>
      </c>
      <c r="R13" t="s">
        <v>59</v>
      </c>
      <c r="S13" s="47">
        <v>1000</v>
      </c>
      <c r="AN13" s="55" t="str">
        <f>VLOOKUP($M$3&amp;$N$3&amp;DATA_MARZO_2026[[#This Row],[SUPERVISOR]],TablaMeta[],7,0)</f>
        <v>S1</v>
      </c>
      <c r="AP13" s="10">
        <f>SUMIFS(TablaMeta[Meta_Equipo],TablaMeta[CONCAT],$M$3&amp;$N$3&amp;DITE_MARZO_2026[[#This Row],[SUPER]])</f>
        <v>148634</v>
      </c>
      <c r="AQ13" s="10">
        <f>MAX(DITE_MARZO_2026[[#This Row],[SUPER]:[CARTERA]])</f>
        <v>11923</v>
      </c>
      <c r="AR13" s="16">
        <f>IFERROR(DITE_MARZO_2026[[#This Row],[RECUPERO SUPERVISOR]]/DITE_MARZO_2026[[#This Row],[META SUPER]],"")</f>
        <v>8.0217177765517983E-2</v>
      </c>
      <c r="AS13" s="10" t="s">
        <v>7</v>
      </c>
      <c r="AT13" s="46">
        <v>11923</v>
      </c>
      <c r="AU13" s="46"/>
      <c r="AV13" s="45"/>
      <c r="AW13" s="46"/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14" s="34" cm="1">
        <f t="array" ref="C14">_xlfn.XLOOKUP(1,(TablaMeta[CONCAT]=$M$3&amp;$N$3&amp;D1_MARZO_2026[[#This Row],[SUPER]])*(TablaMeta[SEGG]=D1_MARZO_2026[[#This Row],[SEGMENTO]]),TablaMeta[Meta_Asesor])</f>
        <v>25000</v>
      </c>
      <c r="D14" s="35">
        <f>IF(D1_MARZO_2026[[#This Row],[RECUPERO]]="VACACIONES","VACACIONES",IFERROR(D1_MARZO_2026[[#This Row],[RECUPERO]]/D1_MARZO_2026[[#This Row],[META]],""))</f>
        <v>0.02</v>
      </c>
      <c r="E14" s="35" t="str">
        <f>D1_MARZO_2026[[#This Row],[SUPER]]</f>
        <v>LEONOR</v>
      </c>
      <c r="F14" t="s">
        <v>51</v>
      </c>
      <c r="G14" s="3">
        <v>500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2.2800000000000001E-2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570</v>
      </c>
      <c r="Q14" s="6">
        <f>VLOOKUP(DATA_MARZO_2026[[#This Row],[ASER_]],D1_MARZO_2026[[ASESOR_CRR]:[META]],2,0)</f>
        <v>25000</v>
      </c>
      <c r="R14" t="s">
        <v>60</v>
      </c>
      <c r="S14" s="47">
        <v>570</v>
      </c>
      <c r="AN14" s="55" t="str">
        <f>VLOOKUP($M$3&amp;$N$3&amp;DATA_MARZO_2026[[#This Row],[SUPERVISOR]],TablaMeta[],7,0)</f>
        <v>S1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15" s="34" cm="1">
        <f t="array" ref="C15">_xlfn.XLOOKUP(1,(TablaMeta[CONCAT]=$M$3&amp;$N$3&amp;D1_MARZO_2026[[#This Row],[SUPER]])*(TablaMeta[SEGG]=D1_MARZO_2026[[#This Row],[SEGMENTO]]),TablaMeta[Meta_Asesor])</f>
        <v>25000</v>
      </c>
      <c r="D15" s="35">
        <f>IF(D1_MARZO_2026[[#This Row],[RECUPERO]]="VACACIONES","VACACIONES",IFERROR(D1_MARZO_2026[[#This Row],[RECUPERO]]/D1_MARZO_2026[[#This Row],[META]],""))</f>
        <v>1.4E-2</v>
      </c>
      <c r="E15" s="35" t="str">
        <f>D1_MARZO_2026[[#This Row],[SUPER]]</f>
        <v>LEONOR</v>
      </c>
      <c r="F15" t="s">
        <v>18</v>
      </c>
      <c r="G15" s="3">
        <v>350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0.02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500</v>
      </c>
      <c r="Q15" s="6">
        <f>VLOOKUP(DATA_MARZO_2026[[#This Row],[ASER_]],D1_MARZO_2026[[ASESOR_CRR]:[META]],2,0)</f>
        <v>25000</v>
      </c>
      <c r="R15" t="s">
        <v>51</v>
      </c>
      <c r="S15" s="47">
        <v>500</v>
      </c>
      <c r="AN15" s="55" t="str">
        <f>VLOOKUP($M$3&amp;$N$3&amp;DATA_MARZO_2026[[#This Row],[SUPERVISOR]],TablaMeta[],7,0)</f>
        <v>S1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16" s="34" cm="1">
        <f t="array" ref="C16">_xlfn.XLOOKUP(1,(TablaMeta[CONCAT]=$M$3&amp;$N$3&amp;D1_MARZO_2026[[#This Row],[SUPER]])*(TablaMeta[SEGG]=D1_MARZO_2026[[#This Row],[SEGMENTO]]),TablaMeta[Meta_Asesor])</f>
        <v>25000</v>
      </c>
      <c r="D16" s="35">
        <f>IF(D1_MARZO_2026[[#This Row],[RECUPERO]]="VACACIONES","VACACIONES",IFERROR(D1_MARZO_2026[[#This Row],[RECUPERO]]/D1_MARZO_2026[[#This Row],[META]],""))</f>
        <v>0</v>
      </c>
      <c r="E16" s="35" t="str">
        <f>D1_MARZO_2026[[#This Row],[SUPER]]</f>
        <v>LEONOR</v>
      </c>
      <c r="F16" t="s">
        <v>634</v>
      </c>
      <c r="G16" s="3">
        <v>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1.4E-2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350</v>
      </c>
      <c r="Q16" s="6">
        <f>VLOOKUP(DATA_MARZO_2026[[#This Row],[ASER_]],D1_MARZO_2026[[ASESOR_CRR]:[META]],2,0)</f>
        <v>25000</v>
      </c>
      <c r="R16" t="s">
        <v>18</v>
      </c>
      <c r="S16">
        <v>350</v>
      </c>
      <c r="AN16" s="55" t="str">
        <f>VLOOKUP($M$3&amp;$N$3&amp;DATA_MARZO_2026[[#This Row],[SUPERVISOR]],TablaMeta[],7,0)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17" s="34" cm="1">
        <f t="array" ref="C17">_xlfn.XLOOKUP(1,(TablaMeta[CONCAT]=$M$3&amp;$N$3&amp;D1_MARZO_2026[[#This Row],[SUPER]])*(TablaMeta[SEGG]=D1_MARZO_2026[[#This Row],[SEGMENTO]]),TablaMeta[Meta_Asesor])</f>
        <v>25000</v>
      </c>
      <c r="D17" s="35">
        <f>IF(D1_MARZO_2026[[#This Row],[RECUPERO]]="VACACIONES","VACACIONES",IFERROR(D1_MARZO_2026[[#This Row],[RECUPERO]]/D1_MARZO_2026[[#This Row],[META]],""))</f>
        <v>0</v>
      </c>
      <c r="E17" s="35" t="str">
        <f>D1_MARZO_2026[[#This Row],[SUPER]]</f>
        <v>LEONOR</v>
      </c>
      <c r="F17" t="s">
        <v>635</v>
      </c>
      <c r="G17" s="3">
        <v>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0</v>
      </c>
      <c r="Q17" s="6">
        <f>VLOOKUP(DATA_MARZO_2026[[#This Row],[ASER_]],D1_MARZO_2026[[ASESOR_CRR]:[META]],2,0)</f>
        <v>25000</v>
      </c>
      <c r="R17" t="s">
        <v>12</v>
      </c>
      <c r="S17" s="45">
        <v>0</v>
      </c>
      <c r="AN17" s="55" t="str">
        <f>VLOOKUP($M$3&amp;$N$3&amp;DATA_MARZO_2026[[#This Row],[SUPERVISOR]],TablaMeta[],7,0)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18" s="34" cm="1">
        <f t="array" ref="C18">_xlfn.XLOOKUP(1,(TablaMeta[CONCAT]=$M$3&amp;$N$3&amp;D1_MARZO_2026[[#This Row],[SUPER]])*(TablaMeta[SEGG]=D1_MARZO_2026[[#This Row],[SEGMENTO]]),TablaMeta[Meta_Asesor])</f>
        <v>48500</v>
      </c>
      <c r="D18" s="35">
        <f>IF(D1_MARZO_2026[[#This Row],[RECUPERO]]="VACACIONES","VACACIONES",IFERROR(D1_MARZO_2026[[#This Row],[RECUPERO]]/D1_MARZO_2026[[#This Row],[META]],""))</f>
        <v>0</v>
      </c>
      <c r="E18" s="35" t="str">
        <f>D1_MARZO_2026[[#This Row],[SUPER]]</f>
        <v>JORGE</v>
      </c>
      <c r="F18" t="s">
        <v>81</v>
      </c>
      <c r="G18" s="3">
        <v>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0</v>
      </c>
      <c r="Q18" s="6">
        <f>VLOOKUP(DATA_MARZO_2026[[#This Row],[ASER_]],D1_MARZO_2026[[ASESOR_CRR]:[META]],2,0)</f>
        <v>25000</v>
      </c>
      <c r="R18" t="s">
        <v>72</v>
      </c>
      <c r="S18">
        <v>0</v>
      </c>
      <c r="AN18" s="55" t="str">
        <f>VLOOKUP($M$3&amp;$N$3&amp;DATA_MARZO_2026[[#This Row],[SUPERVISOR]],TablaMeta[],7,0)</f>
        <v>S1</v>
      </c>
      <c r="AT18" s="45"/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19" s="34" cm="1">
        <f t="array" ref="C19">_xlfn.XLOOKUP(1,(TablaMeta[CONCAT]=$M$3&amp;$N$3&amp;D1_MARZO_2026[[#This Row],[SUPER]])*(TablaMeta[SEGG]=D1_MARZO_2026[[#This Row],[SEGMENTO]]),TablaMeta[Meta_Asesor])</f>
        <v>48500</v>
      </c>
      <c r="D19" s="35">
        <f>IF(D1_MARZO_2026[[#This Row],[RECUPERO]]="VACACIONES","VACACIONES",IFERROR(D1_MARZO_2026[[#This Row],[RECUPERO]]/D1_MARZO_2026[[#This Row],[META]],""))</f>
        <v>8.2474226804123713E-3</v>
      </c>
      <c r="E19" s="35" t="str">
        <f>D1_MARZO_2026[[#This Row],[SUPER]]</f>
        <v>JORGE</v>
      </c>
      <c r="F19" t="s">
        <v>42</v>
      </c>
      <c r="G19" s="3">
        <v>400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48500</v>
      </c>
      <c r="R19" t="s">
        <v>81</v>
      </c>
      <c r="S19">
        <v>0</v>
      </c>
      <c r="AN19" s="55" t="str">
        <f>VLOOKUP($M$3&amp;$N$3&amp;DATA_MARZO_2026[[#This Row],[SUPERVISOR]],TablaMeta[],7,0)</f>
        <v>S1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20" s="34" cm="1">
        <f t="array" ref="C20">_xlfn.XLOOKUP(1,(TablaMeta[CONCAT]=$M$3&amp;$N$3&amp;D1_MARZO_2026[[#This Row],[SUPER]])*(TablaMeta[SEGG]=D1_MARZO_2026[[#This Row],[SEGMENTO]]),TablaMeta[Meta_Asesor])</f>
        <v>48500</v>
      </c>
      <c r="D20" s="35">
        <f>IF(D1_MARZO_2026[[#This Row],[RECUPERO]]="VACACIONES","VACACIONES",IFERROR(D1_MARZO_2026[[#This Row],[RECUPERO]]/D1_MARZO_2026[[#This Row],[META]],""))</f>
        <v>3.2268041237113403E-2</v>
      </c>
      <c r="E20" s="35" t="str">
        <f>D1_MARZO_2026[[#This Row],[SUPER]]</f>
        <v>JORGE</v>
      </c>
      <c r="F20" t="s">
        <v>65</v>
      </c>
      <c r="G20" s="3">
        <v>1565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8.2474226804123713E-3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400</v>
      </c>
      <c r="Q20" s="6">
        <f>VLOOKUP(DATA_MARZO_2026[[#This Row],[ASER_]],D1_MARZO_2026[[ASESOR_CRR]:[META]],2,0)</f>
        <v>48500</v>
      </c>
      <c r="R20" t="s">
        <v>42</v>
      </c>
      <c r="S20">
        <v>400</v>
      </c>
      <c r="AN20" s="55" t="str">
        <f>VLOOKUP($M$3&amp;$N$3&amp;DATA_MARZO_2026[[#This Row],[SUPERVISOR]],TablaMeta[],7,0)</f>
        <v>S1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21" s="34" cm="1">
        <f t="array" ref="C21">_xlfn.XLOOKUP(1,(TablaMeta[CONCAT]=$M$3&amp;$N$3&amp;D1_MARZO_2026[[#This Row],[SUPER]])*(TablaMeta[SEGG]=D1_MARZO_2026[[#This Row],[SEGMENTO]]),TablaMeta[Meta_Asesor])</f>
        <v>48500</v>
      </c>
      <c r="D21" s="35">
        <f>IF(D1_MARZO_2026[[#This Row],[RECUPERO]]="VACACIONES","VACACIONES",IFERROR(D1_MARZO_2026[[#This Row],[RECUPERO]]/D1_MARZO_2026[[#This Row],[META]],""))</f>
        <v>0</v>
      </c>
      <c r="E21" s="35" t="str">
        <f>D1_MARZO_2026[[#This Row],[SUPER]]</f>
        <v>JORGE</v>
      </c>
      <c r="F21" t="s">
        <v>10</v>
      </c>
      <c r="G21" s="3">
        <v>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3.2268041237113403E-2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1565</v>
      </c>
      <c r="Q21" s="6">
        <f>VLOOKUP(DATA_MARZO_2026[[#This Row],[ASER_]],D1_MARZO_2026[[ASESOR_CRR]:[META]],2,0)</f>
        <v>48500</v>
      </c>
      <c r="R21" t="s">
        <v>65</v>
      </c>
      <c r="S21">
        <v>1565</v>
      </c>
      <c r="AN21" s="55" t="str">
        <f>VLOOKUP($M$3&amp;$N$3&amp;DATA_MARZO_2026[[#This Row],[SUPERVISOR]],TablaMeta[],7,0)</f>
        <v>S1</v>
      </c>
      <c r="AT21" s="47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22" s="34" cm="1">
        <f t="array" ref="C22">_xlfn.XLOOKUP(1,(TablaMeta[CONCAT]=$M$3&amp;$N$3&amp;D1_MARZO_2026[[#This Row],[SUPER]])*(TablaMeta[SEGG]=D1_MARZO_2026[[#This Row],[SEGMENTO]]),TablaMeta[Meta_Asesor])</f>
        <v>48500</v>
      </c>
      <c r="D22" s="35">
        <f>IF(D1_MARZO_2026[[#This Row],[RECUPERO]]="VACACIONES","VACACIONES",IFERROR(D1_MARZO_2026[[#This Row],[RECUPERO]]/D1_MARZO_2026[[#This Row],[META]],""))</f>
        <v>0</v>
      </c>
      <c r="E22" s="35" t="str">
        <f>D1_MARZO_2026[[#This Row],[SUPER]]</f>
        <v>JORGE</v>
      </c>
      <c r="F22" t="s">
        <v>37</v>
      </c>
      <c r="G22" s="3">
        <v>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0</v>
      </c>
      <c r="Q22" s="6">
        <f>VLOOKUP(DATA_MARZO_2026[[#This Row],[ASER_]],D1_MARZO_2026[[ASESOR_CRR]:[META]],2,0)</f>
        <v>48500</v>
      </c>
      <c r="R22" t="s">
        <v>10</v>
      </c>
      <c r="S22">
        <v>0</v>
      </c>
      <c r="AN22" s="55" t="str">
        <f>VLOOKUP($M$3&amp;$N$3&amp;DATA_MARZO_2026[[#This Row],[SUPERVISOR]],TablaMeta[],7,0)</f>
        <v>S1</v>
      </c>
      <c r="AT22" s="45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23" s="34" cm="1">
        <f t="array" ref="C23">_xlfn.XLOOKUP(1,(TablaMeta[CONCAT]=$M$3&amp;$N$3&amp;D1_MARZO_2026[[#This Row],[SUPER]])*(TablaMeta[SEGG]=D1_MARZO_2026[[#This Row],[SEGMENTO]]),TablaMeta[Meta_Asesor])</f>
        <v>48500</v>
      </c>
      <c r="D23" s="35">
        <f>IF(D1_MARZO_2026[[#This Row],[RECUPERO]]="VACACIONES","VACACIONES",IFERROR(D1_MARZO_2026[[#This Row],[RECUPERO]]/D1_MARZO_2026[[#This Row],[META]],""))</f>
        <v>0</v>
      </c>
      <c r="E23" s="35" t="str">
        <f>D1_MARZO_2026[[#This Row],[SUPER]]</f>
        <v>JORGE</v>
      </c>
      <c r="F23" t="s">
        <v>24</v>
      </c>
      <c r="G23" s="3">
        <v>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0</v>
      </c>
      <c r="Q23" s="6">
        <f>VLOOKUP(DATA_MARZO_2026[[#This Row],[ASER_]],D1_MARZO_2026[[ASESOR_CRR]:[META]],2,0)</f>
        <v>48500</v>
      </c>
      <c r="R23" t="s">
        <v>37</v>
      </c>
      <c r="S23">
        <v>0</v>
      </c>
      <c r="AN23" s="55" t="str">
        <f>VLOOKUP($M$3&amp;$N$3&amp;DATA_MARZO_2026[[#This Row],[SUPERVISOR]],TablaMeta[],7,0)</f>
        <v>S1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24" s="34" cm="1">
        <f t="array" ref="C24">_xlfn.XLOOKUP(1,(TablaMeta[CONCAT]=$M$3&amp;$N$3&amp;D1_MARZO_2026[[#This Row],[SUPER]])*(TablaMeta[SEGG]=D1_MARZO_2026[[#This Row],[SEGMENTO]]),TablaMeta[Meta_Asesor])</f>
        <v>48500</v>
      </c>
      <c r="D24" s="35">
        <f>IF(D1_MARZO_2026[[#This Row],[RECUPERO]]="VACACIONES","VACACIONES",IFERROR(D1_MARZO_2026[[#This Row],[RECUPERO]]/D1_MARZO_2026[[#This Row],[META]],""))</f>
        <v>3.2989690721649485E-2</v>
      </c>
      <c r="E24" s="35" t="str">
        <f>D1_MARZO_2026[[#This Row],[SUPER]]</f>
        <v>JORGE</v>
      </c>
      <c r="F24" t="s">
        <v>13</v>
      </c>
      <c r="G24" s="3">
        <v>1600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0</v>
      </c>
      <c r="Q24" s="6">
        <f>VLOOKUP(DATA_MARZO_2026[[#This Row],[ASER_]],D1_MARZO_2026[[ASESOR_CRR]:[META]],2,0)</f>
        <v>48500</v>
      </c>
      <c r="R24" t="s">
        <v>24</v>
      </c>
      <c r="S24">
        <v>0</v>
      </c>
      <c r="AN24" s="55" t="str">
        <f>VLOOKUP($M$3&amp;$N$3&amp;DATA_MARZO_2026[[#This Row],[SUPERVISOR]],TablaMeta[],7,0)</f>
        <v>S1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25" s="34" cm="1">
        <f t="array" ref="C25">_xlfn.XLOOKUP(1,(TablaMeta[CONCAT]=$M$3&amp;$N$3&amp;D1_MARZO_2026[[#This Row],[SUPER]])*(TablaMeta[SEGG]=D1_MARZO_2026[[#This Row],[SEGMENTO]]),TablaMeta[Meta_Asesor])</f>
        <v>48500</v>
      </c>
      <c r="D25" s="35">
        <f>IF(D1_MARZO_2026[[#This Row],[RECUPERO]]="VACACIONES","VACACIONES",IFERROR(D1_MARZO_2026[[#This Row],[RECUPERO]]/D1_MARZO_2026[[#This Row],[META]],""))</f>
        <v>2.268041237113402E-2</v>
      </c>
      <c r="E25" s="35" t="str">
        <f>D1_MARZO_2026[[#This Row],[SUPER]]</f>
        <v>JORGE</v>
      </c>
      <c r="F25" t="s">
        <v>25</v>
      </c>
      <c r="G25" s="3">
        <v>1100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3.2989690721649485E-2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1600</v>
      </c>
      <c r="Q25" s="6">
        <f>VLOOKUP(DATA_MARZO_2026[[#This Row],[ASER_]],D1_MARZO_2026[[ASESOR_CRR]:[META]],2,0)</f>
        <v>48500</v>
      </c>
      <c r="R25" t="s">
        <v>13</v>
      </c>
      <c r="S25" s="45">
        <v>1600</v>
      </c>
      <c r="AN25" s="55" t="str">
        <f>VLOOKUP($M$3&amp;$N$3&amp;DATA_MARZO_2026[[#This Row],[SUPERVISOR]],TablaMeta[],7,0)</f>
        <v>S1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26" s="34" cm="1">
        <f t="array" ref="C26">_xlfn.XLOOKUP(1,(TablaMeta[CONCAT]=$M$3&amp;$N$3&amp;D1_MARZO_2026[[#This Row],[SUPER]])*(TablaMeta[SEGG]=D1_MARZO_2026[[#This Row],[SEGMENTO]]),TablaMeta[Meta_Asesor])</f>
        <v>48500</v>
      </c>
      <c r="D26" s="35">
        <f>IF(D1_MARZO_2026[[#This Row],[RECUPERO]]="VACACIONES","VACACIONES",IFERROR(D1_MARZO_2026[[#This Row],[RECUPERO]]/D1_MARZO_2026[[#This Row],[META]],""))</f>
        <v>4.1237113402061855E-2</v>
      </c>
      <c r="E26" s="35" t="str">
        <f>D1_MARZO_2026[[#This Row],[SUPER]]</f>
        <v>JORGE</v>
      </c>
      <c r="F26" t="s">
        <v>22</v>
      </c>
      <c r="G26" s="3">
        <v>2000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2.268041237113402E-2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1100</v>
      </c>
      <c r="Q26" s="6">
        <f>VLOOKUP(DATA_MARZO_2026[[#This Row],[ASER_]],D1_MARZO_2026[[ASESOR_CRR]:[META]],2,0)</f>
        <v>48500</v>
      </c>
      <c r="R26" t="s">
        <v>25</v>
      </c>
      <c r="S26" s="45">
        <v>1100</v>
      </c>
      <c r="AN26" s="55" t="str">
        <f>VLOOKUP($M$3&amp;$N$3&amp;DATA_MARZO_2026[[#This Row],[SUPERVISOR]],TablaMeta[],7,0)</f>
        <v>S1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CENTENO</v>
      </c>
      <c r="C27" s="34" cm="1">
        <f t="array" ref="C27">_xlfn.XLOOKUP(1,(TablaMeta[CONCAT]=$M$3&amp;$N$3&amp;D1_MARZO_2026[[#This Row],[SUPER]])*(TablaMeta[SEGG]=D1_MARZO_2026[[#This Row],[SEGMENTO]]),TablaMeta[Meta_Asesor])</f>
        <v>48500</v>
      </c>
      <c r="D27" s="35">
        <f>IF(D1_MARZO_2026[[#This Row],[RECUPERO]]="VACACIONES","VACACIONES",IFERROR(D1_MARZO_2026[[#This Row],[RECUPERO]]/D1_MARZO_2026[[#This Row],[META]],""))</f>
        <v>0</v>
      </c>
      <c r="E27" s="35" t="str">
        <f>D1_MARZO_2026[[#This Row],[SUPER]]</f>
        <v>JORGE</v>
      </c>
      <c r="F27" t="s">
        <v>31</v>
      </c>
      <c r="G27" s="3">
        <v>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4.1237113402061855E-2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2000</v>
      </c>
      <c r="Q27" s="6">
        <f>VLOOKUP(DATA_MARZO_2026[[#This Row],[ASER_]],D1_MARZO_2026[[ASESOR_CRR]:[META]],2,0)</f>
        <v>48500</v>
      </c>
      <c r="R27" t="s">
        <v>22</v>
      </c>
      <c r="S27">
        <v>2000</v>
      </c>
      <c r="AN27" s="55" t="str">
        <f>VLOOKUP($M$3&amp;$N$3&amp;DATA_MARZO_2026[[#This Row],[SUPERVISOR]],TablaMeta[],7,0)</f>
        <v>S1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28" s="34" cm="1">
        <f t="array" ref="C28">_xlfn.XLOOKUP(1,(TablaMeta[CONCAT]=$M$3&amp;$N$3&amp;D1_MARZO_2026[[#This Row],[SUPER]])*(TablaMeta[SEGG]=D1_MARZO_2026[[#This Row],[SEGMENTO]]),TablaMeta[Meta_Asesor])</f>
        <v>48500</v>
      </c>
      <c r="D28" s="35">
        <f>IF(D1_MARZO_2026[[#This Row],[RECUPERO]]="VACACIONES","VACACIONES",IFERROR(D1_MARZO_2026[[#This Row],[RECUPERO]]/D1_MARZO_2026[[#This Row],[META]],""))</f>
        <v>7.2164948453608251E-3</v>
      </c>
      <c r="E28" s="35" t="str">
        <f>D1_MARZO_2026[[#This Row],[SUPER]]</f>
        <v>LISELY</v>
      </c>
      <c r="F28" t="s">
        <v>554</v>
      </c>
      <c r="G28" s="3">
        <v>350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0</v>
      </c>
      <c r="Q28" s="6">
        <f>VLOOKUP(DATA_MARZO_2026[[#This Row],[ASER_]],D1_MARZO_2026[[ASESOR_CRR]:[META]],2,0)</f>
        <v>48500</v>
      </c>
      <c r="R28" t="s">
        <v>31</v>
      </c>
      <c r="S28">
        <v>0</v>
      </c>
      <c r="AN28" s="55" t="str">
        <f>VLOOKUP($M$3&amp;$N$3&amp;DATA_MARZO_2026[[#This Row],[SUPERVISOR]],TablaMeta[],7,0)</f>
        <v>S1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JEREMY RODRIGUEZ</v>
      </c>
      <c r="C29" s="34" cm="1">
        <f t="array" ref="C29">_xlfn.XLOOKUP(1,(TablaMeta[CONCAT]=$M$3&amp;$N$3&amp;D1_MARZO_2026[[#This Row],[SUPER]])*(TablaMeta[SEGG]=D1_MARZO_2026[[#This Row],[SEGMENTO]]),TablaMeta[Meta_Asesor])</f>
        <v>48500</v>
      </c>
      <c r="D29" s="35">
        <f>IF(D1_MARZO_2026[[#This Row],[RECUPERO]]="VACACIONES","VACACIONES",IFERROR(D1_MARZO_2026[[#This Row],[RECUPERO]]/D1_MARZO_2026[[#This Row],[META]],""))</f>
        <v>0</v>
      </c>
      <c r="E29" s="35" t="str">
        <f>D1_MARZO_2026[[#This Row],[SUPER]]</f>
        <v>LISELY</v>
      </c>
      <c r="F29" t="s">
        <v>604</v>
      </c>
      <c r="G29" s="3">
        <v>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7.2164948453608251E-3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350</v>
      </c>
      <c r="Q29" s="6">
        <f>VLOOKUP(DATA_MARZO_2026[[#This Row],[ASER_]],D1_MARZO_2026[[ASESOR_CRR]:[META]],2,0)</f>
        <v>48500</v>
      </c>
      <c r="R29" t="s">
        <v>554</v>
      </c>
      <c r="S29">
        <v>350</v>
      </c>
      <c r="U29" s="45"/>
      <c r="AN29" s="55" t="str">
        <f>VLOOKUP($M$3&amp;$N$3&amp;DATA_MARZO_2026[[#This Row],[SUPERVISOR]],TablaMeta[],7,0)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30" s="34" cm="1">
        <f t="array" ref="C30">_xlfn.XLOOKUP(1,(TablaMeta[CONCAT]=$M$3&amp;$N$3&amp;D1_MARZO_2026[[#This Row],[SUPER]])*(TablaMeta[SEGG]=D1_MARZO_2026[[#This Row],[SEGMENTO]]),TablaMeta[Meta_Asesor])</f>
        <v>48500</v>
      </c>
      <c r="D30" s="35">
        <f>IF(D1_MARZO_2026[[#This Row],[RECUPERO]]="VACACIONES","VACACIONES",IFERROR(D1_MARZO_2026[[#This Row],[RECUPERO]]/D1_MARZO_2026[[#This Row],[META]],""))</f>
        <v>0</v>
      </c>
      <c r="E30" s="35" t="str">
        <f>D1_MARZO_2026[[#This Row],[SUPER]]</f>
        <v>LISELY</v>
      </c>
      <c r="F30" t="s">
        <v>41</v>
      </c>
      <c r="G30" s="3">
        <v>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0</v>
      </c>
      <c r="Q30" s="6">
        <f>VLOOKUP(DATA_MARZO_2026[[#This Row],[ASER_]],D1_MARZO_2026[[ASESOR_CRR]:[META]],2,0)</f>
        <v>48500</v>
      </c>
      <c r="R30" t="s">
        <v>604</v>
      </c>
      <c r="S30">
        <v>0</v>
      </c>
      <c r="AN30" s="55" t="str">
        <f>VLOOKUP($M$3&amp;$N$3&amp;DATA_MARZO_2026[[#This Row],[SUPERVISOR]],TablaMeta[],7,0)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31" s="34" t="e" cm="1">
        <f t="array" ref="C31">_xlfn.XLOOKUP(1,(TablaMeta[CONCAT]=$M$3&amp;$N$3&amp;D1_MARZO_2026[[#This Row],[SUPER]])*(TablaMeta[SEGG]=D1_MARZO_2026[[#This Row],[SEGMENTO]]),TablaMeta[Meta_Asesor])</f>
        <v>#N/A</v>
      </c>
      <c r="D31" s="35" t="str">
        <f>IF(D1_MARZO_2026[[#This Row],[RECUPERO]]="VACACIONES","VACACIONES",IFERROR(D1_MARZO_2026[[#This Row],[RECUPERO]]/D1_MARZO_2026[[#This Row],[META]],""))</f>
        <v/>
      </c>
      <c r="E31" s="35" t="str">
        <f>D1_MARZO_2026[[#This Row],[SUPER]]</f>
        <v/>
      </c>
      <c r="F31" t="s">
        <v>571</v>
      </c>
      <c r="G31" s="3">
        <v>300</v>
      </c>
      <c r="H31" t="str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1" s="56" t="str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1" s="56"/>
      <c r="M31" s="5">
        <f>DATA_MARZO_2026[[#This Row],[RECUPERO]]/DATA_MARZO_2026[[#This Row],[META]]</f>
        <v>0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0</v>
      </c>
      <c r="Q31" s="6">
        <f>VLOOKUP(DATA_MARZO_2026[[#This Row],[ASER_]],D1_MARZO_2026[[ASESOR_CRR]:[META]],2,0)</f>
        <v>48500</v>
      </c>
      <c r="R31" t="s">
        <v>41</v>
      </c>
      <c r="S31">
        <v>0</v>
      </c>
      <c r="AN31" s="55" t="str">
        <f>VLOOKUP($M$3&amp;$N$3&amp;DATA_MARZO_2026[[#This Row],[SUPERVISOR]],TablaMeta[],7,0)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MAYRA AVALOS</v>
      </c>
      <c r="C32" s="34" cm="1">
        <f t="array" ref="C32">_xlfn.XLOOKUP(1,(TablaMeta[CONCAT]=$M$3&amp;$N$3&amp;D1_MARZO_2026[[#This Row],[SUPER]])*(TablaMeta[SEGG]=D1_MARZO_2026[[#This Row],[SEGMENTO]]),TablaMeta[Meta_Asesor])</f>
        <v>48500</v>
      </c>
      <c r="D32" s="35">
        <f>IF(D1_MARZO_2026[[#This Row],[RECUPERO]]="VACACIONES","VACACIONES",IFERROR(D1_MARZO_2026[[#This Row],[RECUPERO]]/D1_MARZO_2026[[#This Row],[META]],""))</f>
        <v>0</v>
      </c>
      <c r="E32" s="35" t="str">
        <f>D1_MARZO_2026[[#This Row],[SUPER]]</f>
        <v>LISELY</v>
      </c>
      <c r="F32" t="s">
        <v>55</v>
      </c>
      <c r="G32" s="3">
        <v>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 t="e">
        <f>DATA_MARZO_2026[[#This Row],[RECUPERO]]/DATA_MARZO_2026[[#This Row],[META]]</f>
        <v>#N/A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/>
      </c>
      <c r="O32" s="55" t="str">
        <f>IFERROR(VLOOKUP(DATA_MARZO_2026[[#This Row],[ASER_]],$B:$G,4,0),"")</f>
        <v/>
      </c>
      <c r="P32" s="6">
        <f>VLOOKUP(DATA_MARZO_2026[[#This Row],[ASER_]],D1_MARZO_2026[[ASESOR_CRR]:[RECUPERO]],6,0)</f>
        <v>300</v>
      </c>
      <c r="Q32" s="6" t="e">
        <f>VLOOKUP(DATA_MARZO_2026[[#This Row],[ASER_]],D1_MARZO_2026[[ASESOR_CRR]:[META]],2,0)</f>
        <v>#N/A</v>
      </c>
      <c r="R32" t="s">
        <v>571</v>
      </c>
      <c r="S32">
        <v>300</v>
      </c>
      <c r="AN32" s="55" t="e">
        <f>VLOOKUP($M$3&amp;$N$3&amp;DATA_MARZO_2026[[#This Row],[SUPERVISOR]],TablaMeta[],7,0)</f>
        <v>#N/A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ZAYDA CORTEZ</v>
      </c>
      <c r="C33" s="34" cm="1">
        <f t="array" ref="C33">_xlfn.XLOOKUP(1,(TablaMeta[CONCAT]=$M$3&amp;$N$3&amp;D1_MARZO_2026[[#This Row],[SUPER]])*(TablaMeta[SEGG]=D1_MARZO_2026[[#This Row],[SEGMENTO]]),TablaMeta[Meta_Asesor])</f>
        <v>48500</v>
      </c>
      <c r="D33" s="35">
        <f>IF(D1_MARZO_2026[[#This Row],[RECUPERO]]="VACACIONES","VACACIONES",IFERROR(D1_MARZO_2026[[#This Row],[RECUPERO]]/D1_MARZO_2026[[#This Row],[META]],""))</f>
        <v>0</v>
      </c>
      <c r="E33" s="35" t="str">
        <f>D1_MARZO_2026[[#This Row],[SUPER]]</f>
        <v>LISELY</v>
      </c>
      <c r="F33" t="s">
        <v>606</v>
      </c>
      <c r="G33" s="3">
        <v>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0</v>
      </c>
      <c r="Q33" s="6">
        <f>VLOOKUP(DATA_MARZO_2026[[#This Row],[ASER_]],D1_MARZO_2026[[ASESOR_CRR]:[META]],2,0)</f>
        <v>48500</v>
      </c>
      <c r="R33" t="s">
        <v>55</v>
      </c>
      <c r="S33">
        <v>0</v>
      </c>
      <c r="AN33" s="55" t="str">
        <f>VLOOKUP($M$3&amp;$N$3&amp;DATA_MARZO_2026[[#This Row],[SUPERVISOR]],TablaMeta[],7,0)</f>
        <v>S2-3-4 BANCO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34" s="34" cm="1">
        <f t="array" ref="C34">_xlfn.XLOOKUP(1,(TablaMeta[CONCAT]=$M$3&amp;$N$3&amp;D1_MARZO_2026[[#This Row],[SUPER]])*(TablaMeta[SEGG]=D1_MARZO_2026[[#This Row],[SEGMENTO]]),TablaMeta[Meta_Asesor])</f>
        <v>48500</v>
      </c>
      <c r="D34" s="35">
        <f>IF(D1_MARZO_2026[[#This Row],[RECUPERO]]="VACACIONES","VACACIONES",IFERROR(D1_MARZO_2026[[#This Row],[RECUPERO]]/D1_MARZO_2026[[#This Row],[META]],""))</f>
        <v>0</v>
      </c>
      <c r="E34" s="35" t="str">
        <f>D1_MARZO_2026[[#This Row],[SUPER]]</f>
        <v>LISELY</v>
      </c>
      <c r="F34" t="s">
        <v>500</v>
      </c>
      <c r="G34" s="3">
        <v>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0</v>
      </c>
      <c r="Q34" s="6">
        <f>VLOOKUP(DATA_MARZO_2026[[#This Row],[ASER_]],D1_MARZO_2026[[ASESOR_CRR]:[META]],2,0)</f>
        <v>48500</v>
      </c>
      <c r="R34" t="s">
        <v>606</v>
      </c>
      <c r="S34">
        <v>0</v>
      </c>
      <c r="AN34" s="55" t="str">
        <f>VLOOKUP($M$3&amp;$N$3&amp;DATA_MARZO_2026[[#This Row],[SUPERVISOR]],TablaMeta[],7,0)</f>
        <v>S2-3-4 BANCO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35" s="34" cm="1">
        <f t="array" ref="C35">_xlfn.XLOOKUP(1,(TablaMeta[CONCAT]=$M$3&amp;$N$3&amp;D1_MARZO_2026[[#This Row],[SUPER]])*(TablaMeta[SEGG]=D1_MARZO_2026[[#This Row],[SEGMENTO]]),TablaMeta[Meta_Asesor])</f>
        <v>48500</v>
      </c>
      <c r="D35" s="35">
        <f>IF(D1_MARZO_2026[[#This Row],[RECUPERO]]="VACACIONES","VACACIONES",IFERROR(D1_MARZO_2026[[#This Row],[RECUPERO]]/D1_MARZO_2026[[#This Row],[META]],""))</f>
        <v>0</v>
      </c>
      <c r="E35" s="35" t="str">
        <f>D1_MARZO_2026[[#This Row],[SUPER]]</f>
        <v>LISELY</v>
      </c>
      <c r="F35" t="s">
        <v>109</v>
      </c>
      <c r="G35" s="3">
        <v>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0</v>
      </c>
      <c r="Q35" s="6">
        <f>VLOOKUP(DATA_MARZO_2026[[#This Row],[ASER_]],D1_MARZO_2026[[ASESOR_CRR]:[META]],2,0)</f>
        <v>48500</v>
      </c>
      <c r="R35" t="s">
        <v>500</v>
      </c>
      <c r="S35">
        <v>0</v>
      </c>
      <c r="AN35" s="55" t="str">
        <f>VLOOKUP($M$3&amp;$N$3&amp;DATA_MARZO_2026[[#This Row],[SUPERVISOR]],TablaMeta[],7,0)</f>
        <v>S2-3-4 BANCO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36" s="34" cm="1">
        <f t="array" ref="C36">_xlfn.XLOOKUP(1,(TablaMeta[CONCAT]=$M$3&amp;$N$3&amp;D1_MARZO_2026[[#This Row],[SUPER]])*(TablaMeta[SEGG]=D1_MARZO_2026[[#This Row],[SEGMENTO]]),TablaMeta[Meta_Asesor])</f>
        <v>48500</v>
      </c>
      <c r="D36" s="35">
        <f>IF(D1_MARZO_2026[[#This Row],[RECUPERO]]="VACACIONES","VACACIONES",IFERROR(D1_MARZO_2026[[#This Row],[RECUPERO]]/D1_MARZO_2026[[#This Row],[META]],""))</f>
        <v>0.11958762886597939</v>
      </c>
      <c r="E36" s="35" t="str">
        <f>D1_MARZO_2026[[#This Row],[SUPER]]</f>
        <v>LISELY</v>
      </c>
      <c r="F36" t="s">
        <v>49</v>
      </c>
      <c r="G36" s="3">
        <v>5800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0</v>
      </c>
      <c r="Q36" s="6">
        <f>VLOOKUP(DATA_MARZO_2026[[#This Row],[ASER_]],D1_MARZO_2026[[ASESOR_CRR]:[META]],2,0)</f>
        <v>48500</v>
      </c>
      <c r="R36" t="s">
        <v>109</v>
      </c>
      <c r="S36">
        <v>0</v>
      </c>
      <c r="AB36" s="6"/>
      <c r="AC36" s="6"/>
      <c r="AD36" s="6"/>
      <c r="AE36" s="6"/>
      <c r="AF36" s="6"/>
      <c r="AG36" s="6"/>
      <c r="AH36" s="6"/>
      <c r="AN36" s="55" t="str">
        <f>VLOOKUP($M$3&amp;$N$3&amp;DATA_MARZO_2026[[#This Row],[SUPERVISOR]],TablaMeta[],7,0)</f>
        <v>S2-3-4 BANCO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37" s="34" cm="1">
        <f t="array" ref="C37">_xlfn.XLOOKUP(1,(TablaMeta[CONCAT]=$M$3&amp;$N$3&amp;D1_MARZO_2026[[#This Row],[SUPER]])*(TablaMeta[SEGG]=D1_MARZO_2026[[#This Row],[SEGMENTO]]),TablaMeta[Meta_Asesor])</f>
        <v>48500</v>
      </c>
      <c r="D37" s="35">
        <f>IF(D1_MARZO_2026[[#This Row],[RECUPERO]]="VACACIONES","VACACIONES",IFERROR(D1_MARZO_2026[[#This Row],[RECUPERO]]/D1_MARZO_2026[[#This Row],[META]],""))</f>
        <v>0.10152577319587629</v>
      </c>
      <c r="E37" s="35" t="str">
        <f>D1_MARZO_2026[[#This Row],[SUPER]]</f>
        <v>LISELY</v>
      </c>
      <c r="F37" t="s">
        <v>77</v>
      </c>
      <c r="G37" s="3">
        <v>4924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0.11958762886597939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5800</v>
      </c>
      <c r="Q37" s="6">
        <f>VLOOKUP(DATA_MARZO_2026[[#This Row],[ASER_]],D1_MARZO_2026[[ASESOR_CRR]:[META]],2,0)</f>
        <v>48500</v>
      </c>
      <c r="R37" t="s">
        <v>49</v>
      </c>
      <c r="S37">
        <v>5800</v>
      </c>
      <c r="AB37" s="6"/>
      <c r="AC37" s="6"/>
      <c r="AD37" s="6"/>
      <c r="AE37" s="6"/>
      <c r="AF37" s="6"/>
      <c r="AG37" s="6"/>
      <c r="AH37" s="6"/>
      <c r="AN37" s="55" t="str">
        <f>VLOOKUP($M$3&amp;$N$3&amp;DATA_MARZO_2026[[#This Row],[SUPERVISOR]],TablaMeta[],7,0)</f>
        <v>S2-3-4 BANCO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FERNANDA APAZA</v>
      </c>
      <c r="C38" s="34" cm="1">
        <f t="array" ref="C38">_xlfn.XLOOKUP(1,(TablaMeta[CONCAT]=$M$3&amp;$N$3&amp;D1_MARZO_2026[[#This Row],[SUPER]])*(TablaMeta[SEGG]=D1_MARZO_2026[[#This Row],[SEGMENTO]]),TablaMeta[Meta_Asesor])</f>
        <v>48500</v>
      </c>
      <c r="D38" s="35">
        <f>IF(D1_MARZO_2026[[#This Row],[RECUPERO]]="VACACIONES","VACACIONES",IFERROR(D1_MARZO_2026[[#This Row],[RECUPERO]]/D1_MARZO_2026[[#This Row],[META]],""))</f>
        <v>0</v>
      </c>
      <c r="E38" s="35" t="str">
        <f>D1_MARZO_2026[[#This Row],[SUPER]]</f>
        <v>LISELY</v>
      </c>
      <c r="F38" t="s">
        <v>605</v>
      </c>
      <c r="G38" s="3">
        <v>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0.10152577319587629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4924</v>
      </c>
      <c r="Q38" s="6">
        <f>VLOOKUP(DATA_MARZO_2026[[#This Row],[ASER_]],D1_MARZO_2026[[ASESOR_CRR]:[META]],2,0)</f>
        <v>48500</v>
      </c>
      <c r="R38" t="s">
        <v>77</v>
      </c>
      <c r="S38">
        <v>4924</v>
      </c>
      <c r="AB38" s="6"/>
      <c r="AC38" s="6"/>
      <c r="AD38" s="6"/>
      <c r="AE38" s="6"/>
      <c r="AF38" s="6"/>
      <c r="AG38" s="6"/>
      <c r="AH38" s="6"/>
      <c r="AN38" s="55" t="str">
        <f>VLOOKUP($M$3&amp;$N$3&amp;DATA_MARZO_2026[[#This Row],[SUPERVISOR]],TablaMeta[],7,0)</f>
        <v>S2-3-4 BANCO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39" s="34" cm="1">
        <f t="array" ref="C39">_xlfn.XLOOKUP(1,(TablaMeta[CONCAT]=$M$3&amp;$N$3&amp;D1_MARZO_2026[[#This Row],[SUPER]])*(TablaMeta[SEGG]=D1_MARZO_2026[[#This Row],[SEGMENTO]]),TablaMeta[Meta_Asesor])</f>
        <v>48500</v>
      </c>
      <c r="D39" s="35">
        <f>IF(D1_MARZO_2026[[#This Row],[RECUPERO]]="VACACIONES","VACACIONES",IFERROR(D1_MARZO_2026[[#This Row],[RECUPERO]]/D1_MARZO_2026[[#This Row],[META]],""))</f>
        <v>0</v>
      </c>
      <c r="E39" s="35" t="str">
        <f>D1_MARZO_2026[[#This Row],[SUPER]]</f>
        <v>LISELY</v>
      </c>
      <c r="F39" t="s">
        <v>48</v>
      </c>
      <c r="G39" s="3">
        <v>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0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LISELY</v>
      </c>
      <c r="P39" s="6">
        <f>VLOOKUP(DATA_MARZO_2026[[#This Row],[ASER_]],D1_MARZO_2026[[ASESOR_CRR]:[RECUPERO]],6,0)</f>
        <v>0</v>
      </c>
      <c r="Q39" s="6">
        <f>VLOOKUP(DATA_MARZO_2026[[#This Row],[ASER_]],D1_MARZO_2026[[ASESOR_CRR]:[META]],2,0)</f>
        <v>48500</v>
      </c>
      <c r="R39" t="s">
        <v>605</v>
      </c>
      <c r="S39">
        <v>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>
        <f>VLOOKUP($M$3&amp;$N$3&amp;DATA_MARZO_2026[[#This Row],[SUPERVISOR]],TablaMeta[],7,0)</f>
        <v>S2-3-4 BANCO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40" s="34" cm="1">
        <f t="array" ref="C40">_xlfn.XLOOKUP(1,(TablaMeta[CONCAT]=$M$3&amp;$N$3&amp;D1_MARZO_2026[[#This Row],[SUPER]])*(TablaMeta[SEGG]=D1_MARZO_2026[[#This Row],[SEGMENTO]]),TablaMeta[Meta_Asesor])</f>
        <v>48500</v>
      </c>
      <c r="D40" s="35">
        <f>IF(D1_MARZO_2026[[#This Row],[RECUPERO]]="VACACIONES","VACACIONES",IFERROR(D1_MARZO_2026[[#This Row],[RECUPERO]]/D1_MARZO_2026[[#This Row],[META]],""))</f>
        <v>0</v>
      </c>
      <c r="E40" s="35" t="str">
        <f>D1_MARZO_2026[[#This Row],[SUPER]]</f>
        <v>LISELY</v>
      </c>
      <c r="F40" t="s">
        <v>78</v>
      </c>
      <c r="G40" s="3">
        <v>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LISELY</v>
      </c>
      <c r="P40" s="6">
        <f>VLOOKUP(DATA_MARZO_2026[[#This Row],[ASER_]],D1_MARZO_2026[[ASESOR_CRR]:[RECUPERO]],6,0)</f>
        <v>0</v>
      </c>
      <c r="Q40" s="6">
        <f>VLOOKUP(DATA_MARZO_2026[[#This Row],[ASER_]],D1_MARZO_2026[[ASESOR_CRR]:[META]],2,0)</f>
        <v>48500</v>
      </c>
      <c r="R40" t="s">
        <v>48</v>
      </c>
      <c r="S40">
        <v>0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>
        <f>VLOOKUP($M$3&amp;$N$3&amp;DATA_MARZO_2026[[#This Row],[SUPERVISOR]],TablaMeta[],7,0)</f>
        <v>S2-3-4 BANCO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41" s="34" cm="1">
        <f t="array" ref="C41">_xlfn.XLOOKUP(1,(TablaMeta[CONCAT]=$M$3&amp;$N$3&amp;D1_MARZO_2026[[#This Row],[SUPER]])*(TablaMeta[SEGG]=D1_MARZO_2026[[#This Row],[SEGMENTO]]),TablaMeta[Meta_Asesor])</f>
        <v>52000</v>
      </c>
      <c r="D41" s="35">
        <f>IF(D1_MARZO_2026[[#This Row],[RECUPERO]]="VACACIONES","VACACIONES",IFERROR(D1_MARZO_2026[[#This Row],[RECUPERO]]/D1_MARZO_2026[[#This Row],[META]],""))</f>
        <v>0.10961538461538461</v>
      </c>
      <c r="E41" s="35" t="str">
        <f>D1_MARZO_2026[[#This Row],[SUPER]]</f>
        <v>KENNETH</v>
      </c>
      <c r="F41" t="s">
        <v>34</v>
      </c>
      <c r="G41" s="3">
        <v>5700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LISELY</v>
      </c>
      <c r="P41" s="6">
        <f>VLOOKUP(DATA_MARZO_2026[[#This Row],[ASER_]],D1_MARZO_2026[[ASESOR_CRR]:[RECUPERO]],6,0)</f>
        <v>0</v>
      </c>
      <c r="Q41" s="6">
        <f>VLOOKUP(DATA_MARZO_2026[[#This Row],[ASER_]],D1_MARZO_2026[[ASESOR_CRR]:[META]],2,0)</f>
        <v>48500</v>
      </c>
      <c r="R41" t="s">
        <v>78</v>
      </c>
      <c r="S41">
        <v>0</v>
      </c>
      <c r="W41" s="5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>
        <f>VLOOKUP($M$3&amp;$N$3&amp;DATA_MARZO_2026[[#This Row],[SUPERVISOR]],TablaMeta[],7,0)</f>
        <v>S2-3-4 BANCO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42" s="34" cm="1">
        <f t="array" ref="C42">_xlfn.XLOOKUP(1,(TablaMeta[CONCAT]=$M$3&amp;$N$3&amp;D1_MARZO_2026[[#This Row],[SUPER]])*(TablaMeta[SEGG]=D1_MARZO_2026[[#This Row],[SEGMENTO]]),TablaMeta[Meta_Asesor])</f>
        <v>52000</v>
      </c>
      <c r="D42" s="35">
        <f>IF(D1_MARZO_2026[[#This Row],[RECUPERO]]="VACACIONES","VACACIONES",IFERROR(D1_MARZO_2026[[#This Row],[RECUPERO]]/D1_MARZO_2026[[#This Row],[META]],""))</f>
        <v>3.9423076923076922E-2</v>
      </c>
      <c r="E42" s="35" t="str">
        <f>D1_MARZO_2026[[#This Row],[SUPER]]</f>
        <v>KENNETH</v>
      </c>
      <c r="F42" t="s">
        <v>97</v>
      </c>
      <c r="G42" s="3">
        <v>2050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0.10961538461538461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5700</v>
      </c>
      <c r="Q42" s="6">
        <f>VLOOKUP(DATA_MARZO_2026[[#This Row],[ASER_]],D1_MARZO_2026[[ASESOR_CRR]:[META]],2,0)</f>
        <v>52000</v>
      </c>
      <c r="R42" t="s">
        <v>34</v>
      </c>
      <c r="S42">
        <v>5700</v>
      </c>
      <c r="W42" s="5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>
        <f>VLOOKUP($M$3&amp;$N$3&amp;DATA_MARZO_2026[[#This Row],[SUPERVISOR]],TablaMeta[],7,0)</f>
        <v>S0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43" s="34" cm="1">
        <f t="array" ref="C43">_xlfn.XLOOKUP(1,(TablaMeta[CONCAT]=$M$3&amp;$N$3&amp;D1_MARZO_2026[[#This Row],[SUPER]])*(TablaMeta[SEGG]=D1_MARZO_2026[[#This Row],[SEGMENTO]]),TablaMeta[Meta_Asesor])</f>
        <v>52000</v>
      </c>
      <c r="D43" s="35">
        <f>IF(D1_MARZO_2026[[#This Row],[RECUPERO]]="VACACIONES","VACACIONES",IFERROR(D1_MARZO_2026[[#This Row],[RECUPERO]]/D1_MARZO_2026[[#This Row],[META]],""))</f>
        <v>1.3461538461538462E-2</v>
      </c>
      <c r="E43" s="35" t="str">
        <f>D1_MARZO_2026[[#This Row],[SUPER]]</f>
        <v>KENNETH</v>
      </c>
      <c r="F43" t="s">
        <v>19</v>
      </c>
      <c r="G43" s="3">
        <v>700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3.9423076923076922E-2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2050</v>
      </c>
      <c r="Q43" s="6">
        <f>VLOOKUP(DATA_MARZO_2026[[#This Row],[ASER_]],D1_MARZO_2026[[ASESOR_CRR]:[META]],2,0)</f>
        <v>52000</v>
      </c>
      <c r="R43" t="s">
        <v>97</v>
      </c>
      <c r="S43">
        <v>2050</v>
      </c>
      <c r="W43" s="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>
        <f>VLOOKUP($M$3&amp;$N$3&amp;DATA_MARZO_2026[[#This Row],[SUPERVISOR]],TablaMeta[],7,0)</f>
        <v>S0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44" s="34" cm="1">
        <f t="array" ref="C44">_xlfn.XLOOKUP(1,(TablaMeta[CONCAT]=$M$3&amp;$N$3&amp;D1_MARZO_2026[[#This Row],[SUPER]])*(TablaMeta[SEGG]=D1_MARZO_2026[[#This Row],[SEGMENTO]]),TablaMeta[Meta_Asesor])</f>
        <v>52000</v>
      </c>
      <c r="D44" s="35">
        <f>IF(D1_MARZO_2026[[#This Row],[RECUPERO]]="VACACIONES","VACACIONES",IFERROR(D1_MARZO_2026[[#This Row],[RECUPERO]]/D1_MARZO_2026[[#This Row],[META]],""))</f>
        <v>9.6153846153846159E-3</v>
      </c>
      <c r="E44" s="35" t="str">
        <f>D1_MARZO_2026[[#This Row],[SUPER]]</f>
        <v>KENNETH</v>
      </c>
      <c r="F44" t="s">
        <v>35</v>
      </c>
      <c r="G44" s="3">
        <v>500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1.3461538461538462E-2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700</v>
      </c>
      <c r="Q44" s="6">
        <f>VLOOKUP(DATA_MARZO_2026[[#This Row],[ASER_]],D1_MARZO_2026[[ASESOR_CRR]:[META]],2,0)</f>
        <v>52000</v>
      </c>
      <c r="R44" t="s">
        <v>19</v>
      </c>
      <c r="S44">
        <v>700</v>
      </c>
      <c r="W44" s="5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>
        <f>VLOOKUP($M$3&amp;$N$3&amp;DATA_MARZO_2026[[#This Row],[SUPERVISOR]],TablaMeta[],7,0)</f>
        <v>S0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45" s="34" cm="1">
        <f t="array" ref="C45">_xlfn.XLOOKUP(1,(TablaMeta[CONCAT]=$M$3&amp;$N$3&amp;D1_MARZO_2026[[#This Row],[SUPER]])*(TablaMeta[SEGG]=D1_MARZO_2026[[#This Row],[SEGMENTO]]),TablaMeta[Meta_Asesor])</f>
        <v>52000</v>
      </c>
      <c r="D45" s="35">
        <f>IF(D1_MARZO_2026[[#This Row],[RECUPERO]]="VACACIONES","VACACIONES",IFERROR(D1_MARZO_2026[[#This Row],[RECUPERO]]/D1_MARZO_2026[[#This Row],[META]],""))</f>
        <v>0</v>
      </c>
      <c r="E45" s="35" t="str">
        <f>D1_MARZO_2026[[#This Row],[SUPER]]</f>
        <v>KENNETH</v>
      </c>
      <c r="F45" t="s">
        <v>11</v>
      </c>
      <c r="G45" s="3">
        <v>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9.6153846153846159E-3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500</v>
      </c>
      <c r="Q45" s="6">
        <f>VLOOKUP(DATA_MARZO_2026[[#This Row],[ASER_]],D1_MARZO_2026[[ASESOR_CRR]:[META]],2,0)</f>
        <v>52000</v>
      </c>
      <c r="R45" t="s">
        <v>35</v>
      </c>
      <c r="S45">
        <v>500</v>
      </c>
      <c r="W45" s="5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>
        <f>VLOOKUP($M$3&amp;$N$3&amp;DATA_MARZO_2026[[#This Row],[SUPERVISOR]],TablaMeta[],7,0)</f>
        <v>S0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46" s="34" cm="1">
        <f t="array" ref="C46">_xlfn.XLOOKUP(1,(TablaMeta[CONCAT]=$M$3&amp;$N$3&amp;D1_MARZO_2026[[#This Row],[SUPER]])*(TablaMeta[SEGG]=D1_MARZO_2026[[#This Row],[SEGMENTO]]),TablaMeta[Meta_Asesor])</f>
        <v>52000</v>
      </c>
      <c r="D46" s="35">
        <f>IF(D1_MARZO_2026[[#This Row],[RECUPERO]]="VACACIONES","VACACIONES",IFERROR(D1_MARZO_2026[[#This Row],[RECUPERO]]/D1_MARZO_2026[[#This Row],[META]],""))</f>
        <v>0</v>
      </c>
      <c r="E46" s="35" t="str">
        <f>D1_MARZO_2026[[#This Row],[SUPER]]</f>
        <v>KENNETH</v>
      </c>
      <c r="F46" t="s">
        <v>76</v>
      </c>
      <c r="G46" s="3">
        <v>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0</v>
      </c>
      <c r="Q46" s="6">
        <f>VLOOKUP(DATA_MARZO_2026[[#This Row],[ASER_]],D1_MARZO_2026[[ASESOR_CRR]:[META]],2,0)</f>
        <v>52000</v>
      </c>
      <c r="R46" t="s">
        <v>11</v>
      </c>
      <c r="S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>
        <f>VLOOKUP($M$3&amp;$N$3&amp;DATA_MARZO_2026[[#This Row],[SUPERVISOR]],TablaMeta[],7,0)</f>
        <v>S0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47" s="34" cm="1">
        <f t="array" ref="C47">_xlfn.XLOOKUP(1,(TablaMeta[CONCAT]=$M$3&amp;$N$3&amp;D1_MARZO_2026[[#This Row],[SUPER]])*(TablaMeta[SEGG]=D1_MARZO_2026[[#This Row],[SEGMENTO]]),TablaMeta[Meta_Asesor])</f>
        <v>52000</v>
      </c>
      <c r="D47" s="35">
        <f>IF(D1_MARZO_2026[[#This Row],[RECUPERO]]="VACACIONES","VACACIONES",IFERROR(D1_MARZO_2026[[#This Row],[RECUPERO]]/D1_MARZO_2026[[#This Row],[META]],""))</f>
        <v>0</v>
      </c>
      <c r="E47" s="35" t="str">
        <f>D1_MARZO_2026[[#This Row],[SUPER]]</f>
        <v>KENNETH</v>
      </c>
      <c r="F47" t="s">
        <v>105</v>
      </c>
      <c r="G47" s="3">
        <v>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0</v>
      </c>
      <c r="Q47" s="6">
        <f>VLOOKUP(DATA_MARZO_2026[[#This Row],[ASER_]],D1_MARZO_2026[[ASESOR_CRR]:[META]],2,0)</f>
        <v>52000</v>
      </c>
      <c r="R47" t="s">
        <v>76</v>
      </c>
      <c r="S47">
        <v>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>
        <f>VLOOKUP($M$3&amp;$N$3&amp;DATA_MARZO_2026[[#This Row],[SUPERVISOR]],TablaMeta[],7,0)</f>
        <v>S0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48" s="34" cm="1">
        <f t="array" ref="C48">_xlfn.XLOOKUP(1,(TablaMeta[CONCAT]=$M$3&amp;$N$3&amp;D1_MARZO_2026[[#This Row],[SUPER]])*(TablaMeta[SEGG]=D1_MARZO_2026[[#This Row],[SEGMENTO]]),TablaMeta[Meta_Asesor])</f>
        <v>28000</v>
      </c>
      <c r="D48" s="35">
        <f>IF(D1_MARZO_2026[[#This Row],[RECUPERO]]="VACACIONES","VACACIONES",IFERROR(D1_MARZO_2026[[#This Row],[RECUPERO]]/D1_MARZO_2026[[#This Row],[META]],""))</f>
        <v>0.11071428571428571</v>
      </c>
      <c r="E48" s="35" t="str">
        <f>D1_MARZO_2026[[#This Row],[SUPER]]</f>
        <v>SANDY</v>
      </c>
      <c r="F48" t="s">
        <v>58</v>
      </c>
      <c r="G48" s="3">
        <v>3100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0</v>
      </c>
      <c r="Q48" s="6">
        <f>VLOOKUP(DATA_MARZO_2026[[#This Row],[ASER_]],D1_MARZO_2026[[ASESOR_CRR]:[META]],2,0)</f>
        <v>52000</v>
      </c>
      <c r="R48" t="s">
        <v>105</v>
      </c>
      <c r="S48">
        <v>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>
        <f>VLOOKUP($M$3&amp;$N$3&amp;DATA_MARZO_2026[[#This Row],[SUPERVISOR]],TablaMeta[],7,0)</f>
        <v>S0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49" s="34" cm="1">
        <f t="array" ref="C49">_xlfn.XLOOKUP(1,(TablaMeta[CONCAT]=$M$3&amp;$N$3&amp;D1_MARZO_2026[[#This Row],[SUPER]])*(TablaMeta[SEGG]=D1_MARZO_2026[[#This Row],[SEGMENTO]]),TablaMeta[Meta_Asesor])</f>
        <v>28000</v>
      </c>
      <c r="D49" s="35">
        <f>IF(D1_MARZO_2026[[#This Row],[RECUPERO]]="VACACIONES","VACACIONES",IFERROR(D1_MARZO_2026[[#This Row],[RECUPERO]]/D1_MARZO_2026[[#This Row],[META]],""))</f>
        <v>0.10357142857142858</v>
      </c>
      <c r="E49" s="35" t="str">
        <f>D1_MARZO_2026[[#This Row],[SUPER]]</f>
        <v>SANDY</v>
      </c>
      <c r="F49" t="s">
        <v>68</v>
      </c>
      <c r="G49" s="3">
        <v>2900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0.11071428571428571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SANDY</v>
      </c>
      <c r="P49" s="6">
        <f>VLOOKUP(DATA_MARZO_2026[[#This Row],[ASER_]],D1_MARZO_2026[[ASESOR_CRR]:[RECUPERO]],6,0)</f>
        <v>3100</v>
      </c>
      <c r="Q49" s="6">
        <f>VLOOKUP(DATA_MARZO_2026[[#This Row],[ASER_]],D1_MARZO_2026[[ASESOR_CRR]:[META]],2,0)</f>
        <v>28000</v>
      </c>
      <c r="R49" t="s">
        <v>58</v>
      </c>
      <c r="S49">
        <v>3100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>
        <f>VLOOKUP($M$3&amp;$N$3&amp;DATA_MARZO_2026[[#This Row],[SUPERVISOR]],TablaMeta[],7,0)</f>
        <v>S0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50" s="34" cm="1">
        <f t="array" ref="C50">_xlfn.XLOOKUP(1,(TablaMeta[CONCAT]=$M$3&amp;$N$3&amp;D1_MARZO_2026[[#This Row],[SUPER]])*(TablaMeta[SEGG]=D1_MARZO_2026[[#This Row],[SEGMENTO]]),TablaMeta[Meta_Asesor])</f>
        <v>28000</v>
      </c>
      <c r="D50" s="35">
        <f>IF(D1_MARZO_2026[[#This Row],[RECUPERO]]="VACACIONES","VACACIONES",IFERROR(D1_MARZO_2026[[#This Row],[RECUPERO]]/D1_MARZO_2026[[#This Row],[META]],""))</f>
        <v>2.6785714285714284E-2</v>
      </c>
      <c r="E50" s="35" t="str">
        <f>D1_MARZO_2026[[#This Row],[SUPER]]</f>
        <v>SANDY</v>
      </c>
      <c r="F50" t="s">
        <v>498</v>
      </c>
      <c r="G50" s="3">
        <v>750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0.10357142857142858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SANDY</v>
      </c>
      <c r="P50" s="6">
        <f>VLOOKUP(DATA_MARZO_2026[[#This Row],[ASER_]],D1_MARZO_2026[[ASESOR_CRR]:[RECUPERO]],6,0)</f>
        <v>2900</v>
      </c>
      <c r="Q50" s="6">
        <f>VLOOKUP(DATA_MARZO_2026[[#This Row],[ASER_]],D1_MARZO_2026[[ASESOR_CRR]:[META]],2,0)</f>
        <v>28000</v>
      </c>
      <c r="R50" t="s">
        <v>68</v>
      </c>
      <c r="S50">
        <v>2900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>
        <f>VLOOKUP($M$3&amp;$N$3&amp;DATA_MARZO_2026[[#This Row],[SUPERVISOR]],TablaMeta[],7,0)</f>
        <v>S0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51" s="34" cm="1">
        <f t="array" ref="C51">_xlfn.XLOOKUP(1,(TablaMeta[CONCAT]=$M$3&amp;$N$3&amp;D1_MARZO_2026[[#This Row],[SUPER]])*(TablaMeta[SEGG]=D1_MARZO_2026[[#This Row],[SEGMENTO]]),TablaMeta[Meta_Asesor])</f>
        <v>28000</v>
      </c>
      <c r="D51" s="35">
        <f>IF(D1_MARZO_2026[[#This Row],[RECUPERO]]="VACACIONES","VACACIONES",IFERROR(D1_MARZO_2026[[#This Row],[RECUPERO]]/D1_MARZO_2026[[#This Row],[META]],""))</f>
        <v>1.3692857142857142E-2</v>
      </c>
      <c r="E51" s="35" t="str">
        <f>D1_MARZO_2026[[#This Row],[SUPER]]</f>
        <v>SANDY</v>
      </c>
      <c r="F51" t="s">
        <v>29</v>
      </c>
      <c r="G51" s="3">
        <v>383.4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2.6785714285714284E-2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SANDY</v>
      </c>
      <c r="P51" s="6">
        <f>VLOOKUP(DATA_MARZO_2026[[#This Row],[ASER_]],D1_MARZO_2026[[ASESOR_CRR]:[RECUPERO]],6,0)</f>
        <v>750</v>
      </c>
      <c r="Q51" s="6">
        <f>VLOOKUP(DATA_MARZO_2026[[#This Row],[ASER_]],D1_MARZO_2026[[ASESOR_CRR]:[META]],2,0)</f>
        <v>28000</v>
      </c>
      <c r="R51" t="s">
        <v>498</v>
      </c>
      <c r="S51">
        <v>750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>
        <f>VLOOKUP($M$3&amp;$N$3&amp;DATA_MARZO_2026[[#This Row],[SUPERVISOR]],TablaMeta[],7,0)</f>
        <v>S0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52" s="34" cm="1">
        <f t="array" ref="C52">_xlfn.XLOOKUP(1,(TablaMeta[CONCAT]=$M$3&amp;$N$3&amp;D1_MARZO_2026[[#This Row],[SUPER]])*(TablaMeta[SEGG]=D1_MARZO_2026[[#This Row],[SEGMENTO]]),TablaMeta[Meta_Asesor])</f>
        <v>28000</v>
      </c>
      <c r="D52" s="35">
        <f>IF(D1_MARZO_2026[[#This Row],[RECUPERO]]="VACACIONES","VACACIONES",IFERROR(D1_MARZO_2026[[#This Row],[RECUPERO]]/D1_MARZO_2026[[#This Row],[META]],""))</f>
        <v>8.9285714285714281E-3</v>
      </c>
      <c r="E52" s="35" t="str">
        <f>D1_MARZO_2026[[#This Row],[SUPER]]</f>
        <v>SANDY</v>
      </c>
      <c r="F52" t="s">
        <v>85</v>
      </c>
      <c r="G52" s="3">
        <v>250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1.3692857142857142E-2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383.4</v>
      </c>
      <c r="Q52" s="6">
        <f>VLOOKUP(DATA_MARZO_2026[[#This Row],[ASER_]],D1_MARZO_2026[[ASESOR_CRR]:[META]],2,0)</f>
        <v>28000</v>
      </c>
      <c r="R52" t="s">
        <v>29</v>
      </c>
      <c r="S52">
        <v>383.4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>
        <f>VLOOKUP($M$3&amp;$N$3&amp;DATA_MARZO_2026[[#This Row],[SUPERVISOR]],TablaMeta[],7,0)</f>
        <v>S0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53" s="34" cm="1">
        <f t="array" ref="C53">_xlfn.XLOOKUP(1,(TablaMeta[CONCAT]=$M$3&amp;$N$3&amp;D1_MARZO_2026[[#This Row],[SUPER]])*(TablaMeta[SEGG]=D1_MARZO_2026[[#This Row],[SEGMENTO]]),TablaMeta[Meta_Asesor])</f>
        <v>28000</v>
      </c>
      <c r="D53" s="35">
        <f>IF(D1_MARZO_2026[[#This Row],[RECUPERO]]="VACACIONES","VACACIONES",IFERROR(D1_MARZO_2026[[#This Row],[RECUPERO]]/D1_MARZO_2026[[#This Row],[META]],""))</f>
        <v>7.4999999999999997E-3</v>
      </c>
      <c r="E53" s="35" t="str">
        <f>D1_MARZO_2026[[#This Row],[SUPER]]</f>
        <v>SANDY</v>
      </c>
      <c r="F53" t="s">
        <v>174</v>
      </c>
      <c r="G53" s="3">
        <v>210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8.9285714285714281E-3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250</v>
      </c>
      <c r="Q53" s="6">
        <f>VLOOKUP(DATA_MARZO_2026[[#This Row],[ASER_]],D1_MARZO_2026[[ASESOR_CRR]:[META]],2,0)</f>
        <v>28000</v>
      </c>
      <c r="R53" t="s">
        <v>85</v>
      </c>
      <c r="S53">
        <v>250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>
        <f>VLOOKUP($M$3&amp;$N$3&amp;DATA_MARZO_2026[[#This Row],[SUPERVISOR]],TablaMeta[],7,0)</f>
        <v>S0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54" s="34" cm="1">
        <f t="array" ref="C54">_xlfn.XLOOKUP(1,(TablaMeta[CONCAT]=$M$3&amp;$N$3&amp;D1_MARZO_2026[[#This Row],[SUPER]])*(TablaMeta[SEGG]=D1_MARZO_2026[[#This Row],[SEGMENTO]]),TablaMeta[Meta_Asesor])</f>
        <v>28000</v>
      </c>
      <c r="D54" s="35">
        <f>IF(D1_MARZO_2026[[#This Row],[RECUPERO]]="VACACIONES","VACACIONES",IFERROR(D1_MARZO_2026[[#This Row],[RECUPERO]]/D1_MARZO_2026[[#This Row],[META]],""))</f>
        <v>0</v>
      </c>
      <c r="E54" s="35" t="str">
        <f>D1_MARZO_2026[[#This Row],[SUPER]]</f>
        <v>SANDY</v>
      </c>
      <c r="F54" t="s">
        <v>79</v>
      </c>
      <c r="G54" s="3">
        <v>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7.4999999999999997E-3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210</v>
      </c>
      <c r="Q54" s="6">
        <f>VLOOKUP(DATA_MARZO_2026[[#This Row],[ASER_]],D1_MARZO_2026[[ASESOR_CRR]:[META]],2,0)</f>
        <v>28000</v>
      </c>
      <c r="R54" t="s">
        <v>174</v>
      </c>
      <c r="S54">
        <v>210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>
        <f>VLOOKUP($M$3&amp;$N$3&amp;DATA_MARZO_2026[[#This Row],[SUPERVISOR]],TablaMeta[],7,0)</f>
        <v>S0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55" s="34" cm="1">
        <f t="array" ref="C55">_xlfn.XLOOKUP(1,(TablaMeta[CONCAT]=$M$3&amp;$N$3&amp;D1_MARZO_2026[[#This Row],[SUPER]])*(TablaMeta[SEGG]=D1_MARZO_2026[[#This Row],[SEGMENTO]]),TablaMeta[Meta_Asesor])</f>
        <v>28000</v>
      </c>
      <c r="D55" s="35">
        <f>IF(D1_MARZO_2026[[#This Row],[RECUPERO]]="VACACIONES","VACACIONES",IFERROR(D1_MARZO_2026[[#This Row],[RECUPERO]]/D1_MARZO_2026[[#This Row],[META]],""))</f>
        <v>0</v>
      </c>
      <c r="E55" s="35" t="str">
        <f>D1_MARZO_2026[[#This Row],[SUPER]]</f>
        <v>SANDY</v>
      </c>
      <c r="F55" t="s">
        <v>32</v>
      </c>
      <c r="G55" s="3">
        <v>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0</v>
      </c>
      <c r="Q55" s="6">
        <f>VLOOKUP(DATA_MARZO_2026[[#This Row],[ASER_]],D1_MARZO_2026[[ASESOR_CRR]:[META]],2,0)</f>
        <v>28000</v>
      </c>
      <c r="R55" t="s">
        <v>79</v>
      </c>
      <c r="S55">
        <v>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>
        <f>VLOOKUP($M$3&amp;$N$3&amp;DATA_MARZO_2026[[#This Row],[SUPERVISOR]],TablaMeta[],7,0)</f>
        <v>S0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56" s="34" cm="1">
        <f t="array" ref="C56">_xlfn.XLOOKUP(1,(TablaMeta[CONCAT]=$M$3&amp;$N$3&amp;D1_MARZO_2026[[#This Row],[SUPER]])*(TablaMeta[SEGG]=D1_MARZO_2026[[#This Row],[SEGMENTO]]),TablaMeta[Meta_Asesor])</f>
        <v>28000</v>
      </c>
      <c r="D56" s="35">
        <f>IF(D1_MARZO_2026[[#This Row],[RECUPERO]]="VACACIONES","VACACIONES",IFERROR(D1_MARZO_2026[[#This Row],[RECUPERO]]/D1_MARZO_2026[[#This Row],[META]],""))</f>
        <v>0</v>
      </c>
      <c r="E56" s="35" t="str">
        <f>D1_MARZO_2026[[#This Row],[SUPER]]</f>
        <v>SANDY</v>
      </c>
      <c r="F56" t="s">
        <v>96</v>
      </c>
      <c r="G56" s="3">
        <v>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0</v>
      </c>
      <c r="Q56" s="6">
        <f>VLOOKUP(DATA_MARZO_2026[[#This Row],[ASER_]],D1_MARZO_2026[[ASESOR_CRR]:[META]],2,0)</f>
        <v>28000</v>
      </c>
      <c r="R56" t="s">
        <v>32</v>
      </c>
      <c r="S56">
        <v>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>
        <f>VLOOKUP($M$3&amp;$N$3&amp;DATA_MARZO_2026[[#This Row],[SUPERVISOR]],TablaMeta[],7,0)</f>
        <v>S0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28000</v>
      </c>
      <c r="D57" s="35">
        <f>IF(D1_MARZO_2026[[#This Row],[RECUPERO]]="VACACIONES","VACACIONES",IFERROR(D1_MARZO_2026[[#This Row],[RECUPERO]]/D1_MARZO_2026[[#This Row],[META]],""))</f>
        <v>0</v>
      </c>
      <c r="E57" s="35" t="str">
        <f>D1_MARZO_2026[[#This Row],[SUPER]]</f>
        <v>SANDY</v>
      </c>
      <c r="F57" t="s">
        <v>569</v>
      </c>
      <c r="G57" s="3">
        <v>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0</v>
      </c>
      <c r="Q57" s="6">
        <f>VLOOKUP(DATA_MARZO_2026[[#This Row],[ASER_]],D1_MARZO_2026[[ASESOR_CRR]:[META]],2,0)</f>
        <v>28000</v>
      </c>
      <c r="R57" t="s">
        <v>96</v>
      </c>
      <c r="S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>
        <f>VLOOKUP($M$3&amp;$N$3&amp;DATA_MARZO_2026[[#This Row],[SUPERVISOR]],TablaMeta[],7,0)</f>
        <v>S0</v>
      </c>
    </row>
    <row r="58" spans="1:40" x14ac:dyDescent="0.25">
      <c r="H58"/>
      <c r="M58" s="5">
        <f>DATA_MARZO_2026[[#This Row],[RECUPERO]]/DATA_MARZO_2026[[#This Row],[META]]</f>
        <v>0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0</v>
      </c>
      <c r="Q58" s="6">
        <f>VLOOKUP(DATA_MARZO_2026[[#This Row],[ASER_]],D1_MARZO_2026[[ASESOR_CRR]:[META]],2,0)</f>
        <v>28000</v>
      </c>
      <c r="R58" t="s">
        <v>569</v>
      </c>
      <c r="S58">
        <v>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>
        <f>VLOOKUP($M$3&amp;$N$3&amp;DATA_MARZO_2026[[#This Row],[SUPERVISOR]],TablaMeta[],7,0)</f>
        <v>S0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4" priority="1" operator="containsText" text="kenneth">
      <formula>NOT(ISERROR(SEARCH("kenneth",E3)))</formula>
    </cfRule>
  </conditionalFormatting>
  <conditionalFormatting sqref="R9:R58">
    <cfRule type="duplicateValues" dxfId="3" priority="4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8"/>
  <sheetViews>
    <sheetView topLeftCell="A13" workbookViewId="0">
      <selection activeCell="A23" sqref="A23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347</v>
      </c>
      <c r="C1" t="s">
        <v>341</v>
      </c>
      <c r="D1" t="s">
        <v>340</v>
      </c>
      <c r="E1" t="s">
        <v>345</v>
      </c>
      <c r="F1" t="s">
        <v>136</v>
      </c>
      <c r="G1" t="s">
        <v>346</v>
      </c>
    </row>
    <row r="2" spans="1:7" x14ac:dyDescent="0.25">
      <c r="A2" t="s">
        <v>78</v>
      </c>
      <c r="B2" t="s">
        <v>348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562</v>
      </c>
      <c r="B3" t="s">
        <v>348</v>
      </c>
      <c r="C3" s="56">
        <v>27960</v>
      </c>
      <c r="D3" t="s">
        <v>567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348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356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348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358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348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348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348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368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599</v>
      </c>
      <c r="B12" t="s">
        <v>600</v>
      </c>
      <c r="C12" s="56">
        <v>30429</v>
      </c>
      <c r="D12" t="s">
        <v>601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348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364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614</v>
      </c>
      <c r="B15" t="s">
        <v>615</v>
      </c>
      <c r="C15" s="56">
        <v>30635</v>
      </c>
      <c r="D15" t="s">
        <v>616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604</v>
      </c>
      <c r="B16" t="s">
        <v>348</v>
      </c>
      <c r="C16" s="56">
        <v>30700</v>
      </c>
      <c r="D16" t="s">
        <v>613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352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372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348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348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348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351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564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366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348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355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348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348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348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354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350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348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348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363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369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348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348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348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361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348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348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348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348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348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348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357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373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374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348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554</v>
      </c>
      <c r="B55" t="s">
        <v>565</v>
      </c>
      <c r="C55" s="56">
        <v>34446</v>
      </c>
      <c r="D55" t="s">
        <v>566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348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348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348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365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362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376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348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369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348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349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353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379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348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348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348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380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348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348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348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606</v>
      </c>
      <c r="B75" t="s">
        <v>348</v>
      </c>
      <c r="C75" s="56">
        <v>35531</v>
      </c>
      <c r="D75" t="s">
        <v>628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348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348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348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348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620</v>
      </c>
      <c r="B80" t="s">
        <v>621</v>
      </c>
      <c r="C80" s="56">
        <v>35900</v>
      </c>
      <c r="D80" t="s">
        <v>622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348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348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626</v>
      </c>
      <c r="B84" t="s">
        <v>369</v>
      </c>
      <c r="C84" s="56">
        <v>36194</v>
      </c>
      <c r="D84" t="s">
        <v>627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348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343</v>
      </c>
      <c r="B87" t="s">
        <v>359</v>
      </c>
      <c r="C87" s="56">
        <v>36301</v>
      </c>
      <c r="D87" t="s">
        <v>344</v>
      </c>
      <c r="E87" t="s">
        <v>342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617</v>
      </c>
      <c r="B88" t="s">
        <v>618</v>
      </c>
      <c r="C88" s="56">
        <v>36351</v>
      </c>
      <c r="D88" t="s">
        <v>619</v>
      </c>
      <c r="E88" t="s">
        <v>342</v>
      </c>
      <c r="F88" t="str">
        <f>UPPER(TEXT(pbi_ListaEmpleadosExpertis[[#This Row],[FEC_NAC]],"mmmm"))</f>
        <v>JULIO</v>
      </c>
      <c r="G88">
        <f>DAY(pbi_ListaEmpleadosExpertis[[#This Row],[FEC_NAC]])</f>
        <v>10</v>
      </c>
    </row>
    <row r="89" spans="1:7" x14ac:dyDescent="0.25">
      <c r="A89" t="s">
        <v>623</v>
      </c>
      <c r="B89" t="s">
        <v>624</v>
      </c>
      <c r="C89" s="56">
        <v>36417</v>
      </c>
      <c r="D89" t="s">
        <v>625</v>
      </c>
      <c r="E89" t="s">
        <v>342</v>
      </c>
      <c r="F89" t="str">
        <f>UPPER(TEXT(pbi_ListaEmpleadosExpertis[[#This Row],[FEC_NAC]],"mmmm"))</f>
        <v>SETIEMBRE</v>
      </c>
      <c r="G89">
        <f>DAY(pbi_ListaEmpleadosExpertis[[#This Row],[FEC_NAC]])</f>
        <v>14</v>
      </c>
    </row>
    <row r="90" spans="1:7" x14ac:dyDescent="0.25">
      <c r="A90" t="s">
        <v>605</v>
      </c>
      <c r="B90" t="s">
        <v>348</v>
      </c>
      <c r="C90" s="56">
        <v>36526</v>
      </c>
      <c r="D90" t="s">
        <v>611</v>
      </c>
      <c r="E90" t="s">
        <v>0</v>
      </c>
      <c r="F90" t="str">
        <f>UPPER(TEXT(pbi_ListaEmpleadosExpertis[[#This Row],[FEC_NAC]],"mmmm"))</f>
        <v>ENERO</v>
      </c>
      <c r="G90">
        <f>DAY(pbi_ListaEmpleadosExpertis[[#This Row],[FEC_NAC]])</f>
        <v>1</v>
      </c>
    </row>
    <row r="91" spans="1:7" x14ac:dyDescent="0.25">
      <c r="A91" t="s">
        <v>85</v>
      </c>
      <c r="B91" t="s">
        <v>348</v>
      </c>
      <c r="C91" s="56">
        <v>36674</v>
      </c>
      <c r="D91" t="s">
        <v>548</v>
      </c>
      <c r="E91" t="s">
        <v>0</v>
      </c>
      <c r="F91" t="str">
        <f>UPPER(TEXT(pbi_ListaEmpleadosExpertis[[#This Row],[FEC_NAC]],"mmmm"))</f>
        <v>MAYO</v>
      </c>
      <c r="G91">
        <f>DAY(pbi_ListaEmpleadosExpertis[[#This Row],[FEC_NAC]])</f>
        <v>28</v>
      </c>
    </row>
    <row r="92" spans="1:7" x14ac:dyDescent="0.25">
      <c r="A92" t="s">
        <v>498</v>
      </c>
      <c r="B92" t="s">
        <v>348</v>
      </c>
      <c r="C92" s="56">
        <v>36795</v>
      </c>
      <c r="D92" t="s">
        <v>499</v>
      </c>
      <c r="E92" t="s">
        <v>0</v>
      </c>
      <c r="F92" t="str">
        <f>UPPER(TEXT(pbi_ListaEmpleadosExpertis[[#This Row],[FEC_NAC]],"mmmm"))</f>
        <v>SETIEMBRE</v>
      </c>
      <c r="G92">
        <f>DAY(pbi_ListaEmpleadosExpertis[[#This Row],[FEC_NAC]])</f>
        <v>26</v>
      </c>
    </row>
    <row r="93" spans="1:7" x14ac:dyDescent="0.25">
      <c r="A93" t="s">
        <v>304</v>
      </c>
      <c r="B93" t="s">
        <v>367</v>
      </c>
      <c r="C93" s="56">
        <v>36819</v>
      </c>
      <c r="D93" t="s">
        <v>305</v>
      </c>
      <c r="E93" t="s">
        <v>342</v>
      </c>
      <c r="F93" t="str">
        <f>UPPER(TEXT(pbi_ListaEmpleadosExpertis[[#This Row],[FEC_NAC]],"mmmm"))</f>
        <v>OCTUBRE</v>
      </c>
      <c r="G93">
        <f>DAY(pbi_ListaEmpleadosExpertis[[#This Row],[FEC_NAC]])</f>
        <v>20</v>
      </c>
    </row>
    <row r="94" spans="1:7" x14ac:dyDescent="0.25">
      <c r="A94" t="s">
        <v>60</v>
      </c>
      <c r="B94" t="s">
        <v>348</v>
      </c>
      <c r="C94" s="56">
        <v>36877</v>
      </c>
      <c r="D94" t="s">
        <v>278</v>
      </c>
      <c r="E94" t="s">
        <v>0</v>
      </c>
      <c r="F94" t="str">
        <f>UPPER(TEXT(pbi_ListaEmpleadosExpertis[[#This Row],[FEC_NAC]],"mmmm"))</f>
        <v>DICIEMBRE</v>
      </c>
      <c r="G94">
        <f>DAY(pbi_ListaEmpleadosExpertis[[#This Row],[FEC_NAC]])</f>
        <v>17</v>
      </c>
    </row>
    <row r="95" spans="1:7" x14ac:dyDescent="0.25">
      <c r="A95" t="s">
        <v>312</v>
      </c>
      <c r="B95" t="s">
        <v>370</v>
      </c>
      <c r="C95" s="56">
        <v>37051</v>
      </c>
      <c r="D95" t="s">
        <v>313</v>
      </c>
      <c r="E95" t="s">
        <v>342</v>
      </c>
      <c r="F95" t="str">
        <f>UPPER(TEXT(pbi_ListaEmpleadosExpertis[[#This Row],[FEC_NAC]],"mmmm"))</f>
        <v>JUNIO</v>
      </c>
      <c r="G95">
        <f>DAY(pbi_ListaEmpleadosExpertis[[#This Row],[FEC_NAC]])</f>
        <v>9</v>
      </c>
    </row>
    <row r="96" spans="1:7" x14ac:dyDescent="0.25">
      <c r="A96" t="s">
        <v>500</v>
      </c>
      <c r="B96" t="s">
        <v>348</v>
      </c>
      <c r="C96" s="56">
        <v>37054</v>
      </c>
      <c r="D96" t="s">
        <v>501</v>
      </c>
      <c r="E96" t="s">
        <v>0</v>
      </c>
      <c r="F96" t="str">
        <f>UPPER(TEXT(pbi_ListaEmpleadosExpertis[[#This Row],[FEC_NAC]],"mmmm"))</f>
        <v>JUNIO</v>
      </c>
      <c r="G96">
        <f>DAY(pbi_ListaEmpleadosExpertis[[#This Row],[FEC_NAC]])</f>
        <v>12</v>
      </c>
    </row>
    <row r="97" spans="1:7" x14ac:dyDescent="0.25">
      <c r="A97" t="s">
        <v>329</v>
      </c>
      <c r="B97" t="s">
        <v>377</v>
      </c>
      <c r="C97" s="56">
        <v>37080</v>
      </c>
      <c r="D97" t="s">
        <v>330</v>
      </c>
      <c r="E97" t="s">
        <v>342</v>
      </c>
      <c r="F97" t="str">
        <f>UPPER(TEXT(pbi_ListaEmpleadosExpertis[[#This Row],[FEC_NAC]],"mmmm"))</f>
        <v>JULIO</v>
      </c>
      <c r="G97">
        <f>DAY(pbi_ListaEmpleadosExpertis[[#This Row],[FEC_NAC]])</f>
        <v>8</v>
      </c>
    </row>
    <row r="98" spans="1:7" x14ac:dyDescent="0.25">
      <c r="A98" t="s">
        <v>285</v>
      </c>
      <c r="B98" t="s">
        <v>360</v>
      </c>
      <c r="C98" s="56">
        <v>37354</v>
      </c>
      <c r="D98" t="s">
        <v>286</v>
      </c>
      <c r="E98" t="s">
        <v>342</v>
      </c>
      <c r="F98" t="str">
        <f>UPPER(TEXT(pbi_ListaEmpleadosExpertis[[#This Row],[FEC_NAC]],"mmmm"))</f>
        <v>ABRIL</v>
      </c>
      <c r="G98">
        <f>DAY(pbi_ListaEmpleadosExpertis[[#This Row],[FEC_NAC]])</f>
        <v>8</v>
      </c>
    </row>
    <row r="99" spans="1:7" x14ac:dyDescent="0.25">
      <c r="A99" t="s">
        <v>222</v>
      </c>
      <c r="B99" t="s">
        <v>133</v>
      </c>
      <c r="C99" s="56">
        <v>37410</v>
      </c>
      <c r="D99" t="s">
        <v>223</v>
      </c>
      <c r="E99" t="s">
        <v>342</v>
      </c>
      <c r="F99" t="str">
        <f>UPPER(TEXT(pbi_ListaEmpleadosExpertis[[#This Row],[FEC_NAC]],"mmmm"))</f>
        <v>JUNIO</v>
      </c>
      <c r="G99">
        <f>DAY(pbi_ListaEmpleadosExpertis[[#This Row],[FEC_NAC]])</f>
        <v>3</v>
      </c>
    </row>
    <row r="100" spans="1:7" x14ac:dyDescent="0.25">
      <c r="A100" t="s">
        <v>31</v>
      </c>
      <c r="B100" t="s">
        <v>348</v>
      </c>
      <c r="C100" s="56">
        <v>37505</v>
      </c>
      <c r="D100" t="s">
        <v>612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6</v>
      </c>
    </row>
    <row r="101" spans="1:7" x14ac:dyDescent="0.25">
      <c r="A101" t="s">
        <v>331</v>
      </c>
      <c r="B101" t="s">
        <v>378</v>
      </c>
      <c r="C101" s="56">
        <v>37550</v>
      </c>
      <c r="D101" t="s">
        <v>332</v>
      </c>
      <c r="E101" t="s">
        <v>342</v>
      </c>
      <c r="F101" t="str">
        <f>UPPER(TEXT(pbi_ListaEmpleadosExpertis[[#This Row],[FEC_NAC]],"mmmm"))</f>
        <v>OCTUBRE</v>
      </c>
      <c r="G101">
        <f>DAY(pbi_ListaEmpleadosExpertis[[#This Row],[FEC_NAC]])</f>
        <v>21</v>
      </c>
    </row>
    <row r="102" spans="1:7" x14ac:dyDescent="0.25">
      <c r="A102" t="s">
        <v>42</v>
      </c>
      <c r="B102" t="s">
        <v>348</v>
      </c>
      <c r="C102" s="56">
        <v>37683</v>
      </c>
      <c r="D102" t="s">
        <v>284</v>
      </c>
      <c r="E102" t="s">
        <v>0</v>
      </c>
      <c r="F102" t="str">
        <f>UPPER(TEXT(pbi_ListaEmpleadosExpertis[[#This Row],[FEC_NAC]],"mmmm"))</f>
        <v>MARZO</v>
      </c>
      <c r="G102">
        <f>DAY(pbi_ListaEmpleadosExpertis[[#This Row],[FEC_NAC]])</f>
        <v>3</v>
      </c>
    </row>
    <row r="103" spans="1:7" x14ac:dyDescent="0.25">
      <c r="A103" t="s">
        <v>596</v>
      </c>
      <c r="B103" t="s">
        <v>597</v>
      </c>
      <c r="C103" s="56">
        <v>37729</v>
      </c>
      <c r="D103" t="s">
        <v>598</v>
      </c>
      <c r="E103" t="s">
        <v>342</v>
      </c>
      <c r="F103" t="str">
        <f>UPPER(TEXT(pbi_ListaEmpleadosExpertis[[#This Row],[FEC_NAC]],"mmmm"))</f>
        <v>ABRIL</v>
      </c>
      <c r="G103">
        <f>DAY(pbi_ListaEmpleadosExpertis[[#This Row],[FEC_NAC]])</f>
        <v>18</v>
      </c>
    </row>
    <row r="104" spans="1:7" x14ac:dyDescent="0.25">
      <c r="A104" t="s">
        <v>571</v>
      </c>
      <c r="B104" t="s">
        <v>348</v>
      </c>
      <c r="C104" s="56">
        <v>37743</v>
      </c>
      <c r="D104" t="s">
        <v>602</v>
      </c>
      <c r="E104" t="s">
        <v>0</v>
      </c>
      <c r="F104" t="str">
        <f>UPPER(TEXT(pbi_ListaEmpleadosExpertis[[#This Row],[FEC_NAC]],"mmmm"))</f>
        <v>MAYO</v>
      </c>
      <c r="G104">
        <f>DAY(pbi_ListaEmpleadosExpertis[[#This Row],[FEC_NAC]])</f>
        <v>2</v>
      </c>
    </row>
    <row r="105" spans="1:7" x14ac:dyDescent="0.25">
      <c r="A105" t="s">
        <v>59</v>
      </c>
      <c r="B105" t="s">
        <v>348</v>
      </c>
      <c r="C105" s="56">
        <v>38004</v>
      </c>
      <c r="D105" t="s">
        <v>281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18</v>
      </c>
    </row>
    <row r="106" spans="1:7" x14ac:dyDescent="0.25">
      <c r="A106" t="s">
        <v>323</v>
      </c>
      <c r="B106" t="s">
        <v>375</v>
      </c>
      <c r="C106" s="56">
        <v>38097</v>
      </c>
      <c r="D106" t="s">
        <v>324</v>
      </c>
      <c r="E106" t="s">
        <v>342</v>
      </c>
      <c r="F106" t="str">
        <f>UPPER(TEXT(pbi_ListaEmpleadosExpertis[[#This Row],[FEC_NAC]],"mmmm"))</f>
        <v>ABRIL</v>
      </c>
      <c r="G106">
        <f>DAY(pbi_ListaEmpleadosExpertis[[#This Row],[FEC_NAC]])</f>
        <v>20</v>
      </c>
    </row>
    <row r="107" spans="1:7" x14ac:dyDescent="0.25">
      <c r="A107" t="s">
        <v>314</v>
      </c>
      <c r="B107" t="s">
        <v>371</v>
      </c>
      <c r="C107" s="56">
        <v>38500</v>
      </c>
      <c r="D107" t="s">
        <v>315</v>
      </c>
      <c r="E107" t="s">
        <v>342</v>
      </c>
      <c r="F107" t="str">
        <f>UPPER(TEXT(pbi_ListaEmpleadosExpertis[[#This Row],[FEC_NAC]],"mmmm"))</f>
        <v>MAYO</v>
      </c>
      <c r="G107">
        <f>DAY(pbi_ListaEmpleadosExpertis[[#This Row],[FEC_NAC]])</f>
        <v>28</v>
      </c>
    </row>
    <row r="108" spans="1:7" x14ac:dyDescent="0.25">
      <c r="A108" t="s">
        <v>594</v>
      </c>
      <c r="B108" t="s">
        <v>348</v>
      </c>
      <c r="C108" s="56"/>
      <c r="D108" t="s">
        <v>595</v>
      </c>
      <c r="E108" t="s">
        <v>0</v>
      </c>
      <c r="F108" t="str">
        <f>UPPER(TEXT(pbi_ListaEmpleadosExpertis[[#This Row],[FEC_NAC]],"mmmm"))</f>
        <v>ENERO</v>
      </c>
      <c r="G108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452" workbookViewId="0">
      <selection activeCell="G463" sqref="G46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573</v>
      </c>
      <c r="B1" t="s">
        <v>0</v>
      </c>
      <c r="C1" t="s">
        <v>381</v>
      </c>
      <c r="D1" t="s">
        <v>574</v>
      </c>
      <c r="E1" t="s">
        <v>575</v>
      </c>
      <c r="F1" t="s">
        <v>576</v>
      </c>
      <c r="G1" t="s">
        <v>383</v>
      </c>
      <c r="H1" t="s">
        <v>577</v>
      </c>
      <c r="I1" t="s">
        <v>572</v>
      </c>
      <c r="J1" t="s">
        <v>578</v>
      </c>
    </row>
    <row r="2" spans="1:10" x14ac:dyDescent="0.25">
      <c r="A2" t="s">
        <v>579</v>
      </c>
      <c r="B2" t="s">
        <v>219</v>
      </c>
      <c r="C2">
        <v>74122258</v>
      </c>
      <c r="D2" t="s">
        <v>6</v>
      </c>
      <c r="E2" t="s">
        <v>133</v>
      </c>
      <c r="F2" t="s">
        <v>580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579</v>
      </c>
      <c r="B3" t="s">
        <v>222</v>
      </c>
      <c r="C3">
        <v>75000131</v>
      </c>
      <c r="D3" t="s">
        <v>125</v>
      </c>
      <c r="E3" t="s">
        <v>133</v>
      </c>
      <c r="F3" t="s">
        <v>580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579</v>
      </c>
      <c r="B4" t="s">
        <v>226</v>
      </c>
      <c r="C4">
        <v>73049631</v>
      </c>
      <c r="D4" t="s">
        <v>3</v>
      </c>
      <c r="E4" t="s">
        <v>133</v>
      </c>
      <c r="F4" t="s">
        <v>580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579</v>
      </c>
      <c r="B5" t="s">
        <v>214</v>
      </c>
      <c r="C5">
        <v>46872195</v>
      </c>
      <c r="D5" t="s">
        <v>7</v>
      </c>
      <c r="E5" t="s">
        <v>133</v>
      </c>
      <c r="F5" t="s">
        <v>580</v>
      </c>
      <c r="G5" s="56">
        <v>43805</v>
      </c>
      <c r="H5">
        <v>76</v>
      </c>
      <c r="I5" t="s">
        <v>159</v>
      </c>
      <c r="J5" s="56"/>
    </row>
    <row r="6" spans="1:10" x14ac:dyDescent="0.25">
      <c r="A6" t="s">
        <v>579</v>
      </c>
      <c r="B6" t="s">
        <v>224</v>
      </c>
      <c r="C6">
        <v>70984733</v>
      </c>
      <c r="D6" t="s">
        <v>4</v>
      </c>
      <c r="E6" t="s">
        <v>133</v>
      </c>
      <c r="F6" t="s">
        <v>580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579</v>
      </c>
      <c r="B7" t="s">
        <v>212</v>
      </c>
      <c r="C7">
        <v>73613568</v>
      </c>
      <c r="D7" t="s">
        <v>5</v>
      </c>
      <c r="E7" t="s">
        <v>133</v>
      </c>
      <c r="F7" t="s">
        <v>580</v>
      </c>
      <c r="G7" s="56">
        <v>43318</v>
      </c>
      <c r="H7">
        <v>92</v>
      </c>
      <c r="I7" t="s">
        <v>158</v>
      </c>
      <c r="J7" s="56"/>
    </row>
    <row r="8" spans="1:10" x14ac:dyDescent="0.25">
      <c r="A8" t="s">
        <v>579</v>
      </c>
      <c r="B8" t="s">
        <v>118</v>
      </c>
      <c r="C8">
        <v>74318905</v>
      </c>
      <c r="D8" t="s">
        <v>8</v>
      </c>
      <c r="E8" t="s">
        <v>133</v>
      </c>
      <c r="F8" t="s">
        <v>580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579</v>
      </c>
      <c r="B9" t="s">
        <v>581</v>
      </c>
      <c r="C9">
        <v>46796397</v>
      </c>
      <c r="D9" t="s">
        <v>9</v>
      </c>
      <c r="E9" t="s">
        <v>133</v>
      </c>
      <c r="F9" t="s">
        <v>580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579</v>
      </c>
      <c r="B10" t="s">
        <v>58</v>
      </c>
      <c r="C10">
        <v>72519113</v>
      </c>
      <c r="D10" t="s">
        <v>7</v>
      </c>
      <c r="E10" t="s">
        <v>506</v>
      </c>
      <c r="F10" t="s">
        <v>580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579</v>
      </c>
      <c r="B11" t="s">
        <v>49</v>
      </c>
      <c r="C11">
        <v>40702064</v>
      </c>
      <c r="D11" t="s">
        <v>4</v>
      </c>
      <c r="E11" t="s">
        <v>506</v>
      </c>
      <c r="F11" t="s">
        <v>580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579</v>
      </c>
      <c r="B12" t="s">
        <v>23</v>
      </c>
      <c r="C12">
        <v>72413556</v>
      </c>
      <c r="D12" t="s">
        <v>3</v>
      </c>
      <c r="E12" t="s">
        <v>506</v>
      </c>
      <c r="F12" t="s">
        <v>580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579</v>
      </c>
      <c r="B13" t="s">
        <v>26</v>
      </c>
      <c r="C13">
        <v>41005089</v>
      </c>
      <c r="D13" t="s">
        <v>5</v>
      </c>
      <c r="E13" t="s">
        <v>506</v>
      </c>
      <c r="F13" t="s">
        <v>580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579</v>
      </c>
      <c r="B14" t="s">
        <v>69</v>
      </c>
      <c r="C14">
        <v>73930771</v>
      </c>
      <c r="D14" t="s">
        <v>7</v>
      </c>
      <c r="E14" t="s">
        <v>506</v>
      </c>
      <c r="F14" t="s">
        <v>580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579</v>
      </c>
      <c r="B15" t="s">
        <v>74</v>
      </c>
      <c r="C15">
        <v>70135127</v>
      </c>
      <c r="D15" t="s">
        <v>4</v>
      </c>
      <c r="E15" t="s">
        <v>506</v>
      </c>
      <c r="F15" t="s">
        <v>580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579</v>
      </c>
      <c r="B16" t="s">
        <v>19</v>
      </c>
      <c r="C16">
        <v>76656128</v>
      </c>
      <c r="D16" t="s">
        <v>9</v>
      </c>
      <c r="E16" t="s">
        <v>506</v>
      </c>
      <c r="F16" t="s">
        <v>580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579</v>
      </c>
      <c r="B17" t="s">
        <v>29</v>
      </c>
      <c r="C17">
        <v>72758956</v>
      </c>
      <c r="D17" t="s">
        <v>6</v>
      </c>
      <c r="E17" t="s">
        <v>506</v>
      </c>
      <c r="F17" t="s">
        <v>580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579</v>
      </c>
      <c r="B18" t="s">
        <v>10</v>
      </c>
      <c r="C18">
        <v>40980108</v>
      </c>
      <c r="D18" t="s">
        <v>8</v>
      </c>
      <c r="E18" t="s">
        <v>506</v>
      </c>
      <c r="F18" t="s">
        <v>580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579</v>
      </c>
      <c r="B19" t="s">
        <v>75</v>
      </c>
      <c r="C19">
        <v>71264767</v>
      </c>
      <c r="D19" t="s">
        <v>6</v>
      </c>
      <c r="E19" t="s">
        <v>506</v>
      </c>
      <c r="F19" t="s">
        <v>580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579</v>
      </c>
      <c r="B20" t="s">
        <v>15</v>
      </c>
      <c r="C20">
        <v>47587400</v>
      </c>
      <c r="D20" t="s">
        <v>125</v>
      </c>
      <c r="E20" t="s">
        <v>506</v>
      </c>
      <c r="F20" t="s">
        <v>580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579</v>
      </c>
      <c r="B21" t="s">
        <v>35</v>
      </c>
      <c r="C21">
        <v>10491198</v>
      </c>
      <c r="D21" t="s">
        <v>4</v>
      </c>
      <c r="E21" t="s">
        <v>506</v>
      </c>
      <c r="F21" t="s">
        <v>580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579</v>
      </c>
      <c r="B22" t="s">
        <v>48</v>
      </c>
      <c r="C22">
        <v>43307898</v>
      </c>
      <c r="D22" t="s">
        <v>3</v>
      </c>
      <c r="E22" t="s">
        <v>506</v>
      </c>
      <c r="F22" t="s">
        <v>580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579</v>
      </c>
      <c r="B23" t="s">
        <v>106</v>
      </c>
      <c r="C23">
        <v>72197469</v>
      </c>
      <c r="D23" t="s">
        <v>3</v>
      </c>
      <c r="E23" t="s">
        <v>582</v>
      </c>
      <c r="F23" t="s">
        <v>580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579</v>
      </c>
      <c r="B24" t="s">
        <v>67</v>
      </c>
      <c r="C24">
        <v>9880053</v>
      </c>
      <c r="D24" t="s">
        <v>6</v>
      </c>
      <c r="E24" t="s">
        <v>506</v>
      </c>
      <c r="F24" t="s">
        <v>580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579</v>
      </c>
      <c r="B25" t="s">
        <v>13</v>
      </c>
      <c r="C25">
        <v>72512391</v>
      </c>
      <c r="D25" t="s">
        <v>9</v>
      </c>
      <c r="E25" t="s">
        <v>506</v>
      </c>
      <c r="F25" t="s">
        <v>580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579</v>
      </c>
      <c r="B26" t="s">
        <v>76</v>
      </c>
      <c r="C26">
        <v>60914051</v>
      </c>
      <c r="D26" t="s">
        <v>8</v>
      </c>
      <c r="E26" t="s">
        <v>506</v>
      </c>
      <c r="F26" t="s">
        <v>580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579</v>
      </c>
      <c r="B27" t="s">
        <v>25</v>
      </c>
      <c r="C27">
        <v>72373931</v>
      </c>
      <c r="D27" t="s">
        <v>8</v>
      </c>
      <c r="E27" t="s">
        <v>506</v>
      </c>
      <c r="F27" t="s">
        <v>580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579</v>
      </c>
      <c r="B28" t="s">
        <v>21</v>
      </c>
      <c r="C28">
        <v>44042880</v>
      </c>
      <c r="D28" t="s">
        <v>7</v>
      </c>
      <c r="E28" t="s">
        <v>506</v>
      </c>
      <c r="F28" t="s">
        <v>580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579</v>
      </c>
      <c r="B29" t="s">
        <v>77</v>
      </c>
      <c r="C29">
        <v>42251780</v>
      </c>
      <c r="D29" t="s">
        <v>9</v>
      </c>
      <c r="E29" t="s">
        <v>506</v>
      </c>
      <c r="F29" t="s">
        <v>580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579</v>
      </c>
      <c r="B30" t="s">
        <v>33</v>
      </c>
      <c r="C30">
        <v>80689573</v>
      </c>
      <c r="D30" t="s">
        <v>3</v>
      </c>
      <c r="E30" t="s">
        <v>506</v>
      </c>
      <c r="F30" t="s">
        <v>580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579</v>
      </c>
      <c r="B31" t="s">
        <v>12</v>
      </c>
      <c r="C31">
        <v>45262585</v>
      </c>
      <c r="D31" t="s">
        <v>125</v>
      </c>
      <c r="E31" t="s">
        <v>506</v>
      </c>
      <c r="F31" t="s">
        <v>580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579</v>
      </c>
      <c r="B32" t="s">
        <v>17</v>
      </c>
      <c r="C32">
        <v>70876605</v>
      </c>
      <c r="D32" t="s">
        <v>6</v>
      </c>
      <c r="E32" t="s">
        <v>505</v>
      </c>
      <c r="F32" t="s">
        <v>580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579</v>
      </c>
      <c r="B33" t="s">
        <v>61</v>
      </c>
      <c r="C33">
        <v>44001162</v>
      </c>
      <c r="D33" t="s">
        <v>8</v>
      </c>
      <c r="E33" t="s">
        <v>506</v>
      </c>
      <c r="F33" t="s">
        <v>580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579</v>
      </c>
      <c r="B34" t="s">
        <v>36</v>
      </c>
      <c r="C34">
        <v>76917479</v>
      </c>
      <c r="D34" t="s">
        <v>6</v>
      </c>
      <c r="E34" t="s">
        <v>506</v>
      </c>
      <c r="F34" t="s">
        <v>580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579</v>
      </c>
      <c r="B35" t="s">
        <v>78</v>
      </c>
      <c r="C35">
        <v>10706451</v>
      </c>
      <c r="D35" t="s">
        <v>6</v>
      </c>
      <c r="E35" t="s">
        <v>506</v>
      </c>
      <c r="F35" t="s">
        <v>580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579</v>
      </c>
      <c r="B36" t="s">
        <v>70</v>
      </c>
      <c r="C36">
        <v>47982910</v>
      </c>
      <c r="D36" t="s">
        <v>5</v>
      </c>
      <c r="E36" t="s">
        <v>506</v>
      </c>
      <c r="F36" t="s">
        <v>580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579</v>
      </c>
      <c r="B37" t="s">
        <v>65</v>
      </c>
      <c r="C37">
        <v>47659267</v>
      </c>
      <c r="D37" t="s">
        <v>125</v>
      </c>
      <c r="E37" t="s">
        <v>506</v>
      </c>
      <c r="F37" t="s">
        <v>580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579</v>
      </c>
      <c r="B38" t="s">
        <v>37</v>
      </c>
      <c r="C38">
        <v>70988976</v>
      </c>
      <c r="D38" t="s">
        <v>9</v>
      </c>
      <c r="E38" t="s">
        <v>505</v>
      </c>
      <c r="F38" t="s">
        <v>580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579</v>
      </c>
      <c r="B39" t="s">
        <v>18</v>
      </c>
      <c r="C39">
        <v>76214436</v>
      </c>
      <c r="D39" t="s">
        <v>7</v>
      </c>
      <c r="E39" t="s">
        <v>506</v>
      </c>
      <c r="F39" t="s">
        <v>580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579</v>
      </c>
      <c r="B40" t="s">
        <v>73</v>
      </c>
      <c r="C40">
        <v>40318129</v>
      </c>
      <c r="D40" t="s">
        <v>125</v>
      </c>
      <c r="E40" t="s">
        <v>506</v>
      </c>
      <c r="F40" t="s">
        <v>580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579</v>
      </c>
      <c r="B41" t="s">
        <v>20</v>
      </c>
      <c r="C41">
        <v>48307357</v>
      </c>
      <c r="D41" t="s">
        <v>7</v>
      </c>
      <c r="E41" t="s">
        <v>506</v>
      </c>
      <c r="F41" t="s">
        <v>580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579</v>
      </c>
      <c r="B42" t="s">
        <v>79</v>
      </c>
      <c r="C42">
        <v>71262377</v>
      </c>
      <c r="D42" t="s">
        <v>5</v>
      </c>
      <c r="E42" t="s">
        <v>506</v>
      </c>
      <c r="F42" t="s">
        <v>580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579</v>
      </c>
      <c r="B43" t="s">
        <v>34</v>
      </c>
      <c r="C43">
        <v>76824571</v>
      </c>
      <c r="D43" t="s">
        <v>9</v>
      </c>
      <c r="E43" t="s">
        <v>506</v>
      </c>
      <c r="F43" t="s">
        <v>580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579</v>
      </c>
      <c r="B44" t="s">
        <v>80</v>
      </c>
      <c r="C44">
        <v>45084594</v>
      </c>
      <c r="D44" t="s">
        <v>9</v>
      </c>
      <c r="E44" t="s">
        <v>506</v>
      </c>
      <c r="F44" t="s">
        <v>580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579</v>
      </c>
      <c r="B45" t="s">
        <v>22</v>
      </c>
      <c r="C45">
        <v>70551168</v>
      </c>
      <c r="D45" t="s">
        <v>6</v>
      </c>
      <c r="E45" t="s">
        <v>506</v>
      </c>
      <c r="F45" t="s">
        <v>580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579</v>
      </c>
      <c r="B46" t="s">
        <v>41</v>
      </c>
      <c r="C46">
        <v>46461021</v>
      </c>
      <c r="D46" t="s">
        <v>125</v>
      </c>
      <c r="E46" t="s">
        <v>506</v>
      </c>
      <c r="F46" t="s">
        <v>580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579</v>
      </c>
      <c r="B47" t="s">
        <v>24</v>
      </c>
      <c r="C47">
        <v>43614775</v>
      </c>
      <c r="D47" t="s">
        <v>9</v>
      </c>
      <c r="E47" t="s">
        <v>506</v>
      </c>
      <c r="F47" t="s">
        <v>580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579</v>
      </c>
      <c r="B48" t="s">
        <v>31</v>
      </c>
      <c r="C48">
        <v>75882265</v>
      </c>
      <c r="D48" t="s">
        <v>6</v>
      </c>
      <c r="E48" t="s">
        <v>506</v>
      </c>
      <c r="F48" t="s">
        <v>580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579</v>
      </c>
      <c r="B49" t="s">
        <v>16</v>
      </c>
      <c r="C49">
        <v>47029782</v>
      </c>
      <c r="D49" t="s">
        <v>125</v>
      </c>
      <c r="E49" t="s">
        <v>506</v>
      </c>
      <c r="F49" t="s">
        <v>580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579</v>
      </c>
      <c r="B50" t="s">
        <v>59</v>
      </c>
      <c r="C50">
        <v>60870839</v>
      </c>
      <c r="D50" t="s">
        <v>8</v>
      </c>
      <c r="E50" t="s">
        <v>505</v>
      </c>
      <c r="F50" t="s">
        <v>580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579</v>
      </c>
      <c r="B51" t="s">
        <v>68</v>
      </c>
      <c r="C51">
        <v>73257316</v>
      </c>
      <c r="D51" t="s">
        <v>5</v>
      </c>
      <c r="E51" t="s">
        <v>506</v>
      </c>
      <c r="F51" t="s">
        <v>580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579</v>
      </c>
      <c r="B52" t="s">
        <v>11</v>
      </c>
      <c r="C52">
        <v>45139159</v>
      </c>
      <c r="D52" t="s">
        <v>7</v>
      </c>
      <c r="E52" t="s">
        <v>506</v>
      </c>
      <c r="F52" t="s">
        <v>580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579</v>
      </c>
      <c r="B53" t="s">
        <v>42</v>
      </c>
      <c r="C53">
        <v>73725129</v>
      </c>
      <c r="D53" t="s">
        <v>8</v>
      </c>
      <c r="E53" t="s">
        <v>506</v>
      </c>
      <c r="F53" t="s">
        <v>580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579</v>
      </c>
      <c r="B54" t="s">
        <v>71</v>
      </c>
      <c r="C54">
        <v>45596891</v>
      </c>
      <c r="D54" t="s">
        <v>4</v>
      </c>
      <c r="E54" t="s">
        <v>582</v>
      </c>
      <c r="F54" t="s">
        <v>580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579</v>
      </c>
      <c r="B55" t="s">
        <v>40</v>
      </c>
      <c r="C55">
        <v>60976055</v>
      </c>
      <c r="D55" t="s">
        <v>4</v>
      </c>
      <c r="E55" t="s">
        <v>506</v>
      </c>
      <c r="F55" t="s">
        <v>580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579</v>
      </c>
      <c r="B56" t="s">
        <v>103</v>
      </c>
      <c r="C56">
        <v>47218693</v>
      </c>
      <c r="D56" t="s">
        <v>5</v>
      </c>
      <c r="E56" t="s">
        <v>582</v>
      </c>
      <c r="F56" t="s">
        <v>580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579</v>
      </c>
      <c r="B57" t="s">
        <v>81</v>
      </c>
      <c r="C57">
        <v>72716299</v>
      </c>
      <c r="D57" t="s">
        <v>8</v>
      </c>
      <c r="E57" t="s">
        <v>506</v>
      </c>
      <c r="F57" t="s">
        <v>580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579</v>
      </c>
      <c r="B58" t="s">
        <v>32</v>
      </c>
      <c r="C58">
        <v>48584670</v>
      </c>
      <c r="D58" t="s">
        <v>3</v>
      </c>
      <c r="E58" t="s">
        <v>505</v>
      </c>
      <c r="F58" t="s">
        <v>580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579</v>
      </c>
      <c r="B59" t="s">
        <v>57</v>
      </c>
      <c r="C59">
        <v>74996029</v>
      </c>
      <c r="D59" t="s">
        <v>8</v>
      </c>
      <c r="E59" t="s">
        <v>506</v>
      </c>
      <c r="F59" t="s">
        <v>580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579</v>
      </c>
      <c r="B60" t="s">
        <v>66</v>
      </c>
      <c r="C60">
        <v>46819930</v>
      </c>
      <c r="D60" t="s">
        <v>125</v>
      </c>
      <c r="E60" t="s">
        <v>505</v>
      </c>
      <c r="F60" t="s">
        <v>580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579</v>
      </c>
      <c r="B61" t="s">
        <v>27</v>
      </c>
      <c r="C61">
        <v>73203775</v>
      </c>
      <c r="D61" t="s">
        <v>8</v>
      </c>
      <c r="E61" t="s">
        <v>506</v>
      </c>
      <c r="F61" t="s">
        <v>580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579</v>
      </c>
      <c r="B62" t="s">
        <v>51</v>
      </c>
      <c r="C62">
        <v>76089925</v>
      </c>
      <c r="D62" t="s">
        <v>9</v>
      </c>
      <c r="E62" t="s">
        <v>506</v>
      </c>
      <c r="F62" t="s">
        <v>580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579</v>
      </c>
      <c r="B63" t="s">
        <v>72</v>
      </c>
      <c r="C63">
        <v>47690367</v>
      </c>
      <c r="D63" t="s">
        <v>5</v>
      </c>
      <c r="E63" t="s">
        <v>506</v>
      </c>
      <c r="F63" t="s">
        <v>580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579</v>
      </c>
      <c r="B64" t="s">
        <v>110</v>
      </c>
      <c r="C64">
        <v>43611146</v>
      </c>
      <c r="D64" t="s">
        <v>4</v>
      </c>
      <c r="E64" t="s">
        <v>582</v>
      </c>
      <c r="F64" t="s">
        <v>580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579</v>
      </c>
      <c r="B65" t="s">
        <v>104</v>
      </c>
      <c r="C65">
        <v>72074706</v>
      </c>
      <c r="D65" t="s">
        <v>4</v>
      </c>
      <c r="E65" t="s">
        <v>582</v>
      </c>
      <c r="F65" t="s">
        <v>580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579</v>
      </c>
      <c r="B66" t="s">
        <v>53</v>
      </c>
      <c r="C66">
        <v>46587976</v>
      </c>
      <c r="D66" t="s">
        <v>3</v>
      </c>
      <c r="E66" t="s">
        <v>506</v>
      </c>
      <c r="F66" t="s">
        <v>580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579</v>
      </c>
      <c r="B67" t="s">
        <v>105</v>
      </c>
      <c r="C67">
        <v>48344037</v>
      </c>
      <c r="D67" t="s">
        <v>7</v>
      </c>
      <c r="E67" t="s">
        <v>506</v>
      </c>
      <c r="F67" t="s">
        <v>580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579</v>
      </c>
      <c r="B68" t="s">
        <v>50</v>
      </c>
      <c r="C68">
        <v>72733809</v>
      </c>
      <c r="D68" t="s">
        <v>9</v>
      </c>
      <c r="E68" t="s">
        <v>506</v>
      </c>
      <c r="F68" t="s">
        <v>580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579</v>
      </c>
      <c r="B69" t="s">
        <v>43</v>
      </c>
      <c r="C69">
        <v>74799185</v>
      </c>
      <c r="D69" t="s">
        <v>3</v>
      </c>
      <c r="E69" t="s">
        <v>506</v>
      </c>
      <c r="F69" t="s">
        <v>580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579</v>
      </c>
      <c r="B70" t="s">
        <v>44</v>
      </c>
      <c r="C70">
        <v>45468175</v>
      </c>
      <c r="D70" t="s">
        <v>3</v>
      </c>
      <c r="E70" t="s">
        <v>506</v>
      </c>
      <c r="F70" t="s">
        <v>580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579</v>
      </c>
      <c r="B71" t="s">
        <v>38</v>
      </c>
      <c r="C71">
        <v>47411966</v>
      </c>
      <c r="D71" t="s">
        <v>125</v>
      </c>
      <c r="E71" t="s">
        <v>506</v>
      </c>
      <c r="F71" t="s">
        <v>580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579</v>
      </c>
      <c r="B72" t="s">
        <v>55</v>
      </c>
      <c r="C72">
        <v>45119892</v>
      </c>
      <c r="D72" t="s">
        <v>4</v>
      </c>
      <c r="E72" t="s">
        <v>506</v>
      </c>
      <c r="F72" t="s">
        <v>580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579</v>
      </c>
      <c r="B73" t="s">
        <v>54</v>
      </c>
      <c r="C73">
        <v>70155949</v>
      </c>
      <c r="D73" t="s">
        <v>9</v>
      </c>
      <c r="E73" t="s">
        <v>506</v>
      </c>
      <c r="F73" t="s">
        <v>580</v>
      </c>
      <c r="G73" s="56">
        <v>45814</v>
      </c>
      <c r="H73">
        <v>10</v>
      </c>
      <c r="I73" t="s">
        <v>156</v>
      </c>
      <c r="J73" s="56"/>
    </row>
    <row r="74" spans="1:10" x14ac:dyDescent="0.25">
      <c r="A74" t="s">
        <v>579</v>
      </c>
      <c r="B74" t="s">
        <v>28</v>
      </c>
      <c r="C74">
        <v>70951123</v>
      </c>
      <c r="D74" t="s">
        <v>5</v>
      </c>
      <c r="E74" t="s">
        <v>506</v>
      </c>
      <c r="F74" t="s">
        <v>580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579</v>
      </c>
      <c r="B75" t="s">
        <v>60</v>
      </c>
      <c r="C75">
        <v>72839865</v>
      </c>
      <c r="D75" t="s">
        <v>7</v>
      </c>
      <c r="E75" t="s">
        <v>506</v>
      </c>
      <c r="F75" t="s">
        <v>580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579</v>
      </c>
      <c r="B76" t="s">
        <v>101</v>
      </c>
      <c r="C76">
        <v>46938414</v>
      </c>
      <c r="D76" t="s">
        <v>3</v>
      </c>
      <c r="E76" t="s">
        <v>582</v>
      </c>
      <c r="F76" t="s">
        <v>580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579</v>
      </c>
      <c r="B77" t="s">
        <v>102</v>
      </c>
      <c r="C77">
        <v>9996175</v>
      </c>
      <c r="D77" t="s">
        <v>3</v>
      </c>
      <c r="E77" t="s">
        <v>582</v>
      </c>
      <c r="F77" t="s">
        <v>580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579</v>
      </c>
      <c r="B78" t="s">
        <v>91</v>
      </c>
      <c r="C78">
        <v>75346810</v>
      </c>
      <c r="D78" t="s">
        <v>125</v>
      </c>
      <c r="E78" t="s">
        <v>506</v>
      </c>
      <c r="F78" t="s">
        <v>580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579</v>
      </c>
      <c r="B79" t="s">
        <v>93</v>
      </c>
      <c r="C79">
        <v>47322258</v>
      </c>
      <c r="D79" t="s">
        <v>4</v>
      </c>
      <c r="E79" t="s">
        <v>506</v>
      </c>
      <c r="F79" t="s">
        <v>580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579</v>
      </c>
      <c r="B80" t="s">
        <v>92</v>
      </c>
      <c r="C80">
        <v>73040632</v>
      </c>
      <c r="D80" t="s">
        <v>4</v>
      </c>
      <c r="E80" t="s">
        <v>506</v>
      </c>
      <c r="F80" t="s">
        <v>580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579</v>
      </c>
      <c r="B81" t="s">
        <v>96</v>
      </c>
      <c r="C81">
        <v>46793103</v>
      </c>
      <c r="D81" t="s">
        <v>5</v>
      </c>
      <c r="E81" t="s">
        <v>506</v>
      </c>
      <c r="F81" t="s">
        <v>580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579</v>
      </c>
      <c r="B82" t="s">
        <v>97</v>
      </c>
      <c r="C82">
        <v>74602206</v>
      </c>
      <c r="D82" t="s">
        <v>3</v>
      </c>
      <c r="E82" t="s">
        <v>506</v>
      </c>
      <c r="F82" t="s">
        <v>580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579</v>
      </c>
      <c r="B83" t="s">
        <v>100</v>
      </c>
      <c r="C83">
        <v>41285428</v>
      </c>
      <c r="D83" t="s">
        <v>9</v>
      </c>
      <c r="E83" t="s">
        <v>506</v>
      </c>
      <c r="F83" t="s">
        <v>580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579</v>
      </c>
      <c r="B84" t="s">
        <v>99</v>
      </c>
      <c r="C84">
        <v>73708621</v>
      </c>
      <c r="D84" t="s">
        <v>6</v>
      </c>
      <c r="E84" t="s">
        <v>506</v>
      </c>
      <c r="F84" t="s">
        <v>580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579</v>
      </c>
      <c r="B85" t="s">
        <v>114</v>
      </c>
      <c r="C85">
        <v>47005973</v>
      </c>
      <c r="D85" t="s">
        <v>4</v>
      </c>
      <c r="E85" t="s">
        <v>506</v>
      </c>
      <c r="F85" t="s">
        <v>580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583</v>
      </c>
      <c r="B86" t="s">
        <v>219</v>
      </c>
      <c r="C86">
        <v>74122258</v>
      </c>
      <c r="D86" t="s">
        <v>6</v>
      </c>
      <c r="E86" t="s">
        <v>133</v>
      </c>
      <c r="F86" t="s">
        <v>580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583</v>
      </c>
      <c r="B87" t="s">
        <v>248</v>
      </c>
      <c r="C87">
        <v>44265602</v>
      </c>
      <c r="D87" t="s">
        <v>2</v>
      </c>
      <c r="E87" t="s">
        <v>133</v>
      </c>
      <c r="F87" t="s">
        <v>580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583</v>
      </c>
      <c r="B88" t="s">
        <v>226</v>
      </c>
      <c r="C88">
        <v>73049631</v>
      </c>
      <c r="D88" t="s">
        <v>3</v>
      </c>
      <c r="E88" t="s">
        <v>133</v>
      </c>
      <c r="F88" t="s">
        <v>580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583</v>
      </c>
      <c r="B89" t="s">
        <v>214</v>
      </c>
      <c r="C89">
        <v>46872195</v>
      </c>
      <c r="D89" t="s">
        <v>7</v>
      </c>
      <c r="E89" t="s">
        <v>133</v>
      </c>
      <c r="F89" t="s">
        <v>580</v>
      </c>
      <c r="G89" s="56">
        <v>43805</v>
      </c>
      <c r="H89">
        <v>76</v>
      </c>
      <c r="I89" t="s">
        <v>160</v>
      </c>
      <c r="J89" s="56"/>
    </row>
    <row r="90" spans="1:10" x14ac:dyDescent="0.25">
      <c r="A90" t="s">
        <v>583</v>
      </c>
      <c r="B90" t="s">
        <v>224</v>
      </c>
      <c r="C90">
        <v>70984733</v>
      </c>
      <c r="D90" t="s">
        <v>4</v>
      </c>
      <c r="E90" t="s">
        <v>133</v>
      </c>
      <c r="F90" t="s">
        <v>580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583</v>
      </c>
      <c r="B91" t="s">
        <v>212</v>
      </c>
      <c r="C91">
        <v>73613568</v>
      </c>
      <c r="D91" t="s">
        <v>5</v>
      </c>
      <c r="E91" t="s">
        <v>133</v>
      </c>
      <c r="F91" t="s">
        <v>580</v>
      </c>
      <c r="G91" s="56">
        <v>43318</v>
      </c>
      <c r="H91">
        <v>92</v>
      </c>
      <c r="I91" t="s">
        <v>160</v>
      </c>
      <c r="J91" s="56"/>
    </row>
    <row r="92" spans="1:10" x14ac:dyDescent="0.25">
      <c r="A92" t="s">
        <v>583</v>
      </c>
      <c r="B92" t="s">
        <v>58</v>
      </c>
      <c r="C92">
        <v>72519113</v>
      </c>
      <c r="D92" t="s">
        <v>4</v>
      </c>
      <c r="E92" t="s">
        <v>506</v>
      </c>
      <c r="F92" t="s">
        <v>580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583</v>
      </c>
      <c r="B93" t="s">
        <v>49</v>
      </c>
      <c r="C93">
        <v>40702064</v>
      </c>
      <c r="D93" t="s">
        <v>2</v>
      </c>
      <c r="E93" t="s">
        <v>506</v>
      </c>
      <c r="F93" t="s">
        <v>580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583</v>
      </c>
      <c r="B94" t="s">
        <v>23</v>
      </c>
      <c r="C94">
        <v>72413556</v>
      </c>
      <c r="D94" t="s">
        <v>3</v>
      </c>
      <c r="E94" t="s">
        <v>506</v>
      </c>
      <c r="F94" t="s">
        <v>580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583</v>
      </c>
      <c r="B95" t="s">
        <v>26</v>
      </c>
      <c r="C95">
        <v>41005089</v>
      </c>
      <c r="D95" t="s">
        <v>6</v>
      </c>
      <c r="E95" t="s">
        <v>506</v>
      </c>
      <c r="F95" t="s">
        <v>580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583</v>
      </c>
      <c r="B96" t="s">
        <v>69</v>
      </c>
      <c r="C96">
        <v>73930771</v>
      </c>
      <c r="D96" t="s">
        <v>3</v>
      </c>
      <c r="E96" t="s">
        <v>506</v>
      </c>
      <c r="F96" t="s">
        <v>580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583</v>
      </c>
      <c r="B97" t="s">
        <v>74</v>
      </c>
      <c r="C97">
        <v>70135127</v>
      </c>
      <c r="D97" t="s">
        <v>7</v>
      </c>
      <c r="E97" t="s">
        <v>582</v>
      </c>
      <c r="F97" t="s">
        <v>580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583</v>
      </c>
      <c r="B98" t="s">
        <v>19</v>
      </c>
      <c r="C98">
        <v>76656128</v>
      </c>
      <c r="D98" t="s">
        <v>6</v>
      </c>
      <c r="E98" t="s">
        <v>506</v>
      </c>
      <c r="F98" t="s">
        <v>580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583</v>
      </c>
      <c r="B99" t="s">
        <v>29</v>
      </c>
      <c r="C99">
        <v>72758956</v>
      </c>
      <c r="D99" t="s">
        <v>5</v>
      </c>
      <c r="E99" t="s">
        <v>506</v>
      </c>
      <c r="F99" t="s">
        <v>580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583</v>
      </c>
      <c r="B100" t="s">
        <v>10</v>
      </c>
      <c r="C100">
        <v>40980108</v>
      </c>
      <c r="D100" t="s">
        <v>4</v>
      </c>
      <c r="E100" t="s">
        <v>506</v>
      </c>
      <c r="F100" t="s">
        <v>580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583</v>
      </c>
      <c r="B101" t="s">
        <v>75</v>
      </c>
      <c r="C101">
        <v>71264767</v>
      </c>
      <c r="D101" t="s">
        <v>4</v>
      </c>
      <c r="E101" t="s">
        <v>506</v>
      </c>
      <c r="F101" t="s">
        <v>580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583</v>
      </c>
      <c r="B102" t="s">
        <v>15</v>
      </c>
      <c r="C102">
        <v>47587400</v>
      </c>
      <c r="D102" t="s">
        <v>2</v>
      </c>
      <c r="E102" t="s">
        <v>506</v>
      </c>
      <c r="F102" t="s">
        <v>580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583</v>
      </c>
      <c r="B103" t="s">
        <v>35</v>
      </c>
      <c r="C103">
        <v>10491198</v>
      </c>
      <c r="D103" t="s">
        <v>6</v>
      </c>
      <c r="E103" t="s">
        <v>506</v>
      </c>
      <c r="F103" t="s">
        <v>580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583</v>
      </c>
      <c r="B104" t="s">
        <v>48</v>
      </c>
      <c r="C104">
        <v>43307898</v>
      </c>
      <c r="D104" t="s">
        <v>2</v>
      </c>
      <c r="E104" t="s">
        <v>506</v>
      </c>
      <c r="F104" t="s">
        <v>580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583</v>
      </c>
      <c r="B105" t="s">
        <v>67</v>
      </c>
      <c r="C105">
        <v>9880053</v>
      </c>
      <c r="D105" t="s">
        <v>6</v>
      </c>
      <c r="E105" t="s">
        <v>582</v>
      </c>
      <c r="F105" t="s">
        <v>580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583</v>
      </c>
      <c r="B106" t="s">
        <v>13</v>
      </c>
      <c r="C106">
        <v>72512391</v>
      </c>
      <c r="D106" t="s">
        <v>3</v>
      </c>
      <c r="E106" t="s">
        <v>506</v>
      </c>
      <c r="F106" t="s">
        <v>580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583</v>
      </c>
      <c r="B107" t="s">
        <v>76</v>
      </c>
      <c r="C107">
        <v>60914051</v>
      </c>
      <c r="D107" t="s">
        <v>3</v>
      </c>
      <c r="E107" t="s">
        <v>506</v>
      </c>
      <c r="F107" t="s">
        <v>580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583</v>
      </c>
      <c r="B108" t="s">
        <v>25</v>
      </c>
      <c r="C108">
        <v>72373931</v>
      </c>
      <c r="D108" t="s">
        <v>2</v>
      </c>
      <c r="E108" t="s">
        <v>505</v>
      </c>
      <c r="F108" t="s">
        <v>580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583</v>
      </c>
      <c r="B109" t="s">
        <v>21</v>
      </c>
      <c r="C109">
        <v>44042880</v>
      </c>
      <c r="D109" t="s">
        <v>2</v>
      </c>
      <c r="E109" t="s">
        <v>506</v>
      </c>
      <c r="F109" t="s">
        <v>580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583</v>
      </c>
      <c r="B110" t="s">
        <v>77</v>
      </c>
      <c r="C110">
        <v>42251780</v>
      </c>
      <c r="D110" t="s">
        <v>5</v>
      </c>
      <c r="E110" t="s">
        <v>506</v>
      </c>
      <c r="F110" t="s">
        <v>580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583</v>
      </c>
      <c r="B111" t="s">
        <v>33</v>
      </c>
      <c r="C111">
        <v>80689573</v>
      </c>
      <c r="D111" t="s">
        <v>2</v>
      </c>
      <c r="E111" t="s">
        <v>505</v>
      </c>
      <c r="F111" t="s">
        <v>580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583</v>
      </c>
      <c r="B112" t="s">
        <v>12</v>
      </c>
      <c r="C112">
        <v>45262585</v>
      </c>
      <c r="D112" t="s">
        <v>2</v>
      </c>
      <c r="E112" t="s">
        <v>505</v>
      </c>
      <c r="F112" t="s">
        <v>580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583</v>
      </c>
      <c r="B113" t="s">
        <v>17</v>
      </c>
      <c r="C113">
        <v>70876605</v>
      </c>
      <c r="D113" t="s">
        <v>3</v>
      </c>
      <c r="E113" t="s">
        <v>506</v>
      </c>
      <c r="F113" t="s">
        <v>580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583</v>
      </c>
      <c r="B114" t="s">
        <v>61</v>
      </c>
      <c r="C114">
        <v>44001162</v>
      </c>
      <c r="D114" t="s">
        <v>6</v>
      </c>
      <c r="E114" t="s">
        <v>506</v>
      </c>
      <c r="F114" t="s">
        <v>580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583</v>
      </c>
      <c r="B115" t="s">
        <v>36</v>
      </c>
      <c r="C115">
        <v>76917479</v>
      </c>
      <c r="D115" t="s">
        <v>5</v>
      </c>
      <c r="E115" t="s">
        <v>582</v>
      </c>
      <c r="F115" t="s">
        <v>580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583</v>
      </c>
      <c r="B116" t="s">
        <v>78</v>
      </c>
      <c r="C116">
        <v>10706451</v>
      </c>
      <c r="D116" t="s">
        <v>6</v>
      </c>
      <c r="E116" t="s">
        <v>506</v>
      </c>
      <c r="F116" t="s">
        <v>580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583</v>
      </c>
      <c r="B117" t="s">
        <v>70</v>
      </c>
      <c r="C117">
        <v>47982910</v>
      </c>
      <c r="D117" t="s">
        <v>7</v>
      </c>
      <c r="E117" t="s">
        <v>582</v>
      </c>
      <c r="F117" t="s">
        <v>580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583</v>
      </c>
      <c r="B118" t="s">
        <v>65</v>
      </c>
      <c r="C118">
        <v>47659267</v>
      </c>
      <c r="D118" t="s">
        <v>6</v>
      </c>
      <c r="E118" t="s">
        <v>506</v>
      </c>
      <c r="F118" t="s">
        <v>580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583</v>
      </c>
      <c r="B119" t="s">
        <v>37</v>
      </c>
      <c r="C119">
        <v>70988976</v>
      </c>
      <c r="D119" t="s">
        <v>4</v>
      </c>
      <c r="E119" t="s">
        <v>506</v>
      </c>
      <c r="F119" t="s">
        <v>580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583</v>
      </c>
      <c r="B120" t="s">
        <v>18</v>
      </c>
      <c r="C120">
        <v>76214436</v>
      </c>
      <c r="D120" t="s">
        <v>6</v>
      </c>
      <c r="E120" t="s">
        <v>506</v>
      </c>
      <c r="F120" t="s">
        <v>580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583</v>
      </c>
      <c r="B121" t="s">
        <v>73</v>
      </c>
      <c r="C121">
        <v>40318129</v>
      </c>
      <c r="D121" t="s">
        <v>2</v>
      </c>
      <c r="E121" t="s">
        <v>506</v>
      </c>
      <c r="F121" t="s">
        <v>580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583</v>
      </c>
      <c r="B122" t="s">
        <v>20</v>
      </c>
      <c r="C122">
        <v>48307357</v>
      </c>
      <c r="D122" t="s">
        <v>7</v>
      </c>
      <c r="E122" t="s">
        <v>582</v>
      </c>
      <c r="F122" t="s">
        <v>580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583</v>
      </c>
      <c r="B123" t="s">
        <v>79</v>
      </c>
      <c r="C123">
        <v>71262377</v>
      </c>
      <c r="D123" t="s">
        <v>5</v>
      </c>
      <c r="E123" t="s">
        <v>506</v>
      </c>
      <c r="F123" t="s">
        <v>580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583</v>
      </c>
      <c r="B124" t="s">
        <v>34</v>
      </c>
      <c r="C124">
        <v>76824571</v>
      </c>
      <c r="D124" t="s">
        <v>2</v>
      </c>
      <c r="E124" t="s">
        <v>505</v>
      </c>
      <c r="F124" t="s">
        <v>580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583</v>
      </c>
      <c r="B125" t="s">
        <v>80</v>
      </c>
      <c r="C125">
        <v>45084594</v>
      </c>
      <c r="D125" t="s">
        <v>4</v>
      </c>
      <c r="E125" t="s">
        <v>506</v>
      </c>
      <c r="F125" t="s">
        <v>580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583</v>
      </c>
      <c r="B126" t="s">
        <v>22</v>
      </c>
      <c r="C126">
        <v>70551168</v>
      </c>
      <c r="D126" t="s">
        <v>3</v>
      </c>
      <c r="E126" t="s">
        <v>506</v>
      </c>
      <c r="F126" t="s">
        <v>580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583</v>
      </c>
      <c r="B127" t="s">
        <v>41</v>
      </c>
      <c r="C127">
        <v>46461021</v>
      </c>
      <c r="D127" t="s">
        <v>6</v>
      </c>
      <c r="E127" t="s">
        <v>506</v>
      </c>
      <c r="F127" t="s">
        <v>580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583</v>
      </c>
      <c r="B128" t="s">
        <v>24</v>
      </c>
      <c r="C128">
        <v>43614775</v>
      </c>
      <c r="D128" t="s">
        <v>6</v>
      </c>
      <c r="E128" t="s">
        <v>506</v>
      </c>
      <c r="F128" t="s">
        <v>580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583</v>
      </c>
      <c r="B129" t="s">
        <v>31</v>
      </c>
      <c r="C129">
        <v>75882265</v>
      </c>
      <c r="D129" t="s">
        <v>3</v>
      </c>
      <c r="E129" t="s">
        <v>506</v>
      </c>
      <c r="F129" t="s">
        <v>580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583</v>
      </c>
      <c r="B130" t="s">
        <v>16</v>
      </c>
      <c r="C130">
        <v>47029782</v>
      </c>
      <c r="D130" t="s">
        <v>3</v>
      </c>
      <c r="E130" t="s">
        <v>506</v>
      </c>
      <c r="F130" t="s">
        <v>580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583</v>
      </c>
      <c r="B131" t="s">
        <v>59</v>
      </c>
      <c r="C131">
        <v>60870839</v>
      </c>
      <c r="D131" t="s">
        <v>4</v>
      </c>
      <c r="E131" t="s">
        <v>506</v>
      </c>
      <c r="F131" t="s">
        <v>580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583</v>
      </c>
      <c r="B132" t="s">
        <v>68</v>
      </c>
      <c r="C132">
        <v>73257316</v>
      </c>
      <c r="D132" t="s">
        <v>2</v>
      </c>
      <c r="E132" t="s">
        <v>506</v>
      </c>
      <c r="F132" t="s">
        <v>580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583</v>
      </c>
      <c r="B133" t="s">
        <v>11</v>
      </c>
      <c r="C133">
        <v>45139159</v>
      </c>
      <c r="D133" t="s">
        <v>6</v>
      </c>
      <c r="E133" t="s">
        <v>506</v>
      </c>
      <c r="F133" t="s">
        <v>580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583</v>
      </c>
      <c r="B134" t="s">
        <v>42</v>
      </c>
      <c r="C134">
        <v>73725129</v>
      </c>
      <c r="D134" t="s">
        <v>2</v>
      </c>
      <c r="E134" t="s">
        <v>506</v>
      </c>
      <c r="F134" t="s">
        <v>580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583</v>
      </c>
      <c r="B135" t="s">
        <v>40</v>
      </c>
      <c r="C135">
        <v>60976055</v>
      </c>
      <c r="D135" t="s">
        <v>4</v>
      </c>
      <c r="E135" t="s">
        <v>506</v>
      </c>
      <c r="F135" t="s">
        <v>580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583</v>
      </c>
      <c r="B136" t="s">
        <v>81</v>
      </c>
      <c r="C136">
        <v>72716299</v>
      </c>
      <c r="D136" t="s">
        <v>6</v>
      </c>
      <c r="E136" t="s">
        <v>506</v>
      </c>
      <c r="F136" t="s">
        <v>580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583</v>
      </c>
      <c r="B137" t="s">
        <v>32</v>
      </c>
      <c r="C137">
        <v>48584670</v>
      </c>
      <c r="D137" t="s">
        <v>3</v>
      </c>
      <c r="E137" t="s">
        <v>506</v>
      </c>
      <c r="F137" t="s">
        <v>580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583</v>
      </c>
      <c r="B138" t="s">
        <v>57</v>
      </c>
      <c r="C138">
        <v>74996029</v>
      </c>
      <c r="D138" t="s">
        <v>4</v>
      </c>
      <c r="E138" t="s">
        <v>506</v>
      </c>
      <c r="F138" t="s">
        <v>580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583</v>
      </c>
      <c r="B139" t="s">
        <v>27</v>
      </c>
      <c r="C139">
        <v>73203775</v>
      </c>
      <c r="D139" t="s">
        <v>2</v>
      </c>
      <c r="E139" t="s">
        <v>582</v>
      </c>
      <c r="F139" t="s">
        <v>580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583</v>
      </c>
      <c r="B140" t="s">
        <v>51</v>
      </c>
      <c r="C140">
        <v>76089925</v>
      </c>
      <c r="D140" t="s">
        <v>7</v>
      </c>
      <c r="E140" t="s">
        <v>506</v>
      </c>
      <c r="F140" t="s">
        <v>580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583</v>
      </c>
      <c r="B141" t="s">
        <v>72</v>
      </c>
      <c r="C141">
        <v>47690367</v>
      </c>
      <c r="D141" t="s">
        <v>7</v>
      </c>
      <c r="E141" t="s">
        <v>506</v>
      </c>
      <c r="F141" t="s">
        <v>580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583</v>
      </c>
      <c r="B142" t="s">
        <v>53</v>
      </c>
      <c r="C142">
        <v>46587976</v>
      </c>
      <c r="D142" t="s">
        <v>7</v>
      </c>
      <c r="E142" t="s">
        <v>582</v>
      </c>
      <c r="F142" t="s">
        <v>580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583</v>
      </c>
      <c r="B143" t="s">
        <v>105</v>
      </c>
      <c r="C143">
        <v>48344037</v>
      </c>
      <c r="D143" t="s">
        <v>4</v>
      </c>
      <c r="E143" t="s">
        <v>582</v>
      </c>
      <c r="F143" t="s">
        <v>580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583</v>
      </c>
      <c r="B144" t="s">
        <v>50</v>
      </c>
      <c r="C144">
        <v>72733809</v>
      </c>
      <c r="D144" t="s">
        <v>6</v>
      </c>
      <c r="E144" t="s">
        <v>506</v>
      </c>
      <c r="F144" t="s">
        <v>580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583</v>
      </c>
      <c r="B145" t="s">
        <v>43</v>
      </c>
      <c r="C145">
        <v>74799185</v>
      </c>
      <c r="D145" t="s">
        <v>2</v>
      </c>
      <c r="E145" t="s">
        <v>582</v>
      </c>
      <c r="F145" t="s">
        <v>580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583</v>
      </c>
      <c r="B146" t="s">
        <v>44</v>
      </c>
      <c r="C146">
        <v>45468175</v>
      </c>
      <c r="D146" t="s">
        <v>3</v>
      </c>
      <c r="E146" t="s">
        <v>506</v>
      </c>
      <c r="F146" t="s">
        <v>580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583</v>
      </c>
      <c r="B147" t="s">
        <v>38</v>
      </c>
      <c r="C147">
        <v>47411966</v>
      </c>
      <c r="D147" t="s">
        <v>2</v>
      </c>
      <c r="E147" t="s">
        <v>506</v>
      </c>
      <c r="F147" t="s">
        <v>580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583</v>
      </c>
      <c r="B148" t="s">
        <v>55</v>
      </c>
      <c r="C148">
        <v>45119892</v>
      </c>
      <c r="D148" t="s">
        <v>5</v>
      </c>
      <c r="E148" t="s">
        <v>506</v>
      </c>
      <c r="F148" t="s">
        <v>580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583</v>
      </c>
      <c r="B149" t="s">
        <v>54</v>
      </c>
      <c r="C149">
        <v>70155949</v>
      </c>
      <c r="D149" t="s">
        <v>5</v>
      </c>
      <c r="E149" t="s">
        <v>582</v>
      </c>
      <c r="F149" t="s">
        <v>580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583</v>
      </c>
      <c r="B150" t="s">
        <v>60</v>
      </c>
      <c r="C150">
        <v>72839865</v>
      </c>
      <c r="D150" t="s">
        <v>4</v>
      </c>
      <c r="E150" t="s">
        <v>506</v>
      </c>
      <c r="F150" t="s">
        <v>580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583</v>
      </c>
      <c r="B151" t="s">
        <v>93</v>
      </c>
      <c r="C151">
        <v>47322258</v>
      </c>
      <c r="D151" t="s">
        <v>4</v>
      </c>
      <c r="E151" t="s">
        <v>506</v>
      </c>
      <c r="F151" t="s">
        <v>580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583</v>
      </c>
      <c r="B152" t="s">
        <v>92</v>
      </c>
      <c r="C152">
        <v>73040632</v>
      </c>
      <c r="D152" t="s">
        <v>7</v>
      </c>
      <c r="E152" t="s">
        <v>582</v>
      </c>
      <c r="F152" t="s">
        <v>580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583</v>
      </c>
      <c r="B153" t="s">
        <v>96</v>
      </c>
      <c r="C153">
        <v>46793103</v>
      </c>
      <c r="D153" t="s">
        <v>5</v>
      </c>
      <c r="E153" t="s">
        <v>506</v>
      </c>
      <c r="F153" t="s">
        <v>580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583</v>
      </c>
      <c r="B154" t="s">
        <v>97</v>
      </c>
      <c r="C154">
        <v>74602206</v>
      </c>
      <c r="D154" t="s">
        <v>3</v>
      </c>
      <c r="E154" t="s">
        <v>506</v>
      </c>
      <c r="F154" t="s">
        <v>580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583</v>
      </c>
      <c r="B155" t="s">
        <v>100</v>
      </c>
      <c r="C155">
        <v>41285428</v>
      </c>
      <c r="D155" t="s">
        <v>5</v>
      </c>
      <c r="E155" t="s">
        <v>582</v>
      </c>
      <c r="F155" t="s">
        <v>580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583</v>
      </c>
      <c r="B156" t="s">
        <v>114</v>
      </c>
      <c r="C156">
        <v>47005973</v>
      </c>
      <c r="D156" t="s">
        <v>7</v>
      </c>
      <c r="E156" t="s">
        <v>506</v>
      </c>
      <c r="F156" t="s">
        <v>580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583</v>
      </c>
      <c r="B157" t="s">
        <v>122</v>
      </c>
      <c r="C157">
        <v>76586998</v>
      </c>
      <c r="D157" t="s">
        <v>7</v>
      </c>
      <c r="E157" t="s">
        <v>506</v>
      </c>
      <c r="F157" t="s">
        <v>580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584</v>
      </c>
      <c r="B158" t="s">
        <v>219</v>
      </c>
      <c r="C158">
        <v>74122258</v>
      </c>
      <c r="D158" t="s">
        <v>6</v>
      </c>
      <c r="E158" t="s">
        <v>133</v>
      </c>
      <c r="F158" t="s">
        <v>580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584</v>
      </c>
      <c r="B159" t="s">
        <v>248</v>
      </c>
      <c r="C159">
        <v>44265602</v>
      </c>
      <c r="D159" t="s">
        <v>2</v>
      </c>
      <c r="E159" t="s">
        <v>133</v>
      </c>
      <c r="F159" t="s">
        <v>580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584</v>
      </c>
      <c r="B160" t="s">
        <v>226</v>
      </c>
      <c r="C160">
        <v>73049631</v>
      </c>
      <c r="D160" t="s">
        <v>3</v>
      </c>
      <c r="E160" t="s">
        <v>133</v>
      </c>
      <c r="F160" t="s">
        <v>580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584</v>
      </c>
      <c r="B161" t="s">
        <v>214</v>
      </c>
      <c r="C161">
        <v>46872195</v>
      </c>
      <c r="D161" t="s">
        <v>7</v>
      </c>
      <c r="E161" t="s">
        <v>133</v>
      </c>
      <c r="F161" t="s">
        <v>580</v>
      </c>
      <c r="G161" s="56">
        <v>43805</v>
      </c>
      <c r="H161">
        <v>76</v>
      </c>
      <c r="I161" t="s">
        <v>175</v>
      </c>
      <c r="J161" s="56"/>
    </row>
    <row r="162" spans="1:10" x14ac:dyDescent="0.25">
      <c r="A162" t="s">
        <v>584</v>
      </c>
      <c r="B162" t="s">
        <v>224</v>
      </c>
      <c r="C162">
        <v>70984733</v>
      </c>
      <c r="D162" t="s">
        <v>4</v>
      </c>
      <c r="E162" t="s">
        <v>133</v>
      </c>
      <c r="F162" t="s">
        <v>580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584</v>
      </c>
      <c r="B163" t="s">
        <v>29</v>
      </c>
      <c r="C163">
        <v>72758956</v>
      </c>
      <c r="D163" t="s">
        <v>2</v>
      </c>
      <c r="E163" t="s">
        <v>506</v>
      </c>
      <c r="F163" t="s">
        <v>580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584</v>
      </c>
      <c r="B164" t="s">
        <v>15</v>
      </c>
      <c r="C164">
        <v>47587400</v>
      </c>
      <c r="D164" t="s">
        <v>2</v>
      </c>
      <c r="E164" t="s">
        <v>506</v>
      </c>
      <c r="F164" t="s">
        <v>580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584</v>
      </c>
      <c r="B165" t="s">
        <v>76</v>
      </c>
      <c r="C165">
        <v>60914051</v>
      </c>
      <c r="D165" t="s">
        <v>2</v>
      </c>
      <c r="E165" t="s">
        <v>506</v>
      </c>
      <c r="F165" t="s">
        <v>580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584</v>
      </c>
      <c r="B166" t="s">
        <v>25</v>
      </c>
      <c r="C166">
        <v>72373931</v>
      </c>
      <c r="D166" t="s">
        <v>2</v>
      </c>
      <c r="E166" t="s">
        <v>506</v>
      </c>
      <c r="F166" t="s">
        <v>580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584</v>
      </c>
      <c r="B167" t="s">
        <v>78</v>
      </c>
      <c r="C167">
        <v>10706451</v>
      </c>
      <c r="D167" t="s">
        <v>2</v>
      </c>
      <c r="E167" t="s">
        <v>506</v>
      </c>
      <c r="F167" t="s">
        <v>580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584</v>
      </c>
      <c r="B168" t="s">
        <v>79</v>
      </c>
      <c r="C168">
        <v>71262377</v>
      </c>
      <c r="D168" t="s">
        <v>2</v>
      </c>
      <c r="E168" t="s">
        <v>506</v>
      </c>
      <c r="F168" t="s">
        <v>580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584</v>
      </c>
      <c r="B169" t="s">
        <v>68</v>
      </c>
      <c r="C169">
        <v>73257316</v>
      </c>
      <c r="D169" t="s">
        <v>2</v>
      </c>
      <c r="E169" t="s">
        <v>506</v>
      </c>
      <c r="F169" t="s">
        <v>580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584</v>
      </c>
      <c r="B170" t="s">
        <v>42</v>
      </c>
      <c r="C170">
        <v>73725129</v>
      </c>
      <c r="D170" t="s">
        <v>2</v>
      </c>
      <c r="E170" t="s">
        <v>506</v>
      </c>
      <c r="F170" t="s">
        <v>580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584</v>
      </c>
      <c r="B171" t="s">
        <v>38</v>
      </c>
      <c r="C171">
        <v>47411966</v>
      </c>
      <c r="D171" t="s">
        <v>2</v>
      </c>
      <c r="E171" t="s">
        <v>506</v>
      </c>
      <c r="F171" t="s">
        <v>580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584</v>
      </c>
      <c r="B172" t="s">
        <v>26</v>
      </c>
      <c r="C172">
        <v>41005089</v>
      </c>
      <c r="D172" t="s">
        <v>6</v>
      </c>
      <c r="E172" t="s">
        <v>506</v>
      </c>
      <c r="F172" t="s">
        <v>580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584</v>
      </c>
      <c r="B173" t="s">
        <v>19</v>
      </c>
      <c r="C173">
        <v>76656128</v>
      </c>
      <c r="D173" t="s">
        <v>6</v>
      </c>
      <c r="E173" t="s">
        <v>506</v>
      </c>
      <c r="F173" t="s">
        <v>580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584</v>
      </c>
      <c r="B174" t="s">
        <v>35</v>
      </c>
      <c r="C174">
        <v>10491198</v>
      </c>
      <c r="D174" t="s">
        <v>6</v>
      </c>
      <c r="E174" t="s">
        <v>506</v>
      </c>
      <c r="F174" t="s">
        <v>580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584</v>
      </c>
      <c r="B175" t="s">
        <v>37</v>
      </c>
      <c r="C175">
        <v>70988976</v>
      </c>
      <c r="D175" t="s">
        <v>6</v>
      </c>
      <c r="E175" t="s">
        <v>506</v>
      </c>
      <c r="F175" t="s">
        <v>580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584</v>
      </c>
      <c r="B176" t="s">
        <v>34</v>
      </c>
      <c r="C176">
        <v>76824571</v>
      </c>
      <c r="D176" t="s">
        <v>6</v>
      </c>
      <c r="E176" t="s">
        <v>506</v>
      </c>
      <c r="F176" t="s">
        <v>580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584</v>
      </c>
      <c r="B177" t="s">
        <v>80</v>
      </c>
      <c r="C177">
        <v>45084594</v>
      </c>
      <c r="D177" t="s">
        <v>6</v>
      </c>
      <c r="E177" t="s">
        <v>506</v>
      </c>
      <c r="F177" t="s">
        <v>580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584</v>
      </c>
      <c r="B178" t="s">
        <v>11</v>
      </c>
      <c r="C178">
        <v>45139159</v>
      </c>
      <c r="D178" t="s">
        <v>6</v>
      </c>
      <c r="E178" t="s">
        <v>506</v>
      </c>
      <c r="F178" t="s">
        <v>580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584</v>
      </c>
      <c r="B179" t="s">
        <v>81</v>
      </c>
      <c r="C179">
        <v>72716299</v>
      </c>
      <c r="D179" t="s">
        <v>6</v>
      </c>
      <c r="E179" t="s">
        <v>506</v>
      </c>
      <c r="F179" t="s">
        <v>580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584</v>
      </c>
      <c r="B180" t="s">
        <v>50</v>
      </c>
      <c r="C180">
        <v>72733809</v>
      </c>
      <c r="D180" t="s">
        <v>6</v>
      </c>
      <c r="E180" t="s">
        <v>506</v>
      </c>
      <c r="F180" t="s">
        <v>580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584</v>
      </c>
      <c r="B181" t="s">
        <v>58</v>
      </c>
      <c r="C181">
        <v>72519113</v>
      </c>
      <c r="D181" t="s">
        <v>7</v>
      </c>
      <c r="E181" t="s">
        <v>506</v>
      </c>
      <c r="F181" t="s">
        <v>580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584</v>
      </c>
      <c r="B182" t="s">
        <v>49</v>
      </c>
      <c r="C182">
        <v>40702064</v>
      </c>
      <c r="D182" t="s">
        <v>7</v>
      </c>
      <c r="E182" t="s">
        <v>506</v>
      </c>
      <c r="F182" t="s">
        <v>580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584</v>
      </c>
      <c r="B183" t="s">
        <v>48</v>
      </c>
      <c r="C183">
        <v>43307898</v>
      </c>
      <c r="D183" t="s">
        <v>7</v>
      </c>
      <c r="E183" t="s">
        <v>506</v>
      </c>
      <c r="F183" t="s">
        <v>580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584</v>
      </c>
      <c r="B184" t="s">
        <v>21</v>
      </c>
      <c r="C184">
        <v>44042880</v>
      </c>
      <c r="D184" t="s">
        <v>7</v>
      </c>
      <c r="E184" t="s">
        <v>582</v>
      </c>
      <c r="F184" t="s">
        <v>580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584</v>
      </c>
      <c r="B185" t="s">
        <v>77</v>
      </c>
      <c r="C185">
        <v>42251780</v>
      </c>
      <c r="D185" t="s">
        <v>7</v>
      </c>
      <c r="E185" t="s">
        <v>506</v>
      </c>
      <c r="F185" t="s">
        <v>580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584</v>
      </c>
      <c r="B186" t="s">
        <v>12</v>
      </c>
      <c r="C186">
        <v>45262585</v>
      </c>
      <c r="D186" t="s">
        <v>7</v>
      </c>
      <c r="E186" t="s">
        <v>506</v>
      </c>
      <c r="F186" t="s">
        <v>580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584</v>
      </c>
      <c r="B187" t="s">
        <v>73</v>
      </c>
      <c r="C187">
        <v>40318129</v>
      </c>
      <c r="D187" t="s">
        <v>7</v>
      </c>
      <c r="E187" t="s">
        <v>506</v>
      </c>
      <c r="F187" t="s">
        <v>580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584</v>
      </c>
      <c r="B188" t="s">
        <v>41</v>
      </c>
      <c r="C188">
        <v>46461021</v>
      </c>
      <c r="D188" t="s">
        <v>7</v>
      </c>
      <c r="E188" t="s">
        <v>506</v>
      </c>
      <c r="F188" t="s">
        <v>580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584</v>
      </c>
      <c r="B189" t="s">
        <v>40</v>
      </c>
      <c r="C189">
        <v>60976055</v>
      </c>
      <c r="D189" t="s">
        <v>7</v>
      </c>
      <c r="E189" t="s">
        <v>506</v>
      </c>
      <c r="F189" t="s">
        <v>580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584</v>
      </c>
      <c r="B190" t="s">
        <v>51</v>
      </c>
      <c r="C190">
        <v>76089925</v>
      </c>
      <c r="D190" t="s">
        <v>7</v>
      </c>
      <c r="E190" t="s">
        <v>506</v>
      </c>
      <c r="F190" t="s">
        <v>580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584</v>
      </c>
      <c r="B191" t="s">
        <v>97</v>
      </c>
      <c r="C191">
        <v>74602206</v>
      </c>
      <c r="D191" t="s">
        <v>7</v>
      </c>
      <c r="E191" t="s">
        <v>506</v>
      </c>
      <c r="F191" t="s">
        <v>580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584</v>
      </c>
      <c r="B192" t="s">
        <v>114</v>
      </c>
      <c r="C192">
        <v>47005973</v>
      </c>
      <c r="D192" t="s">
        <v>7</v>
      </c>
      <c r="E192" t="s">
        <v>582</v>
      </c>
      <c r="F192" t="s">
        <v>580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584</v>
      </c>
      <c r="B193" t="s">
        <v>10</v>
      </c>
      <c r="C193">
        <v>40980108</v>
      </c>
      <c r="D193" t="s">
        <v>4</v>
      </c>
      <c r="E193" t="s">
        <v>506</v>
      </c>
      <c r="F193" t="s">
        <v>580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584</v>
      </c>
      <c r="B194" t="s">
        <v>75</v>
      </c>
      <c r="C194">
        <v>71264767</v>
      </c>
      <c r="D194" t="s">
        <v>4</v>
      </c>
      <c r="E194" t="s">
        <v>506</v>
      </c>
      <c r="F194" t="s">
        <v>580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584</v>
      </c>
      <c r="B195" t="s">
        <v>61</v>
      </c>
      <c r="C195">
        <v>44001162</v>
      </c>
      <c r="D195" t="s">
        <v>4</v>
      </c>
      <c r="E195" t="s">
        <v>506</v>
      </c>
      <c r="F195" t="s">
        <v>580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584</v>
      </c>
      <c r="B196" t="s">
        <v>18</v>
      </c>
      <c r="C196">
        <v>76214436</v>
      </c>
      <c r="D196" t="s">
        <v>4</v>
      </c>
      <c r="E196" t="s">
        <v>506</v>
      </c>
      <c r="F196" t="s">
        <v>580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584</v>
      </c>
      <c r="B197" t="s">
        <v>59</v>
      </c>
      <c r="C197">
        <v>60870839</v>
      </c>
      <c r="D197" t="s">
        <v>4</v>
      </c>
      <c r="E197" t="s">
        <v>506</v>
      </c>
      <c r="F197" t="s">
        <v>580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584</v>
      </c>
      <c r="B198" t="s">
        <v>57</v>
      </c>
      <c r="C198">
        <v>74996029</v>
      </c>
      <c r="D198" t="s">
        <v>4</v>
      </c>
      <c r="E198" t="s">
        <v>582</v>
      </c>
      <c r="F198" t="s">
        <v>580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584</v>
      </c>
      <c r="B199" t="s">
        <v>72</v>
      </c>
      <c r="C199">
        <v>47690367</v>
      </c>
      <c r="D199" t="s">
        <v>4</v>
      </c>
      <c r="E199" t="s">
        <v>506</v>
      </c>
      <c r="F199" t="s">
        <v>580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584</v>
      </c>
      <c r="B200" t="s">
        <v>55</v>
      </c>
      <c r="C200">
        <v>45119892</v>
      </c>
      <c r="D200" t="s">
        <v>4</v>
      </c>
      <c r="E200" t="s">
        <v>506</v>
      </c>
      <c r="F200" t="s">
        <v>580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584</v>
      </c>
      <c r="B201" t="s">
        <v>60</v>
      </c>
      <c r="C201">
        <v>72839865</v>
      </c>
      <c r="D201" t="s">
        <v>4</v>
      </c>
      <c r="E201" t="s">
        <v>506</v>
      </c>
      <c r="F201" t="s">
        <v>580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584</v>
      </c>
      <c r="B202" t="s">
        <v>122</v>
      </c>
      <c r="C202">
        <v>76586998</v>
      </c>
      <c r="D202" t="s">
        <v>4</v>
      </c>
      <c r="E202" t="s">
        <v>506</v>
      </c>
      <c r="F202" t="s">
        <v>580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584</v>
      </c>
      <c r="B203" t="s">
        <v>23</v>
      </c>
      <c r="C203">
        <v>72413556</v>
      </c>
      <c r="D203" t="s">
        <v>3</v>
      </c>
      <c r="E203" t="s">
        <v>506</v>
      </c>
      <c r="F203" t="s">
        <v>580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584</v>
      </c>
      <c r="B204" t="s">
        <v>13</v>
      </c>
      <c r="C204">
        <v>72512391</v>
      </c>
      <c r="D204" t="s">
        <v>3</v>
      </c>
      <c r="E204" t="s">
        <v>506</v>
      </c>
      <c r="F204" t="s">
        <v>580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584</v>
      </c>
      <c r="B205" t="s">
        <v>33</v>
      </c>
      <c r="C205">
        <v>80689573</v>
      </c>
      <c r="D205" t="s">
        <v>3</v>
      </c>
      <c r="E205" t="s">
        <v>506</v>
      </c>
      <c r="F205" t="s">
        <v>580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584</v>
      </c>
      <c r="B206" t="s">
        <v>17</v>
      </c>
      <c r="C206">
        <v>70876605</v>
      </c>
      <c r="D206" t="s">
        <v>3</v>
      </c>
      <c r="E206" t="s">
        <v>506</v>
      </c>
      <c r="F206" t="s">
        <v>580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584</v>
      </c>
      <c r="B207" t="s">
        <v>65</v>
      </c>
      <c r="C207">
        <v>47659267</v>
      </c>
      <c r="D207" t="s">
        <v>3</v>
      </c>
      <c r="E207" t="s">
        <v>506</v>
      </c>
      <c r="F207" t="s">
        <v>580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584</v>
      </c>
      <c r="B208" t="s">
        <v>22</v>
      </c>
      <c r="C208">
        <v>70551168</v>
      </c>
      <c r="D208" t="s">
        <v>3</v>
      </c>
      <c r="E208" t="s">
        <v>506</v>
      </c>
      <c r="F208" t="s">
        <v>580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584</v>
      </c>
      <c r="B209" t="s">
        <v>24</v>
      </c>
      <c r="C209">
        <v>43614775</v>
      </c>
      <c r="D209" t="s">
        <v>3</v>
      </c>
      <c r="E209" t="s">
        <v>506</v>
      </c>
      <c r="F209" t="s">
        <v>580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584</v>
      </c>
      <c r="B210" t="s">
        <v>31</v>
      </c>
      <c r="C210">
        <v>75882265</v>
      </c>
      <c r="D210" t="s">
        <v>3</v>
      </c>
      <c r="E210" t="s">
        <v>506</v>
      </c>
      <c r="F210" t="s">
        <v>580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584</v>
      </c>
      <c r="B211" t="s">
        <v>32</v>
      </c>
      <c r="C211">
        <v>48584670</v>
      </c>
      <c r="D211" t="s">
        <v>3</v>
      </c>
      <c r="E211" t="s">
        <v>506</v>
      </c>
      <c r="F211" t="s">
        <v>580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584</v>
      </c>
      <c r="B212" t="s">
        <v>96</v>
      </c>
      <c r="C212">
        <v>46793103</v>
      </c>
      <c r="D212" t="s">
        <v>3</v>
      </c>
      <c r="E212" t="s">
        <v>506</v>
      </c>
      <c r="F212" t="s">
        <v>580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584</v>
      </c>
      <c r="B213" t="s">
        <v>174</v>
      </c>
      <c r="C213">
        <v>46994661</v>
      </c>
      <c r="D213" t="s">
        <v>7</v>
      </c>
      <c r="E213" t="s">
        <v>506</v>
      </c>
      <c r="F213" t="s">
        <v>580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585</v>
      </c>
      <c r="B214" t="s">
        <v>219</v>
      </c>
      <c r="C214">
        <v>74122258</v>
      </c>
      <c r="D214" t="s">
        <v>6</v>
      </c>
      <c r="E214" t="s">
        <v>133</v>
      </c>
      <c r="F214" t="s">
        <v>580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585</v>
      </c>
      <c r="B215" t="s">
        <v>248</v>
      </c>
      <c r="C215">
        <v>44265602</v>
      </c>
      <c r="D215" t="s">
        <v>2</v>
      </c>
      <c r="E215" t="s">
        <v>133</v>
      </c>
      <c r="F215" t="s">
        <v>580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585</v>
      </c>
      <c r="B216" t="s">
        <v>226</v>
      </c>
      <c r="C216">
        <v>73049631</v>
      </c>
      <c r="D216" t="s">
        <v>3</v>
      </c>
      <c r="E216" t="s">
        <v>133</v>
      </c>
      <c r="F216" t="s">
        <v>580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585</v>
      </c>
      <c r="B217" t="s">
        <v>222</v>
      </c>
      <c r="C217">
        <v>75000131</v>
      </c>
      <c r="D217" t="s">
        <v>125</v>
      </c>
      <c r="E217" t="s">
        <v>133</v>
      </c>
      <c r="F217" t="s">
        <v>580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585</v>
      </c>
      <c r="B218" t="s">
        <v>224</v>
      </c>
      <c r="C218">
        <v>70984733</v>
      </c>
      <c r="D218" t="s">
        <v>4</v>
      </c>
      <c r="E218" t="s">
        <v>133</v>
      </c>
      <c r="F218" t="s">
        <v>580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585</v>
      </c>
      <c r="B219" t="s">
        <v>58</v>
      </c>
      <c r="C219">
        <v>72519113</v>
      </c>
      <c r="D219" t="s">
        <v>125</v>
      </c>
      <c r="E219" t="s">
        <v>506</v>
      </c>
      <c r="F219" t="s">
        <v>580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585</v>
      </c>
      <c r="B220" t="s">
        <v>49</v>
      </c>
      <c r="C220">
        <v>40702064</v>
      </c>
      <c r="D220" t="s">
        <v>125</v>
      </c>
      <c r="E220" t="s">
        <v>505</v>
      </c>
      <c r="F220" t="s">
        <v>580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585</v>
      </c>
      <c r="B221" t="s">
        <v>23</v>
      </c>
      <c r="C221">
        <v>72413556</v>
      </c>
      <c r="D221" t="s">
        <v>3</v>
      </c>
      <c r="E221" t="s">
        <v>506</v>
      </c>
      <c r="F221" t="s">
        <v>580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585</v>
      </c>
      <c r="B222" t="s">
        <v>26</v>
      </c>
      <c r="C222">
        <v>41005089</v>
      </c>
      <c r="D222" t="s">
        <v>6</v>
      </c>
      <c r="E222" t="s">
        <v>506</v>
      </c>
      <c r="F222" t="s">
        <v>580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585</v>
      </c>
      <c r="B223" t="s">
        <v>19</v>
      </c>
      <c r="C223">
        <v>76656128</v>
      </c>
      <c r="D223" t="s">
        <v>6</v>
      </c>
      <c r="E223" t="s">
        <v>506</v>
      </c>
      <c r="F223" t="s">
        <v>580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585</v>
      </c>
      <c r="B224" t="s">
        <v>29</v>
      </c>
      <c r="C224">
        <v>72758956</v>
      </c>
      <c r="D224" t="s">
        <v>2</v>
      </c>
      <c r="E224" t="s">
        <v>506</v>
      </c>
      <c r="F224" t="s">
        <v>580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585</v>
      </c>
      <c r="B225" t="s">
        <v>10</v>
      </c>
      <c r="C225">
        <v>40980108</v>
      </c>
      <c r="D225" t="s">
        <v>4</v>
      </c>
      <c r="E225" t="s">
        <v>506</v>
      </c>
      <c r="F225" t="s">
        <v>580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585</v>
      </c>
      <c r="B226" t="s">
        <v>75</v>
      </c>
      <c r="C226">
        <v>71264767</v>
      </c>
      <c r="D226" t="s">
        <v>4</v>
      </c>
      <c r="E226" t="s">
        <v>506</v>
      </c>
      <c r="F226" t="s">
        <v>580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585</v>
      </c>
      <c r="B227" t="s">
        <v>15</v>
      </c>
      <c r="C227">
        <v>47587400</v>
      </c>
      <c r="D227" t="s">
        <v>2</v>
      </c>
      <c r="E227" t="s">
        <v>506</v>
      </c>
      <c r="F227" t="s">
        <v>580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585</v>
      </c>
      <c r="B228" t="s">
        <v>35</v>
      </c>
      <c r="C228">
        <v>10491198</v>
      </c>
      <c r="D228" t="s">
        <v>6</v>
      </c>
      <c r="E228" t="s">
        <v>506</v>
      </c>
      <c r="F228" t="s">
        <v>580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585</v>
      </c>
      <c r="B229" t="s">
        <v>48</v>
      </c>
      <c r="C229">
        <v>43307898</v>
      </c>
      <c r="D229" t="s">
        <v>125</v>
      </c>
      <c r="E229" t="s">
        <v>506</v>
      </c>
      <c r="F229" t="s">
        <v>580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585</v>
      </c>
      <c r="B230" t="s">
        <v>13</v>
      </c>
      <c r="C230">
        <v>72512391</v>
      </c>
      <c r="D230" t="s">
        <v>3</v>
      </c>
      <c r="E230" t="s">
        <v>506</v>
      </c>
      <c r="F230" t="s">
        <v>580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585</v>
      </c>
      <c r="B231" t="s">
        <v>76</v>
      </c>
      <c r="C231">
        <v>60914051</v>
      </c>
      <c r="D231" t="s">
        <v>2</v>
      </c>
      <c r="E231" t="s">
        <v>506</v>
      </c>
      <c r="F231" t="s">
        <v>580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585</v>
      </c>
      <c r="B232" t="s">
        <v>25</v>
      </c>
      <c r="C232">
        <v>72373931</v>
      </c>
      <c r="D232" t="s">
        <v>2</v>
      </c>
      <c r="E232" t="s">
        <v>506</v>
      </c>
      <c r="F232" t="s">
        <v>580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585</v>
      </c>
      <c r="B233" t="s">
        <v>77</v>
      </c>
      <c r="C233">
        <v>42251780</v>
      </c>
      <c r="D233" t="s">
        <v>125</v>
      </c>
      <c r="E233" t="s">
        <v>506</v>
      </c>
      <c r="F233" t="s">
        <v>580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585</v>
      </c>
      <c r="B234" t="s">
        <v>33</v>
      </c>
      <c r="C234">
        <v>80689573</v>
      </c>
      <c r="D234" t="s">
        <v>3</v>
      </c>
      <c r="E234" t="s">
        <v>506</v>
      </c>
      <c r="F234" t="s">
        <v>580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585</v>
      </c>
      <c r="B235" t="s">
        <v>12</v>
      </c>
      <c r="C235">
        <v>45262585</v>
      </c>
      <c r="D235" t="s">
        <v>4</v>
      </c>
      <c r="E235" t="s">
        <v>506</v>
      </c>
      <c r="F235" t="s">
        <v>580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585</v>
      </c>
      <c r="B236" t="s">
        <v>17</v>
      </c>
      <c r="C236">
        <v>70876605</v>
      </c>
      <c r="D236" t="s">
        <v>3</v>
      </c>
      <c r="E236" t="s">
        <v>506</v>
      </c>
      <c r="F236" t="s">
        <v>580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585</v>
      </c>
      <c r="B237" t="s">
        <v>61</v>
      </c>
      <c r="C237">
        <v>44001162</v>
      </c>
      <c r="D237" t="s">
        <v>4</v>
      </c>
      <c r="E237" t="s">
        <v>505</v>
      </c>
      <c r="F237" t="s">
        <v>580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585</v>
      </c>
      <c r="B238" t="s">
        <v>78</v>
      </c>
      <c r="C238">
        <v>10706451</v>
      </c>
      <c r="D238" t="s">
        <v>2</v>
      </c>
      <c r="E238" t="s">
        <v>506</v>
      </c>
      <c r="F238" t="s">
        <v>580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585</v>
      </c>
      <c r="B239" t="s">
        <v>65</v>
      </c>
      <c r="C239">
        <v>47659267</v>
      </c>
      <c r="D239" t="s">
        <v>3</v>
      </c>
      <c r="E239" t="s">
        <v>506</v>
      </c>
      <c r="F239" t="s">
        <v>580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585</v>
      </c>
      <c r="B240" t="s">
        <v>37</v>
      </c>
      <c r="C240">
        <v>70988976</v>
      </c>
      <c r="D240" t="s">
        <v>6</v>
      </c>
      <c r="E240" t="s">
        <v>506</v>
      </c>
      <c r="F240" t="s">
        <v>580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585</v>
      </c>
      <c r="B241" t="s">
        <v>18</v>
      </c>
      <c r="C241">
        <v>76214436</v>
      </c>
      <c r="D241" t="s">
        <v>4</v>
      </c>
      <c r="E241" t="s">
        <v>506</v>
      </c>
      <c r="F241" t="s">
        <v>580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585</v>
      </c>
      <c r="B242" t="s">
        <v>73</v>
      </c>
      <c r="C242">
        <v>40318129</v>
      </c>
      <c r="D242" t="s">
        <v>125</v>
      </c>
      <c r="E242" t="s">
        <v>506</v>
      </c>
      <c r="F242" t="s">
        <v>580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585</v>
      </c>
      <c r="B243" t="s">
        <v>79</v>
      </c>
      <c r="C243">
        <v>71262377</v>
      </c>
      <c r="D243" t="s">
        <v>2</v>
      </c>
      <c r="E243" t="s">
        <v>506</v>
      </c>
      <c r="F243" t="s">
        <v>580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585</v>
      </c>
      <c r="B244" t="s">
        <v>34</v>
      </c>
      <c r="C244">
        <v>76824571</v>
      </c>
      <c r="D244" t="s">
        <v>6</v>
      </c>
      <c r="E244" t="s">
        <v>506</v>
      </c>
      <c r="F244" t="s">
        <v>580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585</v>
      </c>
      <c r="B245" t="s">
        <v>80</v>
      </c>
      <c r="C245">
        <v>45084594</v>
      </c>
      <c r="D245" t="s">
        <v>6</v>
      </c>
      <c r="E245" t="s">
        <v>506</v>
      </c>
      <c r="F245" t="s">
        <v>580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585</v>
      </c>
      <c r="B246" t="s">
        <v>22</v>
      </c>
      <c r="C246">
        <v>70551168</v>
      </c>
      <c r="D246" t="s">
        <v>3</v>
      </c>
      <c r="E246" t="s">
        <v>505</v>
      </c>
      <c r="F246" t="s">
        <v>580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585</v>
      </c>
      <c r="B247" t="s">
        <v>41</v>
      </c>
      <c r="C247">
        <v>46461021</v>
      </c>
      <c r="D247" t="s">
        <v>125</v>
      </c>
      <c r="E247" t="s">
        <v>506</v>
      </c>
      <c r="F247" t="s">
        <v>580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585</v>
      </c>
      <c r="B248" t="s">
        <v>24</v>
      </c>
      <c r="C248">
        <v>43614775</v>
      </c>
      <c r="D248" t="s">
        <v>3</v>
      </c>
      <c r="E248" t="s">
        <v>506</v>
      </c>
      <c r="F248" t="s">
        <v>580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585</v>
      </c>
      <c r="B249" t="s">
        <v>31</v>
      </c>
      <c r="C249">
        <v>75882265</v>
      </c>
      <c r="D249" t="s">
        <v>3</v>
      </c>
      <c r="E249" t="s">
        <v>506</v>
      </c>
      <c r="F249" t="s">
        <v>580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585</v>
      </c>
      <c r="B250" t="s">
        <v>59</v>
      </c>
      <c r="C250">
        <v>60870839</v>
      </c>
      <c r="D250" t="s">
        <v>4</v>
      </c>
      <c r="E250" t="s">
        <v>506</v>
      </c>
      <c r="F250" t="s">
        <v>580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585</v>
      </c>
      <c r="B251" t="s">
        <v>68</v>
      </c>
      <c r="C251">
        <v>73257316</v>
      </c>
      <c r="D251" t="s">
        <v>2</v>
      </c>
      <c r="E251" t="s">
        <v>506</v>
      </c>
      <c r="F251" t="s">
        <v>580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585</v>
      </c>
      <c r="B252" t="s">
        <v>11</v>
      </c>
      <c r="C252">
        <v>45139159</v>
      </c>
      <c r="D252" t="s">
        <v>6</v>
      </c>
      <c r="E252" t="s">
        <v>506</v>
      </c>
      <c r="F252" t="s">
        <v>580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585</v>
      </c>
      <c r="B253" t="s">
        <v>42</v>
      </c>
      <c r="C253">
        <v>73725129</v>
      </c>
      <c r="D253" t="s">
        <v>2</v>
      </c>
      <c r="E253" t="s">
        <v>506</v>
      </c>
      <c r="F253" t="s">
        <v>580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585</v>
      </c>
      <c r="B254" t="s">
        <v>40</v>
      </c>
      <c r="C254">
        <v>60976055</v>
      </c>
      <c r="D254" t="s">
        <v>125</v>
      </c>
      <c r="E254" t="s">
        <v>506</v>
      </c>
      <c r="F254" t="s">
        <v>580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585</v>
      </c>
      <c r="B255" t="s">
        <v>81</v>
      </c>
      <c r="C255">
        <v>72716299</v>
      </c>
      <c r="D255" t="s">
        <v>6</v>
      </c>
      <c r="E255" t="s">
        <v>506</v>
      </c>
      <c r="F255" t="s">
        <v>580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585</v>
      </c>
      <c r="B256" t="s">
        <v>32</v>
      </c>
      <c r="C256">
        <v>48584670</v>
      </c>
      <c r="D256" t="s">
        <v>3</v>
      </c>
      <c r="E256" t="s">
        <v>506</v>
      </c>
      <c r="F256" t="s">
        <v>580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585</v>
      </c>
      <c r="B257" t="s">
        <v>51</v>
      </c>
      <c r="C257">
        <v>76089925</v>
      </c>
      <c r="D257" t="s">
        <v>125</v>
      </c>
      <c r="E257" t="s">
        <v>506</v>
      </c>
      <c r="F257" t="s">
        <v>580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585</v>
      </c>
      <c r="B258" t="s">
        <v>72</v>
      </c>
      <c r="C258">
        <v>47690367</v>
      </c>
      <c r="D258" t="s">
        <v>4</v>
      </c>
      <c r="E258" t="s">
        <v>506</v>
      </c>
      <c r="F258" t="s">
        <v>580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585</v>
      </c>
      <c r="B259" t="s">
        <v>50</v>
      </c>
      <c r="C259">
        <v>72733809</v>
      </c>
      <c r="D259" t="s">
        <v>6</v>
      </c>
      <c r="E259" t="s">
        <v>506</v>
      </c>
      <c r="F259" t="s">
        <v>580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585</v>
      </c>
      <c r="B260" t="s">
        <v>38</v>
      </c>
      <c r="C260">
        <v>47411966</v>
      </c>
      <c r="D260" t="s">
        <v>2</v>
      </c>
      <c r="E260" t="s">
        <v>506</v>
      </c>
      <c r="F260" t="s">
        <v>580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585</v>
      </c>
      <c r="B261" t="s">
        <v>55</v>
      </c>
      <c r="C261">
        <v>45119892</v>
      </c>
      <c r="D261" t="s">
        <v>125</v>
      </c>
      <c r="E261" t="s">
        <v>506</v>
      </c>
      <c r="F261" t="s">
        <v>580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585</v>
      </c>
      <c r="B262" t="s">
        <v>60</v>
      </c>
      <c r="C262">
        <v>72839865</v>
      </c>
      <c r="D262" t="s">
        <v>4</v>
      </c>
      <c r="E262" t="s">
        <v>506</v>
      </c>
      <c r="F262" t="s">
        <v>580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585</v>
      </c>
      <c r="B263" t="s">
        <v>96</v>
      </c>
      <c r="C263">
        <v>46793103</v>
      </c>
      <c r="D263" t="s">
        <v>3</v>
      </c>
      <c r="E263" t="s">
        <v>506</v>
      </c>
      <c r="F263" t="s">
        <v>580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585</v>
      </c>
      <c r="B264" t="s">
        <v>97</v>
      </c>
      <c r="C264">
        <v>74602206</v>
      </c>
      <c r="D264" t="s">
        <v>125</v>
      </c>
      <c r="E264" t="s">
        <v>506</v>
      </c>
      <c r="F264" t="s">
        <v>580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585</v>
      </c>
      <c r="B265" t="s">
        <v>122</v>
      </c>
      <c r="C265">
        <v>76586998</v>
      </c>
      <c r="D265" t="s">
        <v>4</v>
      </c>
      <c r="E265" t="s">
        <v>506</v>
      </c>
      <c r="F265" t="s">
        <v>580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585</v>
      </c>
      <c r="B266" t="s">
        <v>174</v>
      </c>
      <c r="C266">
        <v>46994661</v>
      </c>
      <c r="D266" t="s">
        <v>125</v>
      </c>
      <c r="E266" t="s">
        <v>506</v>
      </c>
      <c r="F266" t="s">
        <v>580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585</v>
      </c>
      <c r="B267" t="s">
        <v>206</v>
      </c>
      <c r="C267">
        <v>47497410</v>
      </c>
      <c r="D267" t="s">
        <v>4</v>
      </c>
      <c r="E267" t="s">
        <v>506</v>
      </c>
      <c r="F267" t="s">
        <v>580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585</v>
      </c>
      <c r="B268" t="s">
        <v>109</v>
      </c>
      <c r="C268">
        <v>74626735</v>
      </c>
      <c r="D268" t="s">
        <v>125</v>
      </c>
      <c r="E268" t="s">
        <v>506</v>
      </c>
      <c r="F268" t="s">
        <v>580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585</v>
      </c>
      <c r="B269" t="s">
        <v>105</v>
      </c>
      <c r="C269">
        <v>48344037</v>
      </c>
      <c r="D269" t="s">
        <v>6</v>
      </c>
      <c r="E269" t="s">
        <v>506</v>
      </c>
      <c r="F269" t="s">
        <v>580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585</v>
      </c>
      <c r="B270" t="s">
        <v>207</v>
      </c>
      <c r="C270">
        <v>75069320</v>
      </c>
      <c r="D270" t="s">
        <v>125</v>
      </c>
      <c r="E270" t="s">
        <v>506</v>
      </c>
      <c r="F270" t="s">
        <v>580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585</v>
      </c>
      <c r="B271" t="s">
        <v>382</v>
      </c>
      <c r="C271">
        <v>44883074</v>
      </c>
      <c r="D271" t="s">
        <v>125</v>
      </c>
      <c r="E271" t="s">
        <v>506</v>
      </c>
      <c r="F271" t="s">
        <v>580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585</v>
      </c>
      <c r="B272" t="s">
        <v>502</v>
      </c>
      <c r="C272">
        <v>9668687</v>
      </c>
      <c r="D272" t="s">
        <v>125</v>
      </c>
      <c r="E272" t="s">
        <v>506</v>
      </c>
      <c r="F272" t="s">
        <v>580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585</v>
      </c>
      <c r="B273" t="s">
        <v>498</v>
      </c>
      <c r="C273">
        <v>75026229</v>
      </c>
      <c r="D273" t="s">
        <v>125</v>
      </c>
      <c r="E273" t="s">
        <v>506</v>
      </c>
      <c r="F273" t="s">
        <v>580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585</v>
      </c>
      <c r="B274" t="s">
        <v>500</v>
      </c>
      <c r="C274">
        <v>62792399</v>
      </c>
      <c r="D274" t="s">
        <v>125</v>
      </c>
      <c r="E274" t="s">
        <v>506</v>
      </c>
      <c r="F274" t="s">
        <v>580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586</v>
      </c>
      <c r="B275" t="s">
        <v>219</v>
      </c>
      <c r="C275">
        <v>74122258</v>
      </c>
      <c r="D275" t="s">
        <v>6</v>
      </c>
      <c r="E275" t="s">
        <v>133</v>
      </c>
      <c r="F275" t="s">
        <v>580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586</v>
      </c>
      <c r="B276" t="s">
        <v>248</v>
      </c>
      <c r="C276">
        <v>44265602</v>
      </c>
      <c r="D276" t="s">
        <v>2</v>
      </c>
      <c r="E276" t="s">
        <v>133</v>
      </c>
      <c r="F276" t="s">
        <v>580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586</v>
      </c>
      <c r="B277" t="s">
        <v>226</v>
      </c>
      <c r="C277">
        <v>73049631</v>
      </c>
      <c r="D277" t="s">
        <v>3</v>
      </c>
      <c r="E277" t="s">
        <v>133</v>
      </c>
      <c r="F277" t="s">
        <v>580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586</v>
      </c>
      <c r="B278" t="s">
        <v>222</v>
      </c>
      <c r="C278">
        <v>75000131</v>
      </c>
      <c r="D278" t="s">
        <v>125</v>
      </c>
      <c r="E278" t="s">
        <v>133</v>
      </c>
      <c r="F278" t="s">
        <v>580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586</v>
      </c>
      <c r="B279" t="s">
        <v>587</v>
      </c>
      <c r="C279">
        <v>73930771</v>
      </c>
      <c r="D279" t="s">
        <v>124</v>
      </c>
      <c r="E279" t="s">
        <v>133</v>
      </c>
      <c r="F279" t="s">
        <v>580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586</v>
      </c>
      <c r="B280" t="s">
        <v>58</v>
      </c>
      <c r="C280">
        <v>72519113</v>
      </c>
      <c r="D280" t="s">
        <v>124</v>
      </c>
      <c r="E280" t="s">
        <v>506</v>
      </c>
      <c r="F280" t="s">
        <v>580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586</v>
      </c>
      <c r="B281" t="s">
        <v>49</v>
      </c>
      <c r="C281">
        <v>40702064</v>
      </c>
      <c r="D281" t="s">
        <v>124</v>
      </c>
      <c r="E281" t="s">
        <v>506</v>
      </c>
      <c r="F281" t="s">
        <v>580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586</v>
      </c>
      <c r="B282" t="s">
        <v>48</v>
      </c>
      <c r="C282">
        <v>43307898</v>
      </c>
      <c r="D282" t="s">
        <v>124</v>
      </c>
      <c r="E282" t="s">
        <v>506</v>
      </c>
      <c r="F282" t="s">
        <v>580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586</v>
      </c>
      <c r="B283" t="s">
        <v>77</v>
      </c>
      <c r="C283">
        <v>42251780</v>
      </c>
      <c r="D283" t="s">
        <v>124</v>
      </c>
      <c r="E283" t="s">
        <v>506</v>
      </c>
      <c r="F283" t="s">
        <v>580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586</v>
      </c>
      <c r="B284" t="s">
        <v>73</v>
      </c>
      <c r="C284">
        <v>40318129</v>
      </c>
      <c r="D284" t="s">
        <v>124</v>
      </c>
      <c r="E284" t="s">
        <v>506</v>
      </c>
      <c r="F284" t="s">
        <v>580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586</v>
      </c>
      <c r="B285" t="s">
        <v>41</v>
      </c>
      <c r="C285">
        <v>46461021</v>
      </c>
      <c r="D285" t="s">
        <v>124</v>
      </c>
      <c r="E285" t="s">
        <v>505</v>
      </c>
      <c r="F285" t="s">
        <v>580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586</v>
      </c>
      <c r="B286" t="s">
        <v>51</v>
      </c>
      <c r="C286">
        <v>76089925</v>
      </c>
      <c r="D286" t="s">
        <v>124</v>
      </c>
      <c r="E286" t="s">
        <v>506</v>
      </c>
      <c r="F286" t="s">
        <v>580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586</v>
      </c>
      <c r="B287" t="s">
        <v>55</v>
      </c>
      <c r="C287">
        <v>45119892</v>
      </c>
      <c r="D287" t="s">
        <v>124</v>
      </c>
      <c r="E287" t="s">
        <v>506</v>
      </c>
      <c r="F287" t="s">
        <v>580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586</v>
      </c>
      <c r="B288" t="s">
        <v>40</v>
      </c>
      <c r="C288">
        <v>60976055</v>
      </c>
      <c r="D288" t="s">
        <v>124</v>
      </c>
      <c r="E288" t="s">
        <v>582</v>
      </c>
      <c r="F288" t="s">
        <v>580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586</v>
      </c>
      <c r="B289" t="s">
        <v>174</v>
      </c>
      <c r="C289">
        <v>46994661</v>
      </c>
      <c r="D289" t="s">
        <v>124</v>
      </c>
      <c r="E289" t="s">
        <v>506</v>
      </c>
      <c r="F289" t="s">
        <v>580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586</v>
      </c>
      <c r="B290" t="s">
        <v>498</v>
      </c>
      <c r="C290">
        <v>75026229</v>
      </c>
      <c r="D290" t="s">
        <v>124</v>
      </c>
      <c r="E290" t="s">
        <v>506</v>
      </c>
      <c r="F290" t="s">
        <v>580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586</v>
      </c>
      <c r="B291" t="s">
        <v>500</v>
      </c>
      <c r="C291">
        <v>62792399</v>
      </c>
      <c r="D291" t="s">
        <v>124</v>
      </c>
      <c r="E291" t="s">
        <v>506</v>
      </c>
      <c r="F291" t="s">
        <v>580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586</v>
      </c>
      <c r="B292" t="s">
        <v>549</v>
      </c>
      <c r="C292">
        <v>75197920</v>
      </c>
      <c r="D292" t="s">
        <v>124</v>
      </c>
      <c r="E292" t="s">
        <v>582</v>
      </c>
      <c r="F292" t="s">
        <v>580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586</v>
      </c>
      <c r="B293" t="s">
        <v>10</v>
      </c>
      <c r="C293">
        <v>40980108</v>
      </c>
      <c r="D293" t="s">
        <v>125</v>
      </c>
      <c r="E293" t="s">
        <v>506</v>
      </c>
      <c r="F293" t="s">
        <v>580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586</v>
      </c>
      <c r="B294" t="s">
        <v>75</v>
      </c>
      <c r="C294">
        <v>71264767</v>
      </c>
      <c r="D294" t="s">
        <v>125</v>
      </c>
      <c r="E294" t="s">
        <v>506</v>
      </c>
      <c r="F294" t="s">
        <v>580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586</v>
      </c>
      <c r="B295" t="s">
        <v>12</v>
      </c>
      <c r="C295">
        <v>45262585</v>
      </c>
      <c r="D295" t="s">
        <v>125</v>
      </c>
      <c r="E295" t="s">
        <v>506</v>
      </c>
      <c r="F295" t="s">
        <v>580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586</v>
      </c>
      <c r="B296" t="s">
        <v>61</v>
      </c>
      <c r="C296">
        <v>44001162</v>
      </c>
      <c r="D296" t="s">
        <v>125</v>
      </c>
      <c r="E296" t="s">
        <v>506</v>
      </c>
      <c r="F296" t="s">
        <v>580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586</v>
      </c>
      <c r="B297" t="s">
        <v>18</v>
      </c>
      <c r="C297">
        <v>76214436</v>
      </c>
      <c r="D297" t="s">
        <v>125</v>
      </c>
      <c r="E297" t="s">
        <v>506</v>
      </c>
      <c r="F297" t="s">
        <v>580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586</v>
      </c>
      <c r="B298" t="s">
        <v>59</v>
      </c>
      <c r="C298">
        <v>60870839</v>
      </c>
      <c r="D298" t="s">
        <v>125</v>
      </c>
      <c r="E298" t="s">
        <v>506</v>
      </c>
      <c r="F298" t="s">
        <v>580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586</v>
      </c>
      <c r="B299" t="s">
        <v>72</v>
      </c>
      <c r="C299">
        <v>47690367</v>
      </c>
      <c r="D299" t="s">
        <v>125</v>
      </c>
      <c r="E299" t="s">
        <v>505</v>
      </c>
      <c r="F299" t="s">
        <v>580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586</v>
      </c>
      <c r="B300" t="s">
        <v>60</v>
      </c>
      <c r="C300">
        <v>72839865</v>
      </c>
      <c r="D300" t="s">
        <v>125</v>
      </c>
      <c r="E300" t="s">
        <v>506</v>
      </c>
      <c r="F300" t="s">
        <v>580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586</v>
      </c>
      <c r="B301" t="s">
        <v>122</v>
      </c>
      <c r="C301">
        <v>76586998</v>
      </c>
      <c r="D301" t="s">
        <v>125</v>
      </c>
      <c r="E301" t="s">
        <v>506</v>
      </c>
      <c r="F301" t="s">
        <v>580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586</v>
      </c>
      <c r="B302" t="s">
        <v>109</v>
      </c>
      <c r="C302">
        <v>74626735</v>
      </c>
      <c r="D302" t="s">
        <v>125</v>
      </c>
      <c r="E302" t="s">
        <v>506</v>
      </c>
      <c r="F302" t="s">
        <v>580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586</v>
      </c>
      <c r="B303" t="s">
        <v>206</v>
      </c>
      <c r="C303">
        <v>47497410</v>
      </c>
      <c r="D303" t="s">
        <v>125</v>
      </c>
      <c r="E303" t="s">
        <v>506</v>
      </c>
      <c r="F303" t="s">
        <v>580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586</v>
      </c>
      <c r="B304" t="s">
        <v>85</v>
      </c>
      <c r="C304">
        <v>70477743</v>
      </c>
      <c r="D304" t="s">
        <v>125</v>
      </c>
      <c r="E304" t="s">
        <v>506</v>
      </c>
      <c r="F304" t="s">
        <v>580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586</v>
      </c>
      <c r="B305" t="s">
        <v>29</v>
      </c>
      <c r="C305">
        <v>72758956</v>
      </c>
      <c r="D305" t="s">
        <v>2</v>
      </c>
      <c r="E305" t="s">
        <v>506</v>
      </c>
      <c r="F305" t="s">
        <v>580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586</v>
      </c>
      <c r="B306" t="s">
        <v>15</v>
      </c>
      <c r="C306">
        <v>47587400</v>
      </c>
      <c r="D306" t="s">
        <v>2</v>
      </c>
      <c r="E306" t="s">
        <v>506</v>
      </c>
      <c r="F306" t="s">
        <v>580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586</v>
      </c>
      <c r="B307" t="s">
        <v>76</v>
      </c>
      <c r="C307">
        <v>60914051</v>
      </c>
      <c r="D307" t="s">
        <v>2</v>
      </c>
      <c r="E307" t="s">
        <v>506</v>
      </c>
      <c r="F307" t="s">
        <v>580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586</v>
      </c>
      <c r="B308" t="s">
        <v>25</v>
      </c>
      <c r="C308">
        <v>72373931</v>
      </c>
      <c r="D308" t="s">
        <v>2</v>
      </c>
      <c r="E308" t="s">
        <v>506</v>
      </c>
      <c r="F308" t="s">
        <v>580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586</v>
      </c>
      <c r="B309" t="s">
        <v>79</v>
      </c>
      <c r="C309">
        <v>71262377</v>
      </c>
      <c r="D309" t="s">
        <v>2</v>
      </c>
      <c r="E309" t="s">
        <v>506</v>
      </c>
      <c r="F309" t="s">
        <v>580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586</v>
      </c>
      <c r="B310" t="s">
        <v>68</v>
      </c>
      <c r="C310">
        <v>73257316</v>
      </c>
      <c r="D310" t="s">
        <v>2</v>
      </c>
      <c r="E310" t="s">
        <v>505</v>
      </c>
      <c r="F310" t="s">
        <v>580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586</v>
      </c>
      <c r="B311" t="s">
        <v>42</v>
      </c>
      <c r="C311">
        <v>73725129</v>
      </c>
      <c r="D311" t="s">
        <v>2</v>
      </c>
      <c r="E311" t="s">
        <v>506</v>
      </c>
      <c r="F311" t="s">
        <v>580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586</v>
      </c>
      <c r="B312" t="s">
        <v>38</v>
      </c>
      <c r="C312">
        <v>47411966</v>
      </c>
      <c r="D312" t="s">
        <v>2</v>
      </c>
      <c r="E312" t="s">
        <v>506</v>
      </c>
      <c r="F312" t="s">
        <v>580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586</v>
      </c>
      <c r="B313" t="s">
        <v>26</v>
      </c>
      <c r="C313">
        <v>41005089</v>
      </c>
      <c r="D313" t="s">
        <v>6</v>
      </c>
      <c r="E313" t="s">
        <v>506</v>
      </c>
      <c r="F313" t="s">
        <v>580</v>
      </c>
      <c r="G313" s="56">
        <v>44257</v>
      </c>
      <c r="H313">
        <v>62</v>
      </c>
      <c r="I313" t="s">
        <v>588</v>
      </c>
      <c r="J313" s="56"/>
    </row>
    <row r="314" spans="1:10" x14ac:dyDescent="0.25">
      <c r="A314" t="s">
        <v>586</v>
      </c>
      <c r="B314" t="s">
        <v>19</v>
      </c>
      <c r="C314">
        <v>76656128</v>
      </c>
      <c r="D314" t="s">
        <v>6</v>
      </c>
      <c r="E314" t="s">
        <v>506</v>
      </c>
      <c r="F314" t="s">
        <v>580</v>
      </c>
      <c r="G314" s="56">
        <v>44671</v>
      </c>
      <c r="H314">
        <v>48</v>
      </c>
      <c r="I314" t="s">
        <v>588</v>
      </c>
      <c r="J314" s="56"/>
    </row>
    <row r="315" spans="1:10" x14ac:dyDescent="0.25">
      <c r="A315" t="s">
        <v>586</v>
      </c>
      <c r="B315" t="s">
        <v>35</v>
      </c>
      <c r="C315">
        <v>10491198</v>
      </c>
      <c r="D315" t="s">
        <v>6</v>
      </c>
      <c r="E315" t="s">
        <v>506</v>
      </c>
      <c r="F315" t="s">
        <v>580</v>
      </c>
      <c r="G315" s="56">
        <v>44746</v>
      </c>
      <c r="H315">
        <v>46</v>
      </c>
      <c r="I315" t="s">
        <v>589</v>
      </c>
      <c r="J315" s="56"/>
    </row>
    <row r="316" spans="1:10" x14ac:dyDescent="0.25">
      <c r="A316" t="s">
        <v>586</v>
      </c>
      <c r="B316" t="s">
        <v>78</v>
      </c>
      <c r="C316">
        <v>10706451</v>
      </c>
      <c r="D316" t="s">
        <v>6</v>
      </c>
      <c r="E316" t="s">
        <v>506</v>
      </c>
      <c r="F316" t="s">
        <v>580</v>
      </c>
      <c r="G316" s="56">
        <v>44943</v>
      </c>
      <c r="H316">
        <v>39</v>
      </c>
      <c r="I316" t="s">
        <v>589</v>
      </c>
      <c r="J316" s="56"/>
    </row>
    <row r="317" spans="1:10" x14ac:dyDescent="0.25">
      <c r="A317" t="s">
        <v>586</v>
      </c>
      <c r="B317" t="s">
        <v>37</v>
      </c>
      <c r="C317">
        <v>70988976</v>
      </c>
      <c r="D317" t="s">
        <v>6</v>
      </c>
      <c r="E317" t="s">
        <v>506</v>
      </c>
      <c r="F317" t="s">
        <v>580</v>
      </c>
      <c r="G317" s="56">
        <v>45112</v>
      </c>
      <c r="H317">
        <v>34</v>
      </c>
      <c r="I317" t="s">
        <v>589</v>
      </c>
      <c r="J317" s="56"/>
    </row>
    <row r="318" spans="1:10" x14ac:dyDescent="0.25">
      <c r="A318" t="s">
        <v>586</v>
      </c>
      <c r="B318" t="s">
        <v>34</v>
      </c>
      <c r="C318">
        <v>76824571</v>
      </c>
      <c r="D318" t="s">
        <v>6</v>
      </c>
      <c r="E318" t="s">
        <v>506</v>
      </c>
      <c r="F318" t="s">
        <v>580</v>
      </c>
      <c r="G318" s="56">
        <v>45173</v>
      </c>
      <c r="H318">
        <v>32</v>
      </c>
      <c r="I318" t="s">
        <v>588</v>
      </c>
      <c r="J318" s="56"/>
    </row>
    <row r="319" spans="1:10" x14ac:dyDescent="0.25">
      <c r="A319" t="s">
        <v>586</v>
      </c>
      <c r="B319" t="s">
        <v>80</v>
      </c>
      <c r="C319">
        <v>45084594</v>
      </c>
      <c r="D319" t="s">
        <v>6</v>
      </c>
      <c r="E319" t="s">
        <v>506</v>
      </c>
      <c r="F319" t="s">
        <v>580</v>
      </c>
      <c r="G319" s="56">
        <v>45281</v>
      </c>
      <c r="H319">
        <v>28</v>
      </c>
      <c r="I319" t="s">
        <v>588</v>
      </c>
      <c r="J319" s="56"/>
    </row>
    <row r="320" spans="1:10" x14ac:dyDescent="0.25">
      <c r="A320" t="s">
        <v>586</v>
      </c>
      <c r="B320" t="s">
        <v>11</v>
      </c>
      <c r="C320">
        <v>45139159</v>
      </c>
      <c r="D320" t="s">
        <v>6</v>
      </c>
      <c r="E320" t="s">
        <v>505</v>
      </c>
      <c r="F320" t="s">
        <v>580</v>
      </c>
      <c r="G320" s="56">
        <v>45369</v>
      </c>
      <c r="H320">
        <v>25</v>
      </c>
      <c r="I320" t="s">
        <v>588</v>
      </c>
      <c r="J320" s="56"/>
    </row>
    <row r="321" spans="1:10" x14ac:dyDescent="0.25">
      <c r="A321" t="s">
        <v>586</v>
      </c>
      <c r="B321" t="s">
        <v>81</v>
      </c>
      <c r="C321">
        <v>72716299</v>
      </c>
      <c r="D321" t="s">
        <v>6</v>
      </c>
      <c r="E321" t="s">
        <v>506</v>
      </c>
      <c r="F321" t="s">
        <v>580</v>
      </c>
      <c r="G321" s="56">
        <v>45511</v>
      </c>
      <c r="H321">
        <v>20</v>
      </c>
      <c r="I321" t="s">
        <v>588</v>
      </c>
      <c r="J321" s="56"/>
    </row>
    <row r="322" spans="1:10" x14ac:dyDescent="0.25">
      <c r="A322" t="s">
        <v>586</v>
      </c>
      <c r="B322" t="s">
        <v>50</v>
      </c>
      <c r="C322">
        <v>72733809</v>
      </c>
      <c r="D322" t="s">
        <v>6</v>
      </c>
      <c r="E322" t="s">
        <v>506</v>
      </c>
      <c r="F322" t="s">
        <v>580</v>
      </c>
      <c r="G322" s="56">
        <v>45789</v>
      </c>
      <c r="H322">
        <v>11</v>
      </c>
      <c r="I322" t="s">
        <v>588</v>
      </c>
      <c r="J322" s="56"/>
    </row>
    <row r="323" spans="1:10" x14ac:dyDescent="0.25">
      <c r="A323" t="s">
        <v>586</v>
      </c>
      <c r="B323" t="s">
        <v>97</v>
      </c>
      <c r="C323">
        <v>74602206</v>
      </c>
      <c r="D323" t="s">
        <v>6</v>
      </c>
      <c r="E323" t="s">
        <v>506</v>
      </c>
      <c r="F323" t="s">
        <v>580</v>
      </c>
      <c r="G323" s="56">
        <v>45884</v>
      </c>
      <c r="H323">
        <v>8</v>
      </c>
      <c r="I323" t="s">
        <v>589</v>
      </c>
      <c r="J323" s="56"/>
    </row>
    <row r="324" spans="1:10" x14ac:dyDescent="0.25">
      <c r="A324" t="s">
        <v>586</v>
      </c>
      <c r="B324" t="s">
        <v>105</v>
      </c>
      <c r="C324">
        <v>48344037</v>
      </c>
      <c r="D324" t="s">
        <v>6</v>
      </c>
      <c r="E324" t="s">
        <v>506</v>
      </c>
      <c r="F324" t="s">
        <v>580</v>
      </c>
      <c r="G324" s="56">
        <v>46027</v>
      </c>
      <c r="H324">
        <v>4</v>
      </c>
      <c r="I324" t="s">
        <v>588</v>
      </c>
      <c r="J324" s="56"/>
    </row>
    <row r="325" spans="1:10" x14ac:dyDescent="0.25">
      <c r="A325" t="s">
        <v>586</v>
      </c>
      <c r="B325" t="s">
        <v>23</v>
      </c>
      <c r="C325">
        <v>72413556</v>
      </c>
      <c r="D325" t="s">
        <v>3</v>
      </c>
      <c r="E325" t="s">
        <v>506</v>
      </c>
      <c r="F325" t="s">
        <v>580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586</v>
      </c>
      <c r="B326" t="s">
        <v>13</v>
      </c>
      <c r="C326">
        <v>72512391</v>
      </c>
      <c r="D326" t="s">
        <v>3</v>
      </c>
      <c r="E326" t="s">
        <v>506</v>
      </c>
      <c r="F326" t="s">
        <v>580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586</v>
      </c>
      <c r="B327" t="s">
        <v>33</v>
      </c>
      <c r="C327">
        <v>80689573</v>
      </c>
      <c r="D327" t="s">
        <v>3</v>
      </c>
      <c r="E327" t="s">
        <v>582</v>
      </c>
      <c r="F327" t="s">
        <v>580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586</v>
      </c>
      <c r="B328" t="s">
        <v>17</v>
      </c>
      <c r="C328">
        <v>70876605</v>
      </c>
      <c r="D328" t="s">
        <v>3</v>
      </c>
      <c r="E328" t="s">
        <v>506</v>
      </c>
      <c r="F328" t="s">
        <v>580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586</v>
      </c>
      <c r="B329" t="s">
        <v>65</v>
      </c>
      <c r="C329">
        <v>47659267</v>
      </c>
      <c r="D329" t="s">
        <v>3</v>
      </c>
      <c r="E329" t="s">
        <v>506</v>
      </c>
      <c r="F329" t="s">
        <v>580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586</v>
      </c>
      <c r="B330" t="s">
        <v>22</v>
      </c>
      <c r="C330">
        <v>70551168</v>
      </c>
      <c r="D330" t="s">
        <v>3</v>
      </c>
      <c r="E330" t="s">
        <v>506</v>
      </c>
      <c r="F330" t="s">
        <v>580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586</v>
      </c>
      <c r="B331" t="s">
        <v>24</v>
      </c>
      <c r="C331">
        <v>43614775</v>
      </c>
      <c r="D331" t="s">
        <v>3</v>
      </c>
      <c r="E331" t="s">
        <v>505</v>
      </c>
      <c r="F331" t="s">
        <v>580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586</v>
      </c>
      <c r="B332" t="s">
        <v>31</v>
      </c>
      <c r="C332">
        <v>75882265</v>
      </c>
      <c r="D332" t="s">
        <v>3</v>
      </c>
      <c r="E332" t="s">
        <v>582</v>
      </c>
      <c r="F332" t="s">
        <v>580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586</v>
      </c>
      <c r="B333" t="s">
        <v>32</v>
      </c>
      <c r="C333">
        <v>48584670</v>
      </c>
      <c r="D333" t="s">
        <v>3</v>
      </c>
      <c r="E333" t="s">
        <v>506</v>
      </c>
      <c r="F333" t="s">
        <v>580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586</v>
      </c>
      <c r="B334" t="s">
        <v>96</v>
      </c>
      <c r="C334">
        <v>46793103</v>
      </c>
      <c r="D334" t="s">
        <v>3</v>
      </c>
      <c r="E334" t="s">
        <v>506</v>
      </c>
      <c r="F334" t="s">
        <v>580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586</v>
      </c>
      <c r="B335" t="s">
        <v>207</v>
      </c>
      <c r="C335">
        <v>75069320</v>
      </c>
      <c r="D335" t="s">
        <v>3</v>
      </c>
      <c r="E335" t="s">
        <v>506</v>
      </c>
      <c r="F335" t="s">
        <v>580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586</v>
      </c>
      <c r="B336" t="s">
        <v>382</v>
      </c>
      <c r="C336">
        <v>44883074</v>
      </c>
      <c r="D336" t="s">
        <v>3</v>
      </c>
      <c r="E336" t="s">
        <v>506</v>
      </c>
      <c r="F336" t="s">
        <v>580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586</v>
      </c>
      <c r="B337" t="s">
        <v>502</v>
      </c>
      <c r="C337">
        <v>9668687</v>
      </c>
      <c r="D337" t="s">
        <v>124</v>
      </c>
      <c r="E337" t="s">
        <v>582</v>
      </c>
      <c r="F337" t="s">
        <v>580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586</v>
      </c>
      <c r="B338" t="s">
        <v>554</v>
      </c>
      <c r="C338">
        <v>73233992</v>
      </c>
      <c r="D338" t="s">
        <v>124</v>
      </c>
      <c r="E338" t="s">
        <v>506</v>
      </c>
      <c r="F338" t="s">
        <v>580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586</v>
      </c>
      <c r="B339" t="s">
        <v>562</v>
      </c>
      <c r="C339">
        <v>10330959</v>
      </c>
      <c r="D339" t="s">
        <v>124</v>
      </c>
      <c r="E339" t="s">
        <v>506</v>
      </c>
      <c r="F339" t="s">
        <v>580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586</v>
      </c>
      <c r="B340" t="s">
        <v>568</v>
      </c>
      <c r="C340">
        <v>78564842</v>
      </c>
      <c r="D340" t="s">
        <v>124</v>
      </c>
      <c r="E340" t="s">
        <v>506</v>
      </c>
      <c r="F340" t="s">
        <v>580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590</v>
      </c>
      <c r="B341" t="s">
        <v>219</v>
      </c>
      <c r="C341">
        <v>74122258</v>
      </c>
      <c r="D341" t="s">
        <v>6</v>
      </c>
      <c r="E341" t="s">
        <v>133</v>
      </c>
      <c r="F341" t="s">
        <v>580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590</v>
      </c>
      <c r="B342" t="s">
        <v>248</v>
      </c>
      <c r="C342">
        <v>44265602</v>
      </c>
      <c r="D342" t="s">
        <v>2</v>
      </c>
      <c r="E342" t="s">
        <v>133</v>
      </c>
      <c r="F342" t="s">
        <v>580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590</v>
      </c>
      <c r="B343" t="s">
        <v>226</v>
      </c>
      <c r="C343">
        <v>73049631</v>
      </c>
      <c r="D343" t="s">
        <v>3</v>
      </c>
      <c r="E343" t="s">
        <v>133</v>
      </c>
      <c r="F343" t="s">
        <v>580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590</v>
      </c>
      <c r="B344" t="s">
        <v>222</v>
      </c>
      <c r="C344">
        <v>75000131</v>
      </c>
      <c r="D344" t="s">
        <v>125</v>
      </c>
      <c r="E344" t="s">
        <v>133</v>
      </c>
      <c r="F344" t="s">
        <v>580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590</v>
      </c>
      <c r="B345" t="s">
        <v>214</v>
      </c>
      <c r="C345">
        <v>46872195</v>
      </c>
      <c r="D345" t="s">
        <v>7</v>
      </c>
      <c r="E345" t="s">
        <v>133</v>
      </c>
      <c r="F345" t="s">
        <v>580</v>
      </c>
      <c r="G345" s="56">
        <v>43805</v>
      </c>
      <c r="H345">
        <v>76</v>
      </c>
      <c r="I345" t="s">
        <v>175</v>
      </c>
      <c r="J345" s="56"/>
    </row>
    <row r="346" spans="1:10" x14ac:dyDescent="0.25">
      <c r="A346" t="s">
        <v>590</v>
      </c>
      <c r="B346" t="s">
        <v>58</v>
      </c>
      <c r="C346">
        <v>72519113</v>
      </c>
      <c r="D346" t="s">
        <v>7</v>
      </c>
      <c r="E346" t="s">
        <v>505</v>
      </c>
      <c r="F346" t="s">
        <v>580</v>
      </c>
      <c r="G346" s="56">
        <v>43119</v>
      </c>
      <c r="H346">
        <v>99</v>
      </c>
      <c r="I346" t="s">
        <v>591</v>
      </c>
      <c r="J346" s="56"/>
    </row>
    <row r="347" spans="1:10" x14ac:dyDescent="0.25">
      <c r="A347" t="s">
        <v>590</v>
      </c>
      <c r="B347" t="s">
        <v>49</v>
      </c>
      <c r="C347">
        <v>40702064</v>
      </c>
      <c r="D347" t="s">
        <v>7</v>
      </c>
      <c r="E347" t="s">
        <v>506</v>
      </c>
      <c r="F347" t="s">
        <v>580</v>
      </c>
      <c r="G347" s="56">
        <v>43313</v>
      </c>
      <c r="H347">
        <v>93</v>
      </c>
      <c r="I347" t="s">
        <v>591</v>
      </c>
      <c r="J347" s="56"/>
    </row>
    <row r="348" spans="1:10" x14ac:dyDescent="0.25">
      <c r="A348" t="s">
        <v>590</v>
      </c>
      <c r="B348" t="s">
        <v>23</v>
      </c>
      <c r="C348">
        <v>72413556</v>
      </c>
      <c r="D348" t="s">
        <v>2</v>
      </c>
      <c r="E348" t="s">
        <v>506</v>
      </c>
      <c r="F348" t="s">
        <v>580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590</v>
      </c>
      <c r="B349" t="s">
        <v>26</v>
      </c>
      <c r="C349">
        <v>41005089</v>
      </c>
      <c r="D349" t="s">
        <v>6</v>
      </c>
      <c r="E349" t="s">
        <v>505</v>
      </c>
      <c r="F349" t="s">
        <v>580</v>
      </c>
      <c r="G349" s="56">
        <v>44257</v>
      </c>
      <c r="H349">
        <v>62</v>
      </c>
      <c r="I349" t="s">
        <v>588</v>
      </c>
      <c r="J349" s="56"/>
    </row>
    <row r="350" spans="1:10" x14ac:dyDescent="0.25">
      <c r="A350" t="s">
        <v>590</v>
      </c>
      <c r="B350" t="s">
        <v>19</v>
      </c>
      <c r="C350">
        <v>76656128</v>
      </c>
      <c r="D350" t="s">
        <v>6</v>
      </c>
      <c r="E350" t="s">
        <v>506</v>
      </c>
      <c r="F350" t="s">
        <v>580</v>
      </c>
      <c r="G350" s="56">
        <v>44671</v>
      </c>
      <c r="H350">
        <v>48</v>
      </c>
      <c r="I350" t="s">
        <v>588</v>
      </c>
      <c r="J350" s="56"/>
    </row>
    <row r="351" spans="1:10" x14ac:dyDescent="0.25">
      <c r="A351" t="s">
        <v>590</v>
      </c>
      <c r="B351" t="s">
        <v>29</v>
      </c>
      <c r="C351">
        <v>72758956</v>
      </c>
      <c r="D351" t="s">
        <v>3</v>
      </c>
      <c r="E351" t="s">
        <v>506</v>
      </c>
      <c r="F351" t="s">
        <v>580</v>
      </c>
      <c r="G351" s="56">
        <v>44685</v>
      </c>
      <c r="H351">
        <v>48</v>
      </c>
      <c r="I351" t="s">
        <v>588</v>
      </c>
      <c r="J351" s="56"/>
    </row>
    <row r="352" spans="1:10" x14ac:dyDescent="0.25">
      <c r="A352" t="s">
        <v>590</v>
      </c>
      <c r="B352" t="s">
        <v>10</v>
      </c>
      <c r="C352">
        <v>40980108</v>
      </c>
      <c r="D352" t="s">
        <v>125</v>
      </c>
      <c r="E352" t="s">
        <v>505</v>
      </c>
      <c r="F352" t="s">
        <v>580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590</v>
      </c>
      <c r="B353" t="s">
        <v>75</v>
      </c>
      <c r="C353">
        <v>71264767</v>
      </c>
      <c r="D353" t="s">
        <v>125</v>
      </c>
      <c r="E353" t="s">
        <v>506</v>
      </c>
      <c r="F353" t="s">
        <v>580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590</v>
      </c>
      <c r="B354" t="s">
        <v>15</v>
      </c>
      <c r="C354">
        <v>47587400</v>
      </c>
      <c r="D354" t="s">
        <v>2</v>
      </c>
      <c r="E354" t="s">
        <v>506</v>
      </c>
      <c r="F354" t="s">
        <v>580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590</v>
      </c>
      <c r="B355" t="s">
        <v>48</v>
      </c>
      <c r="C355">
        <v>43307898</v>
      </c>
      <c r="D355" t="s">
        <v>7</v>
      </c>
      <c r="E355" t="s">
        <v>506</v>
      </c>
      <c r="F355" t="s">
        <v>580</v>
      </c>
      <c r="G355" s="56">
        <v>44746</v>
      </c>
      <c r="H355">
        <v>46</v>
      </c>
      <c r="I355" t="s">
        <v>591</v>
      </c>
      <c r="J355" s="56"/>
    </row>
    <row r="356" spans="1:10" x14ac:dyDescent="0.25">
      <c r="A356" t="s">
        <v>590</v>
      </c>
      <c r="B356" t="s">
        <v>35</v>
      </c>
      <c r="C356">
        <v>10491198</v>
      </c>
      <c r="D356" t="s">
        <v>6</v>
      </c>
      <c r="E356" t="s">
        <v>506</v>
      </c>
      <c r="F356" t="s">
        <v>580</v>
      </c>
      <c r="G356" s="56">
        <v>44746</v>
      </c>
      <c r="H356">
        <v>46</v>
      </c>
      <c r="I356" t="s">
        <v>589</v>
      </c>
      <c r="J356" s="56"/>
    </row>
    <row r="357" spans="1:10" x14ac:dyDescent="0.25">
      <c r="A357" t="s">
        <v>590</v>
      </c>
      <c r="B357" t="s">
        <v>13</v>
      </c>
      <c r="C357">
        <v>72512391</v>
      </c>
      <c r="D357" t="s">
        <v>2</v>
      </c>
      <c r="E357" t="s">
        <v>506</v>
      </c>
      <c r="F357" t="s">
        <v>580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590</v>
      </c>
      <c r="B358" t="s">
        <v>76</v>
      </c>
      <c r="C358">
        <v>60914051</v>
      </c>
      <c r="D358" t="s">
        <v>3</v>
      </c>
      <c r="E358" t="s">
        <v>506</v>
      </c>
      <c r="F358" t="s">
        <v>580</v>
      </c>
      <c r="G358" s="56">
        <v>44817</v>
      </c>
      <c r="H358">
        <v>43</v>
      </c>
      <c r="I358" t="s">
        <v>589</v>
      </c>
      <c r="J358" s="56"/>
    </row>
    <row r="359" spans="1:10" x14ac:dyDescent="0.25">
      <c r="A359" t="s">
        <v>590</v>
      </c>
      <c r="B359" t="s">
        <v>25</v>
      </c>
      <c r="C359">
        <v>72373931</v>
      </c>
      <c r="D359" t="s">
        <v>2</v>
      </c>
      <c r="E359" t="s">
        <v>506</v>
      </c>
      <c r="F359" t="s">
        <v>580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590</v>
      </c>
      <c r="B360" t="s">
        <v>77</v>
      </c>
      <c r="C360">
        <v>42251780</v>
      </c>
      <c r="D360" t="s">
        <v>7</v>
      </c>
      <c r="E360" t="s">
        <v>506</v>
      </c>
      <c r="F360" t="s">
        <v>580</v>
      </c>
      <c r="G360" s="56">
        <v>44838</v>
      </c>
      <c r="H360">
        <v>43</v>
      </c>
      <c r="I360" t="s">
        <v>591</v>
      </c>
      <c r="J360" s="56"/>
    </row>
    <row r="361" spans="1:10" x14ac:dyDescent="0.25">
      <c r="A361" t="s">
        <v>590</v>
      </c>
      <c r="B361" t="s">
        <v>12</v>
      </c>
      <c r="C361">
        <v>45262585</v>
      </c>
      <c r="D361" t="s">
        <v>125</v>
      </c>
      <c r="E361" t="s">
        <v>506</v>
      </c>
      <c r="F361" t="s">
        <v>580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590</v>
      </c>
      <c r="B362" t="s">
        <v>17</v>
      </c>
      <c r="C362">
        <v>70876605</v>
      </c>
      <c r="D362" t="s">
        <v>2</v>
      </c>
      <c r="E362" t="s">
        <v>506</v>
      </c>
      <c r="F362" t="s">
        <v>580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590</v>
      </c>
      <c r="B363" t="s">
        <v>61</v>
      </c>
      <c r="C363">
        <v>44001162</v>
      </c>
      <c r="D363" t="s">
        <v>125</v>
      </c>
      <c r="E363" t="s">
        <v>506</v>
      </c>
      <c r="F363" t="s">
        <v>580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590</v>
      </c>
      <c r="B364" t="s">
        <v>78</v>
      </c>
      <c r="C364">
        <v>10706451</v>
      </c>
      <c r="D364" t="s">
        <v>3</v>
      </c>
      <c r="E364" t="s">
        <v>506</v>
      </c>
      <c r="F364" t="s">
        <v>580</v>
      </c>
      <c r="G364" s="56">
        <v>44943</v>
      </c>
      <c r="H364">
        <v>39</v>
      </c>
      <c r="I364" t="s">
        <v>589</v>
      </c>
      <c r="J364" s="56"/>
    </row>
    <row r="365" spans="1:10" x14ac:dyDescent="0.25">
      <c r="A365" t="s">
        <v>590</v>
      </c>
      <c r="B365" t="s">
        <v>65</v>
      </c>
      <c r="C365">
        <v>47659267</v>
      </c>
      <c r="D365" t="s">
        <v>2</v>
      </c>
      <c r="E365" t="s">
        <v>506</v>
      </c>
      <c r="F365" t="s">
        <v>580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590</v>
      </c>
      <c r="B366" t="s">
        <v>37</v>
      </c>
      <c r="C366">
        <v>70988976</v>
      </c>
      <c r="D366" t="s">
        <v>6</v>
      </c>
      <c r="E366" t="s">
        <v>506</v>
      </c>
      <c r="F366" t="s">
        <v>580</v>
      </c>
      <c r="G366" s="56">
        <v>45112</v>
      </c>
      <c r="H366">
        <v>34</v>
      </c>
      <c r="I366" t="s">
        <v>589</v>
      </c>
      <c r="J366" s="56"/>
    </row>
    <row r="367" spans="1:10" x14ac:dyDescent="0.25">
      <c r="A367" t="s">
        <v>590</v>
      </c>
      <c r="B367" t="s">
        <v>18</v>
      </c>
      <c r="C367">
        <v>76214436</v>
      </c>
      <c r="D367" t="s">
        <v>125</v>
      </c>
      <c r="E367" t="s">
        <v>506</v>
      </c>
      <c r="F367" t="s">
        <v>580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590</v>
      </c>
      <c r="B368" t="s">
        <v>73</v>
      </c>
      <c r="C368">
        <v>40318129</v>
      </c>
      <c r="D368" t="s">
        <v>7</v>
      </c>
      <c r="E368" t="s">
        <v>506</v>
      </c>
      <c r="F368" t="s">
        <v>580</v>
      </c>
      <c r="G368" s="56">
        <v>45141</v>
      </c>
      <c r="H368">
        <v>33</v>
      </c>
      <c r="I368" t="s">
        <v>591</v>
      </c>
      <c r="J368" s="56"/>
    </row>
    <row r="369" spans="1:10" x14ac:dyDescent="0.25">
      <c r="A369" t="s">
        <v>590</v>
      </c>
      <c r="B369" t="s">
        <v>79</v>
      </c>
      <c r="C369">
        <v>71262377</v>
      </c>
      <c r="D369" t="s">
        <v>3</v>
      </c>
      <c r="E369" t="s">
        <v>506</v>
      </c>
      <c r="F369" t="s">
        <v>580</v>
      </c>
      <c r="G369" s="56">
        <v>45145</v>
      </c>
      <c r="H369">
        <v>32</v>
      </c>
      <c r="I369" t="s">
        <v>588</v>
      </c>
      <c r="J369" s="56"/>
    </row>
    <row r="370" spans="1:10" x14ac:dyDescent="0.25">
      <c r="A370" t="s">
        <v>590</v>
      </c>
      <c r="B370" t="s">
        <v>34</v>
      </c>
      <c r="C370">
        <v>76824571</v>
      </c>
      <c r="D370" t="s">
        <v>6</v>
      </c>
      <c r="E370" t="s">
        <v>506</v>
      </c>
      <c r="F370" t="s">
        <v>580</v>
      </c>
      <c r="G370" s="56">
        <v>45173</v>
      </c>
      <c r="H370">
        <v>32</v>
      </c>
      <c r="I370" t="s">
        <v>588</v>
      </c>
      <c r="J370" s="56"/>
    </row>
    <row r="371" spans="1:10" x14ac:dyDescent="0.25">
      <c r="A371" t="s">
        <v>590</v>
      </c>
      <c r="B371" t="s">
        <v>80</v>
      </c>
      <c r="C371">
        <v>45084594</v>
      </c>
      <c r="D371" t="s">
        <v>6</v>
      </c>
      <c r="E371" t="s">
        <v>506</v>
      </c>
      <c r="F371" t="s">
        <v>580</v>
      </c>
      <c r="G371" s="56">
        <v>45281</v>
      </c>
      <c r="H371">
        <v>28</v>
      </c>
      <c r="I371" t="s">
        <v>588</v>
      </c>
      <c r="J371" s="56"/>
    </row>
    <row r="372" spans="1:10" x14ac:dyDescent="0.25">
      <c r="A372" t="s">
        <v>590</v>
      </c>
      <c r="B372" t="s">
        <v>22</v>
      </c>
      <c r="C372">
        <v>70551168</v>
      </c>
      <c r="D372" t="s">
        <v>2</v>
      </c>
      <c r="E372" t="s">
        <v>506</v>
      </c>
      <c r="F372" t="s">
        <v>580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590</v>
      </c>
      <c r="B373" t="s">
        <v>41</v>
      </c>
      <c r="C373">
        <v>46461021</v>
      </c>
      <c r="D373" t="s">
        <v>7</v>
      </c>
      <c r="E373" t="s">
        <v>506</v>
      </c>
      <c r="F373" t="s">
        <v>580</v>
      </c>
      <c r="G373" s="56">
        <v>45302</v>
      </c>
      <c r="H373">
        <v>27</v>
      </c>
      <c r="I373" t="s">
        <v>592</v>
      </c>
      <c r="J373" s="56"/>
    </row>
    <row r="374" spans="1:10" x14ac:dyDescent="0.25">
      <c r="A374" t="s">
        <v>590</v>
      </c>
      <c r="B374" t="s">
        <v>24</v>
      </c>
      <c r="C374">
        <v>43614775</v>
      </c>
      <c r="D374" t="s">
        <v>2</v>
      </c>
      <c r="E374" t="s">
        <v>506</v>
      </c>
      <c r="F374" t="s">
        <v>580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590</v>
      </c>
      <c r="B375" t="s">
        <v>59</v>
      </c>
      <c r="C375">
        <v>60870839</v>
      </c>
      <c r="D375" t="s">
        <v>125</v>
      </c>
      <c r="E375" t="s">
        <v>506</v>
      </c>
      <c r="F375" t="s">
        <v>580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590</v>
      </c>
      <c r="B376" t="s">
        <v>68</v>
      </c>
      <c r="C376">
        <v>73257316</v>
      </c>
      <c r="D376" t="s">
        <v>3</v>
      </c>
      <c r="E376" t="s">
        <v>506</v>
      </c>
      <c r="F376" t="s">
        <v>580</v>
      </c>
      <c r="G376" s="56">
        <v>45363</v>
      </c>
      <c r="H376">
        <v>25</v>
      </c>
      <c r="I376" t="s">
        <v>588</v>
      </c>
      <c r="J376" s="56"/>
    </row>
    <row r="377" spans="1:10" x14ac:dyDescent="0.25">
      <c r="A377" t="s">
        <v>590</v>
      </c>
      <c r="B377" t="s">
        <v>11</v>
      </c>
      <c r="C377">
        <v>45139159</v>
      </c>
      <c r="D377" t="s">
        <v>6</v>
      </c>
      <c r="E377" t="s">
        <v>506</v>
      </c>
      <c r="F377" t="s">
        <v>580</v>
      </c>
      <c r="G377" s="56">
        <v>45369</v>
      </c>
      <c r="H377">
        <v>25</v>
      </c>
      <c r="I377" t="s">
        <v>588</v>
      </c>
      <c r="J377" s="56"/>
    </row>
    <row r="378" spans="1:10" x14ac:dyDescent="0.25">
      <c r="A378" t="s">
        <v>590</v>
      </c>
      <c r="B378" t="s">
        <v>42</v>
      </c>
      <c r="C378">
        <v>73725129</v>
      </c>
      <c r="D378" t="s">
        <v>2</v>
      </c>
      <c r="E378" t="s">
        <v>505</v>
      </c>
      <c r="F378" t="s">
        <v>580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590</v>
      </c>
      <c r="B379" t="s">
        <v>81</v>
      </c>
      <c r="C379">
        <v>72716299</v>
      </c>
      <c r="D379" t="s">
        <v>6</v>
      </c>
      <c r="E379" t="s">
        <v>506</v>
      </c>
      <c r="F379" t="s">
        <v>580</v>
      </c>
      <c r="G379" s="56">
        <v>45511</v>
      </c>
      <c r="H379">
        <v>20</v>
      </c>
      <c r="I379" t="s">
        <v>588</v>
      </c>
      <c r="J379" s="56"/>
    </row>
    <row r="380" spans="1:10" x14ac:dyDescent="0.25">
      <c r="A380" t="s">
        <v>590</v>
      </c>
      <c r="B380" t="s">
        <v>32</v>
      </c>
      <c r="C380">
        <v>48584670</v>
      </c>
      <c r="D380" t="s">
        <v>3</v>
      </c>
      <c r="E380" t="s">
        <v>506</v>
      </c>
      <c r="F380" t="s">
        <v>580</v>
      </c>
      <c r="G380" s="56">
        <v>45526</v>
      </c>
      <c r="H380">
        <v>20</v>
      </c>
      <c r="I380" t="s">
        <v>588</v>
      </c>
      <c r="J380" s="56"/>
    </row>
    <row r="381" spans="1:10" x14ac:dyDescent="0.25">
      <c r="A381" t="s">
        <v>590</v>
      </c>
      <c r="B381" t="s">
        <v>51</v>
      </c>
      <c r="C381">
        <v>76089925</v>
      </c>
      <c r="D381" t="s">
        <v>7</v>
      </c>
      <c r="E381" t="s">
        <v>506</v>
      </c>
      <c r="F381" t="s">
        <v>580</v>
      </c>
      <c r="G381" s="56">
        <v>45678</v>
      </c>
      <c r="H381">
        <v>15</v>
      </c>
      <c r="I381" t="s">
        <v>591</v>
      </c>
      <c r="J381" s="56"/>
    </row>
    <row r="382" spans="1:10" x14ac:dyDescent="0.25">
      <c r="A382" t="s">
        <v>590</v>
      </c>
      <c r="B382" t="s">
        <v>72</v>
      </c>
      <c r="C382">
        <v>47690367</v>
      </c>
      <c r="D382" t="s">
        <v>125</v>
      </c>
      <c r="E382" t="s">
        <v>506</v>
      </c>
      <c r="F382" t="s">
        <v>580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590</v>
      </c>
      <c r="B383" t="s">
        <v>50</v>
      </c>
      <c r="C383">
        <v>72733809</v>
      </c>
      <c r="D383" t="s">
        <v>6</v>
      </c>
      <c r="E383" t="s">
        <v>506</v>
      </c>
      <c r="F383" t="s">
        <v>580</v>
      </c>
      <c r="G383" s="56">
        <v>45789</v>
      </c>
      <c r="H383">
        <v>11</v>
      </c>
      <c r="I383" t="s">
        <v>588</v>
      </c>
      <c r="J383" s="56"/>
    </row>
    <row r="384" spans="1:10" x14ac:dyDescent="0.25">
      <c r="A384" t="s">
        <v>590</v>
      </c>
      <c r="B384" t="s">
        <v>38</v>
      </c>
      <c r="C384">
        <v>47411966</v>
      </c>
      <c r="D384" t="s">
        <v>3</v>
      </c>
      <c r="E384" t="s">
        <v>506</v>
      </c>
      <c r="F384" t="s">
        <v>580</v>
      </c>
      <c r="G384" s="56">
        <v>45800</v>
      </c>
      <c r="H384">
        <v>11</v>
      </c>
      <c r="I384" t="s">
        <v>589</v>
      </c>
      <c r="J384" s="56"/>
    </row>
    <row r="385" spans="1:10" x14ac:dyDescent="0.25">
      <c r="A385" t="s">
        <v>590</v>
      </c>
      <c r="B385" t="s">
        <v>55</v>
      </c>
      <c r="C385">
        <v>45119892</v>
      </c>
      <c r="D385" t="s">
        <v>593</v>
      </c>
      <c r="E385" t="s">
        <v>506</v>
      </c>
      <c r="F385" t="s">
        <v>580</v>
      </c>
      <c r="G385" s="56">
        <v>45813</v>
      </c>
      <c r="H385">
        <v>11</v>
      </c>
      <c r="I385" t="s">
        <v>593</v>
      </c>
      <c r="J385" s="56"/>
    </row>
    <row r="386" spans="1:10" x14ac:dyDescent="0.25">
      <c r="A386" t="s">
        <v>590</v>
      </c>
      <c r="B386" t="s">
        <v>60</v>
      </c>
      <c r="C386">
        <v>72839865</v>
      </c>
      <c r="D386" t="s">
        <v>125</v>
      </c>
      <c r="E386" t="s">
        <v>506</v>
      </c>
      <c r="F386" t="s">
        <v>580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590</v>
      </c>
      <c r="B387" t="s">
        <v>96</v>
      </c>
      <c r="C387">
        <v>46793103</v>
      </c>
      <c r="D387" t="s">
        <v>3</v>
      </c>
      <c r="E387" t="s">
        <v>506</v>
      </c>
      <c r="F387" t="s">
        <v>580</v>
      </c>
      <c r="G387" s="56">
        <v>45882</v>
      </c>
      <c r="H387">
        <v>8</v>
      </c>
      <c r="I387" t="s">
        <v>588</v>
      </c>
      <c r="J387" s="56"/>
    </row>
    <row r="388" spans="1:10" x14ac:dyDescent="0.25">
      <c r="A388" t="s">
        <v>590</v>
      </c>
      <c r="B388" t="s">
        <v>97</v>
      </c>
      <c r="C388">
        <v>74602206</v>
      </c>
      <c r="D388" t="s">
        <v>6</v>
      </c>
      <c r="E388" t="s">
        <v>506</v>
      </c>
      <c r="F388" t="s">
        <v>580</v>
      </c>
      <c r="G388" s="56">
        <v>45884</v>
      </c>
      <c r="H388">
        <v>8</v>
      </c>
      <c r="I388" t="s">
        <v>589</v>
      </c>
      <c r="J388" s="56"/>
    </row>
    <row r="389" spans="1:10" x14ac:dyDescent="0.25">
      <c r="A389" t="s">
        <v>590</v>
      </c>
      <c r="B389" t="s">
        <v>122</v>
      </c>
      <c r="C389">
        <v>76586998</v>
      </c>
      <c r="D389" t="s">
        <v>125</v>
      </c>
      <c r="E389" t="s">
        <v>506</v>
      </c>
      <c r="F389" t="s">
        <v>580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590</v>
      </c>
      <c r="B390" t="s">
        <v>174</v>
      </c>
      <c r="C390">
        <v>46994661</v>
      </c>
      <c r="D390" t="s">
        <v>3</v>
      </c>
      <c r="E390" t="s">
        <v>506</v>
      </c>
      <c r="F390" t="s">
        <v>580</v>
      </c>
      <c r="G390" s="56">
        <v>45992</v>
      </c>
      <c r="H390">
        <v>5</v>
      </c>
      <c r="I390" t="s">
        <v>588</v>
      </c>
      <c r="J390" s="56"/>
    </row>
    <row r="391" spans="1:10" x14ac:dyDescent="0.25">
      <c r="A391" t="s">
        <v>590</v>
      </c>
      <c r="B391" t="s">
        <v>109</v>
      </c>
      <c r="C391">
        <v>74626735</v>
      </c>
      <c r="D391" t="s">
        <v>125</v>
      </c>
      <c r="E391" t="s">
        <v>506</v>
      </c>
      <c r="F391" t="s">
        <v>580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590</v>
      </c>
      <c r="B392" t="s">
        <v>206</v>
      </c>
      <c r="C392">
        <v>47497410</v>
      </c>
      <c r="D392" t="s">
        <v>125</v>
      </c>
      <c r="E392" t="s">
        <v>506</v>
      </c>
      <c r="F392" t="s">
        <v>580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590</v>
      </c>
      <c r="B393" t="s">
        <v>105</v>
      </c>
      <c r="C393">
        <v>48344037</v>
      </c>
      <c r="D393" t="s">
        <v>6</v>
      </c>
      <c r="E393" t="s">
        <v>506</v>
      </c>
      <c r="F393" t="s">
        <v>580</v>
      </c>
      <c r="G393" s="56">
        <v>46027</v>
      </c>
      <c r="H393">
        <v>4</v>
      </c>
      <c r="I393" t="s">
        <v>588</v>
      </c>
      <c r="J393" s="56"/>
    </row>
    <row r="394" spans="1:10" x14ac:dyDescent="0.25">
      <c r="A394" t="s">
        <v>590</v>
      </c>
      <c r="B394" t="s">
        <v>207</v>
      </c>
      <c r="C394">
        <v>75069320</v>
      </c>
      <c r="D394" t="s">
        <v>2</v>
      </c>
      <c r="E394" t="s">
        <v>582</v>
      </c>
      <c r="F394" t="s">
        <v>580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590</v>
      </c>
      <c r="B395" t="s">
        <v>382</v>
      </c>
      <c r="C395">
        <v>44883074</v>
      </c>
      <c r="D395" t="s">
        <v>2</v>
      </c>
      <c r="E395" t="s">
        <v>506</v>
      </c>
      <c r="F395" t="s">
        <v>580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590</v>
      </c>
      <c r="B396" t="s">
        <v>498</v>
      </c>
      <c r="C396">
        <v>75026229</v>
      </c>
      <c r="D396" t="s">
        <v>3</v>
      </c>
      <c r="E396" t="s">
        <v>506</v>
      </c>
      <c r="F396" t="s">
        <v>580</v>
      </c>
      <c r="G396" s="56">
        <v>46052</v>
      </c>
      <c r="H396">
        <v>3</v>
      </c>
      <c r="I396" t="s">
        <v>588</v>
      </c>
      <c r="J396" s="56"/>
    </row>
    <row r="397" spans="1:10" x14ac:dyDescent="0.25">
      <c r="A397" t="s">
        <v>590</v>
      </c>
      <c r="B397" t="s">
        <v>500</v>
      </c>
      <c r="C397">
        <v>62792399</v>
      </c>
      <c r="D397" t="s">
        <v>7</v>
      </c>
      <c r="E397" t="s">
        <v>506</v>
      </c>
      <c r="F397" t="s">
        <v>580</v>
      </c>
      <c r="G397" s="56">
        <v>46052</v>
      </c>
      <c r="H397">
        <v>3</v>
      </c>
      <c r="I397" t="s">
        <v>592</v>
      </c>
      <c r="J397" s="56"/>
    </row>
    <row r="398" spans="1:10" x14ac:dyDescent="0.25">
      <c r="A398" t="s">
        <v>590</v>
      </c>
      <c r="B398" t="s">
        <v>85</v>
      </c>
      <c r="C398">
        <v>70477743</v>
      </c>
      <c r="D398" t="s">
        <v>125</v>
      </c>
      <c r="E398" t="s">
        <v>506</v>
      </c>
      <c r="F398" t="s">
        <v>580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590</v>
      </c>
      <c r="B399" t="s">
        <v>554</v>
      </c>
      <c r="C399">
        <v>73233992</v>
      </c>
      <c r="D399" t="s">
        <v>7</v>
      </c>
      <c r="E399" t="s">
        <v>506</v>
      </c>
      <c r="F399" t="s">
        <v>580</v>
      </c>
      <c r="G399" s="56">
        <v>46065</v>
      </c>
      <c r="H399">
        <v>2</v>
      </c>
      <c r="I399" t="s">
        <v>592</v>
      </c>
      <c r="J399" s="56"/>
    </row>
    <row r="400" spans="1:10" x14ac:dyDescent="0.25">
      <c r="A400" t="s">
        <v>590</v>
      </c>
      <c r="B400" t="s">
        <v>562</v>
      </c>
      <c r="C400">
        <v>10330959</v>
      </c>
      <c r="D400" t="s">
        <v>7</v>
      </c>
      <c r="E400" t="s">
        <v>506</v>
      </c>
      <c r="F400" t="s">
        <v>580</v>
      </c>
      <c r="G400" s="56">
        <v>46073</v>
      </c>
      <c r="H400">
        <v>2</v>
      </c>
      <c r="I400" t="s">
        <v>592</v>
      </c>
      <c r="J400" s="56"/>
    </row>
    <row r="401" spans="1:10" x14ac:dyDescent="0.25">
      <c r="A401" t="s">
        <v>590</v>
      </c>
      <c r="B401" t="s">
        <v>568</v>
      </c>
      <c r="C401">
        <v>78564842</v>
      </c>
      <c r="D401" t="s">
        <v>7</v>
      </c>
      <c r="E401" t="s">
        <v>582</v>
      </c>
      <c r="F401" t="s">
        <v>580</v>
      </c>
      <c r="G401" s="56">
        <v>46078</v>
      </c>
      <c r="H401">
        <v>0</v>
      </c>
      <c r="I401" t="s">
        <v>592</v>
      </c>
      <c r="J401" s="56">
        <v>46086</v>
      </c>
    </row>
    <row r="402" spans="1:10" x14ac:dyDescent="0.25">
      <c r="A402" t="s">
        <v>590</v>
      </c>
      <c r="B402" t="s">
        <v>569</v>
      </c>
      <c r="C402">
        <v>43184866</v>
      </c>
      <c r="D402" t="s">
        <v>2</v>
      </c>
      <c r="E402" t="s">
        <v>506</v>
      </c>
      <c r="F402" t="s">
        <v>580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590</v>
      </c>
      <c r="B403" t="s">
        <v>570</v>
      </c>
      <c r="C403">
        <v>10762187</v>
      </c>
      <c r="D403" t="s">
        <v>7</v>
      </c>
      <c r="E403" t="s">
        <v>506</v>
      </c>
      <c r="F403" t="s">
        <v>580</v>
      </c>
      <c r="G403" s="56">
        <v>46083</v>
      </c>
      <c r="H403">
        <v>2</v>
      </c>
      <c r="I403" t="s">
        <v>592</v>
      </c>
      <c r="J403" s="56"/>
    </row>
    <row r="404" spans="1:10" x14ac:dyDescent="0.25">
      <c r="A404" t="s">
        <v>590</v>
      </c>
      <c r="B404" t="s">
        <v>571</v>
      </c>
      <c r="C404">
        <v>75693756</v>
      </c>
      <c r="D404" t="s">
        <v>7</v>
      </c>
      <c r="E404" t="s">
        <v>506</v>
      </c>
      <c r="F404" t="s">
        <v>580</v>
      </c>
      <c r="G404" s="56">
        <v>46084</v>
      </c>
      <c r="H404">
        <v>2</v>
      </c>
      <c r="I404" t="s">
        <v>592</v>
      </c>
      <c r="J404" s="56"/>
    </row>
    <row r="405" spans="1:10" x14ac:dyDescent="0.25">
      <c r="A405" t="s">
        <v>603</v>
      </c>
      <c r="B405" t="s">
        <v>219</v>
      </c>
      <c r="C405">
        <v>74122258</v>
      </c>
      <c r="D405" t="s">
        <v>6</v>
      </c>
      <c r="E405" t="s">
        <v>133</v>
      </c>
      <c r="F405" t="s">
        <v>580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603</v>
      </c>
      <c r="B406" t="s">
        <v>248</v>
      </c>
      <c r="C406">
        <v>44265602</v>
      </c>
      <c r="D406" t="s">
        <v>2</v>
      </c>
      <c r="E406" t="s">
        <v>133</v>
      </c>
      <c r="F406" t="s">
        <v>580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603</v>
      </c>
      <c r="B407" t="s">
        <v>226</v>
      </c>
      <c r="C407">
        <v>73049631</v>
      </c>
      <c r="D407" t="s">
        <v>3</v>
      </c>
      <c r="E407" t="s">
        <v>133</v>
      </c>
      <c r="F407" t="s">
        <v>580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603</v>
      </c>
      <c r="B408" t="s">
        <v>222</v>
      </c>
      <c r="C408">
        <v>75000131</v>
      </c>
      <c r="D408" t="s">
        <v>125</v>
      </c>
      <c r="E408" t="s">
        <v>133</v>
      </c>
      <c r="F408" t="s">
        <v>580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603</v>
      </c>
      <c r="B409" t="s">
        <v>214</v>
      </c>
      <c r="C409">
        <v>46872195</v>
      </c>
      <c r="D409" t="s">
        <v>7</v>
      </c>
      <c r="E409" t="s">
        <v>133</v>
      </c>
      <c r="F409" t="s">
        <v>580</v>
      </c>
      <c r="G409" s="56">
        <v>43805</v>
      </c>
      <c r="H409">
        <v>76</v>
      </c>
      <c r="I409" t="s">
        <v>175</v>
      </c>
      <c r="J409" s="56"/>
    </row>
    <row r="410" spans="1:10" x14ac:dyDescent="0.25">
      <c r="A410" t="s">
        <v>603</v>
      </c>
      <c r="B410" t="s">
        <v>498</v>
      </c>
      <c r="C410">
        <v>75026229</v>
      </c>
      <c r="D410" t="s">
        <v>3</v>
      </c>
      <c r="E410" t="s">
        <v>506</v>
      </c>
      <c r="F410" t="s">
        <v>580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603</v>
      </c>
      <c r="B411" t="s">
        <v>174</v>
      </c>
      <c r="C411">
        <v>46994661</v>
      </c>
      <c r="D411" t="s">
        <v>3</v>
      </c>
      <c r="E411" t="s">
        <v>506</v>
      </c>
      <c r="F411" t="s">
        <v>580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603</v>
      </c>
      <c r="B412" t="s">
        <v>79</v>
      </c>
      <c r="C412">
        <v>71262377</v>
      </c>
      <c r="D412" t="s">
        <v>3</v>
      </c>
      <c r="E412" t="s">
        <v>506</v>
      </c>
      <c r="F412" t="s">
        <v>580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603</v>
      </c>
      <c r="B413" t="s">
        <v>29</v>
      </c>
      <c r="C413">
        <v>72758956</v>
      </c>
      <c r="D413" t="s">
        <v>3</v>
      </c>
      <c r="E413" t="s">
        <v>506</v>
      </c>
      <c r="F413" t="s">
        <v>580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603</v>
      </c>
      <c r="B414" t="s">
        <v>68</v>
      </c>
      <c r="C414">
        <v>73257316</v>
      </c>
      <c r="D414" t="s">
        <v>3</v>
      </c>
      <c r="E414" t="s">
        <v>506</v>
      </c>
      <c r="F414" t="s">
        <v>580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603</v>
      </c>
      <c r="B415" t="s">
        <v>32</v>
      </c>
      <c r="C415">
        <v>48584670</v>
      </c>
      <c r="D415" t="s">
        <v>3</v>
      </c>
      <c r="E415" t="s">
        <v>506</v>
      </c>
      <c r="F415" t="s">
        <v>580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603</v>
      </c>
      <c r="B416" t="s">
        <v>96</v>
      </c>
      <c r="C416">
        <v>46793103</v>
      </c>
      <c r="D416" t="s">
        <v>3</v>
      </c>
      <c r="E416" t="s">
        <v>506</v>
      </c>
      <c r="F416" t="s">
        <v>580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603</v>
      </c>
      <c r="B417" t="s">
        <v>569</v>
      </c>
      <c r="C417">
        <v>43184866</v>
      </c>
      <c r="D417" t="s">
        <v>3</v>
      </c>
      <c r="E417" t="s">
        <v>506</v>
      </c>
      <c r="F417" t="s">
        <v>580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603</v>
      </c>
      <c r="B418" t="s">
        <v>58</v>
      </c>
      <c r="C418">
        <v>72519113</v>
      </c>
      <c r="D418" t="s">
        <v>3</v>
      </c>
      <c r="E418" t="s">
        <v>506</v>
      </c>
      <c r="F418" t="s">
        <v>580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603</v>
      </c>
      <c r="B419" t="s">
        <v>85</v>
      </c>
      <c r="C419">
        <v>70477743</v>
      </c>
      <c r="D419" t="s">
        <v>3</v>
      </c>
      <c r="E419" t="s">
        <v>506</v>
      </c>
      <c r="F419" t="s">
        <v>580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603</v>
      </c>
      <c r="B420" t="s">
        <v>34</v>
      </c>
      <c r="C420">
        <v>76824571</v>
      </c>
      <c r="D420" t="s">
        <v>6</v>
      </c>
      <c r="E420" t="s">
        <v>506</v>
      </c>
      <c r="F420" t="s">
        <v>580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603</v>
      </c>
      <c r="B421" t="s">
        <v>76</v>
      </c>
      <c r="C421">
        <v>60914051</v>
      </c>
      <c r="D421" t="s">
        <v>6</v>
      </c>
      <c r="E421" t="s">
        <v>506</v>
      </c>
      <c r="F421" t="s">
        <v>580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603</v>
      </c>
      <c r="B422" t="s">
        <v>38</v>
      </c>
      <c r="C422">
        <v>47411966</v>
      </c>
      <c r="D422" t="s">
        <v>6</v>
      </c>
      <c r="E422" t="s">
        <v>506</v>
      </c>
      <c r="F422" t="s">
        <v>580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603</v>
      </c>
      <c r="B423" t="s">
        <v>35</v>
      </c>
      <c r="C423">
        <v>10491198</v>
      </c>
      <c r="D423" t="s">
        <v>6</v>
      </c>
      <c r="E423" t="s">
        <v>506</v>
      </c>
      <c r="F423" t="s">
        <v>580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603</v>
      </c>
      <c r="B424" t="s">
        <v>97</v>
      </c>
      <c r="C424">
        <v>74602206</v>
      </c>
      <c r="D424" t="s">
        <v>6</v>
      </c>
      <c r="E424" t="s">
        <v>506</v>
      </c>
      <c r="F424" t="s">
        <v>580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603</v>
      </c>
      <c r="B425" t="s">
        <v>105</v>
      </c>
      <c r="C425">
        <v>48344037</v>
      </c>
      <c r="D425" t="s">
        <v>6</v>
      </c>
      <c r="E425" t="s">
        <v>506</v>
      </c>
      <c r="F425" t="s">
        <v>580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603</v>
      </c>
      <c r="B426" t="s">
        <v>11</v>
      </c>
      <c r="C426">
        <v>45139159</v>
      </c>
      <c r="D426" t="s">
        <v>6</v>
      </c>
      <c r="E426" t="s">
        <v>506</v>
      </c>
      <c r="F426" t="s">
        <v>580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603</v>
      </c>
      <c r="B427" t="s">
        <v>15</v>
      </c>
      <c r="C427">
        <v>47587400</v>
      </c>
      <c r="D427" t="s">
        <v>2</v>
      </c>
      <c r="E427" t="s">
        <v>506</v>
      </c>
      <c r="F427" t="s">
        <v>580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603</v>
      </c>
      <c r="B428" t="s">
        <v>23</v>
      </c>
      <c r="C428">
        <v>72413556</v>
      </c>
      <c r="D428" t="s">
        <v>2</v>
      </c>
      <c r="E428" t="s">
        <v>506</v>
      </c>
      <c r="F428" t="s">
        <v>580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603</v>
      </c>
      <c r="B429" t="s">
        <v>65</v>
      </c>
      <c r="C429">
        <v>47659267</v>
      </c>
      <c r="D429" t="s">
        <v>2</v>
      </c>
      <c r="E429" t="s">
        <v>506</v>
      </c>
      <c r="F429" t="s">
        <v>580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603</v>
      </c>
      <c r="B430" t="s">
        <v>13</v>
      </c>
      <c r="C430">
        <v>72512391</v>
      </c>
      <c r="D430" t="s">
        <v>2</v>
      </c>
      <c r="E430" t="s">
        <v>506</v>
      </c>
      <c r="F430" t="s">
        <v>580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603</v>
      </c>
      <c r="B431" t="s">
        <v>22</v>
      </c>
      <c r="C431">
        <v>70551168</v>
      </c>
      <c r="D431" t="s">
        <v>2</v>
      </c>
      <c r="E431" t="s">
        <v>506</v>
      </c>
      <c r="F431" t="s">
        <v>580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603</v>
      </c>
      <c r="B432" t="s">
        <v>24</v>
      </c>
      <c r="C432">
        <v>43614775</v>
      </c>
      <c r="D432" t="s">
        <v>2</v>
      </c>
      <c r="E432" t="s">
        <v>506</v>
      </c>
      <c r="F432" t="s">
        <v>580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603</v>
      </c>
      <c r="B433" t="s">
        <v>25</v>
      </c>
      <c r="C433">
        <v>72373931</v>
      </c>
      <c r="D433" t="s">
        <v>2</v>
      </c>
      <c r="E433" t="s">
        <v>506</v>
      </c>
      <c r="F433" t="s">
        <v>580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603</v>
      </c>
      <c r="B434" t="s">
        <v>42</v>
      </c>
      <c r="C434">
        <v>73725129</v>
      </c>
      <c r="D434" t="s">
        <v>2</v>
      </c>
      <c r="E434" t="s">
        <v>506</v>
      </c>
      <c r="F434" t="s">
        <v>580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603</v>
      </c>
      <c r="B435" t="s">
        <v>37</v>
      </c>
      <c r="C435">
        <v>70988976</v>
      </c>
      <c r="D435" t="s">
        <v>2</v>
      </c>
      <c r="E435" t="s">
        <v>506</v>
      </c>
      <c r="F435" t="s">
        <v>580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603</v>
      </c>
      <c r="B436" t="s">
        <v>81</v>
      </c>
      <c r="C436">
        <v>72716299</v>
      </c>
      <c r="D436" t="s">
        <v>2</v>
      </c>
      <c r="E436" t="s">
        <v>506</v>
      </c>
      <c r="F436" t="s">
        <v>580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603</v>
      </c>
      <c r="B437" t="s">
        <v>50</v>
      </c>
      <c r="C437">
        <v>72733809</v>
      </c>
      <c r="D437" t="s">
        <v>2</v>
      </c>
      <c r="E437" t="s">
        <v>506</v>
      </c>
      <c r="F437" t="s">
        <v>580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603</v>
      </c>
      <c r="B438" t="s">
        <v>12</v>
      </c>
      <c r="C438">
        <v>45262585</v>
      </c>
      <c r="D438" t="s">
        <v>125</v>
      </c>
      <c r="E438" t="s">
        <v>506</v>
      </c>
      <c r="F438" t="s">
        <v>580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603</v>
      </c>
      <c r="B439" t="s">
        <v>59</v>
      </c>
      <c r="C439">
        <v>60870839</v>
      </c>
      <c r="D439" t="s">
        <v>125</v>
      </c>
      <c r="E439" t="s">
        <v>506</v>
      </c>
      <c r="F439" t="s">
        <v>580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603</v>
      </c>
      <c r="B440" t="s">
        <v>18</v>
      </c>
      <c r="C440">
        <v>76214436</v>
      </c>
      <c r="D440" t="s">
        <v>125</v>
      </c>
      <c r="E440" t="s">
        <v>506</v>
      </c>
      <c r="F440" t="s">
        <v>580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603</v>
      </c>
      <c r="B441" t="s">
        <v>75</v>
      </c>
      <c r="C441">
        <v>71264767</v>
      </c>
      <c r="D441" t="s">
        <v>125</v>
      </c>
      <c r="E441" t="s">
        <v>506</v>
      </c>
      <c r="F441" t="s">
        <v>580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603</v>
      </c>
      <c r="B442" t="s">
        <v>122</v>
      </c>
      <c r="C442">
        <v>76586998</v>
      </c>
      <c r="D442" t="s">
        <v>125</v>
      </c>
      <c r="E442" t="s">
        <v>582</v>
      </c>
      <c r="F442" t="s">
        <v>580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603</v>
      </c>
      <c r="B443" t="s">
        <v>60</v>
      </c>
      <c r="C443">
        <v>72839865</v>
      </c>
      <c r="D443" t="s">
        <v>125</v>
      </c>
      <c r="E443" t="s">
        <v>506</v>
      </c>
      <c r="F443" t="s">
        <v>580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603</v>
      </c>
      <c r="B444" t="s">
        <v>61</v>
      </c>
      <c r="C444">
        <v>44001162</v>
      </c>
      <c r="D444" t="s">
        <v>125</v>
      </c>
      <c r="E444" t="s">
        <v>506</v>
      </c>
      <c r="F444" t="s">
        <v>580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603</v>
      </c>
      <c r="B445" t="s">
        <v>72</v>
      </c>
      <c r="C445">
        <v>47690367</v>
      </c>
      <c r="D445" t="s">
        <v>125</v>
      </c>
      <c r="E445" t="s">
        <v>506</v>
      </c>
      <c r="F445" t="s">
        <v>580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603</v>
      </c>
      <c r="B446" t="s">
        <v>10</v>
      </c>
      <c r="C446">
        <v>40980108</v>
      </c>
      <c r="D446" t="s">
        <v>125</v>
      </c>
      <c r="E446" t="s">
        <v>506</v>
      </c>
      <c r="F446" t="s">
        <v>580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603</v>
      </c>
      <c r="B447" t="s">
        <v>80</v>
      </c>
      <c r="C447">
        <v>45084594</v>
      </c>
      <c r="D447" t="s">
        <v>125</v>
      </c>
      <c r="E447" t="s">
        <v>506</v>
      </c>
      <c r="F447" t="s">
        <v>580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603</v>
      </c>
      <c r="B448" t="s">
        <v>26</v>
      </c>
      <c r="C448">
        <v>41005089</v>
      </c>
      <c r="D448" t="s">
        <v>125</v>
      </c>
      <c r="E448" t="s">
        <v>506</v>
      </c>
      <c r="F448" t="s">
        <v>580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603</v>
      </c>
      <c r="B449" t="s">
        <v>500</v>
      </c>
      <c r="C449">
        <v>62792399</v>
      </c>
      <c r="D449" t="s">
        <v>7</v>
      </c>
      <c r="E449" t="s">
        <v>506</v>
      </c>
      <c r="F449" t="s">
        <v>580</v>
      </c>
      <c r="G449" s="56">
        <v>46052</v>
      </c>
      <c r="H449">
        <v>3</v>
      </c>
      <c r="I449" t="s">
        <v>591</v>
      </c>
      <c r="J449" s="56"/>
    </row>
    <row r="450" spans="1:10" x14ac:dyDescent="0.25">
      <c r="A450" t="s">
        <v>603</v>
      </c>
      <c r="B450" t="s">
        <v>109</v>
      </c>
      <c r="C450">
        <v>74626735</v>
      </c>
      <c r="D450" t="s">
        <v>7</v>
      </c>
      <c r="E450" t="s">
        <v>506</v>
      </c>
      <c r="F450" t="s">
        <v>580</v>
      </c>
      <c r="G450" s="56">
        <v>46024</v>
      </c>
      <c r="H450">
        <v>4</v>
      </c>
      <c r="I450" t="s">
        <v>591</v>
      </c>
      <c r="J450" s="56"/>
    </row>
    <row r="451" spans="1:10" x14ac:dyDescent="0.25">
      <c r="A451" t="s">
        <v>603</v>
      </c>
      <c r="B451" t="s">
        <v>77</v>
      </c>
      <c r="C451">
        <v>42251780</v>
      </c>
      <c r="D451" t="s">
        <v>7</v>
      </c>
      <c r="E451" t="s">
        <v>506</v>
      </c>
      <c r="F451" t="s">
        <v>580</v>
      </c>
      <c r="G451" s="56">
        <v>44838</v>
      </c>
      <c r="H451">
        <v>43</v>
      </c>
      <c r="I451" t="s">
        <v>591</v>
      </c>
      <c r="J451" s="56"/>
    </row>
    <row r="452" spans="1:10" x14ac:dyDescent="0.25">
      <c r="A452" t="s">
        <v>603</v>
      </c>
      <c r="B452" t="s">
        <v>73</v>
      </c>
      <c r="C452">
        <v>40318129</v>
      </c>
      <c r="D452" t="s">
        <v>7</v>
      </c>
      <c r="E452" t="s">
        <v>506</v>
      </c>
      <c r="F452" t="s">
        <v>580</v>
      </c>
      <c r="G452" s="56">
        <v>45141</v>
      </c>
      <c r="H452">
        <v>33</v>
      </c>
      <c r="I452" t="s">
        <v>591</v>
      </c>
      <c r="J452" s="56"/>
    </row>
    <row r="453" spans="1:10" x14ac:dyDescent="0.25">
      <c r="A453" t="s">
        <v>603</v>
      </c>
      <c r="B453" t="s">
        <v>48</v>
      </c>
      <c r="C453">
        <v>43307898</v>
      </c>
      <c r="D453" t="s">
        <v>7</v>
      </c>
      <c r="E453" t="s">
        <v>506</v>
      </c>
      <c r="F453" t="s">
        <v>580</v>
      </c>
      <c r="G453" s="56">
        <v>44746</v>
      </c>
      <c r="H453">
        <v>46</v>
      </c>
      <c r="I453" t="s">
        <v>591</v>
      </c>
      <c r="J453" s="56"/>
    </row>
    <row r="454" spans="1:10" x14ac:dyDescent="0.25">
      <c r="A454" t="s">
        <v>603</v>
      </c>
      <c r="B454" t="s">
        <v>49</v>
      </c>
      <c r="C454">
        <v>40702064</v>
      </c>
      <c r="D454" t="s">
        <v>7</v>
      </c>
      <c r="E454" t="s">
        <v>506</v>
      </c>
      <c r="F454" t="s">
        <v>580</v>
      </c>
      <c r="G454" s="56">
        <v>43313</v>
      </c>
      <c r="H454">
        <v>93</v>
      </c>
      <c r="I454" t="s">
        <v>591</v>
      </c>
      <c r="J454" s="56"/>
    </row>
    <row r="455" spans="1:10" x14ac:dyDescent="0.25">
      <c r="A455" t="s">
        <v>603</v>
      </c>
      <c r="B455" t="s">
        <v>41</v>
      </c>
      <c r="C455">
        <v>46461021</v>
      </c>
      <c r="D455" t="s">
        <v>7</v>
      </c>
      <c r="E455" t="s">
        <v>506</v>
      </c>
      <c r="F455" t="s">
        <v>580</v>
      </c>
      <c r="G455" s="56">
        <v>45302</v>
      </c>
      <c r="H455">
        <v>27</v>
      </c>
      <c r="I455" t="s">
        <v>592</v>
      </c>
      <c r="J455" s="56"/>
    </row>
    <row r="456" spans="1:10" x14ac:dyDescent="0.25">
      <c r="A456" t="s">
        <v>603</v>
      </c>
      <c r="B456" t="s">
        <v>554</v>
      </c>
      <c r="C456">
        <v>73233992</v>
      </c>
      <c r="D456" t="s">
        <v>7</v>
      </c>
      <c r="E456" t="s">
        <v>506</v>
      </c>
      <c r="F456" t="s">
        <v>580</v>
      </c>
      <c r="G456" s="56">
        <v>46065</v>
      </c>
      <c r="H456">
        <v>2</v>
      </c>
      <c r="I456" t="s">
        <v>592</v>
      </c>
      <c r="J456" s="56"/>
    </row>
    <row r="457" spans="1:10" x14ac:dyDescent="0.25">
      <c r="A457" t="s">
        <v>603</v>
      </c>
      <c r="B457" t="s">
        <v>562</v>
      </c>
      <c r="C457">
        <v>10330959</v>
      </c>
      <c r="D457" t="s">
        <v>7</v>
      </c>
      <c r="E457" t="s">
        <v>582</v>
      </c>
      <c r="F457" t="s">
        <v>580</v>
      </c>
      <c r="G457" s="56">
        <v>46073</v>
      </c>
      <c r="H457">
        <v>2</v>
      </c>
      <c r="I457" t="s">
        <v>592</v>
      </c>
      <c r="J457" s="56">
        <v>46142</v>
      </c>
    </row>
    <row r="458" spans="1:10" x14ac:dyDescent="0.25">
      <c r="A458" t="s">
        <v>603</v>
      </c>
      <c r="B458" t="s">
        <v>570</v>
      </c>
      <c r="C458">
        <v>10762187</v>
      </c>
      <c r="D458" t="s">
        <v>7</v>
      </c>
      <c r="E458" t="s">
        <v>582</v>
      </c>
      <c r="F458" t="s">
        <v>580</v>
      </c>
      <c r="G458" s="56">
        <v>46083</v>
      </c>
      <c r="H458">
        <v>1</v>
      </c>
      <c r="I458" t="s">
        <v>592</v>
      </c>
      <c r="J458" s="56">
        <v>46128</v>
      </c>
    </row>
    <row r="459" spans="1:10" x14ac:dyDescent="0.25">
      <c r="A459" t="s">
        <v>603</v>
      </c>
      <c r="B459" t="s">
        <v>571</v>
      </c>
      <c r="C459">
        <v>75693756</v>
      </c>
      <c r="D459" t="s">
        <v>7</v>
      </c>
      <c r="E459" t="s">
        <v>506</v>
      </c>
      <c r="F459" t="s">
        <v>580</v>
      </c>
      <c r="G459" s="56">
        <v>46084</v>
      </c>
      <c r="H459">
        <v>2</v>
      </c>
      <c r="I459" t="s">
        <v>592</v>
      </c>
      <c r="J459" s="56"/>
    </row>
    <row r="460" spans="1:10" x14ac:dyDescent="0.25">
      <c r="A460" t="s">
        <v>603</v>
      </c>
      <c r="B460" t="s">
        <v>55</v>
      </c>
      <c r="C460">
        <v>45119892</v>
      </c>
      <c r="D460" t="s">
        <v>593</v>
      </c>
      <c r="E460" t="s">
        <v>506</v>
      </c>
      <c r="F460" t="s">
        <v>580</v>
      </c>
      <c r="G460" s="56">
        <v>45813</v>
      </c>
      <c r="H460">
        <v>11</v>
      </c>
      <c r="I460" t="s">
        <v>593</v>
      </c>
      <c r="J460" s="56"/>
    </row>
    <row r="461" spans="1:10" x14ac:dyDescent="0.25">
      <c r="A461" t="s">
        <v>603</v>
      </c>
      <c r="B461" t="s">
        <v>31</v>
      </c>
      <c r="C461">
        <v>75882265</v>
      </c>
      <c r="D461" t="s">
        <v>2</v>
      </c>
      <c r="E461" t="s">
        <v>506</v>
      </c>
      <c r="F461" t="s">
        <v>580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603</v>
      </c>
      <c r="B462" t="s">
        <v>605</v>
      </c>
      <c r="C462">
        <v>73623874</v>
      </c>
      <c r="D462" t="s">
        <v>7</v>
      </c>
      <c r="E462" t="s">
        <v>506</v>
      </c>
      <c r="F462" t="s">
        <v>580</v>
      </c>
      <c r="G462" s="56">
        <v>46139</v>
      </c>
      <c r="H462">
        <v>0</v>
      </c>
      <c r="I462" t="s">
        <v>591</v>
      </c>
      <c r="J462" s="56"/>
    </row>
    <row r="463" spans="1:10" x14ac:dyDescent="0.25">
      <c r="A463" t="s">
        <v>603</v>
      </c>
      <c r="B463" t="s">
        <v>604</v>
      </c>
      <c r="C463">
        <v>42227234</v>
      </c>
      <c r="D463" t="s">
        <v>7</v>
      </c>
      <c r="E463" t="s">
        <v>506</v>
      </c>
      <c r="F463" t="s">
        <v>580</v>
      </c>
      <c r="G463" s="56">
        <v>46121</v>
      </c>
      <c r="H463">
        <v>0</v>
      </c>
      <c r="I463" t="s">
        <v>592</v>
      </c>
      <c r="J463" s="56"/>
    </row>
    <row r="464" spans="1:10" x14ac:dyDescent="0.25">
      <c r="A464" t="s">
        <v>603</v>
      </c>
      <c r="B464" t="s">
        <v>606</v>
      </c>
      <c r="C464">
        <v>77710185</v>
      </c>
      <c r="D464" t="s">
        <v>7</v>
      </c>
      <c r="E464" t="s">
        <v>506</v>
      </c>
      <c r="F464" t="s">
        <v>580</v>
      </c>
      <c r="G464" s="56">
        <v>46141</v>
      </c>
      <c r="H464">
        <v>0</v>
      </c>
      <c r="I464" t="s">
        <v>592</v>
      </c>
      <c r="J464" s="56"/>
    </row>
    <row r="465" spans="1:10" x14ac:dyDescent="0.25">
      <c r="A465" t="s">
        <v>603</v>
      </c>
      <c r="B465" t="s">
        <v>17</v>
      </c>
      <c r="C465">
        <v>70876605</v>
      </c>
      <c r="D465" t="s">
        <v>607</v>
      </c>
      <c r="E465" t="s">
        <v>607</v>
      </c>
      <c r="F465" t="s">
        <v>580</v>
      </c>
      <c r="G465" s="56">
        <v>44886</v>
      </c>
      <c r="H465">
        <v>41</v>
      </c>
      <c r="I465" t="s">
        <v>607</v>
      </c>
      <c r="J465" s="56"/>
    </row>
    <row r="466" spans="1:10" x14ac:dyDescent="0.25">
      <c r="A466" t="s">
        <v>603</v>
      </c>
      <c r="B466" t="s">
        <v>78</v>
      </c>
      <c r="C466">
        <v>10706451</v>
      </c>
      <c r="D466" t="s">
        <v>505</v>
      </c>
      <c r="E466" t="s">
        <v>505</v>
      </c>
      <c r="F466" t="s">
        <v>580</v>
      </c>
      <c r="G466" s="56">
        <v>44943</v>
      </c>
      <c r="H466">
        <v>39</v>
      </c>
      <c r="I466" t="s">
        <v>505</v>
      </c>
      <c r="J466" s="56"/>
    </row>
    <row r="467" spans="1:10" x14ac:dyDescent="0.25">
      <c r="A467" t="s">
        <v>603</v>
      </c>
      <c r="B467" t="s">
        <v>19</v>
      </c>
      <c r="C467">
        <v>76656128</v>
      </c>
      <c r="D467" t="s">
        <v>505</v>
      </c>
      <c r="E467" t="s">
        <v>505</v>
      </c>
      <c r="F467" t="s">
        <v>580</v>
      </c>
      <c r="G467" s="56">
        <v>44671</v>
      </c>
      <c r="H467">
        <v>48</v>
      </c>
      <c r="I467" t="s">
        <v>505</v>
      </c>
      <c r="J467" s="56"/>
    </row>
    <row r="468" spans="1:10" x14ac:dyDescent="0.25">
      <c r="A468" t="s">
        <v>603</v>
      </c>
      <c r="B468" t="s">
        <v>51</v>
      </c>
      <c r="C468">
        <v>76089925</v>
      </c>
      <c r="D468" t="s">
        <v>505</v>
      </c>
      <c r="E468" t="s">
        <v>505</v>
      </c>
      <c r="F468" t="s">
        <v>580</v>
      </c>
      <c r="G468" s="56">
        <v>45678</v>
      </c>
      <c r="H468">
        <v>15</v>
      </c>
      <c r="I468" t="s">
        <v>505</v>
      </c>
      <c r="J468" s="56"/>
    </row>
    <row r="469" spans="1:10" x14ac:dyDescent="0.25">
      <c r="A469" t="s">
        <v>610</v>
      </c>
      <c r="B469" t="s">
        <v>219</v>
      </c>
      <c r="C469">
        <v>74122258</v>
      </c>
      <c r="D469" t="s">
        <v>6</v>
      </c>
      <c r="E469" t="s">
        <v>133</v>
      </c>
      <c r="F469" t="s">
        <v>580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610</v>
      </c>
      <c r="B470" t="s">
        <v>248</v>
      </c>
      <c r="C470">
        <v>44265602</v>
      </c>
      <c r="D470" t="s">
        <v>2</v>
      </c>
      <c r="E470" t="s">
        <v>133</v>
      </c>
      <c r="F470" t="s">
        <v>580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610</v>
      </c>
      <c r="B471" t="s">
        <v>226</v>
      </c>
      <c r="C471">
        <v>73049631</v>
      </c>
      <c r="D471" t="s">
        <v>3</v>
      </c>
      <c r="E471" t="s">
        <v>133</v>
      </c>
      <c r="F471" t="s">
        <v>580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610</v>
      </c>
      <c r="B472" t="s">
        <v>23</v>
      </c>
      <c r="C472">
        <v>72413556</v>
      </c>
      <c r="D472" t="s">
        <v>609</v>
      </c>
      <c r="E472" t="s">
        <v>133</v>
      </c>
      <c r="F472" t="s">
        <v>580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610</v>
      </c>
      <c r="B473" t="s">
        <v>214</v>
      </c>
      <c r="C473">
        <v>46872195</v>
      </c>
      <c r="D473" t="s">
        <v>7</v>
      </c>
      <c r="E473" t="s">
        <v>133</v>
      </c>
      <c r="F473" t="s">
        <v>580</v>
      </c>
      <c r="G473" s="56">
        <v>43805</v>
      </c>
      <c r="H473">
        <v>76</v>
      </c>
      <c r="I473" t="s">
        <v>159</v>
      </c>
      <c r="J473" s="56"/>
    </row>
    <row r="474" spans="1:10" x14ac:dyDescent="0.25">
      <c r="A474" t="s">
        <v>610</v>
      </c>
      <c r="B474" t="s">
        <v>34</v>
      </c>
      <c r="C474">
        <v>76824571</v>
      </c>
      <c r="D474" t="s">
        <v>6</v>
      </c>
      <c r="E474" t="s">
        <v>506</v>
      </c>
      <c r="F474" t="s">
        <v>580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610</v>
      </c>
      <c r="B475" t="s">
        <v>76</v>
      </c>
      <c r="C475">
        <v>60914051</v>
      </c>
      <c r="D475" t="s">
        <v>6</v>
      </c>
      <c r="E475" t="s">
        <v>506</v>
      </c>
      <c r="F475" t="s">
        <v>580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610</v>
      </c>
      <c r="B476" t="s">
        <v>35</v>
      </c>
      <c r="C476">
        <v>10491198</v>
      </c>
      <c r="D476" t="s">
        <v>6</v>
      </c>
      <c r="E476" t="s">
        <v>506</v>
      </c>
      <c r="F476" t="s">
        <v>580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610</v>
      </c>
      <c r="B477" t="s">
        <v>97</v>
      </c>
      <c r="C477">
        <v>74602206</v>
      </c>
      <c r="D477" t="s">
        <v>6</v>
      </c>
      <c r="E477" t="s">
        <v>506</v>
      </c>
      <c r="F477" t="s">
        <v>580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610</v>
      </c>
      <c r="B478" t="s">
        <v>105</v>
      </c>
      <c r="C478">
        <v>48344037</v>
      </c>
      <c r="D478" t="s">
        <v>6</v>
      </c>
      <c r="E478" t="s">
        <v>506</v>
      </c>
      <c r="F478" t="s">
        <v>580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610</v>
      </c>
      <c r="B479" t="s">
        <v>11</v>
      </c>
      <c r="C479">
        <v>45139159</v>
      </c>
      <c r="D479" t="s">
        <v>6</v>
      </c>
      <c r="E479" t="s">
        <v>506</v>
      </c>
      <c r="F479" t="s">
        <v>580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610</v>
      </c>
      <c r="B480" t="s">
        <v>19</v>
      </c>
      <c r="C480">
        <v>76656128</v>
      </c>
      <c r="D480" t="s">
        <v>6</v>
      </c>
      <c r="E480" t="s">
        <v>506</v>
      </c>
      <c r="F480" t="s">
        <v>580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610</v>
      </c>
      <c r="B481" t="s">
        <v>498</v>
      </c>
      <c r="C481">
        <v>75026229</v>
      </c>
      <c r="D481" t="s">
        <v>3</v>
      </c>
      <c r="E481" t="s">
        <v>506</v>
      </c>
      <c r="F481" t="s">
        <v>580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610</v>
      </c>
      <c r="B482" t="s">
        <v>174</v>
      </c>
      <c r="C482">
        <v>46994661</v>
      </c>
      <c r="D482" t="s">
        <v>3</v>
      </c>
      <c r="E482" t="s">
        <v>506</v>
      </c>
      <c r="F482" t="s">
        <v>580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610</v>
      </c>
      <c r="B483" t="s">
        <v>79</v>
      </c>
      <c r="C483">
        <v>71262377</v>
      </c>
      <c r="D483" t="s">
        <v>3</v>
      </c>
      <c r="E483" t="s">
        <v>506</v>
      </c>
      <c r="F483" t="s">
        <v>580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610</v>
      </c>
      <c r="B484" t="s">
        <v>29</v>
      </c>
      <c r="C484">
        <v>72758956</v>
      </c>
      <c r="D484" t="s">
        <v>3</v>
      </c>
      <c r="E484" t="s">
        <v>506</v>
      </c>
      <c r="F484" t="s">
        <v>580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610</v>
      </c>
      <c r="B485" t="s">
        <v>68</v>
      </c>
      <c r="C485">
        <v>73257316</v>
      </c>
      <c r="D485" t="s">
        <v>3</v>
      </c>
      <c r="E485" t="s">
        <v>506</v>
      </c>
      <c r="F485" t="s">
        <v>580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610</v>
      </c>
      <c r="B486" t="s">
        <v>32</v>
      </c>
      <c r="C486">
        <v>48584670</v>
      </c>
      <c r="D486" t="s">
        <v>3</v>
      </c>
      <c r="E486" t="s">
        <v>506</v>
      </c>
      <c r="F486" t="s">
        <v>580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610</v>
      </c>
      <c r="B487" t="s">
        <v>96</v>
      </c>
      <c r="C487">
        <v>46793103</v>
      </c>
      <c r="D487" t="s">
        <v>3</v>
      </c>
      <c r="E487" t="s">
        <v>506</v>
      </c>
      <c r="F487" t="s">
        <v>580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610</v>
      </c>
      <c r="B488" t="s">
        <v>569</v>
      </c>
      <c r="C488">
        <v>43184866</v>
      </c>
      <c r="D488" t="s">
        <v>3</v>
      </c>
      <c r="E488" t="s">
        <v>506</v>
      </c>
      <c r="F488" t="s">
        <v>580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610</v>
      </c>
      <c r="B489" t="s">
        <v>58</v>
      </c>
      <c r="C489">
        <v>72519113</v>
      </c>
      <c r="D489" t="s">
        <v>3</v>
      </c>
      <c r="E489" t="s">
        <v>506</v>
      </c>
      <c r="F489" t="s">
        <v>580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610</v>
      </c>
      <c r="B490" t="s">
        <v>85</v>
      </c>
      <c r="C490">
        <v>70477743</v>
      </c>
      <c r="D490" t="s">
        <v>3</v>
      </c>
      <c r="E490" t="s">
        <v>506</v>
      </c>
      <c r="F490" t="s">
        <v>580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610</v>
      </c>
      <c r="B491" t="s">
        <v>65</v>
      </c>
      <c r="C491">
        <v>47659267</v>
      </c>
      <c r="D491" t="s">
        <v>2</v>
      </c>
      <c r="E491" t="s">
        <v>506</v>
      </c>
      <c r="F491" t="s">
        <v>580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610</v>
      </c>
      <c r="B492" t="s">
        <v>13</v>
      </c>
      <c r="C492">
        <v>72512391</v>
      </c>
      <c r="D492" t="s">
        <v>2</v>
      </c>
      <c r="E492" t="s">
        <v>506</v>
      </c>
      <c r="F492" t="s">
        <v>580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610</v>
      </c>
      <c r="B493" t="s">
        <v>22</v>
      </c>
      <c r="C493">
        <v>70551168</v>
      </c>
      <c r="D493" t="s">
        <v>2</v>
      </c>
      <c r="E493" t="s">
        <v>506</v>
      </c>
      <c r="F493" t="s">
        <v>580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610</v>
      </c>
      <c r="B494" t="s">
        <v>24</v>
      </c>
      <c r="C494">
        <v>43614775</v>
      </c>
      <c r="D494" t="s">
        <v>2</v>
      </c>
      <c r="E494" t="s">
        <v>506</v>
      </c>
      <c r="F494" t="s">
        <v>580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610</v>
      </c>
      <c r="B495" t="s">
        <v>25</v>
      </c>
      <c r="C495">
        <v>72373931</v>
      </c>
      <c r="D495" t="s">
        <v>2</v>
      </c>
      <c r="E495" t="s">
        <v>506</v>
      </c>
      <c r="F495" t="s">
        <v>580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610</v>
      </c>
      <c r="B496" t="s">
        <v>42</v>
      </c>
      <c r="C496">
        <v>73725129</v>
      </c>
      <c r="D496" t="s">
        <v>2</v>
      </c>
      <c r="E496" t="s">
        <v>506</v>
      </c>
      <c r="F496" t="s">
        <v>580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610</v>
      </c>
      <c r="B497" t="s">
        <v>37</v>
      </c>
      <c r="C497">
        <v>70988976</v>
      </c>
      <c r="D497" t="s">
        <v>2</v>
      </c>
      <c r="E497" t="s">
        <v>506</v>
      </c>
      <c r="F497" t="s">
        <v>580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610</v>
      </c>
      <c r="B498" t="s">
        <v>81</v>
      </c>
      <c r="C498">
        <v>72716299</v>
      </c>
      <c r="D498" t="s">
        <v>2</v>
      </c>
      <c r="E498" t="s">
        <v>506</v>
      </c>
      <c r="F498" t="s">
        <v>580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610</v>
      </c>
      <c r="B499" t="s">
        <v>31</v>
      </c>
      <c r="C499">
        <v>75882265</v>
      </c>
      <c r="D499" t="s">
        <v>2</v>
      </c>
      <c r="E499" t="s">
        <v>506</v>
      </c>
      <c r="F499" t="s">
        <v>580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610</v>
      </c>
      <c r="B500" t="s">
        <v>10</v>
      </c>
      <c r="C500">
        <v>40980108</v>
      </c>
      <c r="D500" t="s">
        <v>2</v>
      </c>
      <c r="E500" t="s">
        <v>506</v>
      </c>
      <c r="F500" t="s">
        <v>580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610</v>
      </c>
      <c r="B501" t="s">
        <v>12</v>
      </c>
      <c r="C501">
        <v>45262585</v>
      </c>
      <c r="D501" t="s">
        <v>7</v>
      </c>
      <c r="E501" t="s">
        <v>506</v>
      </c>
      <c r="F501" t="s">
        <v>580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610</v>
      </c>
      <c r="B502" t="s">
        <v>59</v>
      </c>
      <c r="C502">
        <v>60870839</v>
      </c>
      <c r="D502" t="s">
        <v>7</v>
      </c>
      <c r="E502" t="s">
        <v>506</v>
      </c>
      <c r="F502" t="s">
        <v>580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610</v>
      </c>
      <c r="B503" t="s">
        <v>18</v>
      </c>
      <c r="C503">
        <v>76214436</v>
      </c>
      <c r="D503" t="s">
        <v>7</v>
      </c>
      <c r="E503" t="s">
        <v>506</v>
      </c>
      <c r="F503" t="s">
        <v>580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610</v>
      </c>
      <c r="B504" t="s">
        <v>75</v>
      </c>
      <c r="C504">
        <v>71264767</v>
      </c>
      <c r="D504" t="s">
        <v>7</v>
      </c>
      <c r="E504" t="s">
        <v>506</v>
      </c>
      <c r="F504" t="s">
        <v>580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610</v>
      </c>
      <c r="B505" t="s">
        <v>60</v>
      </c>
      <c r="C505">
        <v>72839865</v>
      </c>
      <c r="D505" t="s">
        <v>7</v>
      </c>
      <c r="E505" t="s">
        <v>506</v>
      </c>
      <c r="F505" t="s">
        <v>580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610</v>
      </c>
      <c r="B506" t="s">
        <v>61</v>
      </c>
      <c r="C506">
        <v>44001162</v>
      </c>
      <c r="D506" t="s">
        <v>7</v>
      </c>
      <c r="E506" t="s">
        <v>506</v>
      </c>
      <c r="F506" t="s">
        <v>580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610</v>
      </c>
      <c r="B507" t="s">
        <v>72</v>
      </c>
      <c r="C507">
        <v>47690367</v>
      </c>
      <c r="D507" t="s">
        <v>7</v>
      </c>
      <c r="E507" t="s">
        <v>506</v>
      </c>
      <c r="F507" t="s">
        <v>580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610</v>
      </c>
      <c r="B508" t="s">
        <v>80</v>
      </c>
      <c r="C508">
        <v>45084594</v>
      </c>
      <c r="D508" t="s">
        <v>7</v>
      </c>
      <c r="E508" t="s">
        <v>506</v>
      </c>
      <c r="F508" t="s">
        <v>580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610</v>
      </c>
      <c r="B509" t="s">
        <v>51</v>
      </c>
      <c r="C509">
        <v>76089925</v>
      </c>
      <c r="D509" t="s">
        <v>7</v>
      </c>
      <c r="E509" t="s">
        <v>506</v>
      </c>
      <c r="F509" t="s">
        <v>580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610</v>
      </c>
      <c r="B510" t="s">
        <v>26</v>
      </c>
      <c r="C510">
        <v>41005089</v>
      </c>
      <c r="D510" t="s">
        <v>7</v>
      </c>
      <c r="E510" t="s">
        <v>506</v>
      </c>
      <c r="F510" t="s">
        <v>580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610</v>
      </c>
      <c r="B511" t="s">
        <v>500</v>
      </c>
      <c r="C511">
        <v>62792399</v>
      </c>
      <c r="D511" t="s">
        <v>609</v>
      </c>
      <c r="E511" t="s">
        <v>506</v>
      </c>
      <c r="F511" t="s">
        <v>580</v>
      </c>
      <c r="G511" s="56">
        <v>46052</v>
      </c>
      <c r="H511">
        <v>3</v>
      </c>
      <c r="I511" t="s">
        <v>591</v>
      </c>
      <c r="J511" s="56"/>
    </row>
    <row r="512" spans="1:10" x14ac:dyDescent="0.25">
      <c r="A512" t="s">
        <v>610</v>
      </c>
      <c r="B512" t="s">
        <v>109</v>
      </c>
      <c r="C512">
        <v>74626735</v>
      </c>
      <c r="D512" t="s">
        <v>609</v>
      </c>
      <c r="E512" t="s">
        <v>506</v>
      </c>
      <c r="F512" t="s">
        <v>580</v>
      </c>
      <c r="G512" s="56">
        <v>46024</v>
      </c>
      <c r="H512">
        <v>4</v>
      </c>
      <c r="I512" t="s">
        <v>591</v>
      </c>
      <c r="J512" s="56"/>
    </row>
    <row r="513" spans="1:10" x14ac:dyDescent="0.25">
      <c r="A513" t="s">
        <v>610</v>
      </c>
      <c r="B513" t="s">
        <v>77</v>
      </c>
      <c r="C513">
        <v>42251780</v>
      </c>
      <c r="D513" t="s">
        <v>609</v>
      </c>
      <c r="E513" t="s">
        <v>506</v>
      </c>
      <c r="F513" t="s">
        <v>580</v>
      </c>
      <c r="G513" s="56">
        <v>44838</v>
      </c>
      <c r="H513">
        <v>43</v>
      </c>
      <c r="I513" t="s">
        <v>591</v>
      </c>
      <c r="J513" s="56"/>
    </row>
    <row r="514" spans="1:10" x14ac:dyDescent="0.25">
      <c r="A514" t="s">
        <v>610</v>
      </c>
      <c r="B514" t="s">
        <v>48</v>
      </c>
      <c r="C514">
        <v>43307898</v>
      </c>
      <c r="D514" t="s">
        <v>609</v>
      </c>
      <c r="E514" t="s">
        <v>506</v>
      </c>
      <c r="F514" t="s">
        <v>580</v>
      </c>
      <c r="G514" s="56">
        <v>44746</v>
      </c>
      <c r="H514">
        <v>46</v>
      </c>
      <c r="I514" t="s">
        <v>591</v>
      </c>
      <c r="J514" s="56"/>
    </row>
    <row r="515" spans="1:10" x14ac:dyDescent="0.25">
      <c r="A515" t="s">
        <v>610</v>
      </c>
      <c r="B515" t="s">
        <v>49</v>
      </c>
      <c r="C515">
        <v>40702064</v>
      </c>
      <c r="D515" t="s">
        <v>609</v>
      </c>
      <c r="E515" t="s">
        <v>506</v>
      </c>
      <c r="F515" t="s">
        <v>580</v>
      </c>
      <c r="G515" s="56">
        <v>43313</v>
      </c>
      <c r="H515">
        <v>93</v>
      </c>
      <c r="I515" t="s">
        <v>591</v>
      </c>
      <c r="J515" s="56"/>
    </row>
    <row r="516" spans="1:10" x14ac:dyDescent="0.25">
      <c r="A516" t="s">
        <v>610</v>
      </c>
      <c r="B516" t="s">
        <v>78</v>
      </c>
      <c r="C516">
        <v>10706451</v>
      </c>
      <c r="D516" t="s">
        <v>609</v>
      </c>
      <c r="E516" t="s">
        <v>506</v>
      </c>
      <c r="F516" t="s">
        <v>580</v>
      </c>
      <c r="G516" s="56">
        <v>44943</v>
      </c>
      <c r="H516">
        <v>39</v>
      </c>
      <c r="I516" t="s">
        <v>591</v>
      </c>
      <c r="J516" s="56"/>
    </row>
    <row r="517" spans="1:10" x14ac:dyDescent="0.25">
      <c r="A517" t="s">
        <v>610</v>
      </c>
      <c r="B517" t="s">
        <v>605</v>
      </c>
      <c r="C517">
        <v>73623874</v>
      </c>
      <c r="D517" t="s">
        <v>609</v>
      </c>
      <c r="E517" t="s">
        <v>506</v>
      </c>
      <c r="F517" t="s">
        <v>580</v>
      </c>
      <c r="G517" s="56">
        <v>46139</v>
      </c>
      <c r="H517">
        <v>0</v>
      </c>
      <c r="I517" t="s">
        <v>591</v>
      </c>
      <c r="J517" s="56"/>
    </row>
    <row r="518" spans="1:10" x14ac:dyDescent="0.25">
      <c r="A518" t="s">
        <v>610</v>
      </c>
      <c r="B518" t="s">
        <v>41</v>
      </c>
      <c r="C518">
        <v>46461021</v>
      </c>
      <c r="D518" t="s">
        <v>609</v>
      </c>
      <c r="E518" t="s">
        <v>506</v>
      </c>
      <c r="F518" t="s">
        <v>580</v>
      </c>
      <c r="G518" s="56">
        <v>45302</v>
      </c>
      <c r="H518">
        <v>27</v>
      </c>
      <c r="I518" t="s">
        <v>592</v>
      </c>
      <c r="J518" s="56"/>
    </row>
    <row r="519" spans="1:10" x14ac:dyDescent="0.25">
      <c r="A519" t="s">
        <v>610</v>
      </c>
      <c r="B519" t="s">
        <v>554</v>
      </c>
      <c r="C519">
        <v>73233992</v>
      </c>
      <c r="D519" t="s">
        <v>609</v>
      </c>
      <c r="E519" t="s">
        <v>506</v>
      </c>
      <c r="F519" t="s">
        <v>580</v>
      </c>
      <c r="G519" s="56">
        <v>46065</v>
      </c>
      <c r="H519">
        <v>2</v>
      </c>
      <c r="I519" t="s">
        <v>592</v>
      </c>
      <c r="J519" s="56"/>
    </row>
    <row r="520" spans="1:10" x14ac:dyDescent="0.25">
      <c r="A520" t="s">
        <v>610</v>
      </c>
      <c r="B520" t="s">
        <v>637</v>
      </c>
      <c r="C520">
        <v>75693756</v>
      </c>
      <c r="D520" t="s">
        <v>609</v>
      </c>
      <c r="E520" t="s">
        <v>506</v>
      </c>
      <c r="F520" t="s">
        <v>580</v>
      </c>
      <c r="G520" s="56">
        <v>46084</v>
      </c>
      <c r="H520">
        <v>2</v>
      </c>
      <c r="I520" t="s">
        <v>592</v>
      </c>
      <c r="J520" s="56"/>
    </row>
    <row r="521" spans="1:10" x14ac:dyDescent="0.25">
      <c r="A521" t="s">
        <v>610</v>
      </c>
      <c r="B521" t="s">
        <v>55</v>
      </c>
      <c r="C521">
        <v>45119892</v>
      </c>
      <c r="D521" t="s">
        <v>609</v>
      </c>
      <c r="E521" t="s">
        <v>506</v>
      </c>
      <c r="F521" t="s">
        <v>580</v>
      </c>
      <c r="G521" s="56">
        <v>45813</v>
      </c>
      <c r="H521">
        <v>11</v>
      </c>
      <c r="I521" t="s">
        <v>592</v>
      </c>
      <c r="J521" s="56"/>
    </row>
    <row r="522" spans="1:10" x14ac:dyDescent="0.25">
      <c r="A522" t="s">
        <v>610</v>
      </c>
      <c r="B522" t="s">
        <v>604</v>
      </c>
      <c r="C522">
        <v>42227234</v>
      </c>
      <c r="D522" t="s">
        <v>609</v>
      </c>
      <c r="E522" t="s">
        <v>506</v>
      </c>
      <c r="F522" t="s">
        <v>580</v>
      </c>
      <c r="G522" s="56">
        <v>46121</v>
      </c>
      <c r="H522">
        <v>0</v>
      </c>
      <c r="I522" t="s">
        <v>592</v>
      </c>
      <c r="J522" s="56"/>
    </row>
    <row r="523" spans="1:10" x14ac:dyDescent="0.25">
      <c r="A523" t="s">
        <v>610</v>
      </c>
      <c r="B523" t="s">
        <v>606</v>
      </c>
      <c r="C523">
        <v>77710185</v>
      </c>
      <c r="D523" t="s">
        <v>609</v>
      </c>
      <c r="E523" t="s">
        <v>506</v>
      </c>
      <c r="F523" t="s">
        <v>580</v>
      </c>
      <c r="G523" s="56">
        <v>46141</v>
      </c>
      <c r="H523">
        <v>0</v>
      </c>
      <c r="I523" t="s">
        <v>592</v>
      </c>
      <c r="J523" s="56"/>
    </row>
    <row r="524" spans="1:10" x14ac:dyDescent="0.25">
      <c r="A524" t="s">
        <v>610</v>
      </c>
      <c r="B524" t="s">
        <v>17</v>
      </c>
      <c r="C524">
        <v>70876605</v>
      </c>
      <c r="D524" t="s">
        <v>607</v>
      </c>
      <c r="E524" t="s">
        <v>506</v>
      </c>
      <c r="F524" t="s">
        <v>580</v>
      </c>
      <c r="G524" s="56">
        <v>44886</v>
      </c>
      <c r="H524">
        <v>41</v>
      </c>
      <c r="I524" t="s">
        <v>607</v>
      </c>
      <c r="J524" s="56"/>
    </row>
    <row r="525" spans="1:10" x14ac:dyDescent="0.25">
      <c r="A525" t="s">
        <v>610</v>
      </c>
      <c r="B525" t="s">
        <v>38</v>
      </c>
      <c r="C525">
        <v>47411966</v>
      </c>
      <c r="D525" t="s">
        <v>505</v>
      </c>
      <c r="E525" t="s">
        <v>506</v>
      </c>
      <c r="F525" t="s">
        <v>580</v>
      </c>
      <c r="G525" s="56">
        <v>45800</v>
      </c>
      <c r="H525">
        <v>11</v>
      </c>
      <c r="I525" t="s">
        <v>505</v>
      </c>
      <c r="J525" s="56"/>
    </row>
    <row r="526" spans="1:10" x14ac:dyDescent="0.25">
      <c r="A526" t="s">
        <v>610</v>
      </c>
      <c r="B526" t="s">
        <v>15</v>
      </c>
      <c r="C526">
        <v>47587400</v>
      </c>
      <c r="D526" t="s">
        <v>505</v>
      </c>
      <c r="E526" t="s">
        <v>506</v>
      </c>
      <c r="F526" t="s">
        <v>580</v>
      </c>
      <c r="G526" s="56">
        <v>44733</v>
      </c>
      <c r="H526">
        <v>46</v>
      </c>
      <c r="I526" t="s">
        <v>505</v>
      </c>
      <c r="J526" s="56"/>
    </row>
    <row r="527" spans="1:10" x14ac:dyDescent="0.25">
      <c r="A527" t="s">
        <v>610</v>
      </c>
      <c r="B527" t="s">
        <v>50</v>
      </c>
      <c r="C527">
        <v>72733809</v>
      </c>
      <c r="D527" t="s">
        <v>505</v>
      </c>
      <c r="E527" t="s">
        <v>506</v>
      </c>
      <c r="F527" t="s">
        <v>580</v>
      </c>
      <c r="G527" s="56">
        <v>45789</v>
      </c>
      <c r="H527">
        <v>11</v>
      </c>
      <c r="I527" t="s">
        <v>505</v>
      </c>
      <c r="J527" s="56"/>
    </row>
    <row r="528" spans="1:10" x14ac:dyDescent="0.25">
      <c r="A528" t="s">
        <v>610</v>
      </c>
      <c r="B528" t="s">
        <v>73</v>
      </c>
      <c r="C528">
        <v>40318129</v>
      </c>
      <c r="D528" t="s">
        <v>505</v>
      </c>
      <c r="E528" t="s">
        <v>506</v>
      </c>
      <c r="F528" t="s">
        <v>580</v>
      </c>
      <c r="G528" s="56">
        <v>45141</v>
      </c>
      <c r="H528">
        <v>33</v>
      </c>
      <c r="I528" t="s">
        <v>505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208"/>
  <sheetViews>
    <sheetView topLeftCell="A186" zoomScale="85" zoomScaleNormal="85" workbookViewId="0">
      <selection activeCell="D205" sqref="D205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588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589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588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589</v>
      </c>
    </row>
    <row r="193" spans="1:9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9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9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591</v>
      </c>
    </row>
    <row r="196" spans="1:9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592</v>
      </c>
    </row>
    <row r="197" spans="1:9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9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9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9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9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591</v>
      </c>
    </row>
    <row r="202" spans="1:9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592</v>
      </c>
    </row>
    <row r="203" spans="1:9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279317</v>
      </c>
      <c r="F203" s="9">
        <v>28000</v>
      </c>
      <c r="G203" s="39" t="s">
        <v>209</v>
      </c>
    </row>
    <row r="204" spans="1:9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362638</v>
      </c>
      <c r="F204" s="9">
        <v>52000</v>
      </c>
      <c r="G204" s="39" t="s">
        <v>209</v>
      </c>
    </row>
    <row r="205" spans="1:9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609</v>
      </c>
      <c r="E205" s="9">
        <v>529535</v>
      </c>
      <c r="F205" s="9">
        <v>48500</v>
      </c>
      <c r="G205" s="39" t="s">
        <v>591</v>
      </c>
    </row>
    <row r="206" spans="1:9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609</v>
      </c>
      <c r="E206" s="9">
        <v>529535</v>
      </c>
      <c r="F206" s="9">
        <v>48500</v>
      </c>
      <c r="G206" s="53" t="s">
        <v>592</v>
      </c>
    </row>
    <row r="207" spans="1:9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529535</v>
      </c>
      <c r="F207" s="9">
        <v>48500</v>
      </c>
      <c r="G207" s="39" t="s">
        <v>159</v>
      </c>
    </row>
    <row r="208" spans="1:9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148634</v>
      </c>
      <c r="F208" s="29">
        <v>25000</v>
      </c>
      <c r="G208" s="39" t="s">
        <v>159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2026-05-05T15:47:57Z</dcterms:modified>
</cp:coreProperties>
</file>