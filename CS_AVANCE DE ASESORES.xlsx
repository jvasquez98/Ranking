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6B31923-D81A-4E67-A2BD-3CCA2CCA857F}" xr6:coauthVersionLast="47" xr6:coauthVersionMax="47" xr10:uidLastSave="{00000000-0000-0000-0000-000000000000}"/>
  <bookViews>
    <workbookView xWindow="-120" yWindow="-120" windowWidth="20730" windowHeight="11040" firstSheet="14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Hoja1" sheetId="3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DIM!$A$1:$J$528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K53" i="17" a="1"/>
  <c r="K53" i="17" s="1"/>
  <c r="AX10" i="30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AN57" i="17" a="1"/>
  <c r="AN57" i="17" s="1"/>
  <c r="AN58" i="17" a="1"/>
  <c r="AN58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J57" i="17" a="1"/>
  <c r="J57" i="17" s="1"/>
  <c r="I57" i="17" a="1"/>
  <c r="I57" i="17" s="1"/>
  <c r="H57" i="17" a="1"/>
  <c r="H57" i="17" s="1"/>
  <c r="A57" i="17" a="1"/>
  <c r="A57" i="17" s="1"/>
  <c r="E57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17" l="1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4" i="17" a="1"/>
  <c r="C44" i="17" s="1"/>
  <c r="D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4" i="17" a="1"/>
  <c r="C54" i="17" s="1"/>
  <c r="D54" i="17" s="1"/>
  <c r="C51" i="36" a="1"/>
  <c r="C51" i="36" s="1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E38" i="17"/>
  <c r="E36" i="17"/>
  <c r="E37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O53" i="17" s="1"/>
  <c r="D27" i="17"/>
  <c r="E16" i="17"/>
  <c r="D16" i="17"/>
  <c r="E21" i="17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D10" i="17"/>
  <c r="E12" i="17"/>
  <c r="D12" i="17"/>
  <c r="E11" i="17"/>
  <c r="D11" i="17"/>
  <c r="E26" i="17"/>
  <c r="D26" i="17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58" i="17"/>
  <c r="O51" i="17"/>
  <c r="O57" i="17"/>
  <c r="O41" i="17"/>
  <c r="O44" i="17"/>
  <c r="O54" i="17"/>
  <c r="O40" i="17"/>
  <c r="O37" i="17"/>
  <c r="O36" i="17"/>
  <c r="O46" i="17"/>
  <c r="O56" i="17"/>
  <c r="O52" i="17"/>
  <c r="O43" i="17"/>
  <c r="O38" i="17"/>
  <c r="O49" i="17"/>
  <c r="O39" i="17"/>
  <c r="O45" i="17"/>
  <c r="O50" i="17"/>
  <c r="O55" i="17"/>
  <c r="O18" i="17"/>
  <c r="O10" i="17"/>
  <c r="O34" i="17"/>
  <c r="O33" i="17"/>
  <c r="O35" i="17"/>
  <c r="O16" i="17"/>
  <c r="O47" i="17"/>
  <c r="O14" i="17"/>
  <c r="O11" i="17"/>
  <c r="O30" i="17"/>
  <c r="O48" i="17"/>
  <c r="O31" i="17"/>
  <c r="Q48" i="17"/>
  <c r="M48" i="17" s="1"/>
  <c r="N48" i="17" s="1" a="1"/>
  <c r="N48" i="17" s="1"/>
  <c r="O15" i="17"/>
  <c r="O20" i="17"/>
  <c r="O13" i="17"/>
  <c r="O24" i="17"/>
  <c r="O21" i="17"/>
  <c r="O19" i="17"/>
  <c r="O12" i="17"/>
  <c r="O23" i="17"/>
  <c r="O32" i="17"/>
  <c r="O17" i="17"/>
  <c r="O22" i="17"/>
  <c r="O25" i="17"/>
  <c r="O27" i="17"/>
  <c r="O29" i="17"/>
  <c r="O26" i="17"/>
  <c r="O28" i="17"/>
  <c r="O9" i="17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<sst xmlns="http://schemas.openxmlformats.org/spreadsheetml/2006/main" count="15444" uniqueCount="636">
  <si>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</si>
  <si>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</si>
  <si>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</si>
  <si>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</si>
  <si>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</si>
  <si>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</si>
  <si>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</si>
  <si>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</si>
  <si>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</si>
  <si>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</si>
  <si>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</si>
  <si>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</si>
  <si>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</si>
  <si>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</si>
  <si>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</si>
  <si>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</si>
  <si>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</si>
  <si>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</si>
  <si>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</si>
  <si>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</si>
  <si>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</si>
  <si>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</si>
  <si>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</si>
  <si>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</si>
  <si>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</si>
  <si>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</si>
  <si>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</si>
  <si>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</si>
  <si>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</si>
  <si>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</si>
  <si>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</si>
  <si>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</si>
  <si>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</si>
  <si>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</si>
  <si>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</si>
  <si>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</si>
  <si>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</si>
  <si>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</si>
  <si>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</si>
  <si>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</si>
  <si>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</si>
  <si>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</si>
  <si>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</si>
  <si>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</si>
  <si>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</si>
  <si>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</si>
  <si>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</si>
  <si>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</si>
  <si>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</si>
  <si>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</si>
  <si>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</si>
  <si>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</si>
  <si>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</si>
  <si>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</si>
  <si>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</si>
  <si>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</si>
  <si>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</si>
  <si>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</si>
  <si>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</si>
  <si>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</si>
  <si>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</si>
  <si>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</si>
  <si>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</si>
  <si>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</si>
  <si>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</si>
  <si>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</si>
  <si>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</si>
  <si>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</si>
  <si>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</si>
  <si>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</si>
  <si>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</si>
  <si>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</si>
  <si>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</si>
  <si>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</si>
  <si>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</si>
  <si>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</si>
  <si>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</si>
  <si>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</si>
  <si>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</si>
  <si>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</si>
  <si>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</si>
  <si>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</si>
  <si>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</si>
  <si>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</si>
  <si>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</si>
  <si>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</si>
  <si>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</si>
  <si>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</si>
  <si>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</si>
  <si>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</si>
  <si>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</si>
  <si>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</si>
  <si>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</si>
  <si>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</si>
  <si>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</si>
  <si>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</si>
  <si>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</si>
  <si>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</si>
  <si>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</si>
  <si>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</si>
  <si>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</si>
  <si>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</si>
  <si>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</si>
  <si>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</si>
  <si>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</si>
  <si>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</si>
  <si>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</si>
  <si>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</si>
  <si>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</si>
  <si>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</si>
  <si>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</si>
  <si>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</si>
  <si>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</si>
  <si>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</si>
  <si>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</si>
  <si>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</si>
  <si>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</si>
  <si>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</si>
  <si>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</si>
  <si>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</si>
  <si>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</si>
  <si>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</si>
  <si>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</si>
  <si>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</si>
  <si>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</si>
  <si>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</si>
  <si>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</si>
  <si>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</si>
  <si>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</si>
  <si>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</si>
  <si>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</si>
  <si>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</si>
  <si>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</si>
  <si>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</si>
  <si>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</si>
  <si>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</si>
  <si>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</si>
  <si>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</si>
  <si>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</si>
  <si>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</si>
  <si>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</si>
  <si>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</si>
  <si>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</si>
  <si>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</si>
  <si>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</si>
  <si>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</si>
  <si>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</si>
  <si>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</si>
  <si>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</si>
  <si>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</si>
  <si>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</si>
  <si>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</si>
  <si>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</si>
  <si>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</si>
  <si>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</si>
  <si>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</si>
  <si>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</si>
  <si>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</si>
  <si>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</si>
  <si>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</si>
  <si>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</si>
  <si>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</si>
  <si>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</si>
  <si>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</si>
  <si>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</si>
  <si>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</si>
  <si>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</si>
  <si>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</si>
  <si>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</si>
  <si>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</si>
  <si>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</si>
  <si>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</si>
  <si>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</si>
  <si>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</si>
  <si>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</si>
  <si>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</si>
  <si>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</si>
  <si>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</si>
  <si>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</si>
  <si>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</si>
  <si>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</si>
  <si>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</si>
  <si>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</si>
  <si>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</si>
  <si>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</si>
  <si>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</si>
  <si>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</si>
  <si>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</si>
  <si>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</si>
  <si>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</si>
  <si>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</si>
  <si>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</si>
  <si>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</si>
  <si>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</si>
  <si>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</si>
  <si>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</si>
  <si>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</si>
  <si>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</si>
  <si>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</si>
  <si>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</si>
  <si>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</si>
  <si>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</si>
  <si>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</si>
  <si>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</si>
  <si>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</si>
  <si>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</si>
  <si>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</si>
  <si>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</si>
  <si>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</si>
  <si>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</si>
  <si>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</si>
  <si>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</si>
  <si>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</si>
  <si>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</si>
  <si>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</si>
  <si>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</si>
  <si>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</si>
  <si>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</si>
  <si>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</si>
  <si>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</si>
  <si>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</si>
  <si>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</si>
  <si>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</si>
  <si>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</si>
  <si>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</si>
  <si>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</si>
  <si>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</si>
  <si>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</si>
  <si>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</si>
  <si>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</si>
  <si>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</si>
  <si>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</si>
  <si>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</si>
  <si>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</si>
  <si>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</si>
  <si>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</si>
  <si>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</si>
  <si>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</si>
  <si>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</si>
  <si>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</si>
  <si>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</si>
  <si>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</si>
  <si>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</si>
  <si>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</si>
  <si>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</si>
  <si>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</si>
  <si>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</si>
  <si>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</si>
  <si>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</si>
  <si>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</si>
  <si>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</si>
  <si>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</si>
  <si>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</si>
  <si>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</si>
  <si>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</si>
  <si>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</si>
  <si>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</si>
  <si>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</si>
  <si>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</si>
  <si>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</si>
  <si>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</si>
  <si>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</si>
  <si>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</si>
  <si>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</si>
  <si>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</si>
  <si>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</si>
  <si>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</si>
  <si>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</si>
  <si>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</si>
  <si>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</si>
  <si>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</si>
  <si>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</si>
  <si>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</si>
  <si>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</si>
  <si>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</si>
  <si>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</si>
  <si>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</si>
  <si>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</si>
  <si>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</si>
  <si>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</si>
  <si>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</si>
  <si>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</si>
  <si>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</si>
  <si>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</si>
  <si>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</si>
  <si>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</si>
  <si>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</si>
  <si>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</si>
  <si>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</si>
  <si>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</si>
  <si>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</si>
  <si>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</si>
  <si>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</si>
  <si>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</si>
  <si>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</si>
  <si>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</si>
  <si>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</si>
  <si>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</si>
  <si>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</si>
  <si>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</si>
  <si>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</si>
  <si>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</si>
  <si>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</si>
  <si>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</si>
  <si>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</si>
  <si>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</si>
  <si>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</si>
  <si>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</si>
  <si>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</si>
  <si>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</si>
  <si>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</si>
  <si>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</si>
  <si>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</si>
  <si>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</si>
  <si>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</si>
  <si>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</si>
  <si>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</si>
  <si>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</si>
  <si>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</si>
  <si>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</si>
  <si>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</si>
  <si>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</si>
  <si>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</si>
  <si>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</si>
  <si>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</si>
  <si>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</si>
  <si>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</si>
  <si>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</si>
  <si>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</si>
  <si>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</si>
  <si>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</si>
  <si>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</si>
  <si>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</si>
  <si>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</si>
  <si>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</si>
  <si>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</si>
  <si>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</si>
  <si>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</si>
  <si>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</si>
  <si>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</si>
  <si>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</si>
  <si>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</si>
  <si>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</si>
  <si>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</si>
  <si>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</si>
  <si>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</si>
  <si>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</si>
  <si>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</si>
  <si>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</si>
  <si>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</si>
  <si>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</si>
  <si>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</si>
  <si>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</si>
  <si>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</si>
  <si>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</si>
  <si>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</si>
  <si>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</si>
  <si>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</si>
  <si>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</si>
  <si>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</si>
  <si>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</si>
  <si>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</si>
  <si>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</si>
  <si>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</si>
  <si>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</si>
  <si>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</si>
  <si>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</si>
  <si>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</si>
  <si>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</si>
  <si>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</si>
  <si>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</si>
  <si>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</si>
  <si>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</si>
  <si>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</si>
  <si>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</si>
  <si>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</si>
  <si>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</si>
  <si>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</si>
  <si>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</si>
  <si>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</si>
  <si>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</si>
  <si>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</si>
  <si>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</si>
  <si>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</si>
  <si>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</si>
  <si>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</si>
  <si>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</si>
  <si>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</si>
  <si>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</si>
  <si>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</si>
  <si>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</si>
  <si>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</si>
  <si>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</si>
  <si>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</si>
  <si>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</si>
  <si>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</si>
  <si>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</si>
  <si>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</si>
  <si>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</si>
  <si>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</si>
  <si>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</si>
  <si>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</si>
  <si>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</si>
  <si>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</si>
  <si>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</si>
  <si>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</si>
  <si>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</si>
  <si>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</si>
  <si>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</si>
  <si>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</si>
  <si>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</si>
  <si>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</si>
  <si>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</si>
  <si>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</si>
  <si>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</si>
  <si>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</si>
  <si>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</si>
  <si>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</si>
  <si>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</si>
  <si>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</si>
  <si>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</si>
  <si>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</si>
  <si>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</si>
  <si>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</si>
  <si>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</si>
  <si>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</si>
  <si>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</si>
  <si>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</si>
  <si>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</si>
  <si>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</si>
  <si>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</si>
  <si>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</si>
  <si>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</si>
  <si>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</si>
  <si>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</si>
  <si>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</si>
  <si>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</si>
  <si>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</si>
  <si>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</si>
  <si>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</si>
  <si>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</si>
  <si>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</si>
  <si>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</si>
  <si>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</si>
  <si>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</si>
  <si>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</si>
  <si>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</si>
  <si>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</si>
  <si>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</si>
  <si>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</si>
  <si>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</si>
  <si>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</si>
  <si>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</si>
  <si>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</si>
  <si>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</si>
  <si>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</si>
  <si>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</si>
  <si>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</si>
  <si>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</si>
  <si>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</si>
  <si>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</si>
  <si>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</si>
  <si>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</si>
  <si>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</si>
  <si>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</si>
  <si>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</si>
  <si>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</si>
  <si>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</si>
  <si>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</si>
  <si>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</si>
  <si>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</si>
  <si>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</si>
  <si>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</si>
  <si>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</si>
  <si>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</si>
  <si>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</si>
  <si>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</si>
  <si>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</si>
  <si>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</si>
  <si>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</si>
  <si>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</si>
  <si>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</si>
  <si>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</si>
  <si>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</si>
  <si>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</si>
  <si>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</si>
  <si>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</si>
  <si>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</si>
  <si>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</si>
  <si>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</si>
  <si>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</si>
  <si>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</si>
  <si>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</si>
  <si>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</si>
  <si>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</si>
  <si>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</si>
  <si>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</si>
  <si>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</si>
  <si>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</si>
  <si>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</si>
  <si>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</si>
  <si>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</si>
  <si>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</si>
  <si>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</si>
  <si>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</si>
  <si>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</si>
  <si>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</si>
  <si>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</si>
  <si>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</si>
  <si>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</si>
  <si>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</si>
  <si>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</si>
  <si>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</si>
  <si>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</si>
  <si>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</si>
  <si>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</si>
  <si>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</si>
  <si>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</si>
  <si>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</si>
  <si>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</si>
  <si>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</si>
  <si>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</si>
  <si>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</si>
  <si>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</si>
  <si>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</si>
  <si>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</si>
  <si>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</si>
  <si>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</si>
  <si>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</si>
  <si>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</si>
  <si>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</si>
  <si>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</si>
  <si>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</si>
  <si>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</si>
  <si>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</si>
  <si>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</si>
  <si>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</si>
  <si>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</si>
  <si>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</si>
  <si>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</si>
  <si>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</si>
  <si>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</si>
  <si>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</si>
  <si>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</si>
  <si>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</si>
  <si>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</si>
  <si>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</si>
  <si>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</si>
  <si>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</si>
  <si>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</si>
  <si>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</si>
  <si>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</si>
  <si>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</si>
  <si>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</si>
  <si>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</si>
  <si>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</si>
  <si>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</si>
  <si>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</si>
  <si>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</si>
  <si>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</si>
  <si>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</si>
  <si>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</si>
  <si>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</si>
  <si>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</si>
  <si>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</si>
  <si>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</si>
  <si>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</si>
  <si>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</si>
  <si>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</si>
  <si>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</si>
  <si>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</si>
  <si>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</si>
  <si>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</si>
  <si>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</si>
  <si>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</si>
  <si>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</si>
  <si>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</si>
  <si>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</si>
  <si>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</si>
  <si>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</si>
  <si>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</si>
  <si>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</si>
  <si>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</si>
  <si>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</si>
  <si>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</si>
  <si>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</si>
  <si>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</si>
  <si>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</si>
  <si>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</si>
  <si>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</si>
  <si>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</si>
  <si>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</si>
  <si>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</si>
  <si>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</si>
  <si>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</si>
  <si>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</si>
  <si>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</si>
  <si>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</si>
  <si>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</si>
  <si>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</si>
  <si>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</si>
  <si>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</si>
  <si>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</si>
  <si>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</si>
  <si>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</si>
  <si>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</si>
  <si>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</si>
  <si>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</si>
  <si>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</si>
  <si>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</si>
  <si>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</si>
  <si>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</si>
  <si>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</si>
  <si>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</si>
  <si>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</si>
  <si>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</si>
  <si>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</si>
  <si>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</si>
  <si>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</si>
  <si>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</si>
  <si>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</si>
  <si>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</si>
  <si>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</si>
  <si>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</si>
  <si>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</si>
  <si>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</si>
  <si>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</si>
  <si>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</si>
  <si>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</si>
  <si>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 xml:space="preserve">ERIKA VILLAR </t>
  </si>
  <si>
    <t>ANALISTA BUSINESS INTELLIGENCE</t>
  </si>
  <si>
    <t>ANALISTA DE INVERSIONES</t>
  </si>
  <si>
    <t>GENESIS VICUÑA</t>
  </si>
  <si>
    <t>GERALDINE TENORIO</t>
  </si>
  <si>
    <t>JUAN ALANOCA</t>
  </si>
  <si>
    <t>JENY QUIÑONEZ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</si>
</sst>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A7" sqref="A7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14" sqref="F13:F14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8" s="34" cm="1">
        <f t="array" ref="C8">_xlfn.XLOOKUP(1,(TablaMeta[CONCAT]=$M$3&amp;$N$3&amp;D1_MARZO_2026[[#This Row],[SUPER]])*(TablaMeta[SEGG]=D1_MARZO_2026[[#This Row],[SEGMENTO]]),TablaMeta[Meta_Asesor])</f>
        <v>44700</v>
      </c>
      <c r="D8" s="35">
        <f>IF(D1_MARZO_2026[[#This Row],[RECUPERO]]="VACACIONES","VACACIONES",IFERROR(D1_MARZO_2026[[#This Row],[RECUPERO]]/D1_MARZO_2026[[#This Row],[META]],""))</f>
        <v>0.68874720357941832</v>
      </c>
      <c r="E8" s="35" t="str">
        <f>D1_MARZO_2026[[#This Row],[SUPER]]</f>
        <v>JORGE</v>
      </c>
      <c r="F8" s="34" t="s">
        <v>10</v>
      </c>
      <c r="G8" s="36">
        <v>30787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0.5579418344519016</v>
      </c>
      <c r="E9" s="35" t="str">
        <f>D1_MARZO_2026[[#This Row],[SUPER]]</f>
        <v>JORGE</v>
      </c>
      <c r="F9" s="34" t="s">
        <v>24</v>
      </c>
      <c r="G9" s="36">
        <v>24940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0.19844155844155845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7640</v>
      </c>
      <c r="Q9" s="6">
        <f>VLOOKUP(DATA_MARZO_2026[[#This Row],[ASER_]],D1_MARZO_2026[[ASESOR_CRR]:[META]],2,0)</f>
        <v>38500</v>
      </c>
      <c r="R9" t="s">
        <v>58</v>
      </c>
      <c r="S9">
        <v>3100</v>
      </c>
      <c r="T9">
        <v>100</v>
      </c>
      <c r="U9">
        <v>0</v>
      </c>
      <c r="V9">
        <v>0</v>
      </c>
      <c r="W9">
        <v>290</v>
      </c>
      <c r="X9">
        <v>1250</v>
      </c>
      <c r="Y9">
        <v>0</v>
      </c>
      <c r="Z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133252</v>
      </c>
      <c r="AR9" s="16">
        <f>IFERROR(DITE_MARZO_2026[[#This Row],[RECUPERO SUPERVISOR]]/DITE_MARZO_2026[[#This Row],[META SUPER]],"")</f>
        <v>0.34663669897558363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0.39180917225950779</v>
      </c>
      <c r="E10" s="35" t="str">
        <f>D1_MARZO_2026[[#This Row],[SUPER]]</f>
        <v>JORGE</v>
      </c>
      <c r="F10" s="34" t="s">
        <v>22</v>
      </c>
      <c r="G10" s="36">
        <v>17513.87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0.26490909090909093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10199</v>
      </c>
      <c r="Q10" s="6">
        <f>VLOOKUP(DATA_MARZO_2026[[#This Row],[ASER_]],D1_MARZO_2026[[ASESOR_CRR]:[META]],2,0)</f>
        <v>38500</v>
      </c>
      <c r="R10" t="s">
        <v>68</v>
      </c>
      <c r="S10">
        <v>2900</v>
      </c>
      <c r="T10">
        <v>0</v>
      </c>
      <c r="U10">
        <v>2000</v>
      </c>
      <c r="V10">
        <v>2800</v>
      </c>
      <c r="W10">
        <v>673</v>
      </c>
      <c r="X10">
        <v>0</v>
      </c>
      <c r="Y10">
        <v>341</v>
      </c>
      <c r="Z10">
        <v>485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159586.17000000001</v>
      </c>
      <c r="AR10" s="17">
        <f>IFERROR(DITE_MARZO_2026[[#This Row],[RECUPERO SUPERVISOR]]/DITE_MARZO_2026[[#This Row],[META SUPER]],"")</f>
        <v>0.37191944309791936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0.38532438478747205</v>
      </c>
      <c r="E11" s="35" t="str">
        <f>D1_MARZO_2026[[#This Row],[SUPER]]</f>
        <v>JORGE</v>
      </c>
      <c r="F11" t="s">
        <v>65</v>
      </c>
      <c r="G11" s="3">
        <v>17224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0.52753246753246752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20310</v>
      </c>
      <c r="Q11" s="6">
        <f>VLOOKUP(DATA_MARZO_2026[[#This Row],[ASER_]],D1_MARZO_2026[[ASESOR_CRR]:[META]],2,0)</f>
        <v>38500</v>
      </c>
      <c r="R11" t="s">
        <v>493</v>
      </c>
      <c r="S11">
        <v>750</v>
      </c>
      <c r="T11">
        <v>2000</v>
      </c>
      <c r="U11">
        <v>750</v>
      </c>
      <c r="V11">
        <v>0</v>
      </c>
      <c r="W11">
        <v>4200</v>
      </c>
      <c r="X11">
        <v>7000</v>
      </c>
      <c r="Y11">
        <v>450</v>
      </c>
      <c r="Z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159231.87</v>
      </c>
      <c r="AR11" s="16">
        <f>IFERROR(DITE_MARZO_2026[[#This Row],[RECUPERO SUPERVISOR]]/DITE_MARZO_2026[[#This Row],[META SUPER]],"")</f>
        <v>0.35668304123434225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0.36465324384787473</v>
      </c>
      <c r="E12" s="35" t="str">
        <f>D1_MARZO_2026[[#This Row],[SUPER]]</f>
        <v>JORGE</v>
      </c>
      <c r="F12" t="s">
        <v>13</v>
      </c>
      <c r="G12" s="3">
        <v>16300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0.355974025974026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13705</v>
      </c>
      <c r="Q12" s="6">
        <f>VLOOKUP(DATA_MARZO_2026[[#This Row],[ASER_]],D1_MARZO_2026[[ASESOR_CRR]:[META]],2,0)</f>
        <v>38500</v>
      </c>
      <c r="R12" t="s">
        <v>29</v>
      </c>
      <c r="S12">
        <v>383.4</v>
      </c>
      <c r="T12">
        <v>196</v>
      </c>
      <c r="U12">
        <v>1885</v>
      </c>
      <c r="V12">
        <v>1000</v>
      </c>
      <c r="W12">
        <v>275.39999999999998</v>
      </c>
      <c r="X12">
        <v>1521</v>
      </c>
      <c r="Y12">
        <v>600</v>
      </c>
      <c r="Z12">
        <v>150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109019</v>
      </c>
      <c r="AR12" s="17">
        <f>IFERROR(DITE_MARZO_2026[[#This Row],[RECUPERO SUPERVISOR]]/DITE_MARZO_2026[[#This Row],[META SUPER]],"")</f>
        <v>0.37571122836159865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0.34651006711409393</v>
      </c>
      <c r="E13" s="35" t="str">
        <f>D1_MARZO_2026[[#This Row],[SUPER]]</f>
        <v>JORGE</v>
      </c>
      <c r="F13" t="s">
        <v>31</v>
      </c>
      <c r="G13" s="3">
        <v>15489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0.31090909090909091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11970</v>
      </c>
      <c r="Q13" s="6">
        <f>VLOOKUP(DATA_MARZO_2026[[#This Row],[ASER_]],D1_MARZO_2026[[ASESOR_CRR]:[META]],2,0)</f>
        <v>38500</v>
      </c>
      <c r="R13" t="s">
        <v>85</v>
      </c>
      <c r="S13" s="47">
        <v>250</v>
      </c>
      <c r="T13">
        <v>700</v>
      </c>
      <c r="U13">
        <v>10000</v>
      </c>
      <c r="V13">
        <v>0</v>
      </c>
      <c r="W13">
        <v>0</v>
      </c>
      <c r="X13">
        <v>270</v>
      </c>
      <c r="Y13">
        <v>1380</v>
      </c>
      <c r="Z13">
        <v>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117477</v>
      </c>
      <c r="AR13" s="16">
        <f>IFERROR(DITE_MARZO_2026[[#This Row],[RECUPERO SUPERVISOR]]/DITE_MARZO_2026[[#This Row],[META SUPER]],"")</f>
        <v>0.26315117466802862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0.25328859060402686</v>
      </c>
      <c r="E14" s="35" t="str">
        <f>D1_MARZO_2026[[#This Row],[SUPER]]</f>
        <v>JORGE</v>
      </c>
      <c r="F14" t="s">
        <v>81</v>
      </c>
      <c r="G14" s="3">
        <v>11322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0.10942857142857143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4213</v>
      </c>
      <c r="Q14" s="6">
        <f>VLOOKUP(DATA_MARZO_2026[[#This Row],[ASER_]],D1_MARZO_2026[[ASESOR_CRR]:[META]],2,0)</f>
        <v>38500</v>
      </c>
      <c r="R14" t="s">
        <v>174</v>
      </c>
      <c r="S14" s="47">
        <v>210</v>
      </c>
      <c r="T14">
        <v>0</v>
      </c>
      <c r="U14">
        <v>1650</v>
      </c>
      <c r="V14">
        <v>800</v>
      </c>
      <c r="W14">
        <v>1100</v>
      </c>
      <c r="X14">
        <v>102</v>
      </c>
      <c r="Y14">
        <v>0</v>
      </c>
      <c r="Z14">
        <v>2000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0.21232662192393736</v>
      </c>
      <c r="E15" s="35" t="str">
        <f>D1_MARZO_2026[[#This Row],[SUPER]]</f>
        <v>JORGE</v>
      </c>
      <c r="F15" t="s">
        <v>37</v>
      </c>
      <c r="G15" s="3">
        <v>9491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0.54025974025974022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20800</v>
      </c>
      <c r="Q15" s="6">
        <f>VLOOKUP(DATA_MARZO_2026[[#This Row],[ASER_]],D1_MARZO_2026[[ASESOR_CRR]:[META]],2,0)</f>
        <v>38500</v>
      </c>
      <c r="R15" t="s">
        <v>79</v>
      </c>
      <c r="S15" s="47">
        <v>0</v>
      </c>
      <c r="T15">
        <v>15500</v>
      </c>
      <c r="U15">
        <v>1150</v>
      </c>
      <c r="V15">
        <v>0</v>
      </c>
      <c r="W15">
        <v>0</v>
      </c>
      <c r="X15">
        <v>0</v>
      </c>
      <c r="Y15" s="45">
        <v>1000</v>
      </c>
      <c r="Z15">
        <v>550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0.20369127516778524</v>
      </c>
      <c r="E16" s="35" t="str">
        <f>D1_MARZO_2026[[#This Row],[SUPER]]</f>
        <v>JORGE</v>
      </c>
      <c r="F16" t="s">
        <v>25</v>
      </c>
      <c r="G16" s="3">
        <v>9105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0.38431168831168833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14796</v>
      </c>
      <c r="Q16" s="6">
        <f>VLOOKUP(DATA_MARZO_2026[[#This Row],[ASER_]],D1_MARZO_2026[[ASESOR_CRR]:[META]],2,0)</f>
        <v>38500</v>
      </c>
      <c r="R16" t="s">
        <v>96</v>
      </c>
      <c r="S16">
        <v>0</v>
      </c>
      <c r="T16">
        <v>976</v>
      </c>
      <c r="U16">
        <v>2500</v>
      </c>
      <c r="V16">
        <v>0</v>
      </c>
      <c r="W16">
        <v>0</v>
      </c>
      <c r="X16">
        <v>1510</v>
      </c>
      <c r="Y16">
        <v>660</v>
      </c>
      <c r="Z16">
        <v>900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0.1512304250559284</v>
      </c>
      <c r="E17" s="35" t="str">
        <f>D1_MARZO_2026[[#This Row],[SUPER]]</f>
        <v>JORGE</v>
      </c>
      <c r="F17" t="s">
        <v>42</v>
      </c>
      <c r="G17" s="3">
        <v>6760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0.32732467532467535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12602</v>
      </c>
      <c r="Q17" s="6">
        <f>VLOOKUP(DATA_MARZO_2026[[#This Row],[ASER_]],D1_MARZO_2026[[ASESOR_CRR]:[META]],2,0)</f>
        <v>38500</v>
      </c>
      <c r="R17" t="s">
        <v>32</v>
      </c>
      <c r="S17" s="45">
        <v>0</v>
      </c>
      <c r="T17">
        <v>0</v>
      </c>
      <c r="U17">
        <v>3000</v>
      </c>
      <c r="V17">
        <v>0</v>
      </c>
      <c r="W17">
        <v>412</v>
      </c>
      <c r="X17">
        <v>5000</v>
      </c>
      <c r="Y17">
        <v>0</v>
      </c>
      <c r="Z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18" s="34" cm="1">
        <f t="array" ref="C18">_xlfn.XLOOKUP(1,(TablaMeta[CONCAT]=$M$3&amp;$N$3&amp;D1_MARZO_2026[[#This Row],[SUPER]])*(TablaMeta[SEGG]=D1_MARZO_2026[[#This Row],[SEGMENTO]]),TablaMeta[Meta_Asesor])</f>
        <v>44700</v>
      </c>
      <c r="D18" s="35">
        <f>IF(D1_MARZO_2026[[#This Row],[RECUPERO]]="VACACIONES","VACACIONES",IFERROR(D1_MARZO_2026[[#This Row],[RECUPERO]]/D1_MARZO_2026[[#This Row],[META]],""))</f>
        <v>0.43114093959731542</v>
      </c>
      <c r="E18" s="35" t="str">
        <f>D1_MARZO_2026[[#This Row],[SUPER]]</f>
        <v>LEONOR</v>
      </c>
      <c r="F18" t="s">
        <v>61</v>
      </c>
      <c r="G18" s="3">
        <v>19272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0.18225974025974026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7017</v>
      </c>
      <c r="Q18" s="6">
        <f>VLOOKUP(DATA_MARZO_2026[[#This Row],[ASER_]],D1_MARZO_2026[[ASESOR_CRR]:[META]],2,0)</f>
        <v>38500</v>
      </c>
      <c r="R18" t="s">
        <v>564</v>
      </c>
      <c r="S18">
        <v>0</v>
      </c>
      <c r="T18">
        <v>500</v>
      </c>
      <c r="U18">
        <v>500</v>
      </c>
      <c r="V18">
        <v>1405</v>
      </c>
      <c r="W18">
        <v>0</v>
      </c>
      <c r="X18">
        <v>250</v>
      </c>
      <c r="Y18">
        <v>0</v>
      </c>
      <c r="Z18">
        <v>1800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19" s="34" cm="1">
        <f t="array" ref="C19">_xlfn.XLOOKUP(1,(TablaMeta[CONCAT]=$M$3&amp;$N$3&amp;D1_MARZO_2026[[#This Row],[SUPER]])*(TablaMeta[SEGG]=D1_MARZO_2026[[#This Row],[SEGMENTO]]),TablaMeta[Meta_Asesor])</f>
        <v>44700</v>
      </c>
      <c r="D19" s="35">
        <f>IF(D1_MARZO_2026[[#This Row],[RECUPERO]]="VACACIONES","VACACIONES",IFERROR(D1_MARZO_2026[[#This Row],[RECUPERO]]/D1_MARZO_2026[[#This Row],[META]],""))</f>
        <v>0.49105145413870244</v>
      </c>
      <c r="E19" s="35" t="str">
        <f>D1_MARZO_2026[[#This Row],[SUPER]]</f>
        <v>LEONOR</v>
      </c>
      <c r="F19" t="s">
        <v>627</v>
      </c>
      <c r="G19" s="3">
        <v>21950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3.6867862969004891E-2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2260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20" s="34" cm="1">
        <f t="array" ref="C20">_xlfn.XLOOKUP(1,(TablaMeta[CONCAT]=$M$3&amp;$N$3&amp;D1_MARZO_2026[[#This Row],[SUPER]])*(TablaMeta[SEGG]=D1_MARZO_2026[[#This Row],[SEGMENTO]]),TablaMeta[Meta_Asesor])</f>
        <v>44700</v>
      </c>
      <c r="D20" s="35">
        <f>IF(D1_MARZO_2026[[#This Row],[RECUPERO]]="VACACIONES","VACACIONES",IFERROR(D1_MARZO_2026[[#This Row],[RECUPERO]]/D1_MARZO_2026[[#This Row],[META]],""))</f>
        <v>0.32483221476510066</v>
      </c>
      <c r="E20" s="35" t="str">
        <f>D1_MARZO_2026[[#This Row],[SUPER]]</f>
        <v>LEONOR</v>
      </c>
      <c r="F20" t="s">
        <v>629</v>
      </c>
      <c r="G20" s="3">
        <v>14520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0.26492659053833606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16240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21" s="34" cm="1">
        <f t="array" ref="C21">_xlfn.XLOOKUP(1,(TablaMeta[CONCAT]=$M$3&amp;$N$3&amp;D1_MARZO_2026[[#This Row],[SUPER]])*(TablaMeta[SEGG]=D1_MARZO_2026[[#This Row],[SEGMENTO]]),TablaMeta[Meta_Asesor])</f>
        <v>44700</v>
      </c>
      <c r="D21" s="35">
        <f>IF(D1_MARZO_2026[[#This Row],[RECUPERO]]="VACACIONES","VACACIONES",IFERROR(D1_MARZO_2026[[#This Row],[RECUPERO]]/D1_MARZO_2026[[#This Row],[META]],""))</f>
        <v>0.33892617449664431</v>
      </c>
      <c r="E21" s="35" t="str">
        <f>D1_MARZO_2026[[#This Row],[SUPER]]</f>
        <v>LEONOR</v>
      </c>
      <c r="F21" t="s">
        <v>18</v>
      </c>
      <c r="G21" s="3">
        <v>15150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0.57326541598694936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35141.17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22" s="34" cm="1">
        <f t="array" ref="C22">_xlfn.XLOOKUP(1,(TablaMeta[CONCAT]=$M$3&amp;$N$3&amp;D1_MARZO_2026[[#This Row],[SUPER]])*(TablaMeta[SEGG]=D1_MARZO_2026[[#This Row],[SEGMENTO]]),TablaMeta[Meta_Asesor])</f>
        <v>44700</v>
      </c>
      <c r="D22" s="35">
        <f>IF(D1_MARZO_2026[[#This Row],[RECUPERO]]="VACACIONES","VACACIONES",IFERROR(D1_MARZO_2026[[#This Row],[RECUPERO]]/D1_MARZO_2026[[#This Row],[META]],""))</f>
        <v>0.2513870246085011</v>
      </c>
      <c r="E22" s="35" t="str">
        <f>D1_MARZO_2026[[#This Row],[SUPER]]</f>
        <v>LEONOR</v>
      </c>
      <c r="F22" t="s">
        <v>628</v>
      </c>
      <c r="G22" s="3">
        <v>11237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0.53833605220228387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33000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23" s="34" cm="1">
        <f t="array" ref="C23">_xlfn.XLOOKUP(1,(TablaMeta[CONCAT]=$M$3&amp;$N$3&amp;D1_MARZO_2026[[#This Row],[SUPER]])*(TablaMeta[SEGG]=D1_MARZO_2026[[#This Row],[SEGMENTO]]),TablaMeta[Meta_Asesor])</f>
        <v>44700</v>
      </c>
      <c r="D23" s="35">
        <f>IF(D1_MARZO_2026[[#This Row],[RECUPERO]]="VACACIONES","VACACIONES",IFERROR(D1_MARZO_2026[[#This Row],[RECUPERO]]/D1_MARZO_2026[[#This Row],[META]],""))</f>
        <v>0.25950782997762861</v>
      </c>
      <c r="E23" s="35" t="str">
        <f>D1_MARZO_2026[[#This Row],[SUPER]]</f>
        <v>LEONOR</v>
      </c>
      <c r="F23" t="s">
        <v>624</v>
      </c>
      <c r="G23" s="3">
        <v>11600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0.44127243066884175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27050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24" s="34" cm="1">
        <f t="array" ref="C24">_xlfn.XLOOKUP(1,(TablaMeta[CONCAT]=$M$3&amp;$N$3&amp;D1_MARZO_2026[[#This Row],[SUPER]])*(TablaMeta[SEGG]=D1_MARZO_2026[[#This Row],[SEGMENTO]]),TablaMeta[Meta_Asesor])</f>
        <v>44700</v>
      </c>
      <c r="D24" s="35">
        <f>IF(D1_MARZO_2026[[#This Row],[RECUPERO]]="VACACIONES","VACACIONES",IFERROR(D1_MARZO_2026[[#This Row],[RECUPERO]]/D1_MARZO_2026[[#This Row],[META]],""))</f>
        <v>0.10514541387024609</v>
      </c>
      <c r="E24" s="35" t="str">
        <f>D1_MARZO_2026[[#This Row],[SUPER]]</f>
        <v>LEONOR</v>
      </c>
      <c r="F24" t="s">
        <v>625</v>
      </c>
      <c r="G24" s="3">
        <v>4700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0.30546492659053831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18725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0.11118568232662192</v>
      </c>
      <c r="E25" s="35" t="str">
        <f>D1_MARZO_2026[[#This Row],[SUPER]]</f>
        <v>LEONOR</v>
      </c>
      <c r="F25" t="s">
        <v>626</v>
      </c>
      <c r="G25" s="3">
        <v>4970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0.44323001631321368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27170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9.2841163310961969E-2</v>
      </c>
      <c r="E26" s="35" t="str">
        <f>D1_MARZO_2026[[#This Row],[SUPER]]</f>
        <v>LEONOR</v>
      </c>
      <c r="F26" t="s">
        <v>633</v>
      </c>
      <c r="G26" s="3">
        <v>4150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0.43684210526315792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LISELY</v>
      </c>
      <c r="P26" s="6">
        <f>VLOOKUP(DATA_MARZO_2026[[#This Row],[ASER_]],D1_MARZO_2026[[ASESOR_CRR]:[RECUPERO]],6,0)</f>
        <v>9960</v>
      </c>
      <c r="Q26" s="6">
        <f>VLOOKUP(DATA_MARZO_2026[[#This Row],[ASER_]],D1_MARZO_2026[[ASESOR_CRR]:[META]],2,0)</f>
        <v>22800</v>
      </c>
      <c r="R26" t="s">
        <v>495</v>
      </c>
      <c r="S26" s="45">
        <v>600</v>
      </c>
      <c r="T26">
        <v>2000</v>
      </c>
      <c r="U26">
        <v>0</v>
      </c>
      <c r="V26">
        <v>1200</v>
      </c>
      <c r="W26">
        <v>1500</v>
      </c>
      <c r="X26">
        <v>400</v>
      </c>
      <c r="Y26">
        <v>0</v>
      </c>
      <c r="Z26">
        <v>2000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0.22210290827740492</v>
      </c>
      <c r="E27" s="35" t="str">
        <f>D1_MARZO_2026[[#This Row],[SUPER]]</f>
        <v>LEONOR</v>
      </c>
      <c r="F27" t="s">
        <v>632</v>
      </c>
      <c r="G27" s="3">
        <v>9928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0.18881578947368421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LISELY</v>
      </c>
      <c r="P27" s="6">
        <f>VLOOKUP(DATA_MARZO_2026[[#This Row],[ASER_]],D1_MARZO_2026[[ASESOR_CRR]:[RECUPERO]],6,0)</f>
        <v>4305</v>
      </c>
      <c r="Q27" s="6">
        <f>VLOOKUP(DATA_MARZO_2026[[#This Row],[ASER_]],D1_MARZO_2026[[ASESOR_CRR]:[META]],2,0)</f>
        <v>22800</v>
      </c>
      <c r="R27" t="s">
        <v>109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28" s="34" cm="1">
        <f t="array" ref="C28">_xlfn.XLOOKUP(1,(TablaMeta[CONCAT]=$M$3&amp;$N$3&amp;D1_MARZO_2026[[#This Row],[SUPER]])*(TablaMeta[SEGG]=D1_MARZO_2026[[#This Row],[SEGMENTO]]),TablaMeta[Meta_Asesor])</f>
        <v>18100</v>
      </c>
      <c r="D28" s="35">
        <f>IF(D1_MARZO_2026[[#This Row],[RECUPERO]]="VACACIONES","VACACIONES",IFERROR(D1_MARZO_2026[[#This Row],[RECUPERO]]/D1_MARZO_2026[[#This Row],[META]],""))</f>
        <v>0.54149171270718233</v>
      </c>
      <c r="E28" s="35" t="str">
        <f>D1_MARZO_2026[[#This Row],[SUPER]]</f>
        <v>LISELY</v>
      </c>
      <c r="F28" t="s">
        <v>41</v>
      </c>
      <c r="G28" s="3">
        <v>9801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0.47587719298245612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LISELY</v>
      </c>
      <c r="P28" s="6">
        <f>VLOOKUP(DATA_MARZO_2026[[#This Row],[ASER_]],D1_MARZO_2026[[ASESOR_CRR]:[RECUPERO]],6,0)</f>
        <v>10850</v>
      </c>
      <c r="Q28" s="6">
        <f>VLOOKUP(DATA_MARZO_2026[[#This Row],[ASER_]],D1_MARZO_2026[[ASESOR_CRR]:[META]],2,0)</f>
        <v>22800</v>
      </c>
      <c r="R28" t="s">
        <v>49</v>
      </c>
      <c r="S28">
        <v>5800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29" s="34" cm="1">
        <f t="array" ref="C29">_xlfn.XLOOKUP(1,(TablaMeta[CONCAT]=$M$3&amp;$N$3&amp;D1_MARZO_2026[[#This Row],[SUPER]])*(TablaMeta[SEGG]=D1_MARZO_2026[[#This Row],[SEGMENTO]]),TablaMeta[Meta_Asesor])</f>
        <v>18100</v>
      </c>
      <c r="D29" s="35">
        <f>IF(D1_MARZO_2026[[#This Row],[RECUPERO]]="VACACIONES","VACACIONES",IFERROR(D1_MARZO_2026[[#This Row],[RECUPERO]]/D1_MARZO_2026[[#This Row],[META]],""))</f>
        <v>0.18419889502762432</v>
      </c>
      <c r="E29" s="35" t="str">
        <f>D1_MARZO_2026[[#This Row],[SUPER]]</f>
        <v>LISELY</v>
      </c>
      <c r="F29" t="s">
        <v>549</v>
      </c>
      <c r="G29" s="3">
        <v>3334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0.47144736842105261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10749</v>
      </c>
      <c r="Q29" s="6">
        <f>VLOOKUP(DATA_MARZO_2026[[#This Row],[ASER_]],D1_MARZO_2026[[ASESOR_CRR]:[META]],2,0)</f>
        <v>22800</v>
      </c>
      <c r="R29" t="s">
        <v>77</v>
      </c>
      <c r="S29" s="47">
        <v>4924</v>
      </c>
      <c r="T29">
        <v>865</v>
      </c>
      <c r="U29" s="45">
        <v>3500</v>
      </c>
      <c r="V29">
        <v>0</v>
      </c>
      <c r="W29">
        <v>220</v>
      </c>
      <c r="X29">
        <v>0</v>
      </c>
      <c r="Y29">
        <v>0</v>
      </c>
      <c r="Z29">
        <v>160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0" s="34" cm="1">
        <f t="array" ref="C30">_xlfn.XLOOKUP(1,(TablaMeta[CONCAT]=$M$3&amp;$N$3&amp;D1_MARZO_2026[[#This Row],[SUPER]])*(TablaMeta[SEGG]=D1_MARZO_2026[[#This Row],[SEGMENTO]]),TablaMeta[Meta_Asesor])</f>
        <v>18100</v>
      </c>
      <c r="D30" s="35">
        <f>IF(D1_MARZO_2026[[#This Row],[RECUPERO]]="VACACIONES","VACACIONES",IFERROR(D1_MARZO_2026[[#This Row],[RECUPERO]]/D1_MARZO_2026[[#This Row],[META]],""))</f>
        <v>0.14088397790055249</v>
      </c>
      <c r="E30" s="35" t="str">
        <f>D1_MARZO_2026[[#This Row],[SUPER]]</f>
        <v>LISELY</v>
      </c>
      <c r="F30" t="s">
        <v>601</v>
      </c>
      <c r="G30" s="3">
        <v>2550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0.16228070175438597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3700</v>
      </c>
      <c r="Q30" s="6">
        <f>VLOOKUP(DATA_MARZO_2026[[#This Row],[ASER_]],D1_MARZO_2026[[ASESOR_CRR]:[META]],2,0)</f>
        <v>22800</v>
      </c>
      <c r="R30" t="s">
        <v>600</v>
      </c>
      <c r="S30" s="47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1000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1" s="34" cm="1">
        <f t="array" ref="C31">_xlfn.XLOOKUP(1,(TablaMeta[CONCAT]=$M$3&amp;$N$3&amp;D1_MARZO_2026[[#This Row],[SUPER]])*(TablaMeta[SEGG]=D1_MARZO_2026[[#This Row],[SEGMENTO]]),TablaMeta[Meta_Asesor])</f>
        <v>18100</v>
      </c>
      <c r="D31" s="35">
        <f>IF(D1_MARZO_2026[[#This Row],[RECUPERO]]="VACACIONES","VACACIONES",IFERROR(D1_MARZO_2026[[#This Row],[RECUPERO]]/D1_MARZO_2026[[#This Row],[META]],""))</f>
        <v>0.12734806629834255</v>
      </c>
      <c r="E31" s="35" t="str">
        <f>D1_MARZO_2026[[#This Row],[SUPER]]</f>
        <v>LISELY</v>
      </c>
      <c r="F31" t="s">
        <v>599</v>
      </c>
      <c r="G31" s="3">
        <v>2305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0.5798245614035088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13220</v>
      </c>
      <c r="Q31" s="6">
        <f>VLOOKUP(DATA_MARZO_2026[[#This Row],[ASER_]],D1_MARZO_2026[[ASESOR_CRR]:[META]],2,0)</f>
        <v>22800</v>
      </c>
      <c r="R31" t="s">
        <v>48</v>
      </c>
      <c r="S31" s="47">
        <v>0</v>
      </c>
      <c r="T31">
        <v>0</v>
      </c>
      <c r="U31">
        <v>0</v>
      </c>
      <c r="V31">
        <v>550</v>
      </c>
      <c r="W31">
        <v>10000</v>
      </c>
      <c r="X31">
        <v>0</v>
      </c>
      <c r="Y31">
        <v>770</v>
      </c>
      <c r="Z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32" s="34" cm="1">
        <f t="array" ref="C32">_xlfn.XLOOKUP(1,(TablaMeta[CONCAT]=$M$3&amp;$N$3&amp;D1_MARZO_2026[[#This Row],[SUPER]])*(TablaMeta[SEGG]=D1_MARZO_2026[[#This Row],[SEGMENTO]]),TablaMeta[Meta_Asesor])</f>
        <v>18100</v>
      </c>
      <c r="D32" s="35">
        <f>IF(D1_MARZO_2026[[#This Row],[RECUPERO]]="VACACIONES","VACACIONES",IFERROR(D1_MARZO_2026[[#This Row],[RECUPERO]]/D1_MARZO_2026[[#This Row],[META]],""))</f>
        <v>0.10911602209944751</v>
      </c>
      <c r="E32" s="35" t="str">
        <f>D1_MARZO_2026[[#This Row],[SUPER]]</f>
        <v>LISELY</v>
      </c>
      <c r="F32" t="s">
        <v>566</v>
      </c>
      <c r="G32" s="3">
        <v>1975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0.17543859649122806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LISELY</v>
      </c>
      <c r="P32" s="6">
        <f>VLOOKUP(DATA_MARZO_2026[[#This Row],[ASER_]],D1_MARZO_2026[[ASESOR_CRR]:[RECUPERO]],6,0)</f>
        <v>4000</v>
      </c>
      <c r="Q32" s="6">
        <f>VLOOKUP(DATA_MARZO_2026[[#This Row],[ASER_]],D1_MARZO_2026[[ASESOR_CRR]:[META]],2,0)</f>
        <v>22800</v>
      </c>
      <c r="R32" t="s">
        <v>78</v>
      </c>
      <c r="S32" s="47">
        <v>0</v>
      </c>
      <c r="T32">
        <v>2000</v>
      </c>
      <c r="U32">
        <v>0</v>
      </c>
      <c r="V32">
        <v>0</v>
      </c>
      <c r="W32">
        <v>0</v>
      </c>
      <c r="X32">
        <v>300</v>
      </c>
      <c r="Y32">
        <v>0</v>
      </c>
      <c r="Z32">
        <v>300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3" s="34" cm="1">
        <f t="array" ref="C33">_xlfn.XLOOKUP(1,(TablaMeta[CONCAT]=$M$3&amp;$N$3&amp;D1_MARZO_2026[[#This Row],[SUPER]])*(TablaMeta[SEGG]=D1_MARZO_2026[[#This Row],[SEGMENTO]]),TablaMeta[Meta_Asesor])</f>
        <v>18100</v>
      </c>
      <c r="D33" s="35">
        <f>IF(D1_MARZO_2026[[#This Row],[RECUPERO]]="VACACIONES","VACACIONES",IFERROR(D1_MARZO_2026[[#This Row],[RECUPERO]]/D1_MARZO_2026[[#This Row],[META]],""))</f>
        <v>0.11243093922651934</v>
      </c>
      <c r="E33" s="35" t="str">
        <f>D1_MARZO_2026[[#This Row],[SUPER]]</f>
        <v>LISELY</v>
      </c>
      <c r="F33" t="s">
        <v>55</v>
      </c>
      <c r="G33" s="3">
        <v>2035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0.18419889502762432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3334</v>
      </c>
      <c r="Q33" s="6">
        <f>VLOOKUP(DATA_MARZO_2026[[#This Row],[ASER_]],D1_MARZO_2026[[ASESOR_CRR]:[META]],2,0)</f>
        <v>18100</v>
      </c>
      <c r="R33" t="s">
        <v>549</v>
      </c>
      <c r="S33" s="47">
        <v>350</v>
      </c>
      <c r="T33">
        <v>660</v>
      </c>
      <c r="U33">
        <v>734</v>
      </c>
      <c r="V33">
        <v>0</v>
      </c>
      <c r="W33">
        <v>0</v>
      </c>
      <c r="X33">
        <v>0</v>
      </c>
      <c r="Y33">
        <v>90</v>
      </c>
      <c r="Z33">
        <v>500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34" s="34" cm="1">
        <f t="array" ref="C34">_xlfn.XLOOKUP(1,(TablaMeta[CONCAT]=$M$3&amp;$N$3&amp;D1_MARZO_2026[[#This Row],[SUPER]])*(TablaMeta[SEGG]=D1_MARZO_2026[[#This Row],[SEGMENTO]]),TablaMeta[Meta_Asesor])</f>
        <v>22800</v>
      </c>
      <c r="D34" s="35">
        <f>IF(D1_MARZO_2026[[#This Row],[RECUPERO]]="VACACIONES","VACACIONES",IFERROR(D1_MARZO_2026[[#This Row],[RECUPERO]]/D1_MARZO_2026[[#This Row],[META]],""))</f>
        <v>0.5798245614035088</v>
      </c>
      <c r="E34" s="35" t="str">
        <f>D1_MARZO_2026[[#This Row],[SUPER]]</f>
        <v>LISELY</v>
      </c>
      <c r="F34" t="s">
        <v>48</v>
      </c>
      <c r="G34" s="3">
        <v>13220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0.12734806629834255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2305</v>
      </c>
      <c r="Q34" s="6">
        <f>VLOOKUP(DATA_MARZO_2026[[#This Row],[ASER_]],D1_MARZO_2026[[ASESOR_CRR]:[META]],2,0)</f>
        <v>18100</v>
      </c>
      <c r="R34" t="s">
        <v>599</v>
      </c>
      <c r="S34" s="47">
        <v>0</v>
      </c>
      <c r="T34">
        <v>0</v>
      </c>
      <c r="U34">
        <v>0</v>
      </c>
      <c r="V34">
        <v>0</v>
      </c>
      <c r="W34">
        <v>1225</v>
      </c>
      <c r="X34">
        <v>0</v>
      </c>
      <c r="Y34">
        <v>400</v>
      </c>
      <c r="Z34">
        <v>180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35" s="34" cm="1">
        <f t="array" ref="C35">_xlfn.XLOOKUP(1,(TablaMeta[CONCAT]=$M$3&amp;$N$3&amp;D1_MARZO_2026[[#This Row],[SUPER]])*(TablaMeta[SEGG]=D1_MARZO_2026[[#This Row],[SEGMENTO]]),TablaMeta[Meta_Asesor])</f>
        <v>22800</v>
      </c>
      <c r="D35" s="35">
        <f>IF(D1_MARZO_2026[[#This Row],[RECUPERO]]="VACACIONES","VACACIONES",IFERROR(D1_MARZO_2026[[#This Row],[RECUPERO]]/D1_MARZO_2026[[#This Row],[META]],""))</f>
        <v>0.47587719298245612</v>
      </c>
      <c r="E35" s="35" t="str">
        <f>D1_MARZO_2026[[#This Row],[SUPER]]</f>
        <v>LISELY</v>
      </c>
      <c r="F35" t="s">
        <v>49</v>
      </c>
      <c r="G35" s="3">
        <v>10850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0.54149171270718233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9801</v>
      </c>
      <c r="Q35" s="6">
        <f>VLOOKUP(DATA_MARZO_2026[[#This Row],[ASER_]],D1_MARZO_2026[[ASESOR_CRR]:[META]],2,0)</f>
        <v>18100</v>
      </c>
      <c r="R35" t="s">
        <v>41</v>
      </c>
      <c r="S35" s="47">
        <v>0</v>
      </c>
      <c r="T35">
        <v>6900</v>
      </c>
      <c r="U35">
        <v>1500</v>
      </c>
      <c r="V35">
        <v>500</v>
      </c>
      <c r="W35">
        <v>351</v>
      </c>
      <c r="X35">
        <v>0</v>
      </c>
      <c r="Y35">
        <v>550</v>
      </c>
      <c r="Z35">
        <v>0</v>
      </c>
      <c r="AB35" s="6"/>
      <c r="AC35" s="6"/>
      <c r="AD35" s="6"/>
      <c r="AE35" s="6"/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36" s="34" cm="1">
        <f t="array" ref="C36">_xlfn.XLOOKUP(1,(TablaMeta[CONCAT]=$M$3&amp;$N$3&amp;D1_MARZO_2026[[#This Row],[SUPER]])*(TablaMeta[SEGG]=D1_MARZO_2026[[#This Row],[SEGMENTO]]),TablaMeta[Meta_Asesor])</f>
        <v>22800</v>
      </c>
      <c r="D36" s="35">
        <f>IF(D1_MARZO_2026[[#This Row],[RECUPERO]]="VACACIONES","VACACIONES",IFERROR(D1_MARZO_2026[[#This Row],[RECUPERO]]/D1_MARZO_2026[[#This Row],[META]],""))</f>
        <v>0.47144736842105261</v>
      </c>
      <c r="E36" s="35" t="str">
        <f>D1_MARZO_2026[[#This Row],[SUPER]]</f>
        <v>LISELY</v>
      </c>
      <c r="F36" t="s">
        <v>634</v>
      </c>
      <c r="G36" s="3">
        <v>10749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0.10911602209944751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1975</v>
      </c>
      <c r="Q36" s="6">
        <f>VLOOKUP(DATA_MARZO_2026[[#This Row],[ASER_]],D1_MARZO_2026[[ASESOR_CRR]:[META]],2,0)</f>
        <v>18100</v>
      </c>
      <c r="R36" t="s">
        <v>566</v>
      </c>
      <c r="S36" s="47">
        <v>300</v>
      </c>
      <c r="T36">
        <v>0</v>
      </c>
      <c r="U36">
        <v>0</v>
      </c>
      <c r="V36">
        <v>0</v>
      </c>
      <c r="W36">
        <v>1615</v>
      </c>
      <c r="X36">
        <v>0</v>
      </c>
      <c r="Y36">
        <v>60</v>
      </c>
      <c r="Z36">
        <v>0</v>
      </c>
      <c r="AB36" s="6"/>
      <c r="AC36" s="6"/>
      <c r="AD36" s="6"/>
      <c r="AE36" s="6"/>
      <c r="AF36" s="6"/>
      <c r="AG36" s="6"/>
      <c r="AH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37" s="34" cm="1">
        <f t="array" ref="C37">_xlfn.XLOOKUP(1,(TablaMeta[CONCAT]=$M$3&amp;$N$3&amp;D1_MARZO_2026[[#This Row],[SUPER]])*(TablaMeta[SEGG]=D1_MARZO_2026[[#This Row],[SEGMENTO]]),TablaMeta[Meta_Asesor])</f>
        <v>22800</v>
      </c>
      <c r="D37" s="35">
        <f>IF(D1_MARZO_2026[[#This Row],[RECUPERO]]="VACACIONES","VACACIONES",IFERROR(D1_MARZO_2026[[#This Row],[RECUPERO]]/D1_MARZO_2026[[#This Row],[META]],""))</f>
        <v>0.43684210526315792</v>
      </c>
      <c r="E37" s="35" t="str">
        <f>D1_MARZO_2026[[#This Row],[SUPER]]</f>
        <v>LISELY</v>
      </c>
      <c r="F37" t="s">
        <v>495</v>
      </c>
      <c r="G37" s="3">
        <v>9960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0.11243093922651934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2035</v>
      </c>
      <c r="Q37" s="6">
        <f>VLOOKUP(DATA_MARZO_2026[[#This Row],[ASER_]],D1_MARZO_2026[[ASESOR_CRR]:[META]],2,0)</f>
        <v>18100</v>
      </c>
      <c r="R37" t="s">
        <v>55</v>
      </c>
      <c r="S37" s="47">
        <v>0</v>
      </c>
      <c r="T37">
        <v>0</v>
      </c>
      <c r="U37">
        <v>0</v>
      </c>
      <c r="V37">
        <v>0</v>
      </c>
      <c r="W37">
        <v>305</v>
      </c>
      <c r="X37">
        <v>0</v>
      </c>
      <c r="Y37">
        <v>500</v>
      </c>
      <c r="Z37">
        <v>600</v>
      </c>
      <c r="AB37" s="6"/>
      <c r="AC37" s="6"/>
      <c r="AD37" s="6"/>
      <c r="AE37" s="6"/>
      <c r="AF37" s="6"/>
      <c r="AG37" s="6"/>
      <c r="AH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38" s="34" cm="1">
        <f t="array" ref="C38">_xlfn.XLOOKUP(1,(TablaMeta[CONCAT]=$M$3&amp;$N$3&amp;D1_MARZO_2026[[#This Row],[SUPER]])*(TablaMeta[SEGG]=D1_MARZO_2026[[#This Row],[SEGMENTO]]),TablaMeta[Meta_Asesor])</f>
        <v>22800</v>
      </c>
      <c r="D38" s="35">
        <f>IF(D1_MARZO_2026[[#This Row],[RECUPERO]]="VACACIONES","VACACIONES",IFERROR(D1_MARZO_2026[[#This Row],[RECUPERO]]/D1_MARZO_2026[[#This Row],[META]],""))</f>
        <v>0.18881578947368421</v>
      </c>
      <c r="E38" s="35" t="str">
        <f>D1_MARZO_2026[[#This Row],[SUPER]]</f>
        <v>LISELY</v>
      </c>
      <c r="F38" t="s">
        <v>109</v>
      </c>
      <c r="G38" s="3">
        <v>4305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0.14088397790055249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2550</v>
      </c>
      <c r="Q38" s="6">
        <f>VLOOKUP(DATA_MARZO_2026[[#This Row],[ASER_]],D1_MARZO_2026[[ASESOR_CRR]:[META]],2,0)</f>
        <v>18100</v>
      </c>
      <c r="R38" t="s">
        <v>601</v>
      </c>
      <c r="S38" s="47">
        <v>0</v>
      </c>
      <c r="T38">
        <v>300</v>
      </c>
      <c r="U38">
        <v>0</v>
      </c>
      <c r="V38">
        <v>0</v>
      </c>
      <c r="W38" s="5">
        <v>1500</v>
      </c>
      <c r="X38" s="6">
        <v>180</v>
      </c>
      <c r="Y38" s="6">
        <v>0</v>
      </c>
      <c r="Z38" s="6">
        <v>0</v>
      </c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39" s="34" cm="1">
        <f t="array" ref="C39">_xlfn.XLOOKUP(1,(TablaMeta[CONCAT]=$M$3&amp;$N$3&amp;D1_MARZO_2026[[#This Row],[SUPER]])*(TablaMeta[SEGG]=D1_MARZO_2026[[#This Row],[SEGMENTO]]),TablaMeta[Meta_Asesor])</f>
        <v>22800</v>
      </c>
      <c r="D39" s="35">
        <f>IF(D1_MARZO_2026[[#This Row],[RECUPERO]]="VACACIONES","VACACIONES",IFERROR(D1_MARZO_2026[[#This Row],[RECUPERO]]/D1_MARZO_2026[[#This Row],[META]],""))</f>
        <v>0.17543859649122806</v>
      </c>
      <c r="E39" s="35" t="str">
        <f>D1_MARZO_2026[[#This Row],[SUPER]]</f>
        <v>LISELY</v>
      </c>
      <c r="F39" t="s">
        <v>78</v>
      </c>
      <c r="G39" s="3">
        <v>4000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9.2841163310961969E-2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4150</v>
      </c>
      <c r="Q39" s="6">
        <f>VLOOKUP(DATA_MARZO_2026[[#This Row],[ASER_]],D1_MARZO_2026[[ASESOR_CRR]:[META]],2,0)</f>
        <v>44700</v>
      </c>
      <c r="R39" t="s">
        <v>51</v>
      </c>
      <c r="S39" s="45">
        <v>500</v>
      </c>
      <c r="T39">
        <v>0</v>
      </c>
      <c r="U39">
        <v>0</v>
      </c>
      <c r="V39">
        <v>0</v>
      </c>
      <c r="W39" s="5">
        <v>0</v>
      </c>
      <c r="X39" s="6">
        <v>1400</v>
      </c>
      <c r="Y39" s="6">
        <v>0</v>
      </c>
      <c r="Z39" s="6">
        <v>0</v>
      </c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40" s="34" cm="1">
        <f t="array" ref="C40">_xlfn.XLOOKUP(1,(TablaMeta[CONCAT]=$M$3&amp;$N$3&amp;D1_MARZO_2026[[#This Row],[SUPER]])*(TablaMeta[SEGG]=D1_MARZO_2026[[#This Row],[SEGMENTO]]),TablaMeta[Meta_Asesor])</f>
        <v>22800</v>
      </c>
      <c r="D40" s="35">
        <f>IF(D1_MARZO_2026[[#This Row],[RECUPERO]]="VACACIONES","VACACIONES",IFERROR(D1_MARZO_2026[[#This Row],[RECUPERO]]/D1_MARZO_2026[[#This Row],[META]],""))</f>
        <v>0.16228070175438597</v>
      </c>
      <c r="E40" s="35" t="str">
        <f>D1_MARZO_2026[[#This Row],[SUPER]]</f>
        <v>LISELY</v>
      </c>
      <c r="F40" t="s">
        <v>600</v>
      </c>
      <c r="G40" s="3">
        <v>3700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0.33892617449664431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15150</v>
      </c>
      <c r="Q40" s="6">
        <f>VLOOKUP(DATA_MARZO_2026[[#This Row],[ASER_]],D1_MARZO_2026[[ASESOR_CRR]:[META]],2,0)</f>
        <v>44700</v>
      </c>
      <c r="R40" t="s">
        <v>18</v>
      </c>
      <c r="S40" s="45">
        <v>350</v>
      </c>
      <c r="T40">
        <v>2700</v>
      </c>
      <c r="U40">
        <v>3000</v>
      </c>
      <c r="V40">
        <v>5800</v>
      </c>
      <c r="W40" s="5">
        <v>0</v>
      </c>
      <c r="X40" s="6">
        <v>0</v>
      </c>
      <c r="Y40" s="6">
        <v>0</v>
      </c>
      <c r="Z40" s="6">
        <v>0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41" s="34" cm="1">
        <f t="array" ref="C41">_xlfn.XLOOKUP(1,(TablaMeta[CONCAT]=$M$3&amp;$N$3&amp;D1_MARZO_2026[[#This Row],[SUPER]])*(TablaMeta[SEGG]=D1_MARZO_2026[[#This Row],[SEGMENTO]]),TablaMeta[Meta_Asesor])</f>
        <v>61300</v>
      </c>
      <c r="D41" s="35">
        <f>IF(D1_MARZO_2026[[#This Row],[RECUPERO]]="VACACIONES","VACACIONES",IFERROR(D1_MARZO_2026[[#This Row],[RECUPERO]]/D1_MARZO_2026[[#This Row],[META]],""))</f>
        <v>0.57326541598694936</v>
      </c>
      <c r="E41" s="35" t="str">
        <f>D1_MARZO_2026[[#This Row],[SUPER]]</f>
        <v>KENNETH</v>
      </c>
      <c r="F41" t="s">
        <v>97</v>
      </c>
      <c r="G41" s="3">
        <v>35141.17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0.22210290827740492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LEONOR</v>
      </c>
      <c r="P41" s="6">
        <f>VLOOKUP(DATA_MARZO_2026[[#This Row],[ASER_]],D1_MARZO_2026[[ASESOR_CRR]:[RECUPERO]],6,0)</f>
        <v>9928</v>
      </c>
      <c r="Q41" s="6">
        <f>VLOOKUP(DATA_MARZO_2026[[#This Row],[ASER_]],D1_MARZO_2026[[ASESOR_CRR]:[META]],2,0)</f>
        <v>44700</v>
      </c>
      <c r="R41" t="s">
        <v>12</v>
      </c>
      <c r="S41" s="45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800</v>
      </c>
      <c r="Z41" s="6">
        <v>0</v>
      </c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42" s="34" cm="1">
        <f t="array" ref="C42">_xlfn.XLOOKUP(1,(TablaMeta[CONCAT]=$M$3&amp;$N$3&amp;D1_MARZO_2026[[#This Row],[SUPER]])*(TablaMeta[SEGG]=D1_MARZO_2026[[#This Row],[SEGMENTO]]),TablaMeta[Meta_Asesor])</f>
        <v>61300</v>
      </c>
      <c r="D42" s="35">
        <f>IF(D1_MARZO_2026[[#This Row],[RECUPERO]]="VACACIONES","VACACIONES",IFERROR(D1_MARZO_2026[[#This Row],[RECUPERO]]/D1_MARZO_2026[[#This Row],[META]],""))</f>
        <v>0.53833605220228387</v>
      </c>
      <c r="E42" s="35" t="str">
        <f>D1_MARZO_2026[[#This Row],[SUPER]]</f>
        <v>KENNETH</v>
      </c>
      <c r="F42" t="s">
        <v>105</v>
      </c>
      <c r="G42" s="3">
        <v>33000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0.25950782997762861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LEONOR</v>
      </c>
      <c r="P42" s="6">
        <f>VLOOKUP(DATA_MARZO_2026[[#This Row],[ASER_]],D1_MARZO_2026[[ASESOR_CRR]:[RECUPERO]],6,0)</f>
        <v>11600</v>
      </c>
      <c r="Q42" s="6">
        <f>VLOOKUP(DATA_MARZO_2026[[#This Row],[ASER_]],D1_MARZO_2026[[ASESOR_CRR]:[META]],2,0)</f>
        <v>44700</v>
      </c>
      <c r="R42" t="s">
        <v>80</v>
      </c>
      <c r="S42" s="45">
        <v>5000</v>
      </c>
      <c r="T42">
        <v>0</v>
      </c>
      <c r="U42">
        <v>0</v>
      </c>
      <c r="V42">
        <v>0</v>
      </c>
      <c r="W42" s="5">
        <v>0</v>
      </c>
      <c r="X42" s="6">
        <v>0</v>
      </c>
      <c r="Y42" s="6">
        <v>600</v>
      </c>
      <c r="Z42" s="6">
        <v>0</v>
      </c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43" s="34" cm="1">
        <f t="array" ref="C43">_xlfn.XLOOKUP(1,(TablaMeta[CONCAT]=$M$3&amp;$N$3&amp;D1_MARZO_2026[[#This Row],[SUPER]])*(TablaMeta[SEGG]=D1_MARZO_2026[[#This Row],[SEGMENTO]]),TablaMeta[Meta_Asesor])</f>
        <v>61300</v>
      </c>
      <c r="D43" s="35">
        <f>IF(D1_MARZO_2026[[#This Row],[RECUPERO]]="VACACIONES","VACACIONES",IFERROR(D1_MARZO_2026[[#This Row],[RECUPERO]]/D1_MARZO_2026[[#This Row],[META]],""))</f>
        <v>0.44323001631321368</v>
      </c>
      <c r="E43" s="35" t="str">
        <f>D1_MARZO_2026[[#This Row],[SUPER]]</f>
        <v>KENNETH</v>
      </c>
      <c r="F43" t="s">
        <v>34</v>
      </c>
      <c r="G43" s="3">
        <v>27170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0.11118568232662192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LEONOR</v>
      </c>
      <c r="P43" s="6">
        <f>VLOOKUP(DATA_MARZO_2026[[#This Row],[ASER_]],D1_MARZO_2026[[ASESOR_CRR]:[RECUPERO]],6,0)</f>
        <v>4970</v>
      </c>
      <c r="Q43" s="6">
        <f>VLOOKUP(DATA_MARZO_2026[[#This Row],[ASER_]],D1_MARZO_2026[[ASESOR_CRR]:[META]],2,0)</f>
        <v>44700</v>
      </c>
      <c r="R43" t="s">
        <v>26</v>
      </c>
      <c r="S43" s="45">
        <v>1000</v>
      </c>
      <c r="T43">
        <v>0</v>
      </c>
      <c r="U43">
        <v>470</v>
      </c>
      <c r="V43">
        <v>0</v>
      </c>
      <c r="W43" s="5">
        <v>300</v>
      </c>
      <c r="X43" s="6">
        <v>200</v>
      </c>
      <c r="Y43" s="6">
        <v>0</v>
      </c>
      <c r="Z43" s="6">
        <v>0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44" s="34" cm="1">
        <f t="array" ref="C44">_xlfn.XLOOKUP(1,(TablaMeta[CONCAT]=$M$3&amp;$N$3&amp;D1_MARZO_2026[[#This Row],[SUPER]])*(TablaMeta[SEGG]=D1_MARZO_2026[[#This Row],[SEGMENTO]]),TablaMeta[Meta_Asesor])</f>
        <v>61300</v>
      </c>
      <c r="D44" s="35">
        <f>IF(D1_MARZO_2026[[#This Row],[RECUPERO]]="VACACIONES","VACACIONES",IFERROR(D1_MARZO_2026[[#This Row],[RECUPERO]]/D1_MARZO_2026[[#This Row],[META]],""))</f>
        <v>0.44127243066884175</v>
      </c>
      <c r="E44" s="35" t="str">
        <f>D1_MARZO_2026[[#This Row],[SUPER]]</f>
        <v>KENNETH</v>
      </c>
      <c r="F44" t="s">
        <v>11</v>
      </c>
      <c r="G44" s="3">
        <v>27050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0.43114093959731542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LEONOR</v>
      </c>
      <c r="P44" s="6">
        <f>VLOOKUP(DATA_MARZO_2026[[#This Row],[ASER_]],D1_MARZO_2026[[ASESOR_CRR]:[RECUPERO]],6,0)</f>
        <v>19272</v>
      </c>
      <c r="Q44" s="6">
        <f>VLOOKUP(DATA_MARZO_2026[[#This Row],[ASER_]],D1_MARZO_2026[[ASESOR_CRR]:[META]],2,0)</f>
        <v>44700</v>
      </c>
      <c r="R44" t="s">
        <v>61</v>
      </c>
      <c r="S44">
        <v>1503</v>
      </c>
      <c r="T44">
        <v>900</v>
      </c>
      <c r="U44">
        <v>1550</v>
      </c>
      <c r="V44">
        <v>3821</v>
      </c>
      <c r="W44" s="5">
        <v>2000</v>
      </c>
      <c r="X44" s="6">
        <v>2700</v>
      </c>
      <c r="Y44" s="6">
        <v>6668</v>
      </c>
      <c r="Z44" s="6">
        <v>0</v>
      </c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45" s="34" cm="1">
        <f t="array" ref="C45">_xlfn.XLOOKUP(1,(TablaMeta[CONCAT]=$M$3&amp;$N$3&amp;D1_MARZO_2026[[#This Row],[SUPER]])*(TablaMeta[SEGG]=D1_MARZO_2026[[#This Row],[SEGMENTO]]),TablaMeta[Meta_Asesor])</f>
        <v>61300</v>
      </c>
      <c r="D45" s="35">
        <f>IF(D1_MARZO_2026[[#This Row],[RECUPERO]]="VACACIONES","VACACIONES",IFERROR(D1_MARZO_2026[[#This Row],[RECUPERO]]/D1_MARZO_2026[[#This Row],[META]],""))</f>
        <v>0.30546492659053831</v>
      </c>
      <c r="E45" s="35" t="str">
        <f>D1_MARZO_2026[[#This Row],[SUPER]]</f>
        <v>KENNETH</v>
      </c>
      <c r="F45" t="s">
        <v>19</v>
      </c>
      <c r="G45" s="3">
        <v>18725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0.49105145413870244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LEONOR</v>
      </c>
      <c r="P45" s="6">
        <f>VLOOKUP(DATA_MARZO_2026[[#This Row],[ASER_]],D1_MARZO_2026[[ASESOR_CRR]:[RECUPERO]],6,0)</f>
        <v>21950</v>
      </c>
      <c r="Q45" s="6">
        <f>VLOOKUP(DATA_MARZO_2026[[#This Row],[ASER_]],D1_MARZO_2026[[ASESOR_CRR]:[META]],2,0)</f>
        <v>44700</v>
      </c>
      <c r="R45" t="s">
        <v>59</v>
      </c>
      <c r="S45" s="45">
        <v>1000</v>
      </c>
      <c r="T45">
        <v>5600</v>
      </c>
      <c r="U45">
        <v>0</v>
      </c>
      <c r="V45">
        <v>3050</v>
      </c>
      <c r="W45">
        <v>0</v>
      </c>
      <c r="X45" s="5">
        <v>1100</v>
      </c>
      <c r="Y45" s="77">
        <v>3500</v>
      </c>
      <c r="Z45" s="6">
        <v>1800</v>
      </c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46" s="34" cm="1">
        <f t="array" ref="C46">_xlfn.XLOOKUP(1,(TablaMeta[CONCAT]=$M$3&amp;$N$3&amp;D1_MARZO_2026[[#This Row],[SUPER]])*(TablaMeta[SEGG]=D1_MARZO_2026[[#This Row],[SEGMENTO]]),TablaMeta[Meta_Asesor])</f>
        <v>61300</v>
      </c>
      <c r="D46" s="35">
        <f>IF(D1_MARZO_2026[[#This Row],[RECUPERO]]="VACACIONES","VACACIONES",IFERROR(D1_MARZO_2026[[#This Row],[RECUPERO]]/D1_MARZO_2026[[#This Row],[META]],""))</f>
        <v>0.26492659053833606</v>
      </c>
      <c r="E46" s="35" t="str">
        <f>D1_MARZO_2026[[#This Row],[SUPER]]</f>
        <v>KENNETH</v>
      </c>
      <c r="F46" t="s">
        <v>35</v>
      </c>
      <c r="G46" s="3">
        <v>16240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0.32483221476510066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LEONOR</v>
      </c>
      <c r="P46" s="6">
        <f>VLOOKUP(DATA_MARZO_2026[[#This Row],[ASER_]],D1_MARZO_2026[[ASESOR_CRR]:[RECUPERO]],6,0)</f>
        <v>14520</v>
      </c>
      <c r="Q46" s="6">
        <f>VLOOKUP(DATA_MARZO_2026[[#This Row],[ASER_]],D1_MARZO_2026[[ASESOR_CRR]:[META]],2,0)</f>
        <v>44700</v>
      </c>
      <c r="R46" t="s">
        <v>72</v>
      </c>
      <c r="S46" s="45">
        <v>0</v>
      </c>
      <c r="T46">
        <v>0</v>
      </c>
      <c r="U46">
        <v>11600</v>
      </c>
      <c r="V46">
        <v>0</v>
      </c>
      <c r="W46">
        <v>420</v>
      </c>
      <c r="X46" s="5">
        <v>0</v>
      </c>
      <c r="Y46" s="6">
        <v>0</v>
      </c>
      <c r="Z46" s="6">
        <v>0</v>
      </c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47" s="34" cm="1">
        <f t="array" ref="C47">_xlfn.XLOOKUP(1,(TablaMeta[CONCAT]=$M$3&amp;$N$3&amp;D1_MARZO_2026[[#This Row],[SUPER]])*(TablaMeta[SEGG]=D1_MARZO_2026[[#This Row],[SEGMENTO]]),TablaMeta[Meta_Asesor])</f>
        <v>61300</v>
      </c>
      <c r="D47" s="35">
        <f>IF(D1_MARZO_2026[[#This Row],[RECUPERO]]="VACACIONES","VACACIONES",IFERROR(D1_MARZO_2026[[#This Row],[RECUPERO]]/D1_MARZO_2026[[#This Row],[META]],""))</f>
        <v>3.6867862969004891E-2</v>
      </c>
      <c r="E47" s="35" t="str">
        <f>D1_MARZO_2026[[#This Row],[SUPER]]</f>
        <v>KENNETH</v>
      </c>
      <c r="F47" t="s">
        <v>76</v>
      </c>
      <c r="G47" s="3">
        <v>2260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0.2513870246085011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LEONOR</v>
      </c>
      <c r="P47" s="6">
        <f>VLOOKUP(DATA_MARZO_2026[[#This Row],[ASER_]],D1_MARZO_2026[[ASESOR_CRR]:[RECUPERO]],6,0)</f>
        <v>11237</v>
      </c>
      <c r="Q47" s="6">
        <f>VLOOKUP(DATA_MARZO_2026[[#This Row],[ASER_]],D1_MARZO_2026[[ASESOR_CRR]:[META]],2,0)</f>
        <v>44700</v>
      </c>
      <c r="R47" t="s">
        <v>60</v>
      </c>
      <c r="S47" s="45">
        <v>570</v>
      </c>
      <c r="T47">
        <v>300</v>
      </c>
      <c r="U47">
        <v>8000</v>
      </c>
      <c r="V47">
        <v>1867</v>
      </c>
      <c r="W47">
        <v>0</v>
      </c>
      <c r="X47" s="5">
        <v>0</v>
      </c>
      <c r="Y47" s="6">
        <v>0</v>
      </c>
      <c r="Z47" s="6">
        <v>0</v>
      </c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48" s="34" cm="1">
        <f t="array" ref="C48">_xlfn.XLOOKUP(1,(TablaMeta[CONCAT]=$M$3&amp;$N$3&amp;D1_MARZO_2026[[#This Row],[SUPER]])*(TablaMeta[SEGG]=D1_MARZO_2026[[#This Row],[SEGMENTO]]),TablaMeta[Meta_Asesor])</f>
        <v>38500</v>
      </c>
      <c r="D48" s="35">
        <f>IF(D1_MARZO_2026[[#This Row],[RECUPERO]]="VACACIONES","VACACIONES",IFERROR(D1_MARZO_2026[[#This Row],[RECUPERO]]/D1_MARZO_2026[[#This Row],[META]],""))</f>
        <v>0.54025974025974022</v>
      </c>
      <c r="E48" s="35" t="str">
        <f>D1_MARZO_2026[[#This Row],[SUPER]]</f>
        <v>SANDY</v>
      </c>
      <c r="F48" t="s">
        <v>79</v>
      </c>
      <c r="G48" s="3">
        <v>20800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0.10514541387024609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LEONOR</v>
      </c>
      <c r="P48" s="6">
        <f>VLOOKUP(DATA_MARZO_2026[[#This Row],[ASER_]],D1_MARZO_2026[[ASESOR_CRR]:[RECUPERO]],6,0)</f>
        <v>4700</v>
      </c>
      <c r="Q48" s="6">
        <f>VLOOKUP(DATA_MARZO_2026[[#This Row],[ASER_]],D1_MARZO_2026[[ASESOR_CRR]:[META]],2,0)</f>
        <v>44700</v>
      </c>
      <c r="R48" t="s">
        <v>75</v>
      </c>
      <c r="S48" s="45">
        <v>2000</v>
      </c>
      <c r="T48">
        <v>2000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49" s="34" cm="1">
        <f t="array" ref="C49">_xlfn.XLOOKUP(1,(TablaMeta[CONCAT]=$M$3&amp;$N$3&amp;D1_MARZO_2026[[#This Row],[SUPER]])*(TablaMeta[SEGG]=D1_MARZO_2026[[#This Row],[SEGMENTO]]),TablaMeta[Meta_Asesor])</f>
        <v>38500</v>
      </c>
      <c r="D49" s="35">
        <f>IF(D1_MARZO_2026[[#This Row],[RECUPERO]]="VACACIONES","VACACIONES",IFERROR(D1_MARZO_2026[[#This Row],[RECUPERO]]/D1_MARZO_2026[[#This Row],[META]],""))</f>
        <v>0.52753246753246752</v>
      </c>
      <c r="E49" s="35" t="str">
        <f>D1_MARZO_2026[[#This Row],[SUPER]]</f>
        <v>SANDY</v>
      </c>
      <c r="F49" t="s">
        <v>493</v>
      </c>
      <c r="G49" s="3">
        <v>20310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0.25328859060402686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11322</v>
      </c>
      <c r="Q49" s="6">
        <f>VLOOKUP(DATA_MARZO_2026[[#This Row],[ASER_]],D1_MARZO_2026[[ASESOR_CRR]:[META]],2,0)</f>
        <v>44700</v>
      </c>
      <c r="R49" t="s">
        <v>81</v>
      </c>
      <c r="S49" s="45">
        <v>0</v>
      </c>
      <c r="T49">
        <v>0</v>
      </c>
      <c r="U49">
        <v>0</v>
      </c>
      <c r="V49">
        <v>0</v>
      </c>
      <c r="W49">
        <v>0</v>
      </c>
      <c r="X49" s="5">
        <v>10222</v>
      </c>
      <c r="Y49" s="6">
        <v>0</v>
      </c>
      <c r="Z49" s="6">
        <v>0</v>
      </c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50" s="34" cm="1">
        <f t="array" ref="C50">_xlfn.XLOOKUP(1,(TablaMeta[CONCAT]=$M$3&amp;$N$3&amp;D1_MARZO_2026[[#This Row],[SUPER]])*(TablaMeta[SEGG]=D1_MARZO_2026[[#This Row],[SEGMENTO]]),TablaMeta[Meta_Asesor])</f>
        <v>38500</v>
      </c>
      <c r="D50" s="35">
        <f>IF(D1_MARZO_2026[[#This Row],[RECUPERO]]="VACACIONES","VACACIONES",IFERROR(D1_MARZO_2026[[#This Row],[RECUPERO]]/D1_MARZO_2026[[#This Row],[META]],""))</f>
        <v>0.38431168831168833</v>
      </c>
      <c r="E50" s="35" t="str">
        <f>D1_MARZO_2026[[#This Row],[SUPER]]</f>
        <v>SANDY</v>
      </c>
      <c r="F50" t="s">
        <v>96</v>
      </c>
      <c r="G50" s="3">
        <v>14796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0.1512304250559284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6760</v>
      </c>
      <c r="Q50" s="6">
        <f>VLOOKUP(DATA_MARZO_2026[[#This Row],[ASER_]],D1_MARZO_2026[[ASESOR_CRR]:[META]],2,0)</f>
        <v>44700</v>
      </c>
      <c r="R50" t="s">
        <v>42</v>
      </c>
      <c r="S50">
        <v>400</v>
      </c>
      <c r="T50">
        <v>0</v>
      </c>
      <c r="U50">
        <v>1300</v>
      </c>
      <c r="V50">
        <v>0</v>
      </c>
      <c r="W50">
        <v>875</v>
      </c>
      <c r="X50" s="5">
        <v>0</v>
      </c>
      <c r="Y50" s="6">
        <v>0</v>
      </c>
      <c r="Z50" s="6">
        <v>1885</v>
      </c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51" s="34" cm="1">
        <f t="array" ref="C51">_xlfn.XLOOKUP(1,(TablaMeta[CONCAT]=$M$3&amp;$N$3&amp;D1_MARZO_2026[[#This Row],[SUPER]])*(TablaMeta[SEGG]=D1_MARZO_2026[[#This Row],[SEGMENTO]]),TablaMeta[Meta_Asesor])</f>
        <v>38500</v>
      </c>
      <c r="D51" s="35">
        <f>IF(D1_MARZO_2026[[#This Row],[RECUPERO]]="VACACIONES","VACACIONES",IFERROR(D1_MARZO_2026[[#This Row],[RECUPERO]]/D1_MARZO_2026[[#This Row],[META]],""))</f>
        <v>0.355974025974026</v>
      </c>
      <c r="E51" s="35" t="str">
        <f>D1_MARZO_2026[[#This Row],[SUPER]]</f>
        <v>SANDY</v>
      </c>
      <c r="F51" t="s">
        <v>29</v>
      </c>
      <c r="G51" s="3">
        <v>13705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0.38532438478747205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17224</v>
      </c>
      <c r="Q51" s="6">
        <f>VLOOKUP(DATA_MARZO_2026[[#This Row],[ASER_]],D1_MARZO_2026[[ASESOR_CRR]:[META]],2,0)</f>
        <v>44700</v>
      </c>
      <c r="R51" t="s">
        <v>65</v>
      </c>
      <c r="S51">
        <v>1565</v>
      </c>
      <c r="T51">
        <v>0</v>
      </c>
      <c r="U51">
        <v>2785</v>
      </c>
      <c r="V51">
        <v>0</v>
      </c>
      <c r="W51">
        <v>1685</v>
      </c>
      <c r="X51" s="5">
        <v>268</v>
      </c>
      <c r="Y51" s="6">
        <v>350</v>
      </c>
      <c r="Z51" s="6">
        <v>3550</v>
      </c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52" s="34" cm="1">
        <f t="array" ref="C52">_xlfn.XLOOKUP(1,(TablaMeta[CONCAT]=$M$3&amp;$N$3&amp;D1_MARZO_2026[[#This Row],[SUPER]])*(TablaMeta[SEGG]=D1_MARZO_2026[[#This Row],[SEGMENTO]]),TablaMeta[Meta_Asesor])</f>
        <v>38500</v>
      </c>
      <c r="D52" s="35">
        <f>IF(D1_MARZO_2026[[#This Row],[RECUPERO]]="VACACIONES","VACACIONES",IFERROR(D1_MARZO_2026[[#This Row],[RECUPERO]]/D1_MARZO_2026[[#This Row],[META]],""))</f>
        <v>0.32732467532467535</v>
      </c>
      <c r="E52" s="35" t="str">
        <f>D1_MARZO_2026[[#This Row],[SUPER]]</f>
        <v>SANDY</v>
      </c>
      <c r="F52" t="s">
        <v>32</v>
      </c>
      <c r="G52" s="3">
        <v>12602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0.68874720357941832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30787</v>
      </c>
      <c r="Q52" s="6">
        <f>VLOOKUP(DATA_MARZO_2026[[#This Row],[ASER_]],D1_MARZO_2026[[ASESOR_CRR]:[META]],2,0)</f>
        <v>44700</v>
      </c>
      <c r="R52" t="s">
        <v>10</v>
      </c>
      <c r="S52" s="3">
        <v>0</v>
      </c>
      <c r="T52">
        <v>0</v>
      </c>
      <c r="U52">
        <v>16987</v>
      </c>
      <c r="V52">
        <v>0</v>
      </c>
      <c r="W52">
        <v>0</v>
      </c>
      <c r="X52" s="5">
        <v>0</v>
      </c>
      <c r="Y52" s="6">
        <v>0</v>
      </c>
      <c r="Z52" s="6">
        <v>0</v>
      </c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53" s="34" cm="1">
        <f t="array" ref="C53">_xlfn.XLOOKUP(1,(TablaMeta[CONCAT]=$M$3&amp;$N$3&amp;D1_MARZO_2026[[#This Row],[SUPER]])*(TablaMeta[SEGG]=D1_MARZO_2026[[#This Row],[SEGMENTO]]),TablaMeta[Meta_Asesor])</f>
        <v>38500</v>
      </c>
      <c r="D53" s="35">
        <f>IF(D1_MARZO_2026[[#This Row],[RECUPERO]]="VACACIONES","VACACIONES",IFERROR(D1_MARZO_2026[[#This Row],[RECUPERO]]/D1_MARZO_2026[[#This Row],[META]],""))</f>
        <v>0.31090909090909091</v>
      </c>
      <c r="E53" s="35" t="str">
        <f>D1_MARZO_2026[[#This Row],[SUPER]]</f>
        <v>SANDY</v>
      </c>
      <c r="F53" t="s">
        <v>85</v>
      </c>
      <c r="G53" s="3">
        <v>11970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0.21232662192393736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9491</v>
      </c>
      <c r="Q53" s="6">
        <f>VLOOKUP(DATA_MARZO_2026[[#This Row],[ASER_]],D1_MARZO_2026[[ASESOR_CRR]:[META]],2,0)</f>
        <v>44700</v>
      </c>
      <c r="R53" t="s">
        <v>37</v>
      </c>
      <c r="S53" s="3">
        <v>0</v>
      </c>
      <c r="T53">
        <v>6000</v>
      </c>
      <c r="U53">
        <v>0</v>
      </c>
      <c r="V53">
        <v>950</v>
      </c>
      <c r="W53">
        <v>0</v>
      </c>
      <c r="X53" s="5">
        <v>0</v>
      </c>
      <c r="Y53" s="6">
        <v>150</v>
      </c>
      <c r="Z53" s="6">
        <v>350</v>
      </c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54" s="34" cm="1">
        <f t="array" ref="C54">_xlfn.XLOOKUP(1,(TablaMeta[CONCAT]=$M$3&amp;$N$3&amp;D1_MARZO_2026[[#This Row],[SUPER]])*(TablaMeta[SEGG]=D1_MARZO_2026[[#This Row],[SEGMENTO]]),TablaMeta[Meta_Asesor])</f>
        <v>38500</v>
      </c>
      <c r="D54" s="35">
        <f>IF(D1_MARZO_2026[[#This Row],[RECUPERO]]="VACACIONES","VACACIONES",IFERROR(D1_MARZO_2026[[#This Row],[RECUPERO]]/D1_MARZO_2026[[#This Row],[META]],""))</f>
        <v>0.26490909090909093</v>
      </c>
      <c r="E54" s="35" t="str">
        <f>D1_MARZO_2026[[#This Row],[SUPER]]</f>
        <v>SANDY</v>
      </c>
      <c r="F54" t="s">
        <v>68</v>
      </c>
      <c r="G54" s="3">
        <v>10199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0.5579418344519016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24940</v>
      </c>
      <c r="Q54" s="6">
        <f>VLOOKUP(DATA_MARZO_2026[[#This Row],[ASER_]],D1_MARZO_2026[[ASESOR_CRR]:[META]],2,0)</f>
        <v>44700</v>
      </c>
      <c r="R54" t="s">
        <v>24</v>
      </c>
      <c r="S54" s="3">
        <v>0</v>
      </c>
      <c r="T54">
        <v>700</v>
      </c>
      <c r="U54">
        <v>0</v>
      </c>
      <c r="V54">
        <v>6250</v>
      </c>
      <c r="W54">
        <v>0</v>
      </c>
      <c r="X54" s="5">
        <v>0</v>
      </c>
      <c r="Y54" s="6">
        <v>0</v>
      </c>
      <c r="Z54" s="6">
        <v>5290</v>
      </c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55" s="34" cm="1">
        <f t="array" ref="C55">_xlfn.XLOOKUP(1,(TablaMeta[CONCAT]=$M$3&amp;$N$3&amp;D1_MARZO_2026[[#This Row],[SUPER]])*(TablaMeta[SEGG]=D1_MARZO_2026[[#This Row],[SEGMENTO]]),TablaMeta[Meta_Asesor])</f>
        <v>38500</v>
      </c>
      <c r="D55" s="35">
        <f>IF(D1_MARZO_2026[[#This Row],[RECUPERO]]="VACACIONES","VACACIONES",IFERROR(D1_MARZO_2026[[#This Row],[RECUPERO]]/D1_MARZO_2026[[#This Row],[META]],""))</f>
        <v>0.19844155844155845</v>
      </c>
      <c r="E55" s="35" t="str">
        <f>D1_MARZO_2026[[#This Row],[SUPER]]</f>
        <v>SANDY</v>
      </c>
      <c r="F55" t="s">
        <v>58</v>
      </c>
      <c r="G55" s="3">
        <v>7640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0.36465324384787473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16300</v>
      </c>
      <c r="Q55" s="6">
        <f>VLOOKUP(DATA_MARZO_2026[[#This Row],[ASER_]],D1_MARZO_2026[[ASESOR_CRR]:[META]],2,0)</f>
        <v>44700</v>
      </c>
      <c r="R55" t="s">
        <v>13</v>
      </c>
      <c r="S55" s="3">
        <v>1600</v>
      </c>
      <c r="T55">
        <v>0</v>
      </c>
      <c r="U55">
        <v>0</v>
      </c>
      <c r="V55">
        <v>0</v>
      </c>
      <c r="W55">
        <v>0</v>
      </c>
      <c r="X55" s="5">
        <v>2000</v>
      </c>
      <c r="Y55" s="6">
        <v>10000</v>
      </c>
      <c r="Z55" s="6">
        <v>500</v>
      </c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56" s="34" cm="1">
        <f t="array" ref="C56">_xlfn.XLOOKUP(1,(TablaMeta[CONCAT]=$M$3&amp;$N$3&amp;D1_MARZO_2026[[#This Row],[SUPER]])*(TablaMeta[SEGG]=D1_MARZO_2026[[#This Row],[SEGMENTO]]),TablaMeta[Meta_Asesor])</f>
        <v>38500</v>
      </c>
      <c r="D56" s="35">
        <f>IF(D1_MARZO_2026[[#This Row],[RECUPERO]]="VACACIONES","VACACIONES",IFERROR(D1_MARZO_2026[[#This Row],[RECUPERO]]/D1_MARZO_2026[[#This Row],[META]],""))</f>
        <v>0.18225974025974026</v>
      </c>
      <c r="E56" s="35" t="str">
        <f>D1_MARZO_2026[[#This Row],[SUPER]]</f>
        <v>SANDY</v>
      </c>
      <c r="F56" t="s">
        <v>635</v>
      </c>
      <c r="G56" s="3">
        <v>7017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0.20369127516778524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9105</v>
      </c>
      <c r="Q56" s="6">
        <f>VLOOKUP(DATA_MARZO_2026[[#This Row],[ASER_]],D1_MARZO_2026[[ASESOR_CRR]:[META]],2,0)</f>
        <v>44700</v>
      </c>
      <c r="R56" t="s">
        <v>25</v>
      </c>
      <c r="S56" s="3">
        <v>1100</v>
      </c>
      <c r="T56">
        <v>0</v>
      </c>
      <c r="U56">
        <v>3080</v>
      </c>
      <c r="V56">
        <v>500</v>
      </c>
      <c r="W56">
        <v>400</v>
      </c>
      <c r="X56" s="5">
        <v>2000</v>
      </c>
      <c r="Y56" s="6">
        <v>525</v>
      </c>
      <c r="Z56" s="6">
        <v>1500</v>
      </c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CARLA VALENCIA</v>
      </c>
      <c r="C57" s="34" cm="1">
        <f t="array" ref="C57">_xlfn.XLOOKUP(1,(TablaMeta[CONCAT]=$M$3&amp;$N$3&amp;D1_MARZO_2026[[#This Row],[SUPER]])*(TablaMeta[SEGG]=D1_MARZO_2026[[#This Row],[SEGMENTO]]),TablaMeta[Meta_Asesor])</f>
        <v>38500</v>
      </c>
      <c r="D57" s="35">
        <f>IF(D1_MARZO_2026[[#This Row],[RECUPERO]]="VACACIONES","VACACIONES",IFERROR(D1_MARZO_2026[[#This Row],[RECUPERO]]/D1_MARZO_2026[[#This Row],[META]],""))</f>
        <v>0.10942857142857143</v>
      </c>
      <c r="E57" s="35" t="str">
        <f>D1_MARZO_2026[[#This Row],[SUPER]]</f>
        <v>SANDY</v>
      </c>
      <c r="F57" t="s">
        <v>174</v>
      </c>
      <c r="G57" s="3">
        <v>4213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0.39180917225950779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17513.87</v>
      </c>
      <c r="Q57" s="6">
        <f>VLOOKUP(DATA_MARZO_2026[[#This Row],[ASER_]],D1_MARZO_2026[[ASESOR_CRR]:[META]],2,0)</f>
        <v>44700</v>
      </c>
      <c r="R57" t="s">
        <v>22</v>
      </c>
      <c r="S57" s="3">
        <v>2000</v>
      </c>
      <c r="T57">
        <v>0</v>
      </c>
      <c r="U57">
        <v>0</v>
      </c>
      <c r="V57">
        <v>0</v>
      </c>
      <c r="W57">
        <v>4713.87</v>
      </c>
      <c r="X57" s="5">
        <v>0</v>
      </c>
      <c r="Y57" s="6">
        <v>0</v>
      </c>
      <c r="Z57" s="6">
        <v>0</v>
      </c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0" x14ac:dyDescent="0.25">
      <c r="H58"/>
      <c r="M58" s="5">
        <f>DATA_MARZO_2026[[#This Row],[RECUPERO]]/DATA_MARZO_2026[[#This Row],[META]]</f>
        <v>0.34651006711409393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15489</v>
      </c>
      <c r="Q58" s="6">
        <f>VLOOKUP(DATA_MARZO_2026[[#This Row],[ASER_]],D1_MARZO_2026[[ASESOR_CRR]:[META]],2,0)</f>
        <v>44700</v>
      </c>
      <c r="R58" t="s">
        <v>31</v>
      </c>
      <c r="S58" s="3">
        <v>0</v>
      </c>
      <c r="T58">
        <v>2000</v>
      </c>
      <c r="U58">
        <v>11264</v>
      </c>
      <c r="V58">
        <v>0</v>
      </c>
      <c r="W58">
        <v>0</v>
      </c>
      <c r="X58" s="5">
        <v>0</v>
      </c>
      <c r="Y58" s="6">
        <v>0</v>
      </c>
      <c r="Z58" s="6">
        <v>2000</v>
      </c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 cm="1">
        <f t="array" ref="AN5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39438-7E06-492F-9688-282C5060BD2C}">
  <dimension ref="I7:J19"/>
  <sheetViews>
    <sheetView workbookViewId="0">
      <selection activeCell="I7" sqref="I7:J19"/>
    </sheetView>
  </sheetViews>
  <sheetFormatPr baseColWidth="10" defaultRowHeight="15" x14ac:dyDescent="0.25"/>
  <sheetData>
    <row r="7" spans="9:10" x14ac:dyDescent="0.25">
      <c r="I7" t="s">
        <v>41</v>
      </c>
      <c r="J7" s="3">
        <v>9801</v>
      </c>
    </row>
    <row r="8" spans="9:10" x14ac:dyDescent="0.25">
      <c r="I8" t="s">
        <v>549</v>
      </c>
      <c r="J8" s="3">
        <v>3334</v>
      </c>
    </row>
    <row r="9" spans="9:10" x14ac:dyDescent="0.25">
      <c r="I9" t="s">
        <v>601</v>
      </c>
      <c r="J9" s="3">
        <v>2550</v>
      </c>
    </row>
    <row r="10" spans="9:10" x14ac:dyDescent="0.25">
      <c r="I10" t="s">
        <v>599</v>
      </c>
      <c r="J10" s="3">
        <v>2305</v>
      </c>
    </row>
    <row r="11" spans="9:10" x14ac:dyDescent="0.25">
      <c r="I11" t="s">
        <v>566</v>
      </c>
      <c r="J11" s="3">
        <v>1975</v>
      </c>
    </row>
    <row r="12" spans="9:10" x14ac:dyDescent="0.25">
      <c r="I12" t="s">
        <v>55</v>
      </c>
      <c r="J12" s="3">
        <v>2035</v>
      </c>
    </row>
    <row r="13" spans="9:10" x14ac:dyDescent="0.25">
      <c r="I13" t="s">
        <v>48</v>
      </c>
      <c r="J13" s="3">
        <v>13220</v>
      </c>
    </row>
    <row r="14" spans="9:10" x14ac:dyDescent="0.25">
      <c r="I14" t="s">
        <v>49</v>
      </c>
      <c r="J14" s="45">
        <v>10850</v>
      </c>
    </row>
    <row r="15" spans="9:10" x14ac:dyDescent="0.25">
      <c r="I15" t="s">
        <v>634</v>
      </c>
      <c r="J15" s="45">
        <v>10749</v>
      </c>
    </row>
    <row r="16" spans="9:10" x14ac:dyDescent="0.25">
      <c r="I16" t="s">
        <v>495</v>
      </c>
      <c r="J16" s="45">
        <v>9960</v>
      </c>
    </row>
    <row r="17" spans="9:10" x14ac:dyDescent="0.25">
      <c r="I17" t="s">
        <v>109</v>
      </c>
      <c r="J17" s="45">
        <v>4305</v>
      </c>
    </row>
    <row r="18" spans="9:10" x14ac:dyDescent="0.25">
      <c r="I18" t="s">
        <v>78</v>
      </c>
      <c r="J18" s="45">
        <v>4000</v>
      </c>
    </row>
    <row r="19" spans="9:10" x14ac:dyDescent="0.25">
      <c r="I19" t="s">
        <v>600</v>
      </c>
      <c r="J19" s="45">
        <v>3700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630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631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Hoja1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2026-05-19T22:24:48Z</dcterms:modified>
</cp:coreProperties>
</file>