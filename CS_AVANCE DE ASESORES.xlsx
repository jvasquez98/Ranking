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EAFAF74-A61B-47A7-AE05-0F8D2A62BF7B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K52" i="17" a="1"/>
  <c r="K52" i="17" s="1"/>
  <c r="AX10" i="30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6" i="17" l="1" a="1"/>
  <c r="K56" i="17" s="1"/>
  <c r="J56" i="17" a="1"/>
  <c r="J56" i="17" s="1"/>
  <c r="I56" i="17" a="1"/>
  <c r="I56" i="17" s="1"/>
  <c r="H56" i="17" a="1"/>
  <c r="H56" i="17" s="1"/>
  <c r="A56" i="17" a="1"/>
  <c r="A56" i="17" s="1"/>
  <c r="E56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A54" i="17" a="1"/>
  <c r="A54" i="17" s="1"/>
  <c r="J54" i="17" a="1"/>
  <c r="J54" i="17" s="1"/>
  <c r="K54" i="17" a="1"/>
  <c r="K54" i="17" s="1"/>
  <c r="H54" i="17" a="1"/>
  <c r="H54" i="17" s="1"/>
  <c r="I54" i="17" a="1"/>
  <c r="I54" i="17" s="1"/>
  <c r="K53" i="17" a="1"/>
  <c r="K53" i="17" s="1"/>
  <c r="H53" i="17" a="1"/>
  <c r="H53" i="17" s="1"/>
  <c r="J53" i="17" a="1"/>
  <c r="J53" i="17" s="1"/>
  <c r="I53" i="17" a="1"/>
  <c r="I53" i="17" s="1"/>
  <c r="A53" i="17" a="1"/>
  <c r="A53" i="17" s="1"/>
  <c r="A52" i="17" a="1"/>
  <c r="A52" i="17" s="1"/>
  <c r="J52" i="17" a="1"/>
  <c r="J52" i="17" s="1"/>
  <c r="I52" i="17" a="1"/>
  <c r="I52" i="17" s="1"/>
  <c r="H52" i="17" a="1"/>
  <c r="H52" i="17" s="1"/>
  <c r="K51" i="17" a="1"/>
  <c r="K51" i="17" s="1"/>
  <c r="A51" i="17" a="1"/>
  <c r="A51" i="17" s="1"/>
  <c r="H51" i="17" a="1"/>
  <c r="H51" i="17" s="1"/>
  <c r="I51" i="17" a="1"/>
  <c r="I51" i="17" s="1"/>
  <c r="J51" i="17" a="1"/>
  <c r="J51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5" i="17"/>
  <c r="E54" i="17"/>
  <c r="E53" i="17"/>
  <c r="E52" i="17"/>
  <c r="E51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0" i="17" l="1" a="1"/>
  <c r="A50" i="17" s="1"/>
  <c r="E50" i="17" s="1"/>
  <c r="H50" i="17" a="1"/>
  <c r="H50" i="17" s="1"/>
  <c r="I50" i="17" a="1"/>
  <c r="I50" i="17" s="1"/>
  <c r="J50" i="17" a="1"/>
  <c r="J50" i="17" s="1"/>
  <c r="K50" i="17" a="1"/>
  <c r="K50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3" i="17" a="1"/>
  <c r="K43" i="17" s="1"/>
  <c r="J43" i="17" a="1"/>
  <c r="J43" i="17" s="1"/>
  <c r="H43" i="17" a="1"/>
  <c r="H43" i="17" s="1"/>
  <c r="I43" i="17" a="1"/>
  <c r="I43" i="17" s="1"/>
  <c r="K42" i="17" a="1"/>
  <c r="K42" i="17" s="1"/>
  <c r="H42" i="17" a="1"/>
  <c r="H42" i="17" s="1"/>
  <c r="I42" i="17" a="1"/>
  <c r="I42" i="17" s="1"/>
  <c r="J42" i="17" a="1"/>
  <c r="J42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1" i="17" a="1"/>
  <c r="H41" i="17" s="1"/>
  <c r="I41" i="17" a="1"/>
  <c r="I41" i="17" s="1"/>
  <c r="J41" i="17" a="1"/>
  <c r="J41" i="17" s="1"/>
  <c r="K41" i="17" a="1"/>
  <c r="K41" i="17" s="1"/>
  <c r="H40" i="17" a="1"/>
  <c r="H40" i="17" s="1"/>
  <c r="I40" i="17" a="1"/>
  <c r="I40" i="17" s="1"/>
  <c r="J40" i="17" a="1"/>
  <c r="J40" i="17" s="1"/>
  <c r="K40" i="17" a="1"/>
  <c r="K40" i="17" s="1"/>
  <c r="P56" i="17"/>
  <c r="P55" i="17"/>
  <c r="P54" i="17"/>
  <c r="P53" i="17"/>
  <c r="A49" i="17" a="1"/>
  <c r="A49" i="17" s="1"/>
  <c r="J49" i="17" a="1"/>
  <c r="J49" i="17" s="1"/>
  <c r="H49" i="17" a="1"/>
  <c r="H49" i="17" s="1"/>
  <c r="I49" i="17" a="1"/>
  <c r="I49" i="17" s="1"/>
  <c r="K49" i="17" a="1"/>
  <c r="K49" i="17" s="1"/>
  <c r="H48" i="17" a="1"/>
  <c r="H48" i="17" s="1"/>
  <c r="P52" i="17"/>
  <c r="K48" i="17" a="1"/>
  <c r="K48" i="17" s="1"/>
  <c r="J48" i="17" a="1"/>
  <c r="J48" i="17" s="1"/>
  <c r="A48" i="17" a="1"/>
  <c r="A48" i="17" s="1"/>
  <c r="I48" i="17" a="1"/>
  <c r="I48" i="17" s="1"/>
  <c r="A47" i="17" a="1"/>
  <c r="A47" i="17" s="1"/>
  <c r="E47" i="17" s="1"/>
  <c r="H47" i="17" a="1"/>
  <c r="H47" i="17" s="1"/>
  <c r="I47" i="17" a="1"/>
  <c r="I47" i="17" s="1"/>
  <c r="K47" i="17" a="1"/>
  <c r="K47" i="17" s="1"/>
  <c r="J47" i="17" a="1"/>
  <c r="J47" i="17" s="1"/>
  <c r="P51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P50" i="17"/>
  <c r="P49" i="17"/>
  <c r="A45" i="17" a="1"/>
  <c r="A45" i="17" s="1"/>
  <c r="E45" i="17" s="1"/>
  <c r="H45" i="17" a="1"/>
  <c r="H45" i="17" s="1"/>
  <c r="I45" i="17" a="1"/>
  <c r="I45" i="17" s="1"/>
  <c r="K45" i="17" a="1"/>
  <c r="K45" i="17" s="1"/>
  <c r="J45" i="17" a="1"/>
  <c r="J45" i="17" s="1"/>
  <c r="A44" i="17" a="1"/>
  <c r="A44" i="17" s="1"/>
  <c r="E44" i="17" s="1"/>
  <c r="H44" i="17" a="1"/>
  <c r="H44" i="17" s="1"/>
  <c r="I44" i="17" a="1"/>
  <c r="I44" i="17" s="1"/>
  <c r="P48" i="17"/>
  <c r="K44" i="17" a="1"/>
  <c r="K44" i="17" s="1"/>
  <c r="J44" i="17" a="1"/>
  <c r="J44" i="17" s="1"/>
  <c r="P47" i="17"/>
  <c r="A43" i="17" a="1"/>
  <c r="A43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0" i="17" a="1"/>
  <c r="A40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2" i="17" a="1"/>
  <c r="A42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1" i="17" a="1"/>
  <c r="A41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9" i="17" l="1"/>
  <c r="E48" i="17"/>
  <c r="E46" i="17"/>
  <c r="E18" i="17"/>
  <c r="E43" i="17"/>
  <c r="E17" i="17"/>
  <c r="E19" i="17"/>
  <c r="E39" i="17"/>
  <c r="E40" i="17"/>
  <c r="E42" i="17"/>
  <c r="E41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6" i="17" l="1" a="1"/>
  <c r="C56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3" i="17" a="1"/>
  <c r="C43" i="17" s="1"/>
  <c r="D43" i="17" s="1"/>
  <c r="C46" i="17" a="1"/>
  <c r="C46" i="17" s="1"/>
  <c r="D46" i="17" s="1"/>
  <c r="C48" i="17" a="1"/>
  <c r="C48" i="17" s="1"/>
  <c r="D48" i="17" s="1"/>
  <c r="C47" i="17" a="1"/>
  <c r="C47" i="17" s="1"/>
  <c r="D47" i="17" s="1"/>
  <c r="C24" i="17" a="1"/>
  <c r="C24" i="17" s="1"/>
  <c r="C49" i="17" a="1"/>
  <c r="C49" i="17" s="1"/>
  <c r="D49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2" i="17" a="1"/>
  <c r="C52" i="17" s="1"/>
  <c r="D52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5" i="17" a="1"/>
  <c r="C55" i="17" s="1"/>
  <c r="D55" i="17" s="1"/>
  <c r="C54" i="17" a="1"/>
  <c r="C54" i="17" s="1"/>
  <c r="D54" i="17" s="1"/>
  <c r="C51" i="17" a="1"/>
  <c r="C51" i="17" s="1"/>
  <c r="D51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3" i="17" a="1"/>
  <c r="C53" i="17" s="1"/>
  <c r="D53" i="17" s="1"/>
  <c r="C51" i="36" a="1"/>
  <c r="C51" i="36" s="1"/>
  <c r="C48" i="36" a="1"/>
  <c r="C48" i="36" s="1"/>
  <c r="C50" i="17" a="1"/>
  <c r="C50" i="17" s="1"/>
  <c r="D50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4" i="17" a="1"/>
  <c r="C44" i="17" s="1"/>
  <c r="D44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2" i="17" a="1"/>
  <c r="C42" i="17" s="1"/>
  <c r="D42" i="17" s="1"/>
  <c r="C36" i="17" a="1"/>
  <c r="C36" i="17" s="1"/>
  <c r="D36" i="17" s="1"/>
  <c r="C41" i="17" a="1"/>
  <c r="C41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0" i="17" a="1"/>
  <c r="C40" i="17" s="1"/>
  <c r="C6" i="17" a="1"/>
  <c r="C6" i="17" s="1"/>
  <c r="C16" i="17" a="1"/>
  <c r="C16" i="17" s="1"/>
  <c r="C45" i="17" a="1"/>
  <c r="C45" i="17" s="1"/>
  <c r="D45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6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0" i="17"/>
  <c r="Q51" i="17"/>
  <c r="M51" i="17" s="1"/>
  <c r="N51" i="17" s="1" a="1"/>
  <c r="N51" i="17" s="1"/>
  <c r="Q49" i="17"/>
  <c r="M49" i="17" s="1"/>
  <c r="N49" i="17" s="1" a="1"/>
  <c r="N49" i="17" s="1"/>
  <c r="D41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58" i="17"/>
  <c r="O51" i="17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<sst xmlns="http://schemas.openxmlformats.org/spreadsheetml/2006/main" count="15430" uniqueCount="628">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</sst>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6" totalsRowShown="0" headerRowDxfId="1201">
  <autoFilter ref="A2:K56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A7" sqref="A7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2" zoomScale="70" zoomScaleNormal="70" workbookViewId="0">
      <selection activeCell="F8" sqref="A8:K8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4" width="13" hidden="1" customWidth="1"/>
    <col min="55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0.68874720357941832</v>
      </c>
      <c r="E8" s="35" t="str">
        <f>D1_MARZO_2026[[#This Row],[SUPER]]</f>
        <v>JORGE</v>
      </c>
      <c r="F8" s="34" t="s">
        <v>10</v>
      </c>
      <c r="G8" s="36">
        <v>30787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0.64742729306487701</v>
      </c>
      <c r="E9" s="35" t="str">
        <f>D1_MARZO_2026[[#This Row],[SUPER]]</f>
        <v>JORGE</v>
      </c>
      <c r="F9" s="34" t="s">
        <v>24</v>
      </c>
      <c r="G9" s="36">
        <v>28940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0.20233766233766234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7790</v>
      </c>
      <c r="Q9" s="6">
        <f>VLOOKUP(DATA_MARZO_2026[[#This Row],[ASER_]],D1_MARZO_2026[[ASESOR_CRR]:[META]],2,0)</f>
        <v>38500</v>
      </c>
      <c r="R9" t="s">
        <v>58</v>
      </c>
      <c r="S9">
        <v>3100</v>
      </c>
      <c r="T9">
        <v>100</v>
      </c>
      <c r="U9">
        <v>0</v>
      </c>
      <c r="V9">
        <v>0</v>
      </c>
      <c r="W9">
        <v>290</v>
      </c>
      <c r="X9">
        <v>1250</v>
      </c>
      <c r="Y9">
        <v>0</v>
      </c>
      <c r="Z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142935</v>
      </c>
      <c r="AR9" s="16">
        <f>IFERROR(DITE_MARZO_2026[[#This Row],[RECUPERO SUPERVISOR]]/DITE_MARZO_2026[[#This Row],[META SUPER]],"")</f>
        <v>0.37182568793020027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0.49720357941834453</v>
      </c>
      <c r="E10" s="35" t="str">
        <f>D1_MARZO_2026[[#This Row],[SUPER]]</f>
        <v>JORGE</v>
      </c>
      <c r="F10" s="34" t="s">
        <v>31</v>
      </c>
      <c r="G10" s="36">
        <v>22225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0.28057142857142858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10802</v>
      </c>
      <c r="Q10" s="6">
        <f>VLOOKUP(DATA_MARZO_2026[[#This Row],[ASER_]],D1_MARZO_2026[[ASESOR_CRR]:[META]],2,0)</f>
        <v>38500</v>
      </c>
      <c r="R10" t="s">
        <v>68</v>
      </c>
      <c r="S10">
        <v>2900</v>
      </c>
      <c r="T10">
        <v>0</v>
      </c>
      <c r="U10">
        <v>2000</v>
      </c>
      <c r="V10">
        <v>2800</v>
      </c>
      <c r="W10">
        <v>673</v>
      </c>
      <c r="X10">
        <v>0</v>
      </c>
      <c r="Y10">
        <v>341</v>
      </c>
      <c r="Z10">
        <v>485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172116.17</v>
      </c>
      <c r="AR10" s="17">
        <f>IFERROR(DITE_MARZO_2026[[#This Row],[RECUPERO SUPERVISOR]]/DITE_MARZO_2026[[#This Row],[META SUPER]],"")</f>
        <v>0.40112091226042212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0.42255033557046978</v>
      </c>
      <c r="E11" s="35" t="str">
        <f>D1_MARZO_2026[[#This Row],[SUPER]]</f>
        <v>JORGE</v>
      </c>
      <c r="F11" t="s">
        <v>65</v>
      </c>
      <c r="G11" s="3">
        <v>18888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0.53402597402597407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20560</v>
      </c>
      <c r="Q11" s="6">
        <f>VLOOKUP(DATA_MARZO_2026[[#This Row],[ASER_]],D1_MARZO_2026[[ASESOR_CRR]:[META]],2,0)</f>
        <v>38500</v>
      </c>
      <c r="R11" t="s">
        <v>493</v>
      </c>
      <c r="S11">
        <v>750</v>
      </c>
      <c r="T11">
        <v>2000</v>
      </c>
      <c r="U11">
        <v>750</v>
      </c>
      <c r="V11">
        <v>0</v>
      </c>
      <c r="W11">
        <v>4200</v>
      </c>
      <c r="X11">
        <v>7000</v>
      </c>
      <c r="Y11">
        <v>450</v>
      </c>
      <c r="Z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172421.87</v>
      </c>
      <c r="AR11" s="16">
        <f>IFERROR(DITE_MARZO_2026[[#This Row],[RECUPERO SUPERVISOR]]/DITE_MARZO_2026[[#This Row],[META SUPER]],"")</f>
        <v>0.38622894378438433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0.40075771812080535</v>
      </c>
      <c r="E12" s="35" t="str">
        <f>D1_MARZO_2026[[#This Row],[SUPER]]</f>
        <v>JORGE</v>
      </c>
      <c r="F12" t="s">
        <v>22</v>
      </c>
      <c r="G12" s="3">
        <v>17913.87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0.39129870129870131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15065</v>
      </c>
      <c r="Q12" s="6">
        <f>VLOOKUP(DATA_MARZO_2026[[#This Row],[ASER_]],D1_MARZO_2026[[ASESOR_CRR]:[META]],2,0)</f>
        <v>38500</v>
      </c>
      <c r="R12" t="s">
        <v>29</v>
      </c>
      <c r="S12">
        <v>383.4</v>
      </c>
      <c r="T12">
        <v>196</v>
      </c>
      <c r="U12">
        <v>1885</v>
      </c>
      <c r="V12">
        <v>1000</v>
      </c>
      <c r="W12">
        <v>275.39999999999998</v>
      </c>
      <c r="X12">
        <v>1521</v>
      </c>
      <c r="Y12">
        <v>600</v>
      </c>
      <c r="Z12">
        <v>150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115811</v>
      </c>
      <c r="AR12" s="17">
        <f>IFERROR(DITE_MARZO_2026[[#This Row],[RECUPERO SUPERVISOR]]/DITE_MARZO_2026[[#This Row],[META SUPER]],"")</f>
        <v>0.39911843869220137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0.36465324384787473</v>
      </c>
      <c r="E13" s="35" t="str">
        <f>D1_MARZO_2026[[#This Row],[SUPER]]</f>
        <v>JORGE</v>
      </c>
      <c r="F13" t="s">
        <v>13</v>
      </c>
      <c r="G13" s="3">
        <v>16300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0.31090909090909091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11970</v>
      </c>
      <c r="Q13" s="6">
        <f>VLOOKUP(DATA_MARZO_2026[[#This Row],[ASER_]],D1_MARZO_2026[[ASESOR_CRR]:[META]],2,0)</f>
        <v>38500</v>
      </c>
      <c r="R13" t="s">
        <v>85</v>
      </c>
      <c r="S13" s="47">
        <v>250</v>
      </c>
      <c r="T13">
        <v>700</v>
      </c>
      <c r="U13">
        <v>10000</v>
      </c>
      <c r="V13">
        <v>0</v>
      </c>
      <c r="W13">
        <v>0</v>
      </c>
      <c r="X13">
        <v>270</v>
      </c>
      <c r="Y13">
        <v>1380</v>
      </c>
      <c r="Z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131787</v>
      </c>
      <c r="AR13" s="16">
        <f>IFERROR(DITE_MARZO_2026[[#This Row],[RECUPERO SUPERVISOR]]/DITE_MARZO_2026[[#This Row],[META SUPER]],"")</f>
        <v>0.29520590290844578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0.25328859060402686</v>
      </c>
      <c r="E14" s="35" t="str">
        <f>D1_MARZO_2026[[#This Row],[SUPER]]</f>
        <v>JORGE</v>
      </c>
      <c r="F14" t="s">
        <v>81</v>
      </c>
      <c r="G14" s="3">
        <v>11322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 t="e">
        <f>DATA_MARZO_2026[[#This Row],[RECUPERO]]/DATA_MARZO_2026[[#This Row],[META]]</f>
        <v>#N/A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/>
      </c>
      <c r="O14" s="55" t="str">
        <f>IFERROR(VLOOKUP(DATA_MARZO_2026[[#This Row],[ASER_]],$B:$G,4,0),"")</f>
        <v/>
      </c>
      <c r="P14" s="6" t="e">
        <f>VLOOKUP(DATA_MARZO_2026[[#This Row],[ASER_]],D1_MARZO_2026[[ASESOR_CRR]:[RECUPERO]],6,0)</f>
        <v>#N/A</v>
      </c>
      <c r="Q14" s="6" t="e">
        <f>VLOOKUP(DATA_MARZO_2026[[#This Row],[ASER_]],D1_MARZO_2026[[ASESOR_CRR]:[META]],2,0)</f>
        <v>#N/A</v>
      </c>
      <c r="R14" t="s">
        <v>174</v>
      </c>
      <c r="S14" s="47">
        <v>210</v>
      </c>
      <c r="T14">
        <v>0</v>
      </c>
      <c r="U14">
        <v>1650</v>
      </c>
      <c r="V14">
        <v>800</v>
      </c>
      <c r="W14">
        <v>1100</v>
      </c>
      <c r="X14">
        <v>102</v>
      </c>
      <c r="Y14">
        <v>0</v>
      </c>
      <c r="Z14">
        <v>2000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0.21241610738255035</v>
      </c>
      <c r="E15" s="35" t="str">
        <f>D1_MARZO_2026[[#This Row],[SUPER]]</f>
        <v>JORGE</v>
      </c>
      <c r="F15" t="s">
        <v>25</v>
      </c>
      <c r="G15" s="3">
        <v>9495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0.60571428571428576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23320</v>
      </c>
      <c r="Q15" s="6">
        <f>VLOOKUP(DATA_MARZO_2026[[#This Row],[ASER_]],D1_MARZO_2026[[ASESOR_CRR]:[META]],2,0)</f>
        <v>38500</v>
      </c>
      <c r="R15" t="s">
        <v>79</v>
      </c>
      <c r="S15" s="47">
        <v>0</v>
      </c>
      <c r="T15">
        <v>15500</v>
      </c>
      <c r="U15">
        <v>1150</v>
      </c>
      <c r="V15">
        <v>0</v>
      </c>
      <c r="W15">
        <v>0</v>
      </c>
      <c r="X15">
        <v>0</v>
      </c>
      <c r="Y15" s="45">
        <v>1000</v>
      </c>
      <c r="Z15">
        <v>550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0.21232662192393736</v>
      </c>
      <c r="E16" s="35" t="str">
        <f>D1_MARZO_2026[[#This Row],[SUPER]]</f>
        <v>JORGE</v>
      </c>
      <c r="F16" t="s">
        <v>37</v>
      </c>
      <c r="G16" s="3">
        <v>9491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0.39210389610389612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15096</v>
      </c>
      <c r="Q16" s="6">
        <f>VLOOKUP(DATA_MARZO_2026[[#This Row],[ASER_]],D1_MARZO_2026[[ASESOR_CRR]:[META]],2,0)</f>
        <v>38500</v>
      </c>
      <c r="R16" t="s">
        <v>96</v>
      </c>
      <c r="S16">
        <v>0</v>
      </c>
      <c r="T16">
        <v>976</v>
      </c>
      <c r="U16">
        <v>2500</v>
      </c>
      <c r="V16">
        <v>0</v>
      </c>
      <c r="W16">
        <v>0</v>
      </c>
      <c r="X16">
        <v>1510</v>
      </c>
      <c r="Y16">
        <v>660</v>
      </c>
      <c r="Z16">
        <v>900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0.1512304250559284</v>
      </c>
      <c r="E17" s="35" t="str">
        <f>D1_MARZO_2026[[#This Row],[SUPER]]</f>
        <v>JORGE</v>
      </c>
      <c r="F17" t="s">
        <v>42</v>
      </c>
      <c r="G17" s="3">
        <v>6760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0.32732467532467535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12602</v>
      </c>
      <c r="Q17" s="6">
        <f>VLOOKUP(DATA_MARZO_2026[[#This Row],[ASER_]],D1_MARZO_2026[[ASESOR_CRR]:[META]],2,0)</f>
        <v>38500</v>
      </c>
      <c r="R17" t="s">
        <v>32</v>
      </c>
      <c r="S17" s="45">
        <v>0</v>
      </c>
      <c r="T17">
        <v>0</v>
      </c>
      <c r="U17">
        <v>3000</v>
      </c>
      <c r="V17">
        <v>0</v>
      </c>
      <c r="W17">
        <v>412</v>
      </c>
      <c r="X17">
        <v>5000</v>
      </c>
      <c r="Y17">
        <v>0</v>
      </c>
      <c r="Z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18" s="34" cm="1">
        <f t="array" ref="C18">_xlfn.XLOOKUP(1,(TablaMeta[CONCAT]=$M$3&amp;$N$3&amp;D1_MARZO_2026[[#This Row],[SUPER]])*(TablaMeta[SEGG]=D1_MARZO_2026[[#This Row],[SEGMENTO]]),TablaMeta[Meta_Asesor])</f>
        <v>18100</v>
      </c>
      <c r="D18" s="35">
        <f>IF(D1_MARZO_2026[[#This Row],[RECUPERO]]="VACACIONES","VACACIONES",IFERROR(D1_MARZO_2026[[#This Row],[RECUPERO]]/D1_MARZO_2026[[#This Row],[META]],""))</f>
        <v>0.65198895027624304</v>
      </c>
      <c r="E18" s="35" t="str">
        <f>D1_MARZO_2026[[#This Row],[SUPER]]</f>
        <v>LISELY</v>
      </c>
      <c r="F18" t="s">
        <v>41</v>
      </c>
      <c r="G18" s="3">
        <v>11801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8" s="56"/>
      <c r="M18" s="5">
        <f>DATA_MARZO_2026[[#This Row],[RECUPERO]]/DATA_MARZO_2026[[#This Row],[META]]</f>
        <v>0.29914285714285715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11517</v>
      </c>
      <c r="Q18" s="6">
        <f>VLOOKUP(DATA_MARZO_2026[[#This Row],[ASER_]],D1_MARZO_2026[[ASESOR_CRR]:[META]],2,0)</f>
        <v>38500</v>
      </c>
      <c r="R18" t="s">
        <v>564</v>
      </c>
      <c r="S18">
        <v>0</v>
      </c>
      <c r="T18">
        <v>500</v>
      </c>
      <c r="U18">
        <v>500</v>
      </c>
      <c r="V18">
        <v>1405</v>
      </c>
      <c r="W18">
        <v>0</v>
      </c>
      <c r="X18">
        <v>250</v>
      </c>
      <c r="Y18">
        <v>0</v>
      </c>
      <c r="Z18">
        <v>1800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19" s="34" cm="1">
        <f t="array" ref="C19">_xlfn.XLOOKUP(1,(TablaMeta[CONCAT]=$M$3&amp;$N$3&amp;D1_MARZO_2026[[#This Row],[SUPER]])*(TablaMeta[SEGG]=D1_MARZO_2026[[#This Row],[SEGMENTO]]),TablaMeta[Meta_Asesor])</f>
        <v>18100</v>
      </c>
      <c r="D19" s="35">
        <f>IF(D1_MARZO_2026[[#This Row],[RECUPERO]]="VACACIONES","VACACIONES",IFERROR(D1_MARZO_2026[[#This Row],[RECUPERO]]/D1_MARZO_2026[[#This Row],[META]],""))</f>
        <v>0.31679558011049724</v>
      </c>
      <c r="E19" s="35" t="str">
        <f>D1_MARZO_2026[[#This Row],[SUPER]]</f>
        <v>LISELY</v>
      </c>
      <c r="F19" t="s">
        <v>549</v>
      </c>
      <c r="G19" s="3">
        <v>5734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9" s="56"/>
      <c r="M19" s="5">
        <f>DATA_MARZO_2026[[#This Row],[RECUPERO]]/DATA_MARZO_2026[[#This Row],[META]]</f>
        <v>4.2577487765089725E-2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2610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20" s="34" cm="1">
        <f t="array" ref="C20">_xlfn.XLOOKUP(1,(TablaMeta[CONCAT]=$M$3&amp;$N$3&amp;D1_MARZO_2026[[#This Row],[SUPER]])*(TablaMeta[SEGG]=D1_MARZO_2026[[#This Row],[SEGMENTO]]),TablaMeta[Meta_Asesor])</f>
        <v>18100</v>
      </c>
      <c r="D20" s="35">
        <f>IF(D1_MARZO_2026[[#This Row],[RECUPERO]]="VACACIONES","VACACIONES",IFERROR(D1_MARZO_2026[[#This Row],[RECUPERO]]/D1_MARZO_2026[[#This Row],[META]],""))</f>
        <v>0.14088397790055249</v>
      </c>
      <c r="E20" s="35" t="str">
        <f>D1_MARZO_2026[[#This Row],[SUPER]]</f>
        <v>LISELY</v>
      </c>
      <c r="F20" t="s">
        <v>601</v>
      </c>
      <c r="G20" s="3">
        <v>2550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0" s="56"/>
      <c r="M20" s="5">
        <f>DATA_MARZO_2026[[#This Row],[RECUPERO]]/DATA_MARZO_2026[[#This Row],[META]]</f>
        <v>0.31647634584013051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19400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21" s="34" cm="1">
        <f t="array" ref="C21">_xlfn.XLOOKUP(1,(TablaMeta[CONCAT]=$M$3&amp;$N$3&amp;D1_MARZO_2026[[#This Row],[SUPER]])*(TablaMeta[SEGG]=D1_MARZO_2026[[#This Row],[SEGMENTO]]),TablaMeta[Meta_Asesor])</f>
        <v>18100</v>
      </c>
      <c r="D21" s="35">
        <f>IF(D1_MARZO_2026[[#This Row],[RECUPERO]]="VACACIONES","VACACIONES",IFERROR(D1_MARZO_2026[[#This Row],[RECUPERO]]/D1_MARZO_2026[[#This Row],[META]],""))</f>
        <v>0.12734806629834255</v>
      </c>
      <c r="E21" s="35" t="str">
        <f>D1_MARZO_2026[[#This Row],[SUPER]]</f>
        <v>LISELY</v>
      </c>
      <c r="F21" t="s">
        <v>599</v>
      </c>
      <c r="G21" s="3">
        <v>2305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1" s="56"/>
      <c r="M21" s="5">
        <f>DATA_MARZO_2026[[#This Row],[RECUPERO]]/DATA_MARZO_2026[[#This Row],[META]]</f>
        <v>0.64210717781402937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39361.17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22" s="34" cm="1">
        <f t="array" ref="C22">_xlfn.XLOOKUP(1,(TablaMeta[CONCAT]=$M$3&amp;$N$3&amp;D1_MARZO_2026[[#This Row],[SUPER]])*(TablaMeta[SEGG]=D1_MARZO_2026[[#This Row],[SEGMENTO]]),TablaMeta[Meta_Asesor])</f>
        <v>18100</v>
      </c>
      <c r="D22" s="35">
        <f>IF(D1_MARZO_2026[[#This Row],[RECUPERO]]="VACACIONES","VACACIONES",IFERROR(D1_MARZO_2026[[#This Row],[RECUPERO]]/D1_MARZO_2026[[#This Row],[META]],""))</f>
        <v>0.10911602209944751</v>
      </c>
      <c r="E22" s="35" t="str">
        <f>D1_MARZO_2026[[#This Row],[SUPER]]</f>
        <v>LISELY</v>
      </c>
      <c r="F22" t="s">
        <v>566</v>
      </c>
      <c r="G22" s="3">
        <v>1975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2" s="56"/>
      <c r="M22" s="5">
        <f>DATA_MARZO_2026[[#This Row],[RECUPERO]]/DATA_MARZO_2026[[#This Row],[META]]</f>
        <v>0.53833605220228387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33000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23" s="34" cm="1">
        <f t="array" ref="C23">_xlfn.XLOOKUP(1,(TablaMeta[CONCAT]=$M$3&amp;$N$3&amp;D1_MARZO_2026[[#This Row],[SUPER]])*(TablaMeta[SEGG]=D1_MARZO_2026[[#This Row],[SEGMENTO]]),TablaMeta[Meta_Asesor])</f>
        <v>18100</v>
      </c>
      <c r="D23" s="35">
        <f>IF(D1_MARZO_2026[[#This Row],[RECUPERO]]="VACACIONES","VACACIONES",IFERROR(D1_MARZO_2026[[#This Row],[RECUPERO]]/D1_MARZO_2026[[#This Row],[META]],""))</f>
        <v>0.11243093922651934</v>
      </c>
      <c r="E23" s="35" t="str">
        <f>D1_MARZO_2026[[#This Row],[SUPER]]</f>
        <v>LISELY</v>
      </c>
      <c r="F23" t="s">
        <v>55</v>
      </c>
      <c r="G23" s="3">
        <v>2035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3" s="56"/>
      <c r="M23" s="5">
        <f>DATA_MARZO_2026[[#This Row],[RECUPERO]]/DATA_MARZO_2026[[#This Row],[META]]</f>
        <v>0.4535073409461664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27800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24" s="34" cm="1">
        <f t="array" ref="C24">_xlfn.XLOOKUP(1,(TablaMeta[CONCAT]=$M$3&amp;$N$3&amp;D1_MARZO_2026[[#This Row],[SUPER]])*(TablaMeta[SEGG]=D1_MARZO_2026[[#This Row],[SEGMENTO]]),TablaMeta[Meta_Asesor])</f>
        <v>22800</v>
      </c>
      <c r="D24" s="35">
        <f>IF(D1_MARZO_2026[[#This Row],[RECUPERO]]="VACACIONES","VACACIONES",IFERROR(D1_MARZO_2026[[#This Row],[RECUPERO]]/D1_MARZO_2026[[#This Row],[META]],""))</f>
        <v>0.5798245614035088</v>
      </c>
      <c r="E24" s="35" t="str">
        <f>D1_MARZO_2026[[#This Row],[SUPER]]</f>
        <v>LISELY</v>
      </c>
      <c r="F24" t="s">
        <v>48</v>
      </c>
      <c r="G24" s="3">
        <v>13220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4" s="56"/>
      <c r="M24" s="5">
        <f>DATA_MARZO_2026[[#This Row],[RECUPERO]]/DATA_MARZO_2026[[#This Row],[META]]</f>
        <v>0.32259380097879281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19775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25" s="34" cm="1">
        <f t="array" ref="C25">_xlfn.XLOOKUP(1,(TablaMeta[CONCAT]=$M$3&amp;$N$3&amp;D1_MARZO_2026[[#This Row],[SUPER]])*(TablaMeta[SEGG]=D1_MARZO_2026[[#This Row],[SEGMENTO]]),TablaMeta[Meta_Asesor])</f>
        <v>22800</v>
      </c>
      <c r="D25" s="35">
        <f>IF(D1_MARZO_2026[[#This Row],[RECUPERO]]="VACACIONES","VACACIONES",IFERROR(D1_MARZO_2026[[#This Row],[RECUPERO]]/D1_MARZO_2026[[#This Row],[META]],""))</f>
        <v>0.5161842105263158</v>
      </c>
      <c r="E25" s="35" t="str">
        <f>D1_MARZO_2026[[#This Row],[SUPER]]</f>
        <v>LISELY</v>
      </c>
      <c r="F25" t="s">
        <v>626</v>
      </c>
      <c r="G25" s="3">
        <v>11769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5" s="56"/>
      <c r="M25" s="5">
        <f>DATA_MARZO_2026[[#This Row],[RECUPERO]]/DATA_MARZO_2026[[#This Row],[META]]</f>
        <v>0.49216965742251223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30170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26" s="34" cm="1">
        <f t="array" ref="C26">_xlfn.XLOOKUP(1,(TablaMeta[CONCAT]=$M$3&amp;$N$3&amp;D1_MARZO_2026[[#This Row],[SUPER]])*(TablaMeta[SEGG]=D1_MARZO_2026[[#This Row],[SEGMENTO]]),TablaMeta[Meta_Asesor])</f>
        <v>22800</v>
      </c>
      <c r="D26" s="35">
        <f>IF(D1_MARZO_2026[[#This Row],[RECUPERO]]="VACACIONES","VACACIONES",IFERROR(D1_MARZO_2026[[#This Row],[RECUPERO]]/D1_MARZO_2026[[#This Row],[META]],""))</f>
        <v>0.5161842105263158</v>
      </c>
      <c r="E26" s="35" t="str">
        <f>D1_MARZO_2026[[#This Row],[SUPER]]</f>
        <v>LISELY</v>
      </c>
      <c r="F26" t="s">
        <v>49</v>
      </c>
      <c r="G26" s="3">
        <v>11769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6" s="56"/>
      <c r="M26" s="5">
        <f>DATA_MARZO_2026[[#This Row],[RECUPERO]]/DATA_MARZO_2026[[#This Row],[META]]</f>
        <v>0.43684210526315792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LISELY</v>
      </c>
      <c r="P26" s="6">
        <f>VLOOKUP(DATA_MARZO_2026[[#This Row],[ASER_]],D1_MARZO_2026[[ASESOR_CRR]:[RECUPERO]],6,0)</f>
        <v>9960</v>
      </c>
      <c r="Q26" s="6">
        <f>VLOOKUP(DATA_MARZO_2026[[#This Row],[ASER_]],D1_MARZO_2026[[ASESOR_CRR]:[META]],2,0)</f>
        <v>22800</v>
      </c>
      <c r="R26" t="s">
        <v>495</v>
      </c>
      <c r="S26" s="45">
        <v>600</v>
      </c>
      <c r="T26">
        <v>2000</v>
      </c>
      <c r="U26">
        <v>0</v>
      </c>
      <c r="V26">
        <v>1200</v>
      </c>
      <c r="W26">
        <v>1500</v>
      </c>
      <c r="X26">
        <v>400</v>
      </c>
      <c r="Y26">
        <v>0</v>
      </c>
      <c r="Z26">
        <v>2000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27" s="34" cm="1">
        <f t="array" ref="C27">_xlfn.XLOOKUP(1,(TablaMeta[CONCAT]=$M$3&amp;$N$3&amp;D1_MARZO_2026[[#This Row],[SUPER]])*(TablaMeta[SEGG]=D1_MARZO_2026[[#This Row],[SEGMENTO]]),TablaMeta[Meta_Asesor])</f>
        <v>22800</v>
      </c>
      <c r="D27" s="35">
        <f>IF(D1_MARZO_2026[[#This Row],[RECUPERO]]="VACACIONES","VACACIONES",IFERROR(D1_MARZO_2026[[#This Row],[RECUPERO]]/D1_MARZO_2026[[#This Row],[META]],""))</f>
        <v>0.43684210526315792</v>
      </c>
      <c r="E27" s="35" t="str">
        <f>D1_MARZO_2026[[#This Row],[SUPER]]</f>
        <v>LISELY</v>
      </c>
      <c r="F27" t="s">
        <v>495</v>
      </c>
      <c r="G27" s="3">
        <v>9960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7" s="56"/>
      <c r="M27" s="5">
        <f>DATA_MARZO_2026[[#This Row],[RECUPERO]]/DATA_MARZO_2026[[#This Row],[META]]</f>
        <v>0.20078947368421052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LISELY</v>
      </c>
      <c r="P27" s="6">
        <f>VLOOKUP(DATA_MARZO_2026[[#This Row],[ASER_]],D1_MARZO_2026[[ASESOR_CRR]:[RECUPERO]],6,0)</f>
        <v>4578</v>
      </c>
      <c r="Q27" s="6">
        <f>VLOOKUP(DATA_MARZO_2026[[#This Row],[ASER_]],D1_MARZO_2026[[ASESOR_CRR]:[META]],2,0)</f>
        <v>22800</v>
      </c>
      <c r="R27" t="s">
        <v>109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28" s="34" cm="1">
        <f t="array" ref="C28">_xlfn.XLOOKUP(1,(TablaMeta[CONCAT]=$M$3&amp;$N$3&amp;D1_MARZO_2026[[#This Row],[SUPER]])*(TablaMeta[SEGG]=D1_MARZO_2026[[#This Row],[SEGMENTO]]),TablaMeta[Meta_Asesor])</f>
        <v>22800</v>
      </c>
      <c r="D28" s="35">
        <f>IF(D1_MARZO_2026[[#This Row],[RECUPERO]]="VACACIONES","VACACIONES",IFERROR(D1_MARZO_2026[[#This Row],[RECUPERO]]/D1_MARZO_2026[[#This Row],[META]],""))</f>
        <v>0.20078947368421052</v>
      </c>
      <c r="E28" s="35" t="str">
        <f>D1_MARZO_2026[[#This Row],[SUPER]]</f>
        <v>LISELY</v>
      </c>
      <c r="F28" t="s">
        <v>109</v>
      </c>
      <c r="G28" s="3">
        <v>4578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8" s="56"/>
      <c r="M28" s="5">
        <f>DATA_MARZO_2026[[#This Row],[RECUPERO]]/DATA_MARZO_2026[[#This Row],[META]]</f>
        <v>0.5161842105263158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LISELY</v>
      </c>
      <c r="P28" s="6">
        <f>VLOOKUP(DATA_MARZO_2026[[#This Row],[ASER_]],D1_MARZO_2026[[ASESOR_CRR]:[RECUPERO]],6,0)</f>
        <v>11769</v>
      </c>
      <c r="Q28" s="6">
        <f>VLOOKUP(DATA_MARZO_2026[[#This Row],[ASER_]],D1_MARZO_2026[[ASESOR_CRR]:[META]],2,0)</f>
        <v>22800</v>
      </c>
      <c r="R28" t="s">
        <v>49</v>
      </c>
      <c r="S28">
        <v>5800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29" s="34" cm="1">
        <f t="array" ref="C29">_xlfn.XLOOKUP(1,(TablaMeta[CONCAT]=$M$3&amp;$N$3&amp;D1_MARZO_2026[[#This Row],[SUPER]])*(TablaMeta[SEGG]=D1_MARZO_2026[[#This Row],[SEGMENTO]]),TablaMeta[Meta_Asesor])</f>
        <v>22800</v>
      </c>
      <c r="D29" s="35">
        <f>IF(D1_MARZO_2026[[#This Row],[RECUPERO]]="VACACIONES","VACACIONES",IFERROR(D1_MARZO_2026[[#This Row],[RECUPERO]]/D1_MARZO_2026[[#This Row],[META]],""))</f>
        <v>0.18333333333333332</v>
      </c>
      <c r="E29" s="35" t="str">
        <f>D1_MARZO_2026[[#This Row],[SUPER]]</f>
        <v>LISELY</v>
      </c>
      <c r="F29" t="s">
        <v>78</v>
      </c>
      <c r="G29" s="3">
        <v>4180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9" s="56"/>
      <c r="M29" s="5">
        <f>DATA_MARZO_2026[[#This Row],[RECUPERO]]/DATA_MARZO_2026[[#This Row],[META]]</f>
        <v>0.5161842105263158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11769</v>
      </c>
      <c r="Q29" s="6">
        <f>VLOOKUP(DATA_MARZO_2026[[#This Row],[ASER_]],D1_MARZO_2026[[ASESOR_CRR]:[META]],2,0)</f>
        <v>22800</v>
      </c>
      <c r="R29" t="s">
        <v>77</v>
      </c>
      <c r="S29" s="47">
        <v>4924</v>
      </c>
      <c r="T29">
        <v>865</v>
      </c>
      <c r="U29" s="45">
        <v>3500</v>
      </c>
      <c r="V29">
        <v>0</v>
      </c>
      <c r="W29">
        <v>220</v>
      </c>
      <c r="X29">
        <v>0</v>
      </c>
      <c r="Y29">
        <v>0</v>
      </c>
      <c r="Z29">
        <v>160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30" s="34" cm="1">
        <f t="array" ref="C30">_xlfn.XLOOKUP(1,(TablaMeta[CONCAT]=$M$3&amp;$N$3&amp;D1_MARZO_2026[[#This Row],[SUPER]])*(TablaMeta[SEGG]=D1_MARZO_2026[[#This Row],[SEGMENTO]]),TablaMeta[Meta_Asesor])</f>
        <v>22800</v>
      </c>
      <c r="D30" s="35">
        <f>IF(D1_MARZO_2026[[#This Row],[RECUPERO]]="VACACIONES","VACACIONES",IFERROR(D1_MARZO_2026[[#This Row],[RECUPERO]]/D1_MARZO_2026[[#This Row],[META]],""))</f>
        <v>0.16228070175438597</v>
      </c>
      <c r="E30" s="35" t="str">
        <f>D1_MARZO_2026[[#This Row],[SUPER]]</f>
        <v>LISELY</v>
      </c>
      <c r="F30" t="s">
        <v>600</v>
      </c>
      <c r="G30" s="3">
        <v>3700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0" s="56"/>
      <c r="M30" s="5">
        <f>DATA_MARZO_2026[[#This Row],[RECUPERO]]/DATA_MARZO_2026[[#This Row],[META]]</f>
        <v>0.16228070175438597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3700</v>
      </c>
      <c r="Q30" s="6">
        <f>VLOOKUP(DATA_MARZO_2026[[#This Row],[ASER_]],D1_MARZO_2026[[ASESOR_CRR]:[META]],2,0)</f>
        <v>22800</v>
      </c>
      <c r="R30" t="s">
        <v>600</v>
      </c>
      <c r="S30" s="47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1000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31" s="34" cm="1">
        <f t="array" ref="C31">_xlfn.XLOOKUP(1,(TablaMeta[CONCAT]=$M$3&amp;$N$3&amp;D1_MARZO_2026[[#This Row],[SUPER]])*(TablaMeta[SEGG]=D1_MARZO_2026[[#This Row],[SEGMENTO]]),TablaMeta[Meta_Asesor])</f>
        <v>38500</v>
      </c>
      <c r="D31" s="35">
        <f>IF(D1_MARZO_2026[[#This Row],[RECUPERO]]="VACACIONES","VACACIONES",IFERROR(D1_MARZO_2026[[#This Row],[RECUPERO]]/D1_MARZO_2026[[#This Row],[META]],""))</f>
        <v>0.60571428571428576</v>
      </c>
      <c r="E31" s="35" t="str">
        <f>D1_MARZO_2026[[#This Row],[SUPER]]</f>
        <v>SANDY</v>
      </c>
      <c r="F31" t="s">
        <v>79</v>
      </c>
      <c r="G31" s="3">
        <v>23320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DATA_MARZO_2026[[#This Row],[RECUPERO]]/DATA_MARZO_2026[[#This Row],[META]]</f>
        <v>0.5798245614035088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13220</v>
      </c>
      <c r="Q31" s="6">
        <f>VLOOKUP(DATA_MARZO_2026[[#This Row],[ASER_]],D1_MARZO_2026[[ASESOR_CRR]:[META]],2,0)</f>
        <v>22800</v>
      </c>
      <c r="R31" t="s">
        <v>48</v>
      </c>
      <c r="S31" s="47">
        <v>0</v>
      </c>
      <c r="T31">
        <v>0</v>
      </c>
      <c r="U31">
        <v>0</v>
      </c>
      <c r="V31">
        <v>550</v>
      </c>
      <c r="W31">
        <v>10000</v>
      </c>
      <c r="X31">
        <v>0</v>
      </c>
      <c r="Y31">
        <v>770</v>
      </c>
      <c r="Z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32" s="34" cm="1">
        <f t="array" ref="C32">_xlfn.XLOOKUP(1,(TablaMeta[CONCAT]=$M$3&amp;$N$3&amp;D1_MARZO_2026[[#This Row],[SUPER]])*(TablaMeta[SEGG]=D1_MARZO_2026[[#This Row],[SEGMENTO]]),TablaMeta[Meta_Asesor])</f>
        <v>38500</v>
      </c>
      <c r="D32" s="35">
        <f>IF(D1_MARZO_2026[[#This Row],[RECUPERO]]="VACACIONES","VACACIONES",IFERROR(D1_MARZO_2026[[#This Row],[RECUPERO]]/D1_MARZO_2026[[#This Row],[META]],""))</f>
        <v>0.53402597402597407</v>
      </c>
      <c r="E32" s="35" t="str">
        <f>D1_MARZO_2026[[#This Row],[SUPER]]</f>
        <v>SANDY</v>
      </c>
      <c r="F32" t="s">
        <v>493</v>
      </c>
      <c r="G32" s="3">
        <v>20560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DATA_MARZO_2026[[#This Row],[RECUPERO]]/DATA_MARZO_2026[[#This Row],[META]]</f>
        <v>0.18333333333333332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4180</v>
      </c>
      <c r="Q32" s="6">
        <f>VLOOKUP(DATA_MARZO_2026[[#This Row],[ASER_]],D1_MARZO_2026[[ASESOR_CRR]:[META]],2,0)</f>
        <v>22800</v>
      </c>
      <c r="R32" t="s">
        <v>78</v>
      </c>
      <c r="S32" s="47">
        <v>0</v>
      </c>
      <c r="T32">
        <v>2000</v>
      </c>
      <c r="U32">
        <v>0</v>
      </c>
      <c r="V32">
        <v>0</v>
      </c>
      <c r="W32">
        <v>0</v>
      </c>
      <c r="X32">
        <v>300</v>
      </c>
      <c r="Y32">
        <v>0</v>
      </c>
      <c r="Z32">
        <v>300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33" s="34" cm="1">
        <f t="array" ref="C33">_xlfn.XLOOKUP(1,(TablaMeta[CONCAT]=$M$3&amp;$N$3&amp;D1_MARZO_2026[[#This Row],[SUPER]])*(TablaMeta[SEGG]=D1_MARZO_2026[[#This Row],[SEGMENTO]]),TablaMeta[Meta_Asesor])</f>
        <v>38500</v>
      </c>
      <c r="D33" s="35">
        <f>IF(D1_MARZO_2026[[#This Row],[RECUPERO]]="VACACIONES","VACACIONES",IFERROR(D1_MARZO_2026[[#This Row],[RECUPERO]]/D1_MARZO_2026[[#This Row],[META]],""))</f>
        <v>0.39210389610389612</v>
      </c>
      <c r="E33" s="35" t="str">
        <f>D1_MARZO_2026[[#This Row],[SUPER]]</f>
        <v>SANDY</v>
      </c>
      <c r="F33" t="s">
        <v>96</v>
      </c>
      <c r="G33" s="3">
        <v>15096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DATA_MARZO_2026[[#This Row],[RECUPERO]]/DATA_MARZO_2026[[#This Row],[META]]</f>
        <v>0.31679558011049724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5734</v>
      </c>
      <c r="Q33" s="6">
        <f>VLOOKUP(DATA_MARZO_2026[[#This Row],[ASER_]],D1_MARZO_2026[[ASESOR_CRR]:[META]],2,0)</f>
        <v>18100</v>
      </c>
      <c r="R33" t="s">
        <v>549</v>
      </c>
      <c r="S33" s="47">
        <v>350</v>
      </c>
      <c r="T33">
        <v>660</v>
      </c>
      <c r="U33">
        <v>734</v>
      </c>
      <c r="V33">
        <v>0</v>
      </c>
      <c r="W33">
        <v>0</v>
      </c>
      <c r="X33">
        <v>0</v>
      </c>
      <c r="Y33">
        <v>90</v>
      </c>
      <c r="Z33">
        <v>500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34" s="34" cm="1">
        <f t="array" ref="C34">_xlfn.XLOOKUP(1,(TablaMeta[CONCAT]=$M$3&amp;$N$3&amp;D1_MARZO_2026[[#This Row],[SUPER]])*(TablaMeta[SEGG]=D1_MARZO_2026[[#This Row],[SEGMENTO]]),TablaMeta[Meta_Asesor])</f>
        <v>38500</v>
      </c>
      <c r="D34" s="35">
        <f>IF(D1_MARZO_2026[[#This Row],[RECUPERO]]="VACACIONES","VACACIONES",IFERROR(D1_MARZO_2026[[#This Row],[RECUPERO]]/D1_MARZO_2026[[#This Row],[META]],""))</f>
        <v>0.39129870129870131</v>
      </c>
      <c r="E34" s="35" t="str">
        <f>D1_MARZO_2026[[#This Row],[SUPER]]</f>
        <v>SANDY</v>
      </c>
      <c r="F34" t="s">
        <v>29</v>
      </c>
      <c r="G34" s="3">
        <v>15065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DATA_MARZO_2026[[#This Row],[RECUPERO]]/DATA_MARZO_2026[[#This Row],[META]]</f>
        <v>0.12734806629834255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2305</v>
      </c>
      <c r="Q34" s="6">
        <f>VLOOKUP(DATA_MARZO_2026[[#This Row],[ASER_]],D1_MARZO_2026[[ASESOR_CRR]:[META]],2,0)</f>
        <v>18100</v>
      </c>
      <c r="R34" t="s">
        <v>599</v>
      </c>
      <c r="S34" s="47">
        <v>0</v>
      </c>
      <c r="T34">
        <v>0</v>
      </c>
      <c r="U34">
        <v>0</v>
      </c>
      <c r="V34">
        <v>0</v>
      </c>
      <c r="W34">
        <v>1225</v>
      </c>
      <c r="X34">
        <v>0</v>
      </c>
      <c r="Y34">
        <v>400</v>
      </c>
      <c r="Z34">
        <v>180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35" s="34" cm="1">
        <f t="array" ref="C35">_xlfn.XLOOKUP(1,(TablaMeta[CONCAT]=$M$3&amp;$N$3&amp;D1_MARZO_2026[[#This Row],[SUPER]])*(TablaMeta[SEGG]=D1_MARZO_2026[[#This Row],[SEGMENTO]]),TablaMeta[Meta_Asesor])</f>
        <v>38500</v>
      </c>
      <c r="D35" s="35">
        <f>IF(D1_MARZO_2026[[#This Row],[RECUPERO]]="VACACIONES","VACACIONES",IFERROR(D1_MARZO_2026[[#This Row],[RECUPERO]]/D1_MARZO_2026[[#This Row],[META]],""))</f>
        <v>0.32732467532467535</v>
      </c>
      <c r="E35" s="35" t="str">
        <f>D1_MARZO_2026[[#This Row],[SUPER]]</f>
        <v>SANDY</v>
      </c>
      <c r="F35" t="s">
        <v>32</v>
      </c>
      <c r="G35" s="3">
        <v>12602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6"/>
      <c r="M35" s="5">
        <f>DATA_MARZO_2026[[#This Row],[RECUPERO]]/DATA_MARZO_2026[[#This Row],[META]]</f>
        <v>0.65198895027624304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11801</v>
      </c>
      <c r="Q35" s="6">
        <f>VLOOKUP(DATA_MARZO_2026[[#This Row],[ASER_]],D1_MARZO_2026[[ASESOR_CRR]:[META]],2,0)</f>
        <v>18100</v>
      </c>
      <c r="R35" t="s">
        <v>41</v>
      </c>
      <c r="S35" s="47">
        <v>0</v>
      </c>
      <c r="T35">
        <v>6900</v>
      </c>
      <c r="U35">
        <v>1500</v>
      </c>
      <c r="V35">
        <v>500</v>
      </c>
      <c r="W35">
        <v>351</v>
      </c>
      <c r="X35">
        <v>0</v>
      </c>
      <c r="Y35">
        <v>550</v>
      </c>
      <c r="Z35">
        <v>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36" s="34" cm="1">
        <f t="array" ref="C36">_xlfn.XLOOKUP(1,(TablaMeta[CONCAT]=$M$3&amp;$N$3&amp;D1_MARZO_2026[[#This Row],[SUPER]])*(TablaMeta[SEGG]=D1_MARZO_2026[[#This Row],[SEGMENTO]]),TablaMeta[Meta_Asesor])</f>
        <v>38500</v>
      </c>
      <c r="D36" s="35">
        <f>IF(D1_MARZO_2026[[#This Row],[RECUPERO]]="VACACIONES","VACACIONES",IFERROR(D1_MARZO_2026[[#This Row],[RECUPERO]]/D1_MARZO_2026[[#This Row],[META]],""))</f>
        <v>0.31090909090909091</v>
      </c>
      <c r="E36" s="35" t="str">
        <f>D1_MARZO_2026[[#This Row],[SUPER]]</f>
        <v>SANDY</v>
      </c>
      <c r="F36" t="s">
        <v>85</v>
      </c>
      <c r="G36" s="3">
        <v>11970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6"/>
      <c r="M36" s="5">
        <f>DATA_MARZO_2026[[#This Row],[RECUPERO]]/DATA_MARZO_2026[[#This Row],[META]]</f>
        <v>0.10911602209944751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1975</v>
      </c>
      <c r="Q36" s="6">
        <f>VLOOKUP(DATA_MARZO_2026[[#This Row],[ASER_]],D1_MARZO_2026[[ASESOR_CRR]:[META]],2,0)</f>
        <v>18100</v>
      </c>
      <c r="R36" t="s">
        <v>566</v>
      </c>
      <c r="S36" s="47">
        <v>300</v>
      </c>
      <c r="T36">
        <v>0</v>
      </c>
      <c r="U36">
        <v>0</v>
      </c>
      <c r="V36">
        <v>0</v>
      </c>
      <c r="W36">
        <v>1615</v>
      </c>
      <c r="X36">
        <v>0</v>
      </c>
      <c r="Y36">
        <v>60</v>
      </c>
      <c r="Z36">
        <v>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37" s="34" cm="1">
        <f t="array" ref="C37">_xlfn.XLOOKUP(1,(TablaMeta[CONCAT]=$M$3&amp;$N$3&amp;D1_MARZO_2026[[#This Row],[SUPER]])*(TablaMeta[SEGG]=D1_MARZO_2026[[#This Row],[SEGMENTO]]),TablaMeta[Meta_Asesor])</f>
        <v>38500</v>
      </c>
      <c r="D37" s="35">
        <f>IF(D1_MARZO_2026[[#This Row],[RECUPERO]]="VACACIONES","VACACIONES",IFERROR(D1_MARZO_2026[[#This Row],[RECUPERO]]/D1_MARZO_2026[[#This Row],[META]],""))</f>
        <v>0.29914285714285715</v>
      </c>
      <c r="E37" s="35" t="str">
        <f>D1_MARZO_2026[[#This Row],[SUPER]]</f>
        <v>SANDY</v>
      </c>
      <c r="F37" t="s">
        <v>627</v>
      </c>
      <c r="G37" s="3">
        <v>11517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6"/>
      <c r="M37" s="5">
        <f>DATA_MARZO_2026[[#This Row],[RECUPERO]]/DATA_MARZO_2026[[#This Row],[META]]</f>
        <v>0.11243093922651934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2035</v>
      </c>
      <c r="Q37" s="6">
        <f>VLOOKUP(DATA_MARZO_2026[[#This Row],[ASER_]],D1_MARZO_2026[[ASESOR_CRR]:[META]],2,0)</f>
        <v>18100</v>
      </c>
      <c r="R37" t="s">
        <v>55</v>
      </c>
      <c r="S37" s="47">
        <v>0</v>
      </c>
      <c r="T37">
        <v>0</v>
      </c>
      <c r="U37">
        <v>0</v>
      </c>
      <c r="V37">
        <v>0</v>
      </c>
      <c r="W37">
        <v>305</v>
      </c>
      <c r="X37">
        <v>0</v>
      </c>
      <c r="Y37">
        <v>500</v>
      </c>
      <c r="Z37">
        <v>600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38" s="34" cm="1">
        <f t="array" ref="C38">_xlfn.XLOOKUP(1,(TablaMeta[CONCAT]=$M$3&amp;$N$3&amp;D1_MARZO_2026[[#This Row],[SUPER]])*(TablaMeta[SEGG]=D1_MARZO_2026[[#This Row],[SEGMENTO]]),TablaMeta[Meta_Asesor])</f>
        <v>38500</v>
      </c>
      <c r="D38" s="35">
        <f>IF(D1_MARZO_2026[[#This Row],[RECUPERO]]="VACACIONES","VACACIONES",IFERROR(D1_MARZO_2026[[#This Row],[RECUPERO]]/D1_MARZO_2026[[#This Row],[META]],""))</f>
        <v>0.28057142857142858</v>
      </c>
      <c r="E38" s="35" t="str">
        <f>D1_MARZO_2026[[#This Row],[SUPER]]</f>
        <v>SANDY</v>
      </c>
      <c r="F38" t="s">
        <v>68</v>
      </c>
      <c r="G38" s="3">
        <v>10802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6"/>
      <c r="M38" s="5">
        <f>DATA_MARZO_2026[[#This Row],[RECUPERO]]/DATA_MARZO_2026[[#This Row],[META]]</f>
        <v>0.14088397790055249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2550</v>
      </c>
      <c r="Q38" s="6">
        <f>VLOOKUP(DATA_MARZO_2026[[#This Row],[ASER_]],D1_MARZO_2026[[ASESOR_CRR]:[META]],2,0)</f>
        <v>18100</v>
      </c>
      <c r="R38" t="s">
        <v>601</v>
      </c>
      <c r="S38" s="47">
        <v>0</v>
      </c>
      <c r="T38">
        <v>300</v>
      </c>
      <c r="U38">
        <v>0</v>
      </c>
      <c r="V38">
        <v>0</v>
      </c>
      <c r="W38" s="5">
        <v>1500</v>
      </c>
      <c r="X38" s="6">
        <v>180</v>
      </c>
      <c r="Y38" s="6">
        <v>0</v>
      </c>
      <c r="Z38" s="6">
        <v>0</v>
      </c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39" s="34" cm="1">
        <f t="array" ref="C39">_xlfn.XLOOKUP(1,(TablaMeta[CONCAT]=$M$3&amp;$N$3&amp;D1_MARZO_2026[[#This Row],[SUPER]])*(TablaMeta[SEGG]=D1_MARZO_2026[[#This Row],[SEGMENTO]]),TablaMeta[Meta_Asesor])</f>
        <v>38500</v>
      </c>
      <c r="D39" s="35">
        <f>IF(D1_MARZO_2026[[#This Row],[RECUPERO]]="VACACIONES","VACACIONES",IFERROR(D1_MARZO_2026[[#This Row],[RECUPERO]]/D1_MARZO_2026[[#This Row],[META]],""))</f>
        <v>0.20233766233766234</v>
      </c>
      <c r="E39" s="35" t="str">
        <f>D1_MARZO_2026[[#This Row],[SUPER]]</f>
        <v>SANDY</v>
      </c>
      <c r="F39" t="s">
        <v>58</v>
      </c>
      <c r="G39" s="3">
        <v>7790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6"/>
      <c r="M39" s="5">
        <f>DATA_MARZO_2026[[#This Row],[RECUPERO]]/DATA_MARZO_2026[[#This Row],[META]]</f>
        <v>9.8434004474272932E-2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4400</v>
      </c>
      <c r="Q39" s="6">
        <f>VLOOKUP(DATA_MARZO_2026[[#This Row],[ASER_]],D1_MARZO_2026[[ASESOR_CRR]:[META]],2,0)</f>
        <v>44700</v>
      </c>
      <c r="R39" t="s">
        <v>51</v>
      </c>
      <c r="S39" s="45">
        <v>500</v>
      </c>
      <c r="T39">
        <v>0</v>
      </c>
      <c r="U39">
        <v>0</v>
      </c>
      <c r="V39">
        <v>0</v>
      </c>
      <c r="W39" s="5">
        <v>0</v>
      </c>
      <c r="X39" s="6">
        <v>1400</v>
      </c>
      <c r="Y39" s="6">
        <v>0</v>
      </c>
      <c r="Z39" s="6">
        <v>0</v>
      </c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40" s="34" cm="1">
        <f t="array" ref="C40">_xlfn.XLOOKUP(1,(TablaMeta[CONCAT]=$M$3&amp;$N$3&amp;D1_MARZO_2026[[#This Row],[SUPER]])*(TablaMeta[SEGG]=D1_MARZO_2026[[#This Row],[SEGMENTO]]),TablaMeta[Meta_Asesor])</f>
        <v>61300</v>
      </c>
      <c r="D40" s="35">
        <f>IF(D1_MARZO_2026[[#This Row],[RECUPERO]]="VACACIONES","VACACIONES",IFERROR(D1_MARZO_2026[[#This Row],[RECUPERO]]/D1_MARZO_2026[[#This Row],[META]],""))</f>
        <v>0.64210717781402937</v>
      </c>
      <c r="E40" s="35" t="str">
        <f>D1_MARZO_2026[[#This Row],[SUPER]]</f>
        <v>KENNETH</v>
      </c>
      <c r="F40" t="s">
        <v>97</v>
      </c>
      <c r="G40" s="3">
        <v>39361.17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0" s="56"/>
      <c r="M40" s="5">
        <f>DATA_MARZO_2026[[#This Row],[RECUPERO]]/DATA_MARZO_2026[[#This Row],[META]]</f>
        <v>0.35011185682326623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15650</v>
      </c>
      <c r="Q40" s="6">
        <f>VLOOKUP(DATA_MARZO_2026[[#This Row],[ASER_]],D1_MARZO_2026[[ASESOR_CRR]:[META]],2,0)</f>
        <v>44700</v>
      </c>
      <c r="R40" t="s">
        <v>18</v>
      </c>
      <c r="S40" s="45">
        <v>350</v>
      </c>
      <c r="T40">
        <v>2700</v>
      </c>
      <c r="U40">
        <v>3000</v>
      </c>
      <c r="V40">
        <v>5800</v>
      </c>
      <c r="W40" s="5">
        <v>0</v>
      </c>
      <c r="X40" s="6">
        <v>0</v>
      </c>
      <c r="Y40" s="6">
        <v>0</v>
      </c>
      <c r="Z40" s="6">
        <v>0</v>
      </c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41" s="34" cm="1">
        <f t="array" ref="C41">_xlfn.XLOOKUP(1,(TablaMeta[CONCAT]=$M$3&amp;$N$3&amp;D1_MARZO_2026[[#This Row],[SUPER]])*(TablaMeta[SEGG]=D1_MARZO_2026[[#This Row],[SEGMENTO]]),TablaMeta[Meta_Asesor])</f>
        <v>61300</v>
      </c>
      <c r="D41" s="35">
        <f>IF(D1_MARZO_2026[[#This Row],[RECUPERO]]="VACACIONES","VACACIONES",IFERROR(D1_MARZO_2026[[#This Row],[RECUPERO]]/D1_MARZO_2026[[#This Row],[META]],""))</f>
        <v>0.53833605220228387</v>
      </c>
      <c r="E41" s="35" t="str">
        <f>D1_MARZO_2026[[#This Row],[SUPER]]</f>
        <v>KENNETH</v>
      </c>
      <c r="F41" t="s">
        <v>105</v>
      </c>
      <c r="G41" s="3">
        <v>33000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0.22210290827740492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9928</v>
      </c>
      <c r="Q41" s="6">
        <f>VLOOKUP(DATA_MARZO_2026[[#This Row],[ASER_]],D1_MARZO_2026[[ASESOR_CRR]:[META]],2,0)</f>
        <v>44700</v>
      </c>
      <c r="R41" t="s">
        <v>12</v>
      </c>
      <c r="S41" s="45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800</v>
      </c>
      <c r="Z41" s="6">
        <v>0</v>
      </c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42" s="34" cm="1">
        <f t="array" ref="C42">_xlfn.XLOOKUP(1,(TablaMeta[CONCAT]=$M$3&amp;$N$3&amp;D1_MARZO_2026[[#This Row],[SUPER]])*(TablaMeta[SEGG]=D1_MARZO_2026[[#This Row],[SEGMENTO]]),TablaMeta[Meta_Asesor])</f>
        <v>61300</v>
      </c>
      <c r="D42" s="35">
        <f>IF(D1_MARZO_2026[[#This Row],[RECUPERO]]="VACACIONES","VACACIONES",IFERROR(D1_MARZO_2026[[#This Row],[RECUPERO]]/D1_MARZO_2026[[#This Row],[META]],""))</f>
        <v>0.49216965742251223</v>
      </c>
      <c r="E42" s="35" t="str">
        <f>D1_MARZO_2026[[#This Row],[SUPER]]</f>
        <v>KENNETH</v>
      </c>
      <c r="F42" t="s">
        <v>34</v>
      </c>
      <c r="G42" s="3">
        <v>30170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0.25950782997762861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LEONOR</v>
      </c>
      <c r="P42" s="6">
        <f>VLOOKUP(DATA_MARZO_2026[[#This Row],[ASER_]],D1_MARZO_2026[[ASESOR_CRR]:[RECUPERO]],6,0)</f>
        <v>11600</v>
      </c>
      <c r="Q42" s="6">
        <f>VLOOKUP(DATA_MARZO_2026[[#This Row],[ASER_]],D1_MARZO_2026[[ASESOR_CRR]:[META]],2,0)</f>
        <v>44700</v>
      </c>
      <c r="R42" t="s">
        <v>80</v>
      </c>
      <c r="S42" s="45">
        <v>5000</v>
      </c>
      <c r="T42">
        <v>0</v>
      </c>
      <c r="U42">
        <v>0</v>
      </c>
      <c r="V42">
        <v>0</v>
      </c>
      <c r="W42" s="5">
        <v>0</v>
      </c>
      <c r="X42" s="6">
        <v>0</v>
      </c>
      <c r="Y42" s="6">
        <v>600</v>
      </c>
      <c r="Z42" s="6">
        <v>0</v>
      </c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43" s="34" cm="1">
        <f t="array" ref="C43">_xlfn.XLOOKUP(1,(TablaMeta[CONCAT]=$M$3&amp;$N$3&amp;D1_MARZO_2026[[#This Row],[SUPER]])*(TablaMeta[SEGG]=D1_MARZO_2026[[#This Row],[SEGMENTO]]),TablaMeta[Meta_Asesor])</f>
        <v>61300</v>
      </c>
      <c r="D43" s="35">
        <f>IF(D1_MARZO_2026[[#This Row],[RECUPERO]]="VACACIONES","VACACIONES",IFERROR(D1_MARZO_2026[[#This Row],[RECUPERO]]/D1_MARZO_2026[[#This Row],[META]],""))</f>
        <v>0.4535073409461664</v>
      </c>
      <c r="E43" s="35" t="str">
        <f>D1_MARZO_2026[[#This Row],[SUPER]]</f>
        <v>KENNETH</v>
      </c>
      <c r="F43" t="s">
        <v>11</v>
      </c>
      <c r="G43" s="3">
        <v>27800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0.11118568232662192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LEONOR</v>
      </c>
      <c r="P43" s="6">
        <f>VLOOKUP(DATA_MARZO_2026[[#This Row],[ASER_]],D1_MARZO_2026[[ASESOR_CRR]:[RECUPERO]],6,0)</f>
        <v>4970</v>
      </c>
      <c r="Q43" s="6">
        <f>VLOOKUP(DATA_MARZO_2026[[#This Row],[ASER_]],D1_MARZO_2026[[ASESOR_CRR]:[META]],2,0)</f>
        <v>44700</v>
      </c>
      <c r="R43" t="s">
        <v>26</v>
      </c>
      <c r="S43" s="45">
        <v>1000</v>
      </c>
      <c r="T43">
        <v>0</v>
      </c>
      <c r="U43">
        <v>470</v>
      </c>
      <c r="V43">
        <v>0</v>
      </c>
      <c r="W43" s="5">
        <v>300</v>
      </c>
      <c r="X43" s="6">
        <v>200</v>
      </c>
      <c r="Y43" s="6">
        <v>0</v>
      </c>
      <c r="Z43" s="6">
        <v>0</v>
      </c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44" s="34" cm="1">
        <f t="array" ref="C44">_xlfn.XLOOKUP(1,(TablaMeta[CONCAT]=$M$3&amp;$N$3&amp;D1_MARZO_2026[[#This Row],[SUPER]])*(TablaMeta[SEGG]=D1_MARZO_2026[[#This Row],[SEGMENTO]]),TablaMeta[Meta_Asesor])</f>
        <v>61300</v>
      </c>
      <c r="D44" s="35">
        <f>IF(D1_MARZO_2026[[#This Row],[RECUPERO]]="VACACIONES","VACACIONES",IFERROR(D1_MARZO_2026[[#This Row],[RECUPERO]]/D1_MARZO_2026[[#This Row],[META]],""))</f>
        <v>0.32259380097879281</v>
      </c>
      <c r="E44" s="35" t="str">
        <f>D1_MARZO_2026[[#This Row],[SUPER]]</f>
        <v>KENNETH</v>
      </c>
      <c r="F44" t="s">
        <v>19</v>
      </c>
      <c r="G44" s="3">
        <v>19775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0.49154362416107383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LEONOR</v>
      </c>
      <c r="P44" s="6">
        <f>VLOOKUP(DATA_MARZO_2026[[#This Row],[ASER_]],D1_MARZO_2026[[ASESOR_CRR]:[RECUPERO]],6,0)</f>
        <v>21972</v>
      </c>
      <c r="Q44" s="6">
        <f>VLOOKUP(DATA_MARZO_2026[[#This Row],[ASER_]],D1_MARZO_2026[[ASESOR_CRR]:[META]],2,0)</f>
        <v>44700</v>
      </c>
      <c r="R44" t="s">
        <v>61</v>
      </c>
      <c r="S44">
        <v>1503</v>
      </c>
      <c r="T44">
        <v>900</v>
      </c>
      <c r="U44">
        <v>1550</v>
      </c>
      <c r="V44">
        <v>3821</v>
      </c>
      <c r="W44" s="5">
        <v>2000</v>
      </c>
      <c r="X44" s="6">
        <v>2700</v>
      </c>
      <c r="Y44" s="6">
        <v>6668</v>
      </c>
      <c r="Z44" s="6">
        <v>0</v>
      </c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45" s="34" cm="1">
        <f t="array" ref="C45">_xlfn.XLOOKUP(1,(TablaMeta[CONCAT]=$M$3&amp;$N$3&amp;D1_MARZO_2026[[#This Row],[SUPER]])*(TablaMeta[SEGG]=D1_MARZO_2026[[#This Row],[SEGMENTO]]),TablaMeta[Meta_Asesor])</f>
        <v>61300</v>
      </c>
      <c r="D45" s="35">
        <f>IF(D1_MARZO_2026[[#This Row],[RECUPERO]]="VACACIONES","VACACIONES",IFERROR(D1_MARZO_2026[[#This Row],[RECUPERO]]/D1_MARZO_2026[[#This Row],[META]],""))</f>
        <v>0.31647634584013051</v>
      </c>
      <c r="E45" s="35" t="str">
        <f>D1_MARZO_2026[[#This Row],[SUPER]]</f>
        <v>KENNETH</v>
      </c>
      <c r="F45" t="s">
        <v>35</v>
      </c>
      <c r="G45" s="3">
        <v>19400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0.61543624161073829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LEONOR</v>
      </c>
      <c r="P45" s="6">
        <f>VLOOKUP(DATA_MARZO_2026[[#This Row],[ASER_]],D1_MARZO_2026[[ASESOR_CRR]:[RECUPERO]],6,0)</f>
        <v>27510</v>
      </c>
      <c r="Q45" s="6">
        <f>VLOOKUP(DATA_MARZO_2026[[#This Row],[ASER_]],D1_MARZO_2026[[ASESOR_CRR]:[META]],2,0)</f>
        <v>44700</v>
      </c>
      <c r="R45" t="s">
        <v>59</v>
      </c>
      <c r="S45" s="45">
        <v>1000</v>
      </c>
      <c r="T45">
        <v>5600</v>
      </c>
      <c r="U45">
        <v>0</v>
      </c>
      <c r="V45">
        <v>3050</v>
      </c>
      <c r="W45">
        <v>0</v>
      </c>
      <c r="X45" s="5">
        <v>1100</v>
      </c>
      <c r="Y45" s="77">
        <v>3500</v>
      </c>
      <c r="Z45" s="6">
        <v>1800</v>
      </c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46" s="34" cm="1">
        <f t="array" ref="C46">_xlfn.XLOOKUP(1,(TablaMeta[CONCAT]=$M$3&amp;$N$3&amp;D1_MARZO_2026[[#This Row],[SUPER]])*(TablaMeta[SEGG]=D1_MARZO_2026[[#This Row],[SEGMENTO]]),TablaMeta[Meta_Asesor])</f>
        <v>61300</v>
      </c>
      <c r="D46" s="35">
        <f>IF(D1_MARZO_2026[[#This Row],[RECUPERO]]="VACACIONES","VACACIONES",IFERROR(D1_MARZO_2026[[#This Row],[RECUPERO]]/D1_MARZO_2026[[#This Row],[META]],""))</f>
        <v>4.2577487765089725E-2</v>
      </c>
      <c r="E46" s="35" t="str">
        <f>D1_MARZO_2026[[#This Row],[SUPER]]</f>
        <v>KENNETH</v>
      </c>
      <c r="F46" t="s">
        <v>76</v>
      </c>
      <c r="G46" s="3">
        <v>2610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0.32483221476510066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LEONOR</v>
      </c>
      <c r="P46" s="6">
        <f>VLOOKUP(DATA_MARZO_2026[[#This Row],[ASER_]],D1_MARZO_2026[[ASESOR_CRR]:[RECUPERO]],6,0)</f>
        <v>14520</v>
      </c>
      <c r="Q46" s="6">
        <f>VLOOKUP(DATA_MARZO_2026[[#This Row],[ASER_]],D1_MARZO_2026[[ASESOR_CRR]:[META]],2,0)</f>
        <v>44700</v>
      </c>
      <c r="R46" t="s">
        <v>72</v>
      </c>
      <c r="S46" s="45">
        <v>0</v>
      </c>
      <c r="T46">
        <v>0</v>
      </c>
      <c r="U46">
        <v>11600</v>
      </c>
      <c r="V46">
        <v>0</v>
      </c>
      <c r="W46">
        <v>420</v>
      </c>
      <c r="X46" s="5">
        <v>0</v>
      </c>
      <c r="Y46" s="6">
        <v>0</v>
      </c>
      <c r="Z46" s="6">
        <v>0</v>
      </c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47" s="34" cm="1">
        <f t="array" ref="C47">_xlfn.XLOOKUP(1,(TablaMeta[CONCAT]=$M$3&amp;$N$3&amp;D1_MARZO_2026[[#This Row],[SUPER]])*(TablaMeta[SEGG]=D1_MARZO_2026[[#This Row],[SEGMENTO]]),TablaMeta[Meta_Asesor])</f>
        <v>44700</v>
      </c>
      <c r="D47" s="35">
        <f>IF(D1_MARZO_2026[[#This Row],[RECUPERO]]="VACACIONES","VACACIONES",IFERROR(D1_MARZO_2026[[#This Row],[RECUPERO]]/D1_MARZO_2026[[#This Row],[META]],""))</f>
        <v>0.49154362416107383</v>
      </c>
      <c r="E47" s="35" t="str">
        <f>D1_MARZO_2026[[#This Row],[SUPER]]</f>
        <v>LEONOR</v>
      </c>
      <c r="F47" t="s">
        <v>61</v>
      </c>
      <c r="G47" s="3">
        <v>21972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0.2580984340044743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LEONOR</v>
      </c>
      <c r="P47" s="6">
        <f>VLOOKUP(DATA_MARZO_2026[[#This Row],[ASER_]],D1_MARZO_2026[[ASESOR_CRR]:[RECUPERO]],6,0)</f>
        <v>11537</v>
      </c>
      <c r="Q47" s="6">
        <f>VLOOKUP(DATA_MARZO_2026[[#This Row],[ASER_]],D1_MARZO_2026[[ASESOR_CRR]:[META]],2,0)</f>
        <v>44700</v>
      </c>
      <c r="R47" t="s">
        <v>60</v>
      </c>
      <c r="S47" s="45">
        <v>570</v>
      </c>
      <c r="T47">
        <v>300</v>
      </c>
      <c r="U47">
        <v>8000</v>
      </c>
      <c r="V47">
        <v>1867</v>
      </c>
      <c r="W47">
        <v>0</v>
      </c>
      <c r="X47" s="5">
        <v>0</v>
      </c>
      <c r="Y47" s="6">
        <v>0</v>
      </c>
      <c r="Z47" s="6">
        <v>0</v>
      </c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48" s="34" cm="1">
        <f t="array" ref="C48">_xlfn.XLOOKUP(1,(TablaMeta[CONCAT]=$M$3&amp;$N$3&amp;D1_MARZO_2026[[#This Row],[SUPER]])*(TablaMeta[SEGG]=D1_MARZO_2026[[#This Row],[SEGMENTO]]),TablaMeta[Meta_Asesor])</f>
        <v>44700</v>
      </c>
      <c r="D48" s="35">
        <f>IF(D1_MARZO_2026[[#This Row],[RECUPERO]]="VACACIONES","VACACIONES",IFERROR(D1_MARZO_2026[[#This Row],[RECUPERO]]/D1_MARZO_2026[[#This Row],[META]],""))</f>
        <v>0.61543624161073829</v>
      </c>
      <c r="E48" s="35" t="str">
        <f>D1_MARZO_2026[[#This Row],[SUPER]]</f>
        <v>LEONOR</v>
      </c>
      <c r="F48" t="s">
        <v>59</v>
      </c>
      <c r="G48" s="3">
        <v>27510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0.10514541387024609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LEONOR</v>
      </c>
      <c r="P48" s="6">
        <f>VLOOKUP(DATA_MARZO_2026[[#This Row],[ASER_]],D1_MARZO_2026[[ASESOR_CRR]:[RECUPERO]],6,0)</f>
        <v>4700</v>
      </c>
      <c r="Q48" s="6">
        <f>VLOOKUP(DATA_MARZO_2026[[#This Row],[ASER_]],D1_MARZO_2026[[ASESOR_CRR]:[META]],2,0)</f>
        <v>44700</v>
      </c>
      <c r="R48" t="s">
        <v>75</v>
      </c>
      <c r="S48" s="45">
        <v>2000</v>
      </c>
      <c r="T48">
        <v>2000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49" s="34" cm="1">
        <f t="array" ref="C49">_xlfn.XLOOKUP(1,(TablaMeta[CONCAT]=$M$3&amp;$N$3&amp;D1_MARZO_2026[[#This Row],[SUPER]])*(TablaMeta[SEGG]=D1_MARZO_2026[[#This Row],[SEGMENTO]]),TablaMeta[Meta_Asesor])</f>
        <v>44700</v>
      </c>
      <c r="D49" s="35">
        <f>IF(D1_MARZO_2026[[#This Row],[RECUPERO]]="VACACIONES","VACACIONES",IFERROR(D1_MARZO_2026[[#This Row],[RECUPERO]]/D1_MARZO_2026[[#This Row],[META]],""))</f>
        <v>0.32483221476510066</v>
      </c>
      <c r="E49" s="35" t="str">
        <f>D1_MARZO_2026[[#This Row],[SUPER]]</f>
        <v>LEONOR</v>
      </c>
      <c r="F49" t="s">
        <v>72</v>
      </c>
      <c r="G49" s="3">
        <v>14520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0.25328859060402686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11322</v>
      </c>
      <c r="Q49" s="6">
        <f>VLOOKUP(DATA_MARZO_2026[[#This Row],[ASER_]],D1_MARZO_2026[[ASESOR_CRR]:[META]],2,0)</f>
        <v>44700</v>
      </c>
      <c r="R49" t="s">
        <v>81</v>
      </c>
      <c r="S49" s="45">
        <v>0</v>
      </c>
      <c r="T49">
        <v>0</v>
      </c>
      <c r="U49">
        <v>0</v>
      </c>
      <c r="V49">
        <v>0</v>
      </c>
      <c r="W49">
        <v>0</v>
      </c>
      <c r="X49" s="5">
        <v>10222</v>
      </c>
      <c r="Y49" s="6">
        <v>0</v>
      </c>
      <c r="Z49" s="6">
        <v>0</v>
      </c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50" s="34" cm="1">
        <f t="array" ref="C50">_xlfn.XLOOKUP(1,(TablaMeta[CONCAT]=$M$3&amp;$N$3&amp;D1_MARZO_2026[[#This Row],[SUPER]])*(TablaMeta[SEGG]=D1_MARZO_2026[[#This Row],[SEGMENTO]]),TablaMeta[Meta_Asesor])</f>
        <v>44700</v>
      </c>
      <c r="D50" s="35">
        <f>IF(D1_MARZO_2026[[#This Row],[RECUPERO]]="VACACIONES","VACACIONES",IFERROR(D1_MARZO_2026[[#This Row],[RECUPERO]]/D1_MARZO_2026[[#This Row],[META]],""))</f>
        <v>0.35011185682326623</v>
      </c>
      <c r="E50" s="35" t="str">
        <f>D1_MARZO_2026[[#This Row],[SUPER]]</f>
        <v>LEONOR</v>
      </c>
      <c r="F50" t="s">
        <v>18</v>
      </c>
      <c r="G50" s="3">
        <v>15650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0.1512304250559284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6760</v>
      </c>
      <c r="Q50" s="6">
        <f>VLOOKUP(DATA_MARZO_2026[[#This Row],[ASER_]],D1_MARZO_2026[[ASESOR_CRR]:[META]],2,0)</f>
        <v>44700</v>
      </c>
      <c r="R50" t="s">
        <v>42</v>
      </c>
      <c r="S50">
        <v>400</v>
      </c>
      <c r="T50">
        <v>0</v>
      </c>
      <c r="U50">
        <v>1300</v>
      </c>
      <c r="V50">
        <v>0</v>
      </c>
      <c r="W50">
        <v>875</v>
      </c>
      <c r="X50" s="5">
        <v>0</v>
      </c>
      <c r="Y50" s="6">
        <v>0</v>
      </c>
      <c r="Z50" s="6">
        <v>1885</v>
      </c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51" s="34" cm="1">
        <f t="array" ref="C51">_xlfn.XLOOKUP(1,(TablaMeta[CONCAT]=$M$3&amp;$N$3&amp;D1_MARZO_2026[[#This Row],[SUPER]])*(TablaMeta[SEGG]=D1_MARZO_2026[[#This Row],[SEGMENTO]]),TablaMeta[Meta_Asesor])</f>
        <v>44700</v>
      </c>
      <c r="D51" s="35">
        <f>IF(D1_MARZO_2026[[#This Row],[RECUPERO]]="VACACIONES","VACACIONES",IFERROR(D1_MARZO_2026[[#This Row],[RECUPERO]]/D1_MARZO_2026[[#This Row],[META]],""))</f>
        <v>0.2580984340044743</v>
      </c>
      <c r="E51" s="35" t="str">
        <f>D1_MARZO_2026[[#This Row],[SUPER]]</f>
        <v>LEONOR</v>
      </c>
      <c r="F51" t="s">
        <v>60</v>
      </c>
      <c r="G51" s="3">
        <v>11537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0.42255033557046978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18888</v>
      </c>
      <c r="Q51" s="6">
        <f>VLOOKUP(DATA_MARZO_2026[[#This Row],[ASER_]],D1_MARZO_2026[[ASESOR_CRR]:[META]],2,0)</f>
        <v>44700</v>
      </c>
      <c r="R51" t="s">
        <v>65</v>
      </c>
      <c r="S51">
        <v>1565</v>
      </c>
      <c r="T51">
        <v>0</v>
      </c>
      <c r="U51">
        <v>2785</v>
      </c>
      <c r="V51">
        <v>0</v>
      </c>
      <c r="W51">
        <v>1685</v>
      </c>
      <c r="X51" s="5">
        <v>268</v>
      </c>
      <c r="Y51" s="6">
        <v>350</v>
      </c>
      <c r="Z51" s="6">
        <v>3550</v>
      </c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52" s="34" cm="1">
        <f t="array" ref="C52">_xlfn.XLOOKUP(1,(TablaMeta[CONCAT]=$M$3&amp;$N$3&amp;D1_MARZO_2026[[#This Row],[SUPER]])*(TablaMeta[SEGG]=D1_MARZO_2026[[#This Row],[SEGMENTO]]),TablaMeta[Meta_Asesor])</f>
        <v>44700</v>
      </c>
      <c r="D52" s="35">
        <f>IF(D1_MARZO_2026[[#This Row],[RECUPERO]]="VACACIONES","VACACIONES",IFERROR(D1_MARZO_2026[[#This Row],[RECUPERO]]/D1_MARZO_2026[[#This Row],[META]],""))</f>
        <v>0.25950782997762861</v>
      </c>
      <c r="E52" s="35" t="str">
        <f>D1_MARZO_2026[[#This Row],[SUPER]]</f>
        <v>LEONOR</v>
      </c>
      <c r="F52" t="s">
        <v>80</v>
      </c>
      <c r="G52" s="3">
        <v>11600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0.68874720357941832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30787</v>
      </c>
      <c r="Q52" s="6">
        <f>VLOOKUP(DATA_MARZO_2026[[#This Row],[ASER_]],D1_MARZO_2026[[ASESOR_CRR]:[META]],2,0)</f>
        <v>44700</v>
      </c>
      <c r="R52" t="s">
        <v>10</v>
      </c>
      <c r="S52" s="3">
        <v>0</v>
      </c>
      <c r="T52">
        <v>0</v>
      </c>
      <c r="U52">
        <v>16987</v>
      </c>
      <c r="V52">
        <v>0</v>
      </c>
      <c r="W52">
        <v>0</v>
      </c>
      <c r="X52" s="5">
        <v>0</v>
      </c>
      <c r="Y52" s="6">
        <v>0</v>
      </c>
      <c r="Z52" s="6">
        <v>0</v>
      </c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53" s="34" cm="1">
        <f t="array" ref="C53">_xlfn.XLOOKUP(1,(TablaMeta[CONCAT]=$M$3&amp;$N$3&amp;D1_MARZO_2026[[#This Row],[SUPER]])*(TablaMeta[SEGG]=D1_MARZO_2026[[#This Row],[SEGMENTO]]),TablaMeta[Meta_Asesor])</f>
        <v>44700</v>
      </c>
      <c r="D53" s="35">
        <f>IF(D1_MARZO_2026[[#This Row],[RECUPERO]]="VACACIONES","VACACIONES",IFERROR(D1_MARZO_2026[[#This Row],[RECUPERO]]/D1_MARZO_2026[[#This Row],[META]],""))</f>
        <v>0.10514541387024609</v>
      </c>
      <c r="E53" s="35" t="str">
        <f>D1_MARZO_2026[[#This Row],[SUPER]]</f>
        <v>LEONOR</v>
      </c>
      <c r="F53" t="s">
        <v>75</v>
      </c>
      <c r="G53" s="3">
        <v>4700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0.21232662192393736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9491</v>
      </c>
      <c r="Q53" s="6">
        <f>VLOOKUP(DATA_MARZO_2026[[#This Row],[ASER_]],D1_MARZO_2026[[ASESOR_CRR]:[META]],2,0)</f>
        <v>44700</v>
      </c>
      <c r="R53" t="s">
        <v>37</v>
      </c>
      <c r="S53" s="3">
        <v>0</v>
      </c>
      <c r="T53">
        <v>6000</v>
      </c>
      <c r="U53">
        <v>0</v>
      </c>
      <c r="V53">
        <v>950</v>
      </c>
      <c r="W53">
        <v>0</v>
      </c>
      <c r="X53" s="5">
        <v>0</v>
      </c>
      <c r="Y53" s="6">
        <v>150</v>
      </c>
      <c r="Z53" s="6">
        <v>350</v>
      </c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54" s="34" cm="1">
        <f t="array" ref="C54">_xlfn.XLOOKUP(1,(TablaMeta[CONCAT]=$M$3&amp;$N$3&amp;D1_MARZO_2026[[#This Row],[SUPER]])*(TablaMeta[SEGG]=D1_MARZO_2026[[#This Row],[SEGMENTO]]),TablaMeta[Meta_Asesor])</f>
        <v>44700</v>
      </c>
      <c r="D54" s="35">
        <f>IF(D1_MARZO_2026[[#This Row],[RECUPERO]]="VACACIONES","VACACIONES",IFERROR(D1_MARZO_2026[[#This Row],[RECUPERO]]/D1_MARZO_2026[[#This Row],[META]],""))</f>
        <v>0.11118568232662192</v>
      </c>
      <c r="E54" s="35" t="str">
        <f>D1_MARZO_2026[[#This Row],[SUPER]]</f>
        <v>LEONOR</v>
      </c>
      <c r="F54" t="s">
        <v>26</v>
      </c>
      <c r="G54" s="3">
        <v>4970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0.64742729306487701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28940</v>
      </c>
      <c r="Q54" s="6">
        <f>VLOOKUP(DATA_MARZO_2026[[#This Row],[ASER_]],D1_MARZO_2026[[ASESOR_CRR]:[META]],2,0)</f>
        <v>44700</v>
      </c>
      <c r="R54" t="s">
        <v>24</v>
      </c>
      <c r="S54" s="3">
        <v>0</v>
      </c>
      <c r="T54">
        <v>700</v>
      </c>
      <c r="U54">
        <v>0</v>
      </c>
      <c r="V54">
        <v>6250</v>
      </c>
      <c r="W54">
        <v>0</v>
      </c>
      <c r="X54" s="5">
        <v>0</v>
      </c>
      <c r="Y54" s="6">
        <v>0</v>
      </c>
      <c r="Z54" s="6">
        <v>5290</v>
      </c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55" s="34" cm="1">
        <f t="array" ref="C55">_xlfn.XLOOKUP(1,(TablaMeta[CONCAT]=$M$3&amp;$N$3&amp;D1_MARZO_2026[[#This Row],[SUPER]])*(TablaMeta[SEGG]=D1_MARZO_2026[[#This Row],[SEGMENTO]]),TablaMeta[Meta_Asesor])</f>
        <v>44700</v>
      </c>
      <c r="D55" s="35">
        <f>IF(D1_MARZO_2026[[#This Row],[RECUPERO]]="VACACIONES","VACACIONES",IFERROR(D1_MARZO_2026[[#This Row],[RECUPERO]]/D1_MARZO_2026[[#This Row],[META]],""))</f>
        <v>9.8434004474272932E-2</v>
      </c>
      <c r="E55" s="35" t="str">
        <f>D1_MARZO_2026[[#This Row],[SUPER]]</f>
        <v>LEONOR</v>
      </c>
      <c r="F55" t="s">
        <v>51</v>
      </c>
      <c r="G55" s="3">
        <v>4400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0.36465324384787473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16300</v>
      </c>
      <c r="Q55" s="6">
        <f>VLOOKUP(DATA_MARZO_2026[[#This Row],[ASER_]],D1_MARZO_2026[[ASESOR_CRR]:[META]],2,0)</f>
        <v>44700</v>
      </c>
      <c r="R55" t="s">
        <v>13</v>
      </c>
      <c r="S55" s="3">
        <v>1600</v>
      </c>
      <c r="T55">
        <v>0</v>
      </c>
      <c r="U55">
        <v>0</v>
      </c>
      <c r="V55">
        <v>0</v>
      </c>
      <c r="W55">
        <v>0</v>
      </c>
      <c r="X55" s="5">
        <v>2000</v>
      </c>
      <c r="Y55" s="6">
        <v>10000</v>
      </c>
      <c r="Z55" s="6">
        <v>500</v>
      </c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56" s="34" cm="1">
        <f t="array" ref="C56">_xlfn.XLOOKUP(1,(TablaMeta[CONCAT]=$M$3&amp;$N$3&amp;D1_MARZO_2026[[#This Row],[SUPER]])*(TablaMeta[SEGG]=D1_MARZO_2026[[#This Row],[SEGMENTO]]),TablaMeta[Meta_Asesor])</f>
        <v>44700</v>
      </c>
      <c r="D56" s="35">
        <f>IF(D1_MARZO_2026[[#This Row],[RECUPERO]]="VACACIONES","VACACIONES",IFERROR(D1_MARZO_2026[[#This Row],[RECUPERO]]/D1_MARZO_2026[[#This Row],[META]],""))</f>
        <v>0.22210290827740492</v>
      </c>
      <c r="E56" s="35" t="str">
        <f>D1_MARZO_2026[[#This Row],[SUPER]]</f>
        <v>LEONOR</v>
      </c>
      <c r="F56" t="s">
        <v>12</v>
      </c>
      <c r="G56" s="3">
        <v>9928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0.21241610738255035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9495</v>
      </c>
      <c r="Q56" s="6">
        <f>VLOOKUP(DATA_MARZO_2026[[#This Row],[ASER_]],D1_MARZO_2026[[ASESOR_CRR]:[META]],2,0)</f>
        <v>44700</v>
      </c>
      <c r="R56" t="s">
        <v>25</v>
      </c>
      <c r="S56" s="3">
        <v>1100</v>
      </c>
      <c r="T56">
        <v>0</v>
      </c>
      <c r="U56">
        <v>3080</v>
      </c>
      <c r="V56">
        <v>500</v>
      </c>
      <c r="W56">
        <v>400</v>
      </c>
      <c r="X56" s="5">
        <v>2000</v>
      </c>
      <c r="Y56" s="6">
        <v>525</v>
      </c>
      <c r="Z56" s="6">
        <v>1500</v>
      </c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0" x14ac:dyDescent="0.25">
      <c r="H57"/>
      <c r="M57" s="5">
        <f>DATA_MARZO_2026[[#This Row],[RECUPERO]]/DATA_MARZO_2026[[#This Row],[META]]</f>
        <v>0.40075771812080535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17913.87</v>
      </c>
      <c r="Q57" s="6">
        <f>VLOOKUP(DATA_MARZO_2026[[#This Row],[ASER_]],D1_MARZO_2026[[ASESOR_CRR]:[META]],2,0)</f>
        <v>44700</v>
      </c>
      <c r="R57" t="s">
        <v>22</v>
      </c>
      <c r="S57" s="3">
        <v>2000</v>
      </c>
      <c r="T57">
        <v>0</v>
      </c>
      <c r="U57">
        <v>0</v>
      </c>
      <c r="V57">
        <v>0</v>
      </c>
      <c r="W57">
        <v>4713.87</v>
      </c>
      <c r="X57" s="5">
        <v>0</v>
      </c>
      <c r="Y57" s="6">
        <v>0</v>
      </c>
      <c r="Z57" s="6">
        <v>0</v>
      </c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0" x14ac:dyDescent="0.25">
      <c r="H58"/>
      <c r="M58" s="5">
        <f>DATA_MARZO_2026[[#This Row],[RECUPERO]]/DATA_MARZO_2026[[#This Row],[META]]</f>
        <v>0.49720357941834453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&gt;40%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22225</v>
      </c>
      <c r="Q58" s="6">
        <f>VLOOKUP(DATA_MARZO_2026[[#This Row],[ASER_]],D1_MARZO_2026[[ASESOR_CRR]:[META]],2,0)</f>
        <v>44700</v>
      </c>
      <c r="R58" t="s">
        <v>31</v>
      </c>
      <c r="S58" s="3">
        <v>0</v>
      </c>
      <c r="T58">
        <v>2000</v>
      </c>
      <c r="U58">
        <v>11264</v>
      </c>
      <c r="V58">
        <v>0</v>
      </c>
      <c r="W58">
        <v>0</v>
      </c>
      <c r="X58" s="5">
        <v>0</v>
      </c>
      <c r="Y58" s="6">
        <v>0</v>
      </c>
      <c r="Z58" s="6">
        <v>2000</v>
      </c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59" zoomScale="85" zoomScaleNormal="85" workbookViewId="0">
      <selection activeCell="I209" sqref="I209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2026-05-20T14:11:56Z</dcterms:modified>
</cp:coreProperties>
</file>