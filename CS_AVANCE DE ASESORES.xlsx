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335A00F-D1F3-4340-9E6C-58B5367865C5}" xr6:coauthVersionLast="47" xr6:coauthVersionMax="47" xr10:uidLastSave="{00000000-0000-0000-0000-000000000000}"/>
  <bookViews>
    <workbookView xWindow="-120" yWindow="-120" windowWidth="20730" windowHeight="11040" firstSheet="14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0" i="30" l="1" a="1"/>
  <c r="AX10" i="30"/>
  <c r="AX11" i="30" a="1"/>
  <c r="AX11" i="30" s="1"/>
  <c r="AX12" i="30" a="1"/>
  <c r="AX12" i="30" s="1"/>
  <c r="AX13" i="30" a="1"/>
  <c r="AX13" i="30"/>
  <c r="AX14" i="30" a="1"/>
  <c r="AX14" i="30" s="1"/>
  <c r="AX15" i="30" a="1"/>
  <c r="AX15" i="30" s="1"/>
  <c r="AX16" i="30" a="1"/>
  <c r="AX16" i="30"/>
  <c r="AX17" i="30" a="1"/>
  <c r="AX17" i="30" s="1"/>
  <c r="AX18" i="30" a="1"/>
  <c r="AX18" i="30" s="1"/>
  <c r="AX19" i="30" a="1"/>
  <c r="AX19" i="30"/>
  <c r="AX20" i="30" a="1"/>
  <c r="AX20" i="30" s="1"/>
  <c r="AX21" i="30" a="1"/>
  <c r="AX21" i="30" s="1"/>
  <c r="AX22" i="30" a="1"/>
  <c r="AX22" i="30"/>
  <c r="AX23" i="30" a="1"/>
  <c r="AX23" i="30" s="1"/>
  <c r="AX24" i="30" a="1"/>
  <c r="AX24" i="30" s="1"/>
  <c r="AX25" i="30" a="1"/>
  <c r="AX25" i="30"/>
  <c r="AX26" i="30" a="1"/>
  <c r="AX26" i="30" s="1"/>
  <c r="AX27" i="30" a="1"/>
  <c r="AX27" i="30" s="1"/>
  <c r="AX28" i="30" a="1"/>
  <c r="AX28" i="30"/>
  <c r="AX29" i="30" a="1"/>
  <c r="AX29" i="30" s="1"/>
  <c r="AX30" i="30" a="1"/>
  <c r="AX30" i="30" s="1"/>
  <c r="AX31" i="30" a="1"/>
  <c r="AX31" i="30"/>
  <c r="AX32" i="30" a="1"/>
  <c r="AX32" i="30" s="1"/>
  <c r="AX33" i="30" a="1"/>
  <c r="AX33" i="30" s="1"/>
  <c r="AX34" i="30" a="1"/>
  <c r="AX34" i="30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/>
  <c r="AX40" i="30" a="1"/>
  <c r="AX40" i="30" s="1"/>
  <c r="AX41" i="30" a="1"/>
  <c r="AX41" i="30" s="1"/>
  <c r="AX42" i="30" a="1"/>
  <c r="AX42" i="30"/>
  <c r="AX43" i="30" a="1"/>
  <c r="AX43" i="30" s="1"/>
  <c r="AX44" i="30" a="1"/>
  <c r="AX44" i="30" s="1"/>
  <c r="AX45" i="30" a="1"/>
  <c r="AX45" i="30"/>
  <c r="AX46" i="30" a="1"/>
  <c r="AX46" i="30" s="1"/>
  <c r="AX47" i="30" a="1"/>
  <c r="AX47" i="30" s="1"/>
  <c r="AX48" i="30" a="1"/>
  <c r="AX48" i="30"/>
  <c r="AX49" i="30" a="1"/>
  <c r="AX49" i="30" s="1"/>
  <c r="AX50" i="30" a="1"/>
  <c r="AX50" i="30" s="1"/>
  <c r="AX51" i="30" a="1"/>
  <c r="AX51" i="30"/>
  <c r="AX52" i="30" a="1"/>
  <c r="AX52" i="30" s="1"/>
  <c r="AX53" i="30" a="1"/>
  <c r="AX53" i="30" s="1"/>
  <c r="AX54" i="30" a="1"/>
  <c r="AX54" i="30"/>
  <c r="AX55" i="30" a="1"/>
  <c r="AX55" i="30" s="1"/>
  <c r="AX56" i="30" a="1"/>
  <c r="AX56" i="30" s="1"/>
  <c r="AX57" i="30" a="1"/>
  <c r="AX57" i="30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/>
  <c r="AX56" i="33" a="1"/>
  <c r="AX56" i="33" s="1"/>
  <c r="AX57" i="33" a="1"/>
  <c r="AX57" i="33" s="1"/>
  <c r="AX58" i="33" a="1"/>
  <c r="AX58" i="33" s="1"/>
  <c r="AX59" i="33" a="1"/>
  <c r="AX59" i="33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/>
  <c r="AO56" i="35" a="1"/>
  <c r="AO56" i="35"/>
  <c r="AO57" i="35" a="1"/>
  <c r="AO57" i="35"/>
  <c r="AO58" i="35" a="1"/>
  <c r="AO58" i="35"/>
  <c r="AO59" i="35" a="1"/>
  <c r="AO59" i="35"/>
  <c r="AO60" i="35" a="1"/>
  <c r="AO60" i="35"/>
  <c r="AO61" i="35" a="1"/>
  <c r="AO61" i="35"/>
  <c r="AM9" i="36" a="1"/>
  <c r="AM9" i="36" s="1"/>
  <c r="AM10" i="36" a="1"/>
  <c r="AM10" i="36" s="1"/>
  <c r="AM11" i="36" a="1"/>
  <c r="AM11" i="36" s="1"/>
  <c r="AM12" i="36" a="1"/>
  <c r="AM12" i="36"/>
  <c r="AM13" i="36" a="1"/>
  <c r="AM13" i="36" s="1"/>
  <c r="AM14" i="36" a="1"/>
  <c r="AM14" i="36" s="1"/>
  <c r="AM15" i="36" a="1"/>
  <c r="AM15" i="36" s="1"/>
  <c r="AM16" i="36" a="1"/>
  <c r="AM16" i="36"/>
  <c r="AM17" i="36" a="1"/>
  <c r="AM17" i="36" s="1"/>
  <c r="AM18" i="36" a="1"/>
  <c r="AM18" i="36" s="1"/>
  <c r="AM19" i="36" a="1"/>
  <c r="AM19" i="36" s="1"/>
  <c r="AM20" i="36" a="1"/>
  <c r="AM20" i="36"/>
  <c r="AM21" i="36" a="1"/>
  <c r="AM21" i="36" s="1"/>
  <c r="AM22" i="36" a="1"/>
  <c r="AM22" i="36" s="1"/>
  <c r="AM23" i="36" a="1"/>
  <c r="AM23" i="36" s="1"/>
  <c r="AM24" i="36" a="1"/>
  <c r="AM24" i="36"/>
  <c r="AM25" i="36" a="1"/>
  <c r="AM25" i="36" s="1"/>
  <c r="AM26" i="36" a="1"/>
  <c r="AM26" i="36" s="1"/>
  <c r="AM27" i="36" a="1"/>
  <c r="AM27" i="36" s="1"/>
  <c r="AM28" i="36" a="1"/>
  <c r="AM28" i="36"/>
  <c r="AM29" i="36" a="1"/>
  <c r="AM29" i="36" s="1"/>
  <c r="AM30" i="36" a="1"/>
  <c r="AM30" i="36" s="1"/>
  <c r="AM31" i="36" a="1"/>
  <c r="AM31" i="36" s="1"/>
  <c r="AM32" i="36" a="1"/>
  <c r="AM32" i="36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/>
  <c r="AM40" i="36" a="1"/>
  <c r="AM40" i="36" s="1"/>
  <c r="AM41" i="36" a="1"/>
  <c r="AM41" i="36" s="1"/>
  <c r="AM42" i="36" a="1"/>
  <c r="AM42" i="36" s="1"/>
  <c r="AM43" i="36" a="1"/>
  <c r="AM43" i="36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/>
  <c r="AM52" i="36" a="1"/>
  <c r="AM52" i="36"/>
  <c r="AM53" i="36" a="1"/>
  <c r="AM53" i="36"/>
  <c r="AM54" i="36" a="1"/>
  <c r="AM54" i="36"/>
  <c r="AM55" i="36" a="1"/>
  <c r="AM55" i="36"/>
  <c r="AM56" i="36" a="1"/>
  <c r="AM56" i="36"/>
  <c r="AM57" i="36" a="1"/>
  <c r="AM57" i="36"/>
  <c r="AM58" i="36" a="1"/>
  <c r="AM58" i="36"/>
  <c r="AM59" i="36" a="1"/>
  <c r="AM59" i="36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AN55" i="17" a="1"/>
  <c r="AN55" i="17" s="1"/>
  <c r="AN56" i="17" a="1"/>
  <c r="AN56" i="17" s="1"/>
  <c r="AN57" i="17" a="1"/>
  <c r="AN57" i="17" s="1"/>
  <c r="AN58" i="17" a="1"/>
  <c r="AN58" i="17" s="1"/>
  <c r="B57" i="17" a="1"/>
  <c r="B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B31" i="17" a="1"/>
  <c r="B31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K57" i="17" l="1" a="1"/>
  <c r="K57" i="17" s="1"/>
  <c r="J57" i="17" a="1"/>
  <c r="J57" i="17" s="1"/>
  <c r="I57" i="17" a="1"/>
  <c r="I57" i="17" s="1"/>
  <c r="H57" i="17" a="1"/>
  <c r="H57" i="17" s="1"/>
  <c r="A57" i="17" a="1"/>
  <c r="A57" i="17" s="1"/>
  <c r="E57" i="17" s="1"/>
  <c r="P58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17" l="1" a="1"/>
  <c r="C57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4" i="17" a="1"/>
  <c r="C44" i="17" s="1"/>
  <c r="D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54" i="17" a="1"/>
  <c r="C54" i="17" s="1"/>
  <c r="D54" i="17" s="1"/>
  <c r="C51" i="36" a="1"/>
  <c r="C51" i="36" s="1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E38" i="17"/>
  <c r="E36" i="17"/>
  <c r="E37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17" l="1"/>
  <c r="Q58" i="17"/>
  <c r="M58" i="17" s="1"/>
  <c r="N58" i="17" s="1" a="1"/>
  <c r="N58" i="17" s="1"/>
  <c r="Q56" i="17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O53" i="17" s="1"/>
  <c r="D27" i="17"/>
  <c r="E16" i="17"/>
  <c r="D16" i="17"/>
  <c r="E21" i="17"/>
  <c r="O42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D10" i="17"/>
  <c r="E12" i="17"/>
  <c r="D12" i="17"/>
  <c r="E11" i="17"/>
  <c r="D11" i="17"/>
  <c r="E26" i="17"/>
  <c r="O58" i="17" s="1"/>
  <c r="D26" i="17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51" i="17" l="1"/>
  <c r="O57" i="17"/>
  <c r="O41" i="17"/>
  <c r="O44" i="17"/>
  <c r="O54" i="17"/>
  <c r="O40" i="17"/>
  <c r="O37" i="17"/>
  <c r="O36" i="17"/>
  <c r="O46" i="17"/>
  <c r="O56" i="17"/>
  <c r="O52" i="17"/>
  <c r="O43" i="17"/>
  <c r="O38" i="17"/>
  <c r="O49" i="17"/>
  <c r="O39" i="17"/>
  <c r="O45" i="17"/>
  <c r="O50" i="17"/>
  <c r="O55" i="17"/>
  <c r="O18" i="17"/>
  <c r="O10" i="17"/>
  <c r="O34" i="17"/>
  <c r="O33" i="17"/>
  <c r="O35" i="17"/>
  <c r="O16" i="17"/>
  <c r="O47" i="17"/>
  <c r="O14" i="17"/>
  <c r="O11" i="17"/>
  <c r="O30" i="17"/>
  <c r="O48" i="17"/>
  <c r="O31" i="17"/>
  <c r="Q48" i="17"/>
  <c r="M48" i="17" s="1"/>
  <c r="N48" i="17" s="1" a="1"/>
  <c r="N48" i="17" s="1"/>
  <c r="O15" i="17"/>
  <c r="O20" i="17"/>
  <c r="O13" i="17"/>
  <c r="O24" i="17"/>
  <c r="O21" i="17"/>
  <c r="O19" i="17"/>
  <c r="O12" i="17"/>
  <c r="O23" i="17"/>
  <c r="O32" i="17"/>
  <c r="O17" i="17"/>
  <c r="O22" i="17"/>
  <c r="O25" i="17"/>
  <c r="O27" i="17"/>
  <c r="O29" i="17"/>
  <c r="O26" i="17"/>
  <c r="O28" i="17"/>
  <c r="O9" i="17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<sst xmlns="http://schemas.openxmlformats.org/spreadsheetml/2006/main" count="15431" uniqueCount="634">
  <si>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</si>
  <si>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</si>
  <si>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</si>
  <si>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</si>
  <si>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</si>
  <si>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</si>
  <si>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</si>
  <si>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</si>
  <si>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</si>
  <si>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</si>
  <si>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</si>
  <si>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</si>
  <si>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</si>
  <si>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</si>
  <si>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</si>
  <si>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</si>
  <si>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</si>
  <si>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</si>
  <si>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</si>
  <si>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</si>
  <si>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</si>
  <si>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</si>
  <si>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</si>
  <si>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</si>
  <si>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</si>
  <si>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</si>
  <si>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</si>
  <si>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</si>
  <si>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</si>
  <si>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</si>
  <si>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</si>
  <si>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</si>
  <si>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</si>
  <si>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</si>
  <si>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</si>
  <si>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</si>
  <si>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</si>
  <si>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</si>
  <si>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</si>
  <si>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</si>
  <si>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</si>
  <si>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</si>
  <si>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</si>
  <si>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</si>
  <si>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</si>
  <si>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</si>
  <si>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</si>
  <si>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</si>
  <si>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</si>
  <si>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</si>
  <si>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</si>
  <si>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</si>
  <si>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</si>
  <si>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</si>
  <si>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</si>
  <si>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</si>
  <si>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</si>
  <si>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</si>
  <si>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</si>
  <si>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</si>
  <si>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</si>
  <si>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</si>
  <si>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</si>
  <si>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</si>
  <si>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</si>
  <si>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</si>
  <si>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</si>
  <si>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</si>
  <si>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</si>
  <si>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</si>
  <si>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</si>
  <si>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</si>
  <si>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</si>
  <si>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</si>
  <si>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</si>
  <si>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</si>
  <si>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</si>
  <si>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</si>
  <si>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</si>
  <si>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</si>
  <si>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</si>
  <si>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</si>
  <si>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</si>
  <si>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</si>
  <si>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</si>
  <si>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</si>
  <si>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</si>
  <si>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</si>
  <si>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</si>
  <si>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</si>
  <si>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</si>
  <si>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</si>
  <si>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</si>
  <si>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</si>
  <si>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</si>
  <si>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</si>
  <si>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</si>
  <si>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</si>
  <si>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</si>
  <si>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</si>
  <si>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</si>
  <si>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</si>
  <si>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</si>
  <si>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</si>
  <si>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</si>
  <si>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</si>
  <si>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</si>
  <si>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</si>
  <si>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</si>
  <si>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</si>
  <si>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</si>
  <si>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</si>
  <si>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</si>
  <si>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</si>
  <si>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</si>
  <si>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</si>
  <si>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</si>
  <si>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</si>
  <si>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</si>
  <si>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</si>
  <si>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</si>
  <si>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</si>
  <si>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</si>
  <si>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</si>
  <si>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</si>
  <si>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</si>
  <si>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</si>
  <si>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</si>
  <si>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</si>
  <si>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</si>
  <si>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</si>
  <si>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</si>
  <si>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</si>
  <si>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</si>
  <si>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</si>
  <si>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</si>
  <si>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</si>
  <si>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</si>
  <si>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</si>
  <si>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</si>
  <si>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</si>
  <si>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</si>
  <si>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</si>
  <si>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</si>
  <si>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</si>
  <si>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</si>
  <si>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</si>
  <si>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</si>
  <si>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</si>
  <si>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</si>
  <si>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</si>
  <si>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</si>
  <si>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</si>
  <si>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</si>
  <si>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</si>
  <si>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</si>
  <si>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</si>
  <si>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</si>
  <si>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</si>
  <si>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</si>
  <si>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</si>
  <si>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</si>
  <si>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</si>
  <si>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</si>
  <si>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</si>
  <si>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</si>
  <si>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</si>
  <si>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</si>
  <si>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</si>
  <si>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</si>
  <si>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</si>
  <si>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</si>
  <si>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</si>
  <si>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</si>
  <si>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</si>
  <si>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</si>
  <si>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</si>
  <si>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</si>
  <si>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</si>
  <si>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</si>
  <si>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</si>
  <si>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</si>
  <si>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</si>
  <si>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</si>
  <si>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</si>
  <si>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</si>
  <si>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</si>
  <si>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</si>
  <si>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</si>
  <si>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</si>
  <si>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</si>
  <si>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</si>
  <si>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</si>
  <si>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</si>
  <si>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</si>
  <si>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</si>
  <si>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</si>
  <si>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</si>
  <si>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</si>
  <si>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</si>
  <si>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</si>
  <si>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</si>
  <si>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</si>
  <si>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</si>
  <si>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</si>
  <si>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</si>
  <si>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</si>
  <si>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</si>
  <si>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</si>
  <si>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</si>
  <si>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</si>
  <si>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</si>
  <si>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</si>
  <si>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</si>
  <si>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</si>
  <si>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</si>
  <si>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</si>
  <si>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</si>
  <si>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</si>
  <si>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</si>
  <si>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</si>
  <si>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</si>
  <si>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</si>
  <si>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</si>
  <si>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</si>
  <si>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</si>
  <si>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</si>
  <si>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</si>
  <si>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</si>
  <si>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</si>
  <si>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</si>
  <si>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</si>
  <si>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</si>
  <si>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</si>
  <si>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</si>
  <si>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</si>
  <si>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</si>
  <si>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</si>
  <si>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</si>
  <si>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</si>
  <si>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</si>
  <si>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</si>
  <si>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</si>
  <si>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</si>
  <si>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</si>
  <si>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</si>
  <si>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</si>
  <si>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</si>
  <si>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</si>
  <si>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</si>
  <si>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</si>
  <si>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</si>
  <si>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</si>
  <si>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</si>
  <si>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</si>
  <si>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</si>
  <si>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</si>
  <si>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</si>
  <si>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</si>
  <si>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</si>
  <si>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</si>
  <si>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</si>
  <si>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</si>
  <si>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</si>
  <si>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</si>
  <si>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</si>
  <si>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</si>
  <si>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</si>
  <si>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</si>
  <si>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</si>
  <si>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</si>
  <si>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</si>
  <si>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</si>
  <si>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</si>
  <si>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</si>
  <si>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</si>
  <si>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</si>
  <si>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</si>
  <si>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</si>
  <si>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</si>
  <si>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</si>
  <si>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</si>
  <si>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</si>
  <si>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</si>
  <si>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</si>
  <si>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</si>
  <si>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</si>
  <si>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</si>
  <si>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</si>
  <si>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</si>
  <si>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</si>
  <si>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</si>
  <si>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</si>
  <si>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</si>
  <si>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</si>
  <si>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</si>
  <si>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</si>
  <si>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</si>
  <si>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</si>
  <si>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</si>
  <si>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</si>
  <si>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</si>
  <si>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</si>
  <si>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</si>
  <si>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</si>
  <si>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</si>
  <si>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</si>
  <si>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</si>
  <si>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</si>
  <si>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</si>
  <si>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</si>
  <si>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</si>
  <si>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</si>
  <si>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</si>
  <si>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</si>
  <si>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</si>
  <si>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</si>
  <si>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</si>
  <si>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</si>
  <si>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</si>
  <si>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</si>
  <si>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</si>
  <si>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</si>
  <si>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</si>
  <si>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</si>
  <si>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</si>
  <si>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</si>
  <si>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</si>
  <si>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</si>
  <si>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</si>
  <si>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</si>
  <si>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</si>
  <si>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</si>
  <si>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</si>
  <si>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</si>
  <si>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</si>
  <si>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</si>
  <si>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</si>
  <si>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</si>
  <si>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</si>
  <si>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</si>
  <si>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</si>
  <si>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</si>
  <si>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</si>
  <si>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</si>
  <si>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</si>
  <si>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</si>
  <si>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</si>
  <si>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</si>
  <si>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</si>
  <si>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</si>
  <si>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</si>
  <si>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</si>
  <si>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</si>
  <si>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</si>
  <si>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</si>
  <si>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</si>
  <si>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</si>
  <si>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</si>
  <si>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</si>
  <si>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</si>
  <si>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</si>
  <si>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</si>
  <si>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</si>
  <si>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</si>
  <si>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</si>
  <si>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</si>
  <si>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</si>
  <si>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</si>
  <si>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</si>
  <si>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</si>
  <si>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</si>
  <si>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</si>
  <si>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</si>
  <si>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</si>
  <si>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</si>
  <si>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</si>
  <si>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</si>
  <si>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</si>
  <si>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</si>
  <si>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</si>
  <si>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</si>
  <si>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</si>
  <si>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</si>
  <si>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</si>
  <si>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</si>
  <si>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</si>
  <si>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</si>
  <si>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</si>
  <si>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</si>
  <si>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</si>
  <si>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</si>
  <si>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</si>
  <si>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</si>
  <si>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</si>
  <si>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</si>
  <si>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</si>
  <si>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</si>
  <si>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</si>
  <si>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</si>
  <si>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</si>
  <si>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</si>
  <si>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</si>
  <si>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</si>
  <si>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</si>
  <si>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</si>
  <si>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</si>
  <si>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</si>
  <si>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</si>
  <si>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</si>
  <si>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</si>
  <si>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</si>
  <si>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</si>
  <si>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</si>
  <si>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</si>
  <si>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</si>
  <si>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</si>
  <si>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</si>
  <si>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</si>
  <si>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</si>
  <si>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</si>
  <si>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</si>
  <si>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</si>
  <si>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</si>
  <si>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</si>
  <si>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</si>
  <si>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</si>
  <si>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</si>
  <si>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</si>
  <si>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</si>
  <si>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</si>
  <si>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</si>
  <si>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</si>
  <si>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</si>
  <si>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</si>
  <si>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</si>
  <si>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</si>
  <si>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</si>
  <si>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</si>
  <si>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</si>
  <si>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</si>
  <si>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</si>
  <si>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</si>
  <si>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</si>
  <si>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</si>
  <si>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</si>
  <si>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</si>
  <si>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</si>
  <si>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</si>
  <si>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</si>
  <si>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</si>
  <si>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</si>
  <si>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</si>
  <si>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</si>
  <si>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</si>
  <si>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</si>
  <si>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</si>
  <si>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</si>
  <si>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</si>
  <si>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</si>
  <si>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</si>
  <si>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</si>
  <si>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</si>
  <si>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</si>
  <si>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</si>
  <si>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</si>
  <si>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</si>
  <si>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</si>
  <si>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</si>
  <si>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</si>
  <si>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</si>
  <si>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</si>
  <si>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</si>
  <si>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</si>
  <si>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</si>
  <si>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</si>
  <si>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</si>
  <si>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</si>
  <si>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</si>
  <si>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</si>
  <si>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</si>
  <si>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</si>
  <si>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</si>
  <si>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</si>
  <si>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</si>
  <si>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</si>
  <si>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</si>
  <si>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</si>
  <si>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</si>
  <si>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</si>
  <si>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</si>
  <si>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</si>
  <si>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</si>
  <si>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</si>
  <si>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</si>
  <si>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</si>
  <si>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</si>
  <si>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</si>
  <si>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</si>
  <si>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</si>
  <si>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</si>
  <si>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</si>
  <si>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</si>
  <si>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</si>
  <si>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</si>
  <si>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</si>
  <si>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</si>
  <si>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</si>
  <si>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</si>
  <si>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</si>
  <si>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</si>
  <si>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</si>
  <si>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</si>
  <si>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</si>
  <si>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</si>
  <si>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</si>
  <si>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</si>
  <si>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</si>
  <si>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</si>
  <si>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</si>
  <si>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</si>
  <si>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</si>
  <si>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</si>
  <si>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</si>
  <si>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</si>
  <si>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</si>
  <si>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</si>
  <si>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</si>
  <si>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</si>
  <si>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</si>
  <si>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</si>
  <si>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</si>
  <si>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</si>
  <si>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</si>
  <si>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</si>
  <si>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</si>
  <si>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</si>
  <si>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</si>
  <si>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</si>
  <si>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</si>
  <si>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</si>
  <si>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</si>
  <si>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</si>
  <si>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</si>
  <si>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</si>
  <si>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</si>
  <si>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</si>
  <si>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</si>
  <si>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</si>
  <si>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</si>
  <si>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</si>
  <si>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</si>
  <si>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</si>
  <si>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</si>
  <si>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</si>
  <si>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</si>
  <si>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</si>
  <si>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</si>
  <si>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</si>
  <si>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</si>
  <si>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</si>
  <si>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</si>
  <si>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</si>
  <si>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</si>
  <si>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</si>
  <si>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</si>
  <si>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</si>
  <si>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</si>
  <si>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</si>
  <si>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</si>
  <si>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</si>
  <si>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</si>
  <si>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</si>
  <si>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</si>
  <si>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</si>
  <si>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</si>
  <si>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</si>
  <si>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</si>
  <si>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</si>
  <si>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</si>
  <si>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</si>
  <si>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</si>
  <si>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</si>
  <si>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</si>
  <si>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</si>
  <si>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</si>
  <si>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</si>
  <si>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</si>
  <si>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</si>
  <si>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</si>
  <si>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</si>
  <si>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</si>
  <si>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</si>
  <si>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</si>
  <si>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</si>
  <si>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</si>
  <si>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</si>
  <si>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</si>
  <si>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</si>
  <si>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</si>
  <si>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</si>
  <si>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</si>
  <si>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</si>
  <si>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</si>
  <si>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</si>
  <si>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</si>
  <si>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</si>
  <si>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</si>
  <si>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</si>
  <si>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</si>
  <si>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</si>
  <si>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</si>
  <si>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</si>
  <si>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</si>
  <si>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</si>
  <si>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</si>
  <si>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</si>
  <si>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</si>
  <si>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</si>
  <si>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</si>
  <si>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</si>
  <si>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</si>
  <si>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</si>
  <si>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</si>
  <si>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</si>
  <si>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</si>
  <si>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</si>
  <si>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</si>
  <si>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</si>
  <si>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 xml:space="preserve">ERIKA VILLAR </t>
  </si>
  <si>
    <t xml:space="preserve">CRISTINA TICONA </t>
  </si>
  <si>
    <t>ANALISTA BUSINESS INTELLIGENCE</t>
  </si>
  <si>
    <t>ANALISTA DE INVERSIONES</t>
  </si>
  <si>
    <t>GENESIS VICUÑA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</si>
</sst>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59" tableBorderDxfId="1158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7">
      <calculatedColumnFormula>DATA_NOVIEMBRE_2024[[#This Row],[RECUPERO]]/DATA_NOVIEMBRE_2024[[#This Row],[META]]</calculatedColumnFormula>
    </tableColumn>
    <tableColumn id="2" xr3:uid="{8B46A38D-7233-499F-B1DE-FB511E519FF9}" name="CLASIFICACIÓN" dataDxfId="1156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5"/>
    <tableColumn id="1" xr3:uid="{6BE1DCAD-FFC1-41E5-BE9A-DDFCB075F86E}" name="RECUPERO" dataDxfId="1154">
      <calculatedColumnFormula>SUM(DATA_NOVIEMBRE_2024[[#This Row],[1]:[31]])</calculatedColumnFormula>
    </tableColumn>
    <tableColumn id="6" xr3:uid="{9DC6CD9E-A550-4452-954F-6EA70609499E}" name="META" dataDxfId="1153"/>
    <tableColumn id="7" xr3:uid="{253195A7-7D47-486A-80F6-796ADB20EC53}" name="ASER_" dataDxfId="1152"/>
    <tableColumn id="4" xr3:uid="{202FFDF7-B7CF-4672-95EA-680792362409}" name="1" dataDxfId="1151"/>
    <tableColumn id="8" xr3:uid="{72687A8D-B0F6-4DDB-88CE-1067530F054A}" name="2" dataDxfId="1150"/>
    <tableColumn id="9" xr3:uid="{F4E2F670-BFF9-4FD3-A0D4-C9CAB825BC0C}" name="3" dataDxfId="1149"/>
    <tableColumn id="10" xr3:uid="{DBA3AC26-F584-4CBE-8D86-75C4463192B1}" name="4" dataDxfId="1148"/>
    <tableColumn id="11" xr3:uid="{219202FB-F58A-440D-8D19-01059AA56BAB}" name="5" dataDxfId="1147"/>
    <tableColumn id="12" xr3:uid="{2AF7B6E4-01F3-401E-BF95-3CFAB27577BC}" name="6" dataDxfId="1146"/>
    <tableColumn id="13" xr3:uid="{24CA335A-580E-4429-A4F8-DFAB61DD23F8}" name="7" dataDxfId="1145"/>
    <tableColumn id="14" xr3:uid="{4A96EC6B-C7D3-4A7F-8B4B-F3D8AF9FE594}" name="8" dataDxfId="1144"/>
    <tableColumn id="15" xr3:uid="{BA9F52F9-841F-49D0-AFFC-4D571D566DE4}" name="9" dataDxfId="1143"/>
    <tableColumn id="16" xr3:uid="{409BE12D-B77E-48C5-951D-B87CB101AD44}" name="10" dataDxfId="1142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1"/>
    <tableColumn id="18" xr3:uid="{517449FB-ABB0-4312-822F-083501FE4456}" name="23" dataDxfId="1140"/>
    <tableColumn id="19" xr3:uid="{F22CE4E7-E04E-47AF-97E3-BEAFF6BC2F5E}" name="24" dataDxfId="1139"/>
    <tableColumn id="20" xr3:uid="{FE9C6881-7986-46E5-B896-D446A4BEF596}" name="25" dataDxfId="1138"/>
    <tableColumn id="21" xr3:uid="{32A09EFC-675D-4983-B360-4DBEAB2EE4FA}" name="26" dataDxfId="1137"/>
    <tableColumn id="22" xr3:uid="{02F89659-315D-4DE1-BE9C-A8C4FBB65511}" name="27" dataDxfId="1136"/>
    <tableColumn id="23" xr3:uid="{E556EC76-1435-4562-B8FF-767920C873C4}" name="28" dataDxfId="1135"/>
    <tableColumn id="24" xr3:uid="{E42123DE-6B43-4653-BF5B-323243D5FCAD}" name="29" dataDxfId="1134"/>
    <tableColumn id="25" xr3:uid="{71D65AF5-510E-457D-B0E2-F9582E783D67}" name="30" dataDxfId="1133"/>
    <tableColumn id="26" xr3:uid="{3E966EE9-5B51-4732-8107-B252301503A4}" name="31" dataDxfId="1132"/>
    <tableColumn id="27" xr3:uid="{6F804D29-D57D-4925-9B25-DD58FD9CD4C1}" name="CARTERA ASESOR" dataDxfId="11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0">
  <autoFilter ref="A2:K72" xr:uid="{AEA51657-9DFD-4518-856A-D830285E4602}"/>
  <tableColumns count="11">
    <tableColumn id="1" xr3:uid="{471651EC-762A-4439-9E09-36CE7484C7DB}" name="SUPER" dataDxfId="1129"/>
    <tableColumn id="2" xr3:uid="{85C17B1E-7CF3-4112-8B36-78A801EE3005}" name="ASESOR_CRR" dataDxfId="1128">
      <calculatedColumnFormula>D1_NOVIEMBRE_2024[[#This Row],[ASESOR]]</calculatedColumnFormula>
    </tableColumn>
    <tableColumn id="5" xr3:uid="{0BDBF623-DEA9-4A29-8D28-4030A786FE51}" name="META" dataDxfId="1127">
      <calculatedColumnFormula>VLOOKUP(D1_NOVIEMBRE_2024[[#This Row],[SUPER]],DATA_NOVIEMBRE_2024[[SUPERVISOR]:[META]],3,0)</calculatedColumnFormula>
    </tableColumn>
    <tableColumn id="6" xr3:uid="{C702AF9F-4896-48CF-895F-224FB32B617C}" name="ALCANCE" dataDxfId="1126">
      <calculatedColumnFormula>D1_NOVIEMBRE_2024[[#This Row],[RECUPERO]]/D1_NOVIEMBRE_2024[[#This Row],[META]]</calculatedColumnFormula>
    </tableColumn>
    <tableColumn id="7" xr3:uid="{D7917A8B-F33C-40CB-980B-776F1F99832F}" name="SUPER2" dataDxfId="1125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4"/>
    <tableColumn id="8" xr3:uid="{C288ADF8-0B7D-46E8-A515-7A398BFBAFF5}" name="DNI" dataDxfId="1123"/>
    <tableColumn id="9" xr3:uid="{9816B6C7-AE6F-49DA-A0C6-21A173A63635}" name="FECHA DE INICIO" dataDxfId="1122"/>
    <tableColumn id="10" xr3:uid="{342ACA45-E672-4A50-BD93-4F29AC6175A9}" name="ESTADO" dataDxfId="1121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0" dataDxfId="1118" headerRowBorderDxfId="1119" tableBorderDxfId="1117" totalsRowBorderDxfId="1116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5"/>
    <tableColumn id="3" xr3:uid="{734C6C88-3899-4B11-A8BB-68F60FEB745F}" name="RECUPERO SUPERVISOR" dataDxfId="1114">
      <calculatedColumnFormula>MAX(DITE_NOVIEMBRE_2024[[#This Row],[1]:[31]])</calculatedColumnFormula>
    </tableColumn>
    <tableColumn id="4" xr3:uid="{ECE5B99F-FD83-4520-9BD0-C6F22F1D89DE}" name="ALCANCE SUPERVISOR" dataDxfId="1113">
      <calculatedColumnFormula>DITE_NOVIEMBRE_2024[[#This Row],[RECUPERO SUPERVISOR]]/AZ9</calculatedColumnFormula>
    </tableColumn>
    <tableColumn id="1" xr3:uid="{3C6266ED-8A4A-4ABB-A9C5-F6D7C3A28E1C}" name="SUPER" dataDxfId="1112"/>
    <tableColumn id="6" xr3:uid="{8E1962E6-B227-403D-959C-EC0A84512E7F}" name="1" dataDxfId="1111"/>
    <tableColumn id="7" xr3:uid="{82013CDA-2013-412E-8FF7-7857EB3BAAEB}" name="2" dataDxfId="1110"/>
    <tableColumn id="36" xr3:uid="{F80449E7-9C09-4D54-AD2B-6D30BBE4BFFD}" name="3" dataDxfId="1109"/>
    <tableColumn id="8" xr3:uid="{6BAF72DE-4BC7-441F-A85E-9041EF3899D9}" name="4" dataDxfId="1108"/>
    <tableColumn id="9" xr3:uid="{3D9FCE7A-2F3D-4CC9-8A91-10BD16A7E640}" name="5" dataDxfId="1107"/>
    <tableColumn id="10" xr3:uid="{BEDD9763-065B-45CB-AE2B-710FA8B66ADE}" name="6" dataDxfId="1106"/>
    <tableColumn id="11" xr3:uid="{BC3C528B-42C9-4B2F-9619-B254969267D0}" name="7" dataDxfId="1105"/>
    <tableColumn id="12" xr3:uid="{0A48E3CB-F739-4C32-945D-648E7EB8070E}" name="8" dataDxfId="1104"/>
    <tableColumn id="13" xr3:uid="{B96192EF-9446-4291-B1F2-DB704B1D3A04}" name="9" dataDxfId="1103"/>
    <tableColumn id="14" xr3:uid="{604B61A4-751B-4BF0-9D80-954CAB1D08B0}" name="10" dataDxfId="1102"/>
    <tableColumn id="15" xr3:uid="{9BAD68A4-5571-4BDA-97CB-9067D42459EC}" name="11" dataDxfId="1101"/>
    <tableColumn id="32" xr3:uid="{D6886672-9386-4ADF-AED9-8A33D204EF56}" name="12" dataDxfId="1100"/>
    <tableColumn id="33" xr3:uid="{3D371433-AC3E-4391-8C88-2354E3462A27}" name="13" dataDxfId="1099"/>
    <tableColumn id="35" xr3:uid="{58EC2E80-FD81-492B-8002-FCEB99DCCCA5}" name="14" dataDxfId="1098"/>
    <tableColumn id="34" xr3:uid="{BBD59636-2F98-4BBE-8F44-00F7C13015FB}" name="15" dataDxfId="1097"/>
    <tableColumn id="29" xr3:uid="{DD6F0447-F620-4F38-AAE2-F94C7BD1301A}" name="16" dataDxfId="1096"/>
    <tableColumn id="30" xr3:uid="{AEA6202E-0E43-491B-9DE9-B12618DFE3C3}" name="17" dataDxfId="1095"/>
    <tableColumn id="31" xr3:uid="{7F0C4991-2DDA-47D6-8952-EF0420833FE2}" name="18" dataDxfId="1094"/>
    <tableColumn id="26" xr3:uid="{63319244-ED6C-4CB6-91C9-FD0B33FFFA44}" name="19" dataDxfId="1093"/>
    <tableColumn id="27" xr3:uid="{3ED47FDF-F24A-4EC8-9029-689369682758}" name="20" dataDxfId="1092"/>
    <tableColumn id="28" xr3:uid="{B5758593-5927-4B15-9EF3-08A6AA13FEE5}" name="21" dataDxfId="1091"/>
    <tableColumn id="16" xr3:uid="{A79A9DD4-74CF-4F17-A260-30A614552C96}" name="22" dataDxfId="1090"/>
    <tableColumn id="17" xr3:uid="{A3AD1A97-629C-494C-8C66-6BA86E905D7F}" name="23" dataDxfId="1089"/>
    <tableColumn id="18" xr3:uid="{BF0972B0-617B-4546-9271-F4E0D9F96151}" name="24" dataDxfId="1088"/>
    <tableColumn id="19" xr3:uid="{A9D6B970-56DB-403D-9EC5-9A1114D18DD8}" name="25" dataDxfId="1087"/>
    <tableColumn id="20" xr3:uid="{87CB9ADC-EDEB-4C07-8A41-D10A3E379763}" name="26" dataDxfId="1086"/>
    <tableColumn id="21" xr3:uid="{4E36C293-1144-4926-8E91-3475130D3D19}" name="27" dataDxfId="1085"/>
    <tableColumn id="22" xr3:uid="{ACDA0744-1D85-4327-BD2E-0D10C5E5827D}" name="28" dataDxfId="1084"/>
    <tableColumn id="23" xr3:uid="{A55279AC-F17C-48C7-B6F4-AFD7642F257E}" name="29" dataDxfId="1083"/>
    <tableColumn id="24" xr3:uid="{B30A56B6-4B82-41A1-BE7F-1D370BF48A8B}" name="30" dataDxfId="1082"/>
    <tableColumn id="25" xr3:uid="{2121F136-11EF-4DC1-9A0A-C968CE5BD71B}" name="31" dataDxfId="1081"/>
    <tableColumn id="5" xr3:uid="{9A6ECD1E-A39C-4D33-BBF6-B37C7AF2A67C}" name="CARTERA" dataDxfId="108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79" tableBorderDxfId="1078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7">
      <calculatedColumnFormula>DATA_DICIEMBRE_2024[[#This Row],[RECUPERO]]/DATA_DICIEMBRE_2024[[#This Row],[META]]</calculatedColumnFormula>
    </tableColumn>
    <tableColumn id="2" xr3:uid="{AE497F25-36CD-42FB-B18F-59D419263CBC}" name="CLASIFICACIÓN" dataDxfId="1076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5"/>
    <tableColumn id="1" xr3:uid="{ACC31C15-573E-4606-A6FB-ECDC2B30F8A4}" name="RECUPERO" dataDxfId="1074">
      <calculatedColumnFormula>SUM(DATA_DICIEMBRE_2024[[#This Row],[1]:[31]])</calculatedColumnFormula>
    </tableColumn>
    <tableColumn id="6" xr3:uid="{0A0FD23F-3FE0-43BD-93B2-D5A21E0A8419}" name="META" dataDxfId="1073"/>
    <tableColumn id="7" xr3:uid="{BAAC5683-E69F-4D8D-9823-6A62CD920015}" name="ASER_" dataDxfId="1072"/>
    <tableColumn id="4" xr3:uid="{E80ABAB5-F841-47AC-9407-E06974270343}" name="1" dataDxfId="1071"/>
    <tableColumn id="8" xr3:uid="{38214265-844B-4AAB-9AAF-66AE68E1B01F}" name="2" dataDxfId="1070"/>
    <tableColumn id="9" xr3:uid="{9DE83FFA-F0EB-48A8-9B9B-94D3A5F4EA89}" name="3" dataDxfId="1069"/>
    <tableColumn id="10" xr3:uid="{F01FCEA0-C6B5-45DC-BF35-2E20D08D1987}" name="4" dataDxfId="1068"/>
    <tableColumn id="11" xr3:uid="{486A6BCD-590A-4F51-95FC-FF8E80EED672}" name="5" dataDxfId="1067"/>
    <tableColumn id="12" xr3:uid="{6A13993E-4132-4D1F-8103-9B935139982B}" name="6" dataDxfId="1066"/>
    <tableColumn id="13" xr3:uid="{24798E59-2FD3-45E0-9839-56EDF52F39D9}" name="7" dataDxfId="1065"/>
    <tableColumn id="14" xr3:uid="{0A505D6A-B620-43DD-BE95-5375CFEB2C9E}" name="8" dataDxfId="1064"/>
    <tableColumn id="15" xr3:uid="{B4A01763-2933-4990-84AC-2EE6364157A1}" name="9" dataDxfId="1063"/>
    <tableColumn id="16" xr3:uid="{BF1956FE-127F-474F-B12A-D74A62785650}" name="10" dataDxfId="1062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1"/>
    <tableColumn id="18" xr3:uid="{43369C00-795D-4124-B5FB-CE33A1429479}" name="23" dataDxfId="1060"/>
    <tableColumn id="19" xr3:uid="{34A49AC6-3FC3-4ACE-8C81-C9AB9CD6BF1C}" name="24" dataDxfId="1059"/>
    <tableColumn id="20" xr3:uid="{62E7E367-E664-47D4-A998-F69A442883A3}" name="25" dataDxfId="1058"/>
    <tableColumn id="21" xr3:uid="{38ED713F-D0AE-4A42-8586-07C0CFE7FD0D}" name="26" dataDxfId="1057"/>
    <tableColumn id="22" xr3:uid="{777A8FFE-C36F-4CC0-9736-E3B5572BB43B}" name="27" dataDxfId="1056"/>
    <tableColumn id="23" xr3:uid="{9793EF6D-52A7-486F-9DA0-5EC6B4742B0D}" name="28" dataDxfId="1055"/>
    <tableColumn id="24" xr3:uid="{8675AF28-0AC8-42A2-9C9D-B652E1F578AA}" name="29" dataDxfId="1054"/>
    <tableColumn id="25" xr3:uid="{69A4324E-C083-46F7-9045-4F5A0A8A7029}" name="30" dataDxfId="1053"/>
    <tableColumn id="26" xr3:uid="{DBC5694B-2026-414C-ACC6-93144006A162}" name="31" dataDxfId="1052"/>
    <tableColumn id="27" xr3:uid="{823ED1C1-B820-4301-889D-715B402B64AE}" name="CARTERA ASESOR" dataDxfId="10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0">
  <autoFilter ref="A2:K76" xr:uid="{F6E10C3A-51B0-46B0-AC7A-178487A186FC}"/>
  <tableColumns count="11">
    <tableColumn id="1" xr3:uid="{27AC9715-D9AF-4425-8467-97D5ACDF32DB}" name="SUPER" dataDxfId="1049"/>
    <tableColumn id="2" xr3:uid="{60BCBFC1-6517-433B-923C-CCB32F89496C}" name="ASESOR_CRR" dataDxfId="1048">
      <calculatedColumnFormula>D1_DICIEMBRE_2024[[#This Row],[ASESOR]]</calculatedColumnFormula>
    </tableColumn>
    <tableColumn id="5" xr3:uid="{FE528A67-2FD9-481D-A3BD-D0593BF1728D}" name="META" dataDxfId="1047">
      <calculatedColumnFormula>VLOOKUP(D1_DICIEMBRE_2024[[#This Row],[SUPER]],DATA_DICIEMBRE_2024[[SUPERVISOR]:[META]],3,0)</calculatedColumnFormula>
    </tableColumn>
    <tableColumn id="6" xr3:uid="{9F920DCF-74DA-4A35-AEB6-9874EC115540}" name="ALCANCE" dataDxfId="1046">
      <calculatedColumnFormula>D1_DICIEMBRE_2024[[#This Row],[RECUPERO]]/D1_DICIEMBRE_2024[[#This Row],[META]]</calculatedColumnFormula>
    </tableColumn>
    <tableColumn id="7" xr3:uid="{A0A51D41-B7D6-4CCC-ACCB-42E0C653AD2F}" name="SUPER2" dataDxfId="1045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4"/>
    <tableColumn id="8" xr3:uid="{894A3BEA-774F-4F80-88D8-1B289CA5BA86}" name="DNI" dataDxfId="1043"/>
    <tableColumn id="9" xr3:uid="{803AE20B-2CCD-451D-A530-6F128D73F913}" name="FECHA DE INICIO" dataDxfId="1042"/>
    <tableColumn id="10" xr3:uid="{49EAA54F-6677-4846-BCD1-109279DB3A73}" name="ESTADO" dataDxfId="1041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0" dataDxfId="1038" headerRowBorderDxfId="1039" tableBorderDxfId="1037" totalsRowBorderDxfId="1036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5"/>
    <tableColumn id="3" xr3:uid="{ABE326D8-B04B-4CEC-9F6E-FE25C0EE8AA0}" name="RECUPERO SUPERVISOR" dataDxfId="1034">
      <calculatedColumnFormula>MAX(DITE_DICIEMBRE_2024[[#This Row],[1]:[31]])</calculatedColumnFormula>
    </tableColumn>
    <tableColumn id="4" xr3:uid="{9E55702C-7024-420F-8940-D2C1A0A3CA1D}" name="ALCANCE SUPERVISOR" dataDxfId="1033">
      <calculatedColumnFormula>DITE_DICIEMBRE_2024[[#This Row],[RECUPERO SUPERVISOR]]/AZ9</calculatedColumnFormula>
    </tableColumn>
    <tableColumn id="1" xr3:uid="{5009DC4C-3EA4-45D5-A15D-072373F4AE20}" name="SUPER" dataDxfId="1032"/>
    <tableColumn id="6" xr3:uid="{D0AF21FC-B7C0-49FB-B06D-CEE18869F451}" name="1" dataDxfId="1031"/>
    <tableColumn id="7" xr3:uid="{13740F97-8E6D-486C-956C-27845E43364F}" name="2" dataDxfId="1030"/>
    <tableColumn id="36" xr3:uid="{D8D06FB7-6376-4BDE-8C73-E14742A693D2}" name="3" dataDxfId="1029"/>
    <tableColumn id="8" xr3:uid="{6A7AE4CF-8204-4E27-89B3-519888750343}" name="4" dataDxfId="1028"/>
    <tableColumn id="9" xr3:uid="{E68D0942-B003-4636-896B-C7F7CC5DF30B}" name="5" dataDxfId="1027"/>
    <tableColumn id="10" xr3:uid="{A130D834-D24E-4226-8974-EAEEC5239084}" name="6" dataDxfId="1026"/>
    <tableColumn id="11" xr3:uid="{B74AC268-8591-43DA-A0A0-8EED3A99A7E6}" name="7" dataDxfId="1025"/>
    <tableColumn id="12" xr3:uid="{3E5A00D6-9077-4087-98FC-A1F995D9E85D}" name="8" dataDxfId="1024"/>
    <tableColumn id="13" xr3:uid="{1C1866E7-047F-4D10-9606-401FEC40FA49}" name="9" dataDxfId="1023"/>
    <tableColumn id="14" xr3:uid="{1A856C2F-9F0A-48E6-A1F8-02744BF96124}" name="10" dataDxfId="1022"/>
    <tableColumn id="15" xr3:uid="{4AF6AE1F-C32E-4098-A90E-906C45E577A6}" name="11" dataDxfId="1021"/>
    <tableColumn id="32" xr3:uid="{22F83872-EA87-4B20-AC9C-A5E2ACD10B99}" name="12" dataDxfId="1020"/>
    <tableColumn id="33" xr3:uid="{98BD9E2A-AADA-4033-A5CA-E179FF24557D}" name="13" dataDxfId="1019"/>
    <tableColumn id="35" xr3:uid="{700503A6-DBA0-45CB-A088-D89AE0558CCF}" name="14" dataDxfId="1018"/>
    <tableColumn id="34" xr3:uid="{C5A60DDC-0D8C-41E0-A0F0-FBB45535E86A}" name="15" dataDxfId="1017"/>
    <tableColumn id="29" xr3:uid="{D5EC2BDA-E6C3-4A4D-A6AD-950B2D0490AB}" name="16" dataDxfId="1016"/>
    <tableColumn id="30" xr3:uid="{349CB117-97C5-4862-848C-38A5D8F531C9}" name="17" dataDxfId="1015"/>
    <tableColumn id="31" xr3:uid="{C11D4844-CCFA-4F14-88FA-CE5B9B605A6F}" name="18" dataDxfId="1014"/>
    <tableColumn id="26" xr3:uid="{F17C536A-13C6-44BF-A1D0-9E0F529A2288}" name="19" dataDxfId="1013"/>
    <tableColumn id="27" xr3:uid="{784AEED1-4141-49AA-B4F6-24141E5B4FA4}" name="20" dataDxfId="1012"/>
    <tableColumn id="28" xr3:uid="{5FA3E61C-F996-45DB-8D68-7A355B9D9345}" name="21" dataDxfId="1011"/>
    <tableColumn id="16" xr3:uid="{3CDD7303-1AA0-4E13-B85B-07CCE6B3675D}" name="22" dataDxfId="1010"/>
    <tableColumn id="17" xr3:uid="{81F4684D-1734-49FB-8F57-68B80EB1FD1D}" name="23" dataDxfId="1009"/>
    <tableColumn id="18" xr3:uid="{9DA7B90E-288E-45A3-BD0A-31904382DB50}" name="24" dataDxfId="1008"/>
    <tableColumn id="19" xr3:uid="{A0AC125C-0C19-47E9-B7BD-9F657DD56BC2}" name="25" dataDxfId="1007"/>
    <tableColumn id="20" xr3:uid="{E1B67347-A852-4F21-A3C3-D6E44F51E9FF}" name="26" dataDxfId="1006"/>
    <tableColumn id="21" xr3:uid="{992748FE-9359-4D4E-B06A-59F7A48309B5}" name="27" dataDxfId="1005"/>
    <tableColumn id="22" xr3:uid="{3732AEA5-9CC9-4EE6-A93B-386050E291B1}" name="28" dataDxfId="1004"/>
    <tableColumn id="23" xr3:uid="{20A4F952-B20F-4E0E-95CC-77C648A54699}" name="29" dataDxfId="1003"/>
    <tableColumn id="24" xr3:uid="{26953009-23ED-4318-9CEE-07B704B9665A}" name="30" dataDxfId="1002"/>
    <tableColumn id="25" xr3:uid="{267CBC9B-29BE-4672-94C3-393B627CB1FD}" name="31" dataDxfId="1001"/>
    <tableColumn id="5" xr3:uid="{EE07FFF3-9A6D-4F12-ACF6-244205791333}" name="CARTERA" dataDxfId="100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9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8"/>
    <tableColumn id="5" xr3:uid="{42625339-8FE7-49A5-82AC-5EDD10C3C984}" name="ASESOR"/>
    <tableColumn id="6" xr3:uid="{BD1A5411-32FB-4DF7-B264-96C059BE5C56}" name="RECUPERO" dataDxfId="997"/>
    <tableColumn id="8" xr3:uid="{8B3B2929-A591-41D7-9D44-B220287F0F2A}" name="DNI" dataDxfId="996"/>
    <tableColumn id="9" xr3:uid="{AAABF626-1A15-4E7A-A444-7423611F1BB2}" name="FECHA DE INICIO" dataDxfId="995"/>
    <tableColumn id="10" xr3:uid="{CACFA6D6-8D93-432C-AAD6-E9CBF58F5197}" name="ESTADO" dataDxfId="99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3" headerRowBorderDxfId="992" tableBorderDxfId="99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0">
      <calculatedColumnFormula>DATA_ENERO_2025[[#This Row],[RECUPERO]]/DATA_ENERO_2025[[#This Row],[META]]</calculatedColumnFormula>
    </tableColumn>
    <tableColumn id="3" xr3:uid="{16F39E06-76AE-43AD-903E-9F641E37CB06}" name="CLASIFICACIÓN" dataDxfId="98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8"/>
    <tableColumn id="6" xr3:uid="{087774B2-9699-454D-B0E9-E9D62B239262}" name="RECUPERO" dataDxfId="987">
      <calculatedColumnFormula>SUM(DATA_ENERO_2025[[#This Row],[1]:[31]])</calculatedColumnFormula>
    </tableColumn>
    <tableColumn id="7" xr3:uid="{B938E452-5678-4623-B9AD-47B290EB3B56}" name="META" dataDxfId="986"/>
    <tableColumn id="5" xr3:uid="{A39094CA-883F-4450-A53A-370F0AE54B0C}" name="ASER_" dataDxfId="985"/>
    <tableColumn id="28" xr3:uid="{BA402970-CDDC-479B-AF0C-DE6FB6DEA3A2}" name="1" dataDxfId="98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2" dataDxfId="980" headerRowBorderDxfId="981" tableBorderDxfId="979" totalsRowBorderDxfId="97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7"/>
    <tableColumn id="1" xr3:uid="{5A7C4C9C-3E71-483D-9C6F-3AFA18F0B768}" name="RECUPERO SUPERVISOR" dataDxfId="976">
      <calculatedColumnFormula>MAX(DITE_ENERO_2025[[#This Row],[1]:[31]])</calculatedColumnFormula>
    </tableColumn>
    <tableColumn id="2" xr3:uid="{1DBABE23-BC0D-4016-A3DE-102C34B93437}" name="ALCANCE SUPERVISOR" dataDxfId="975">
      <calculatedColumnFormula>DITE_ENERO_2025[[#This Row],[RECUPERO SUPERVISOR]]/DITE_ENERO_2025[[#This Row],[META SUPER]]</calculatedColumnFormula>
    </tableColumn>
    <tableColumn id="4" xr3:uid="{AAFE5F6A-D443-4B76-896C-3012A63A21B1}" name="SUPER" dataDxfId="974"/>
    <tableColumn id="6" xr3:uid="{CAC1468E-FE7F-46E8-8FA8-2EBFE78F55CF}" name="1" dataDxfId="973"/>
    <tableColumn id="7" xr3:uid="{2C1F1DCC-5615-43E9-8493-73A6B92A7B8C}" name="2" dataDxfId="972"/>
    <tableColumn id="8" xr3:uid="{CB1DD332-E0A5-4BEF-8B71-8820CA4A145B}" name="3" dataDxfId="971"/>
    <tableColumn id="9" xr3:uid="{1BB0DD4F-A73A-4F8E-93FB-252CA932D637}" name="4" dataDxfId="970"/>
    <tableColumn id="10" xr3:uid="{F4A27082-EDDE-411F-B0E7-C50309499B06}" name="5" dataDxfId="969"/>
    <tableColumn id="11" xr3:uid="{DDC3545E-22B2-4DEC-A217-59650C8BAC95}" name="6" dataDxfId="968"/>
    <tableColumn id="12" xr3:uid="{F4B5BD15-E4EF-4A2E-9071-FE5F69E48F1F}" name="7" dataDxfId="96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6"/>
    <tableColumn id="14" xr3:uid="{1DE13FA2-B93D-487E-A105-3A5622C997DE}" name="18" dataDxfId="965"/>
    <tableColumn id="15" xr3:uid="{6273FFBE-FC81-40C7-91CB-E95ECAD8BE5D}" name="19" dataDxfId="964"/>
    <tableColumn id="16" xr3:uid="{35253537-0DA1-45D4-B9A3-D1CBC6E92B8B}" name="20" dataDxfId="963"/>
    <tableColumn id="17" xr3:uid="{4BF3707C-841F-4140-B63C-5B47863B4CA4}" name="21" dataDxfId="962"/>
    <tableColumn id="18" xr3:uid="{1F7B79C3-A22C-49D8-9C1F-629E6C41B955}" name="22" dataDxfId="961"/>
    <tableColumn id="19" xr3:uid="{361B16CF-A887-4C9E-88B3-E8A7F4F314B0}" name="23" dataDxfId="960"/>
    <tableColumn id="20" xr3:uid="{9B3EDA9C-6CB0-4D9F-965A-6EB0593C19D9}" name="24" dataDxfId="959"/>
    <tableColumn id="21" xr3:uid="{B02655DA-D4F9-4926-88A4-5E8B2F4DF911}" name="25" dataDxfId="958"/>
    <tableColumn id="22" xr3:uid="{43854B99-1BF7-4DF3-8A04-A277447DE3B8}" name="26" dataDxfId="957"/>
    <tableColumn id="23" xr3:uid="{CAC2F677-42BD-4EFA-8E99-ABA2036DAF56}" name="27" dataDxfId="956"/>
    <tableColumn id="24" xr3:uid="{20489B5B-5885-4E43-B5F0-4EAAEE4E8EB8}" name="28" dataDxfId="955"/>
    <tableColumn id="25" xr3:uid="{B4D29A08-5206-4DCD-AF4C-9B7ABB8D3CFF}" name="29" dataDxfId="954"/>
    <tableColumn id="26" xr3:uid="{7B49DBDA-317E-4CFB-B7FA-841DFC27E42B}" name="30" dataDxfId="953"/>
    <tableColumn id="27" xr3:uid="{0126152E-7354-43DB-A75E-4841194C453D}" name="31" dataDxfId="952"/>
    <tableColumn id="3" xr3:uid="{93315C06-D400-4502-BDDD-AC5886091EC6}" name="CARTERA" dataDxfId="951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0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49"/>
    <tableColumn id="5" xr3:uid="{44178C41-B41B-4820-A8E8-222FE453335F}" name="ASESOR" dataDxfId="948"/>
    <tableColumn id="6" xr3:uid="{AC6EB590-A7E8-408F-A892-A1851BCCF0B5}" name="RECUPERO" dataDxfId="947"/>
    <tableColumn id="8" xr3:uid="{9B60B527-D768-46F8-BB97-824B255159D2}" name="DNI" dataDxfId="946"/>
    <tableColumn id="9" xr3:uid="{BDF8C571-22FC-498B-99CF-8D578B086437}" name="FECHA DE INICIO" dataDxfId="945"/>
    <tableColumn id="10" xr3:uid="{4A0E2A05-69C0-48C2-B0D3-4D952F052DB2}" name="ESTADO" dataDxfId="944"/>
    <tableColumn id="11" xr3:uid="{3D228EA7-2109-464D-B55C-85DBBA7EB19F}" name="SEGMENTO" dataDxfId="9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2" headerRowBorderDxfId="941" tableBorderDxfId="940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39">
      <calculatedColumnFormula>DATA_FEBRERO_2025[[#This Row],[RECUPERO]]/DATA_FEBRERO_2025[[#This Row],[META]]</calculatedColumnFormula>
    </tableColumn>
    <tableColumn id="3" xr3:uid="{AE4A1FA5-3083-4CA4-B657-D2D0F2E20004}" name="CLASIFICACIÓN" dataDxfId="938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7"/>
    <tableColumn id="6" xr3:uid="{2DE1A6CE-7493-4B20-83EE-59078393B5AF}" name="RECUPERO" dataDxfId="936">
      <calculatedColumnFormula>SUM(DATA_FEBRERO_2025[[#This Row],[1]:[31]])</calculatedColumnFormula>
    </tableColumn>
    <tableColumn id="7" xr3:uid="{24FB90FB-A888-41AB-9B19-627A74DA2062}" name="META" dataDxfId="935"/>
    <tableColumn id="5" xr3:uid="{E6A5C563-3502-4EF4-8D06-C88816E905A8}" name="ASER_" dataDxfId="934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3"/>
    <tableColumn id="8" xr3:uid="{E99C6359-BA67-4127-80B1-429613DA94CB}" name="31"/>
    <tableColumn id="4" xr3:uid="{1AB4C76D-3918-4961-B05E-216E9D0F2A8C}" name="CARTERA ASESOR" dataDxfId="932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1" dataDxfId="929" headerRowBorderDxfId="930" tableBorderDxfId="928" totalsRowBorderDxfId="927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6"/>
    <tableColumn id="1" xr3:uid="{C46409A5-9201-4E30-A3EB-7B6FC2DAF473}" name="RECUPERO SUPERVISOR" dataDxfId="925">
      <calculatedColumnFormula>MAX(DITE_FEBRERO_2025[[#This Row],[1]:[31]])</calculatedColumnFormula>
    </tableColumn>
    <tableColumn id="2" xr3:uid="{445C2C89-5F44-46FD-8C70-EF4EE30F232E}" name="ALCANCE SUPERVISOR" dataDxfId="924">
      <calculatedColumnFormula>DITE_FEBRERO_2025[[#This Row],[RECUPERO SUPERVISOR]]/DITE_FEBRERO_2025[[#This Row],[META SUPER]]</calculatedColumnFormula>
    </tableColumn>
    <tableColumn id="4" xr3:uid="{55D4E2C7-B609-4C8C-A5DE-AABFFD74BEB8}" name="SUPER" dataDxfId="923"/>
    <tableColumn id="6" xr3:uid="{29925D04-B597-415A-B40B-62A3FBA8B23D}" name="1" dataDxfId="922"/>
    <tableColumn id="7" xr3:uid="{31865A72-E634-4CB8-8660-811FA8147632}" name="2" dataDxfId="921"/>
    <tableColumn id="8" xr3:uid="{C70A98A0-1CB0-425B-975B-D4464009CDD0}" name="3" dataDxfId="920"/>
    <tableColumn id="9" xr3:uid="{F56CF612-0AA5-44CB-878D-FA59D84052AD}" name="4" dataDxfId="919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8"/>
    <tableColumn id="11" xr3:uid="{A6DAF4DF-EAFF-47AB-9A6F-0B2896AE1A18}" name="17" dataDxfId="917"/>
    <tableColumn id="12" xr3:uid="{3DC03FF0-BAC6-4F5D-B5DE-18A95E2C1B97}" name="18" dataDxfId="916"/>
    <tableColumn id="13" xr3:uid="{A90729AA-CC5E-4236-924F-A736B7A4BE93}" name="19" dataDxfId="915"/>
    <tableColumn id="14" xr3:uid="{B48B5FF0-5C49-4DDC-AC33-B45D349AD044}" name="20" dataDxfId="914"/>
    <tableColumn id="15" xr3:uid="{D36E617E-0BBB-4BC1-BBF1-EB24E3C2CE90}" name="21" dataDxfId="913"/>
    <tableColumn id="16" xr3:uid="{BD346F05-FCC2-4EA9-8F0F-B55AB2E68BE0}" name="22" dataDxfId="912"/>
    <tableColumn id="17" xr3:uid="{F5BB9730-A5AE-4489-9CB0-182052BA6557}" name="23" dataDxfId="911"/>
    <tableColumn id="18" xr3:uid="{B3DEF063-7A67-4F08-9D09-8310B4B64F2B}" name="24" dataDxfId="910"/>
    <tableColumn id="19" xr3:uid="{558BE332-1E67-4EF7-9FF1-541A019A7066}" name="25" dataDxfId="909"/>
    <tableColumn id="20" xr3:uid="{073BAAB2-EF92-4A82-B7FE-8339FF3A62EA}" name="26" dataDxfId="908"/>
    <tableColumn id="21" xr3:uid="{6EC9D118-EB0A-4FDC-A694-0A630EB1048E}" name="27" dataDxfId="907"/>
    <tableColumn id="22" xr3:uid="{DFF298CB-C24B-4F90-BD14-F99C28391208}" name="28" dataDxfId="906"/>
    <tableColumn id="23" xr3:uid="{7EF0365B-2B81-4022-84F3-7A3859D35934}" name="29" dataDxfId="905"/>
    <tableColumn id="24" xr3:uid="{D92D6A29-5A30-4405-A019-D7F8F39E4176}" name="30" dataDxfId="904"/>
    <tableColumn id="25" xr3:uid="{9BFA1186-4A61-452A-8EAC-4FE410743029}" name="31" dataDxfId="903"/>
    <tableColumn id="3" xr3:uid="{5EBD9DD4-78E3-4E78-8FD5-A71A2DE2CBE8}" name="CARTERA" dataDxfId="90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1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0">
      <calculatedColumnFormula>D1_MARZO_2025[[#This Row],[RECUPERO]]/D1_MARZO_2025[[#This Row],[META]]</calculatedColumnFormula>
    </tableColumn>
    <tableColumn id="7" xr3:uid="{7155E541-BC22-41C0-914A-E54D790D436D}" name="SUPER2" dataDxfId="899"/>
    <tableColumn id="5" xr3:uid="{C9BC0167-A73A-4B66-AB0E-BCC22F3CD7BF}" name="ASESOR" dataDxfId="898"/>
    <tableColumn id="6" xr3:uid="{32E44CF1-7B46-45AA-916C-7D5322097EFD}" name="RECUPERO" dataDxfId="897"/>
    <tableColumn id="8" xr3:uid="{5504CD70-2376-413C-9DD9-7E1FC1D78F37}" name="DNI" dataDxfId="896"/>
    <tableColumn id="9" xr3:uid="{27659D49-6FC1-457B-BF33-A19DBF78CDF2}" name="FECHA DE INICIO" dataDxfId="895"/>
    <tableColumn id="10" xr3:uid="{79E50096-FDE3-4403-8568-FF008447BCC2}" name="ESTADO" dataDxfId="894"/>
    <tableColumn id="11" xr3:uid="{0DDDAC11-10AB-4791-8916-A8A4E78A7D35}" name="SEGMENTO" dataDxfId="89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2" headerRowBorderDxfId="891" tableBorderDxfId="890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89">
      <calculatedColumnFormula>DATA_MARZO_2025[[#This Row],[RECUPERO]]/DATA_MARZO_2025[[#This Row],[META]]</calculatedColumnFormula>
    </tableColumn>
    <tableColumn id="3" xr3:uid="{6050B278-B3D2-4B4C-8475-D701C9B8AB17}" name="CLASIFICACIÓN" dataDxfId="888"/>
    <tableColumn id="1" xr3:uid="{A94CCC19-556A-4124-8949-24896CDBE45E}" name="SUPERVISOR" dataDxfId="887"/>
    <tableColumn id="6" xr3:uid="{EBBFD24C-8909-45B0-B8CB-4ED73B62F2AB}" name="RECUPERO" dataDxfId="886">
      <calculatedColumnFormula>SUM(DATA_MARZO_2025[[#This Row],[1]:[31]])</calculatedColumnFormula>
    </tableColumn>
    <tableColumn id="7" xr3:uid="{D5702432-6067-40C7-B647-63D5EBDD13C2}" name="META" dataDxfId="885"/>
    <tableColumn id="5" xr3:uid="{40A208DF-2D8B-4D71-B923-6BFFA76CDA11}" name="ASER_" dataDxfId="884"/>
    <tableColumn id="38" xr3:uid="{1F074B40-AB13-4BEE-BC21-9D178D274909}" name="1"/>
    <tableColumn id="41" xr3:uid="{936D83D8-C85E-4C4D-9E8D-BA3D7C54F99A}" name="2" dataDxfId="883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2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0" dataDxfId="878" headerRowBorderDxfId="879" tableBorderDxfId="877" totalsRowBorderDxfId="876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5"/>
    <tableColumn id="1" xr3:uid="{23B67F77-728E-46C0-B5B1-11CE8E08D862}" name="RECUPERO SUPERVISOR" dataDxfId="874">
      <calculatedColumnFormula>MAX(DITE_MARZO_2025[[#This Row],[1]:[31]])</calculatedColumnFormula>
    </tableColumn>
    <tableColumn id="2" xr3:uid="{0BAE08AE-6A16-447E-9DDD-8800D68BFFA3}" name="ALCANCE SUPERVISOR" dataDxfId="873">
      <calculatedColumnFormula>DITE_MARZO_2025[[#This Row],[RECUPERO SUPERVISOR]]/DITE_MARZO_2025[[#This Row],[META SUPER]]</calculatedColumnFormula>
    </tableColumn>
    <tableColumn id="4" xr3:uid="{663301EA-2B77-4C76-B8E0-713CAAD1AC41}" name="SUPER" dataDxfId="872"/>
    <tableColumn id="6" xr3:uid="{9A6FEB31-48E4-456F-8C1F-14055131E9D6}" name="1" dataDxfId="871"/>
    <tableColumn id="7" xr3:uid="{B8154FAF-39D2-4ED9-8DD7-C179156ECA39}" name="2" dataDxfId="870"/>
    <tableColumn id="8" xr3:uid="{E58A14C1-44D1-46A4-9137-21E70261FA76}" name="3" dataDxfId="869"/>
    <tableColumn id="9" xr3:uid="{EFDA2093-809C-4DA2-80F9-0388CCC5E290}" name="4" dataDxfId="868"/>
    <tableColumn id="10" xr3:uid="{634CF5F0-F36D-4B26-8143-8C3A6FB59216}" name="5" dataDxfId="867"/>
    <tableColumn id="11" xr3:uid="{77A0553B-7BDF-49B7-B459-701A77496BEA}" name="6" dataDxfId="866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5"/>
    <tableColumn id="13" xr3:uid="{C6D91E97-E16B-4E76-BE55-A08C2A1131DD}" name="18" dataDxfId="864"/>
    <tableColumn id="14" xr3:uid="{2A5F1078-A097-4171-BD28-7B9B623471D0}" name="19" dataDxfId="863"/>
    <tableColumn id="15" xr3:uid="{5E883D61-775A-4AD4-A304-156DCFD9F825}" name="20" dataDxfId="862"/>
    <tableColumn id="16" xr3:uid="{BEFB5788-590D-4EFA-8707-20BAAF7026F1}" name="21" dataDxfId="861"/>
    <tableColumn id="17" xr3:uid="{8FC06E69-FAE9-4DBE-9C75-7A6598DE29C6}" name="22" dataDxfId="860"/>
    <tableColumn id="18" xr3:uid="{966EC934-1D25-407E-AE13-8147AC3FF531}" name="23" dataDxfId="859"/>
    <tableColumn id="19" xr3:uid="{5437FF24-6F5D-412D-82EE-8C668C7DC853}" name="24" dataDxfId="858"/>
    <tableColumn id="20" xr3:uid="{204A7CBC-2C07-4027-851F-021033B930C1}" name="25" dataDxfId="857"/>
    <tableColumn id="21" xr3:uid="{DF491418-AC74-4C6A-852F-F0797487D11C}" name="26" dataDxfId="856"/>
    <tableColumn id="22" xr3:uid="{E184F0A4-EF1A-48F5-8166-10085FC40D13}" name="27" dataDxfId="855"/>
    <tableColumn id="23" xr3:uid="{66C12B87-BC6D-46BE-AF31-D0C68A22BC7E}" name="28" dataDxfId="854"/>
    <tableColumn id="24" xr3:uid="{A2DB9C74-4CB6-4BBF-A230-DF50FDE9380D}" name="29" dataDxfId="853"/>
    <tableColumn id="25" xr3:uid="{D54E02BE-AA16-43C7-ABD3-89326740EA63}" name="30" dataDxfId="852"/>
    <tableColumn id="26" xr3:uid="{11172EA7-856A-4297-8329-62917B649E9A}" name="31" dataDxfId="851"/>
    <tableColumn id="3" xr3:uid="{42C6AD34-2DFF-436B-BB22-6DE170226F44}" name="CARTERA" dataDxfId="85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49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8"/>
    <tableColumn id="5" xr3:uid="{D789E66F-CC8C-4715-A998-7AE532E85E8A}" name="ASESOR" dataDxfId="847"/>
    <tableColumn id="6" xr3:uid="{3455DB8A-5A64-4A8F-8153-2471763CA60D}" name="RECUPERO" dataDxfId="846"/>
    <tableColumn id="8" xr3:uid="{F8575E1F-78C1-4E15-B505-1AECE8857345}" name="DNI" dataDxfId="845"/>
    <tableColumn id="9" xr3:uid="{BE130F2A-9B67-45D5-AA49-051D2F0A515B}" name="FECHA DE INICIO" dataDxfId="844"/>
    <tableColumn id="10" xr3:uid="{31096FEC-094E-478E-A9F3-0023192798F0}" name="ESTADO" dataDxfId="843"/>
    <tableColumn id="11" xr3:uid="{CD53B1C2-5C16-4E04-B510-37D1EE2D9C67}" name="SEGMENTO" dataDxfId="84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1" headerRowBorderDxfId="840" tableBorderDxfId="839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8">
      <calculatedColumnFormula>DATA_ABRIL_2025[[#This Row],[RECUPERO]]/DATA_ABRIL_2025[[#This Row],[META]]</calculatedColumnFormula>
    </tableColumn>
    <tableColumn id="3" xr3:uid="{1B1E8B7A-D562-46FD-89DE-12ADBC7146F2}" name="CLASIFICACIÓN" dataDxfId="837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6"/>
    <tableColumn id="6" xr3:uid="{9C2D93B7-85A2-4E07-8DD4-3C81F7BF7EBF}" name="RECUPERO" dataDxfId="835">
      <calculatedColumnFormula>SUM(DATA_ABRIL_2025[[#This Row],[1]:[31]])</calculatedColumnFormula>
    </tableColumn>
    <tableColumn id="7" xr3:uid="{8F4173FF-BB8D-4C61-A5E9-1B6F872C619C}" name="META" dataDxfId="834"/>
    <tableColumn id="5" xr3:uid="{64151D2C-B822-41DF-8964-343214960730}" name="ASER_" dataDxfId="833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1" dataDxfId="829" headerRowBorderDxfId="830" tableBorderDxfId="828" totalsRowBorderDxfId="827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6"/>
    <tableColumn id="1" xr3:uid="{56AD13BC-F67F-4EBC-8601-073AD9D41E5D}" name="RECUPERO SUPERVISOR" dataDxfId="825">
      <calculatedColumnFormula>MAX(DITE_ABRIL_2025[[#This Row],[1]:[31]])</calculatedColumnFormula>
    </tableColumn>
    <tableColumn id="2" xr3:uid="{B40C8394-DA7A-4DDD-89EA-AE757C76DD20}" name="ALCANCE SUPERVISOR" dataDxfId="824">
      <calculatedColumnFormula>BA9/DITE_ABRIL_2025[[#This Row],[META SUPER]]</calculatedColumnFormula>
    </tableColumn>
    <tableColumn id="4" xr3:uid="{B71408F8-B985-4B11-8661-52EFC6FA8097}" name="SUPER" dataDxfId="823"/>
    <tableColumn id="6" xr3:uid="{9E37ADBB-A64C-4E4B-9AF4-6087C797FB5E}" name="1" dataDxfId="822"/>
    <tableColumn id="7" xr3:uid="{09E3EE83-45B5-4808-842B-71D4652DE46A}" name="2" dataDxfId="821"/>
    <tableColumn id="8" xr3:uid="{243F9102-2670-48D4-B25D-8432658D89F6}" name="3" dataDxfId="820"/>
    <tableColumn id="9" xr3:uid="{06003E0F-B470-4925-ACE4-1381347B3E87}" name="4" dataDxfId="819"/>
    <tableColumn id="10" xr3:uid="{DF8C4E72-181D-4E2F-A34D-2BB7FD231520}" name="5" dataDxfId="818"/>
    <tableColumn id="11" xr3:uid="{56E37C44-85E9-4431-A560-A54606105B9D}" name="6" dataDxfId="817"/>
    <tableColumn id="12" xr3:uid="{9ADEA573-5E4A-46C0-8569-AFED61AE0141}" name="7" dataDxfId="816"/>
    <tableColumn id="13" xr3:uid="{D44E56ED-D810-4F08-ACAA-0850A2CBA861}" name="8" dataDxfId="815"/>
    <tableColumn id="14" xr3:uid="{4F1A46EB-156C-42BB-A090-307A483EDA59}" name="9" dataDxfId="814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3"/>
    <tableColumn id="16" xr3:uid="{C78E77EC-88A1-4EFD-AD1A-7DF788C46683}" name="22" dataDxfId="812"/>
    <tableColumn id="17" xr3:uid="{D5FD8172-0B95-4406-9239-1ABAD08F1B45}" name="23" dataDxfId="811"/>
    <tableColumn id="18" xr3:uid="{8E9BAC3F-3B04-449B-88EE-DBF57FA626AC}" name="24" dataDxfId="810"/>
    <tableColumn id="19" xr3:uid="{BFA3B7EB-0BC7-4311-8FCE-7C69A9357A03}" name="25" dataDxfId="809"/>
    <tableColumn id="20" xr3:uid="{D2BE25CA-961F-40EE-9EC1-A49EEA4DDB5A}" name="26" dataDxfId="808"/>
    <tableColumn id="21" xr3:uid="{77AAB025-517F-4236-B11B-AEE9B7399348}" name="27" dataDxfId="807"/>
    <tableColumn id="22" xr3:uid="{E35C7392-A09A-482A-9C37-79B0D6711E60}" name="28" dataDxfId="806"/>
    <tableColumn id="23" xr3:uid="{B9F1E360-1FEC-4978-B5DB-3DECA1925AE9}" name="29" dataDxfId="805"/>
    <tableColumn id="24" xr3:uid="{89A20735-1F9D-4A38-9BEB-B3BD56D1FD35}" name="30" dataDxfId="804"/>
    <tableColumn id="25" xr3:uid="{4BE1A809-8A7F-4933-9AB7-B0E4C9CDDD7E}" name="31" dataDxfId="803"/>
    <tableColumn id="3" xr3:uid="{8BAF39B2-F0EB-433E-8F3A-FEAC89C5F9BF}" name="CARTERA" dataDxfId="80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0">
      <calculatedColumnFormula>D1_MAYO_2025[[#This Row],[RECUPERO]]/D1_MAYO_2025[[#This Row],[META]]</calculatedColumnFormula>
    </tableColumn>
    <tableColumn id="7" xr3:uid="{7C5F88F0-9FF3-49CF-BE68-2D455D9DEE81}" name="SUPER2" dataDxfId="799"/>
    <tableColumn id="5" xr3:uid="{5FAC7613-1036-4D50-9A09-AB4F41D88D12}" name="ASESOR" dataDxfId="798"/>
    <tableColumn id="6" xr3:uid="{373B07DA-C176-4486-843D-36C5A3043867}" name="RECUPERO" dataDxfId="797"/>
    <tableColumn id="8" xr3:uid="{CDBFB8A5-E15E-4513-B245-3523278CBBD2}" name="DNI" dataDxfId="796"/>
    <tableColumn id="9" xr3:uid="{64A6BF66-DB3B-4ED3-B1A9-2DF71B8D1ACE}" name="FECHA DE INICIO" dataDxfId="795"/>
    <tableColumn id="10" xr3:uid="{9DD10A75-AE91-4226-BF53-FBC3A38A3094}" name="ESTADO" dataDxfId="794"/>
    <tableColumn id="11" xr3:uid="{E457A2EF-C26E-43DE-BDB2-64E1BFF451C1}" name="SEGMENTO" dataDxfId="79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2" headerRowBorderDxfId="791" tableBorderDxfId="79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89">
      <calculatedColumnFormula>DATA_MAYO_2025[[#This Row],[RECUPERO]]/DATA_MAYO_2025[[#This Row],[META]]</calculatedColumnFormula>
    </tableColumn>
    <tableColumn id="3" xr3:uid="{8551335D-BE40-494B-A806-42FAA211C207}" name="CLASIFICACIÓN" dataDxfId="78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7"/>
    <tableColumn id="6" xr3:uid="{85DC5B94-4FF7-4224-A993-E56A00A5F6DA}" name="RECUPERO" dataDxfId="786">
      <calculatedColumnFormula>SUM(DATA_MAYO_2025[[#This Row],[1]:[31]])</calculatedColumnFormula>
    </tableColumn>
    <tableColumn id="7" xr3:uid="{E2EB46E1-D5BC-46B2-859F-8C05EBBE26F5}" name="META" dataDxfId="785"/>
    <tableColumn id="5" xr3:uid="{A8ED42EF-7F3D-47A1-A928-02CDC650D596}" name="ASER_" dataDxfId="78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3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2" dataDxfId="780" headerRowBorderDxfId="781" tableBorderDxfId="779" totalsRowBorderDxfId="77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7"/>
    <tableColumn id="1" xr3:uid="{E8B4D119-C811-4392-9EE6-8F0C79BEE9E9}" name="RECUPERO SUPERVISOR" dataDxfId="776">
      <calculatedColumnFormula>MAX(DITE_MAYO_2025[[#This Row],[1]:[31]])</calculatedColumnFormula>
    </tableColumn>
    <tableColumn id="2" xr3:uid="{B44E621C-D444-4670-8FB8-CA1A1E3293FE}" name="ALCANCE SUPERVISOR" dataDxfId="775">
      <calculatedColumnFormula>DITE_MAYO_2025[[#This Row],[RECUPERO SUPERVISOR]]/DITE_MAYO_2025[[#This Row],[META SUPER]]</calculatedColumnFormula>
    </tableColumn>
    <tableColumn id="4" xr3:uid="{63B60F11-ECE7-4839-BADE-F875CF35D6C8}" name="SUPER" dataDxfId="774"/>
    <tableColumn id="6" xr3:uid="{795F9848-930D-4B49-893D-00DA36A6069C}" name="1" dataDxfId="773"/>
    <tableColumn id="7" xr3:uid="{A0F1B09B-45CD-4449-B0E0-2A746353F5F6}" name="2" dataDxfId="772"/>
    <tableColumn id="8" xr3:uid="{42485F8E-3938-40CB-B75A-E12120AF085D}" name="3" dataDxfId="771"/>
    <tableColumn id="9" xr3:uid="{16CE59CD-D621-412D-8F6E-F5B8FEEFCBB4}" name="4" dataDxfId="770"/>
    <tableColumn id="10" xr3:uid="{D1B5939A-E95A-4BE2-BA16-796CFB62C7BB}" name="5" dataDxfId="769"/>
    <tableColumn id="11" xr3:uid="{42606FA2-25C4-48F7-BC25-B75CFBF93D7E}" name="6" dataDxfId="768"/>
    <tableColumn id="12" xr3:uid="{91DD2662-D657-4CF0-B378-5B3D9B374F80}" name="7" dataDxfId="76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6"/>
    <tableColumn id="14" xr3:uid="{FDAEFC46-2A8B-451E-929D-76EC4BC7CA39}" name="19" dataDxfId="765"/>
    <tableColumn id="15" xr3:uid="{1F944C9F-2359-45A9-8922-617195550B92}" name="20" dataDxfId="764"/>
    <tableColumn id="16" xr3:uid="{D023EA95-922B-4435-8A92-F165E2F3A560}" name="21" dataDxfId="763"/>
    <tableColumn id="17" xr3:uid="{7AC3BA92-E630-483B-B27E-18C40869116B}" name="22" dataDxfId="762"/>
    <tableColumn id="18" xr3:uid="{3609A57C-B1DB-4D87-9574-007183221000}" name="23" dataDxfId="761"/>
    <tableColumn id="19" xr3:uid="{98740490-1047-4343-85C8-834AE6AF935A}" name="24" dataDxfId="760"/>
    <tableColumn id="20" xr3:uid="{CE682DBD-B5A8-49C9-8A73-515C0BB553A8}" name="25" dataDxfId="759"/>
    <tableColumn id="21" xr3:uid="{2C63A6DB-A36B-488F-8D7C-F86E11CED59A}" name="26" dataDxfId="758"/>
    <tableColumn id="22" xr3:uid="{01511E88-F7F3-4FDD-998C-292B28698241}" name="27" dataDxfId="757"/>
    <tableColumn id="23" xr3:uid="{B0CE642E-7F10-4E00-9DD1-FC5CF0499DC2}" name="28" dataDxfId="756"/>
    <tableColumn id="24" xr3:uid="{EE9469B0-D486-4046-8AA2-36629B9D9667}" name="29" dataDxfId="755"/>
    <tableColumn id="25" xr3:uid="{D05B2A45-8E05-43BB-9FFA-CC56C7D8C31E}" name="30" dataDxfId="754"/>
    <tableColumn id="26" xr3:uid="{AE78D865-FDC9-4B75-AADF-A48F19C319DC}" name="31" dataDxfId="753"/>
    <tableColumn id="3" xr3:uid="{0887DE9C-F035-4EEC-B2F4-4C2CEB11922C}" name="CARTERA" dataDxfId="752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0"/>
    <tableColumn id="5" xr3:uid="{1BF578D9-FB1B-48B0-B732-40F721FD7C19}" name="ASESOR" dataDxfId="749"/>
    <tableColumn id="6" xr3:uid="{CA995F17-DCA5-4D19-B2E1-FD9362121A39}" name="RECUPERO"/>
    <tableColumn id="8" xr3:uid="{9BC620F7-3E10-4417-B0EA-F37D1F039447}" name="DNI" dataDxfId="748"/>
    <tableColumn id="9" xr3:uid="{0CBCBA61-9BA1-4E3D-B6CE-38E6C9A1078C}" name="FECHA DE INICIO" dataDxfId="747"/>
    <tableColumn id="10" xr3:uid="{3A23F58F-8B92-4D7C-82D9-23C8B3B51E6F}" name="ESTADO" dataDxfId="746"/>
    <tableColumn id="11" xr3:uid="{2E50347E-4858-4527-938D-F94ED2AB3BED}" name="SEGMENTO" dataDxfId="7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4" headerRowBorderDxfId="743" tableBorderDxfId="74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1">
      <calculatedColumnFormula>DATA_JUNIO_2025[[#This Row],[RECUPERO]]/DATA_JUNIO_2025[[#This Row],[META]]</calculatedColumnFormula>
    </tableColumn>
    <tableColumn id="3" xr3:uid="{78E201C6-658E-4437-AC52-3D0E669D8389}" name="CLASIFICACIÓN" dataDxfId="74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39"/>
    <tableColumn id="6" xr3:uid="{3AD4A449-DB0B-4879-AD61-28FA40E45717}" name="RECUPERO" dataDxfId="738">
      <calculatedColumnFormula>SUM(DATA_JUNIO_2025[[#This Row],[1]:[31]])</calculatedColumnFormula>
    </tableColumn>
    <tableColumn id="7" xr3:uid="{2BD9FB92-38FC-44A8-B5F2-890569E48C37}" name="META" dataDxfId="737"/>
    <tableColumn id="5" xr3:uid="{9812F1F1-AB5A-41A6-A84D-86B290FCB7E7}" name="ASER_" dataDxfId="736"/>
    <tableColumn id="37" xr3:uid="{834796BA-53F4-4194-919E-D8B97FEA7F3F}" name="1" dataDxfId="73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4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3" dataDxfId="731" headerRowBorderDxfId="732" tableBorderDxfId="730" totalsRowBorderDxfId="72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8"/>
    <tableColumn id="1" xr3:uid="{1A75BF93-811F-4AFA-86B4-9AD496200913}" name="RECUPERO SUPERVISOR" dataDxfId="727"/>
    <tableColumn id="2" xr3:uid="{60B107BC-0938-4363-BE59-47C4E7777D14}" name="ALCANCE SUPERVISOR" dataDxfId="726">
      <calculatedColumnFormula>DITE_JUNIO_2025[[#This Row],[RECUPERO SUPERVISOR]]/DITE_JUNIO_2025[[#This Row],[META SUPER]]</calculatedColumnFormula>
    </tableColumn>
    <tableColumn id="4" xr3:uid="{846684E8-1F2C-4021-AB12-AFBE9E56FAA4}" name="SUPER" dataDxfId="725"/>
    <tableColumn id="6" xr3:uid="{A217DEAD-ACD7-4C63-A622-E2E01ECF328C}" name="1" dataDxfId="724"/>
    <tableColumn id="7" xr3:uid="{5CA18C0A-7D47-455B-B153-EFA8D01D32D6}" name="2" dataDxfId="723"/>
    <tableColumn id="8" xr3:uid="{3CBBE086-E28B-4224-AF45-5A4E7A009E3F}" name="3" dataDxfId="722"/>
    <tableColumn id="9" xr3:uid="{4B327145-F7C9-4ABC-A911-6EB2E553C986}" name="4" dataDxfId="721"/>
    <tableColumn id="10" xr3:uid="{C644450F-2149-4D87-8E04-D3DD6B99C066}" name="5" dataDxfId="720"/>
    <tableColumn id="11" xr3:uid="{92D6DA00-2083-479D-96F6-4B48312C9C12}" name="6" dataDxfId="719"/>
    <tableColumn id="12" xr3:uid="{2EC613D6-BDCD-416F-817F-42C8018B90FE}" name="7" dataDxfId="718"/>
    <tableColumn id="13" xr3:uid="{B55C5834-2D46-4D83-8429-14D18D9B95EF}" name="8" dataDxfId="717"/>
    <tableColumn id="14" xr3:uid="{5C6DF4C8-EDC0-4827-AA8B-9C2B7202A4DA}" name="9" dataDxfId="716"/>
    <tableColumn id="15" xr3:uid="{764D7AA1-F3E2-4E06-A4A9-952B47F95E76}" name="10" dataDxfId="715"/>
    <tableColumn id="16" xr3:uid="{6D896E44-118D-4124-BF4A-2E06B8568517}" name="11" dataDxfId="71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3"/>
    <tableColumn id="18" xr3:uid="{E97C32F3-7B30-46E7-B4CD-72B412E48E28}" name="22" dataDxfId="712"/>
    <tableColumn id="19" xr3:uid="{FD784BF8-211E-4275-A9B4-168979C2AFD1}" name="23" dataDxfId="711"/>
    <tableColumn id="20" xr3:uid="{766DA9FA-C407-4AC5-BFFB-BF6A1B6D5B26}" name="24" dataDxfId="710"/>
    <tableColumn id="21" xr3:uid="{CD1B765C-53CF-4C5C-A708-487BC53AF68A}" name="25" dataDxfId="709"/>
    <tableColumn id="22" xr3:uid="{2800A805-A560-4CF0-B47E-4486A92755E4}" name="26" dataDxfId="708"/>
    <tableColumn id="23" xr3:uid="{7067EFFA-F2EA-4FFF-A281-8E3E0E718C87}" name="27" dataDxfId="707"/>
    <tableColumn id="24" xr3:uid="{BB01C4B5-FEB4-44E1-BF58-4C9BF81261B1}" name="28" dataDxfId="706"/>
    <tableColumn id="25" xr3:uid="{2116D7DE-6632-4314-9539-6B4BA9407512}" name="29" dataDxfId="705"/>
    <tableColumn id="37" xr3:uid="{CBFA4429-3DA2-46C7-A9A0-49B669AE33A6}" name="30"/>
    <tableColumn id="26" xr3:uid="{B0D188FD-F41F-4C43-A42F-87048D9F3347}" name="31" dataDxfId="704"/>
    <tableColumn id="3" xr3:uid="{153A774F-FA3D-4DE9-A743-A193E9EC2BE7}" name="CARTERA" dataDxfId="703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2" headerRowBorderDxfId="701" tableBorderDxfId="700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99">
      <calculatedColumnFormula>DATA_JULIO_2025[[#This Row],[RECUPERO]]/DATA_JULIO_2025[[#This Row],[META]]</calculatedColumnFormula>
    </tableColumn>
    <tableColumn id="3" xr3:uid="{1754C817-3C23-490F-BEA3-3ACD2AC34A65}" name="CLASIFICACIÓN" dataDxfId="698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7"/>
    <tableColumn id="6" xr3:uid="{BCDF5A35-E274-481A-8FAA-7585E0413D78}" name="RECUPERO" dataDxfId="696">
      <calculatedColumnFormula>SUM(DATA_JULIO_2025[[#This Row],[1]:[31]])</calculatedColumnFormula>
    </tableColumn>
    <tableColumn id="7" xr3:uid="{8DE1FEE0-51D3-4EA8-A46E-89BEBA12056E}" name="META" dataDxfId="695"/>
    <tableColumn id="1" xr3:uid="{3C41F150-757E-4673-8594-D891B2820E33}" name="ASER_" dataDxfId="694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3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1" headerRowBorderDxfId="692" tableBorderDxfId="690">
  <autoFilter ref="A2:K85" xr:uid="{F460AB3C-55A7-4610-B74D-44400B82E396}"/>
  <tableColumns count="11">
    <tableColumn id="1" xr3:uid="{174E92CC-5FBB-42E6-ABBA-A2148115201A}" name="SUPER" dataDxfId="689">
      <calculatedColumnFormula>D1_JULIO_2025[[#This Row],[SUPER2]]</calculatedColumnFormula>
    </tableColumn>
    <tableColumn id="6" xr3:uid="{D87E1435-21B2-485D-8BCD-1C27FC523EEA}" name="ASESOR_CRR" dataDxfId="688"/>
    <tableColumn id="2" xr3:uid="{FC570054-965C-4F29-B04A-C58608AEAECA}" name="META" dataDxfId="687">
      <calculatedColumnFormula>VLOOKUP(D1_JULIO_2025[[#This Row],[SUPER]],DATA_JULIO_2025[[SUPERVISOR]:[META]],3,0)</calculatedColumnFormula>
    </tableColumn>
    <tableColumn id="3" xr3:uid="{CF023A93-4AFB-4349-9235-179A60BC2249}" name="ALCANCE" dataDxfId="686">
      <calculatedColumnFormula>D1_JULIO_2025[[#This Row],[RECUPERO]]/C3</calculatedColumnFormula>
    </tableColumn>
    <tableColumn id="7" xr3:uid="{59576C9E-00A8-419A-8EFC-86D74D6B4B3F}" name="SUPER2" dataDxfId="685"/>
    <tableColumn id="4" xr3:uid="{6F567985-92B6-498E-BDE9-81AA438ECD22}" name="ASESOR" dataDxfId="684"/>
    <tableColumn id="5" xr3:uid="{2DFC340F-6B74-4E64-B475-782D4A5F8B3E}" name="RECUPERO" dataDxfId="683"/>
    <tableColumn id="8" xr3:uid="{D42D0BDD-24C5-4390-9867-D5F3D45952CE}" name="DNI" dataDxfId="682"/>
    <tableColumn id="9" xr3:uid="{A9555617-B6CF-4123-9AD8-5E9DB6528E74}" name="FECHA DE INICIO" dataDxfId="681"/>
    <tableColumn id="10" xr3:uid="{1C792B0A-E0F3-406D-8123-75E932FC95A1}" name="ESTADO" dataDxfId="680"/>
    <tableColumn id="11" xr3:uid="{9C7DD975-8CE5-47A7-9055-3D889431846F}" name="SEGMENTO" dataDxfId="67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8" dataDxfId="676" headerRowBorderDxfId="677" tableBorderDxfId="675" totalsRowBorderDxfId="67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3"/>
    <tableColumn id="1" xr3:uid="{4CE2BFB4-C324-4ECE-B3B7-77A433373BEC}" name="RECUPERO SUPERVISOR" dataDxfId="672"/>
    <tableColumn id="2" xr3:uid="{76C6BCA1-6820-46A6-B790-01B3E88F6266}" name="ALCANCE SUPERVISOR" dataDxfId="671">
      <calculatedColumnFormula>BA9/DITE_JULIO_2025[[#This Row],[META SUPER]]</calculatedColumnFormula>
    </tableColumn>
    <tableColumn id="4" xr3:uid="{FE9C5289-6F21-4D71-92B6-F36B6C9748E7}" name="SUPER" dataDxfId="670"/>
    <tableColumn id="6" xr3:uid="{A5188244-D142-4196-92CC-15B237C3E734}" name="1" dataDxfId="669"/>
    <tableColumn id="7" xr3:uid="{9754BD88-AFD1-4BCB-AF69-DA7B55E3A053}" name="2" dataDxfId="668"/>
    <tableColumn id="8" xr3:uid="{851C8CA8-D257-4BFB-B6BE-D82354200CA7}" name="3" dataDxfId="667"/>
    <tableColumn id="9" xr3:uid="{AE769B63-903F-46E5-A3F0-8DA27C689974}" name="4" dataDxfId="666"/>
    <tableColumn id="10" xr3:uid="{D09A5961-EE10-491A-BFFE-C5ABD80598A8}" name="5" dataDxfId="665"/>
    <tableColumn id="11" xr3:uid="{EC4AF483-303E-4488-AFA2-DD9A058F071A}" name="6" dataDxfId="66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3"/>
    <tableColumn id="13" xr3:uid="{377D024A-00DD-4A77-A549-5C6BEBE894D0}" name="19" dataDxfId="662"/>
    <tableColumn id="14" xr3:uid="{8FABF999-C8BA-4B7D-980A-2659F766178B}" name="20" dataDxfId="661"/>
    <tableColumn id="15" xr3:uid="{06AC6AD7-A191-47DD-AE3F-9A0525AF8DD6}" name="21" dataDxfId="660"/>
    <tableColumn id="16" xr3:uid="{BB465107-63D7-443B-8989-EF197F62D322}" name="22" dataDxfId="659"/>
    <tableColumn id="17" xr3:uid="{3DFE5CBD-1315-4CBA-A14E-1763583D7BEC}" name="23" dataDxfId="658"/>
    <tableColumn id="18" xr3:uid="{5DB3135E-36A1-4F0D-890E-50AC461B96C4}" name="24" dataDxfId="657"/>
    <tableColumn id="19" xr3:uid="{57CA79FE-F6A3-4697-8926-36322AD1BC6C}" name="25" dataDxfId="656"/>
    <tableColumn id="20" xr3:uid="{A99C4302-A806-4344-ABAF-AF753E7EF30D}" name="26" dataDxfId="655"/>
    <tableColumn id="21" xr3:uid="{D1C3F20A-0988-4CC4-8D06-ED3EE15A7AB1}" name="27" dataDxfId="654"/>
    <tableColumn id="22" xr3:uid="{ECEC5739-F3E4-44C4-9408-4DAA6DE5069C}" name="28" dataDxfId="653"/>
    <tableColumn id="23" xr3:uid="{CD77FB96-6C17-47A0-82BA-2ABEA1725A41}" name="29" dataDxfId="652"/>
    <tableColumn id="24" xr3:uid="{87D0EFA1-B9FB-444F-B737-EE4C1B838FBC}" name="30" dataDxfId="651"/>
    <tableColumn id="25" xr3:uid="{BF0F5A29-80D1-482F-9C53-48E4478A5F1D}" name="31" dataDxfId="650"/>
    <tableColumn id="3" xr3:uid="{51B2E01F-098B-4EAB-AB37-99A7A456DDF6}" name="CARTERA" dataDxfId="64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7" headerRowBorderDxfId="648" tableBorderDxfId="646">
  <autoFilter ref="A2:K91" xr:uid="{816CEBCE-101B-42C2-A45C-8113A647428A}"/>
  <tableColumns count="11">
    <tableColumn id="1" xr3:uid="{596664E6-24CF-4AF3-A84D-121AC4745B4C}" name="SUPER" dataDxfId="645"/>
    <tableColumn id="6" xr3:uid="{CA4B13E9-2CAB-42E2-A028-4DFB844CF726}" name="ASESOR_CRR" dataDxfId="644"/>
    <tableColumn id="2" xr3:uid="{B3C2F90C-6F59-4998-9F82-960596BF09D8}" name="META" dataDxfId="643">
      <calculatedColumnFormula>VLOOKUP(D1_AGOSTO_2025[[#This Row],[SUPER]],DATA_AGOSTO_2025[[SUPERVISOR]:[META]],3,0)</calculatedColumnFormula>
    </tableColumn>
    <tableColumn id="3" xr3:uid="{6CE379C4-19C8-4C90-81DB-EA83E873B03A}" name="ALCANCE" dataDxfId="642"/>
    <tableColumn id="7" xr3:uid="{28AC502F-3113-4B59-AA88-4F9E0E7D938B}" name="SUPER2" dataDxfId="641"/>
    <tableColumn id="4" xr3:uid="{9AE19661-0B03-4D03-9661-4B81FCE456D3}" name="ASESOR" dataDxfId="640"/>
    <tableColumn id="5" xr3:uid="{9CCAC285-FD2E-415B-BE6E-AD7E20CECF29}" name="RECUPERO" dataDxfId="639">
      <calculatedColumnFormula>VLOOKUP(D1_AGOSTO_2025[[#This Row],[ASESOR]],$E$95:$F$176,2,0)</calculatedColumnFormula>
    </tableColumn>
    <tableColumn id="8" xr3:uid="{043E81D5-B688-480A-9A28-C451E6CC8ACE}" name="DNI" dataDxfId="638"/>
    <tableColumn id="9" xr3:uid="{1F9CE105-EFA8-4FFE-9C5C-0AB581B961DE}" name="FECHA DE INICIO" dataDxfId="637"/>
    <tableColumn id="10" xr3:uid="{6CA7DA08-8CCF-441D-AE86-422E2259780A}" name="ESTADO" dataDxfId="636"/>
    <tableColumn id="11" xr3:uid="{9109CC4D-CC03-42BB-8F60-09A0400B4073}" name="SEGMENTO" dataDxfId="635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4" headerRowBorderDxfId="633" tableBorderDxfId="63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1">
      <calculatedColumnFormula>DATA_AGOSTO_2025[[#This Row],[RECUPERO]]/DATA_AGOSTO_2025[[#This Row],[META]]</calculatedColumnFormula>
    </tableColumn>
    <tableColumn id="3" xr3:uid="{88C3CECE-F881-4C05-BA2B-95B253894A39}" name="CLASIFICACIÓN" dataDxfId="63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29"/>
    <tableColumn id="6" xr3:uid="{40820BC6-7E2D-416A-AC23-B4520FC0957D}" name="RECUPERO" dataDxfId="628">
      <calculatedColumnFormula>SUM(DATA_AGOSTO_2025[[#This Row],[1]:[31]])</calculatedColumnFormula>
    </tableColumn>
    <tableColumn id="7" xr3:uid="{F7BC8835-EC2E-4047-8AE9-C742ABE03445}" name="META" dataDxfId="627"/>
    <tableColumn id="5" xr3:uid="{22298E20-98EB-421A-8978-F019348D2A10}" name="ASER_" dataDxfId="62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5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4" dataDxfId="622" headerRowBorderDxfId="623" tableBorderDxfId="621" totalsRowBorderDxfId="62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19"/>
    <tableColumn id="1" xr3:uid="{D853C78B-294B-4C5B-87F9-8B837DBCA858}" name="RECUPERO SUPERVISOR" dataDxfId="618">
      <calculatedColumnFormula>MAX(DITE_AGOSTO_2025[[#This Row],[1]:[31]])</calculatedColumnFormula>
    </tableColumn>
    <tableColumn id="2" xr3:uid="{A6B49739-8C7F-42B7-AB2B-2D9B8785D8A7}" name="ALCANCE SUPERVISOR" dataDxfId="617">
      <calculatedColumnFormula>DITE_AGOSTO_2025[[#This Row],[RECUPERO SUPERVISOR]]/DITE_AGOSTO_2025[[#This Row],[META SUPER]]</calculatedColumnFormula>
    </tableColumn>
    <tableColumn id="4" xr3:uid="{96D2A1C2-9EA3-4132-B41A-8B57BBB00DD3}" name="SUPER" dataDxfId="616"/>
    <tableColumn id="6" xr3:uid="{49EEE6CA-AF7B-4615-AE46-CA713F4E9209}" name="1" dataDxfId="615"/>
    <tableColumn id="7" xr3:uid="{61649C96-BFE5-4D18-BCE1-727E2E74D883}" name="2" dataDxfId="614"/>
    <tableColumn id="8" xr3:uid="{3D095B63-6086-4E9E-85B2-511507890CD8}" name="3" dataDxfId="613"/>
    <tableColumn id="9" xr3:uid="{36CD21E6-51F3-49C9-8448-36B269029EF6}" name="4" dataDxfId="612"/>
    <tableColumn id="10" xr3:uid="{D4DBAD01-5AE1-474A-AF64-A98DFD56153A}" name="5" dataDxfId="611"/>
    <tableColumn id="11" xr3:uid="{FDF3CA30-E7DF-4684-9747-03744CC16AAE}" name="6" dataDxfId="61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09"/>
    <tableColumn id="13" xr3:uid="{55EA3D15-E74B-4AB3-B0D5-B387C3EAAB83}" name="19" dataDxfId="608"/>
    <tableColumn id="14" xr3:uid="{507E3CA9-692F-4A2D-BA96-B401D04EEDD0}" name="20" dataDxfId="607"/>
    <tableColumn id="15" xr3:uid="{E5F719C0-0646-408A-976E-C57966E876F4}" name="21" dataDxfId="606"/>
    <tableColumn id="16" xr3:uid="{8AC2AE0D-50EC-4387-A0A4-A1F2DF092A3C}" name="22" dataDxfId="605"/>
    <tableColumn id="17" xr3:uid="{7B1EE470-E258-4B37-BEC3-E798950632D8}" name="23" dataDxfId="604"/>
    <tableColumn id="18" xr3:uid="{F77C3800-E94B-4C32-A796-122D364094EA}" name="24" dataDxfId="603"/>
    <tableColumn id="19" xr3:uid="{0DA4161D-30F3-4E97-BCBB-4C1E891B36FB}" name="25" dataDxfId="602"/>
    <tableColumn id="20" xr3:uid="{94B916D9-415F-4F66-A6C0-0EE398A152E9}" name="26" dataDxfId="601"/>
    <tableColumn id="21" xr3:uid="{D814BC25-89A4-4A6B-B889-6BF06DD3D2EC}" name="27" dataDxfId="600"/>
    <tableColumn id="22" xr3:uid="{7DEFEDE7-498F-4CCF-A7C2-F63ACE1BA092}" name="28" dataDxfId="599"/>
    <tableColumn id="23" xr3:uid="{CA36A7C5-BBBD-47FB-AAB4-1F5CBDA1EE93}" name="29" dataDxfId="598"/>
    <tableColumn id="24" xr3:uid="{958DFD93-9566-47EC-807E-E21861CB1F39}" name="30" dataDxfId="597"/>
    <tableColumn id="25" xr3:uid="{C690FBB6-6A9F-4B4D-AEF8-49C27DFF4FCF}" name="31" dataDxfId="596"/>
    <tableColumn id="3" xr3:uid="{C5283215-E8BB-41D8-B093-AA31F8252394}" name="CARTERA" dataDxfId="595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3" headerRowBorderDxfId="594" tableBorderDxfId="592">
  <autoFilter ref="A2:I80" xr:uid="{111BC5E6-A71D-437E-ABD5-0E09FCDEF3FD}"/>
  <tableColumns count="9">
    <tableColumn id="1" xr3:uid="{EABDBA5F-3C1B-4AC8-8F40-8C9EED5560F3}" name="SUPER" dataDxfId="591"/>
    <tableColumn id="6" xr3:uid="{C37701A2-99CA-45B9-AA89-63D54C88C5B9}" name="ASESOR_CRR" dataDxfId="590"/>
    <tableColumn id="2" xr3:uid="{8360BA59-782B-4699-ABEA-458A3C9299AD}" name="RECUP" dataDxfId="589"/>
    <tableColumn id="3" xr3:uid="{BD5C8833-8CBB-40D9-BC66-F164208CFEC0}" name="ALCANCE" dataDxfId="588"/>
    <tableColumn id="7" xr3:uid="{07FA8551-F17A-4D20-BAC6-4B128B0ECF57}" name="SUPER2" dataDxfId="587"/>
    <tableColumn id="4" xr3:uid="{91470BB1-1A8E-4802-9D93-28E5A1DF6790}" name="ASESOR" dataDxfId="586"/>
    <tableColumn id="5" xr3:uid="{2B49EE5D-87EB-458C-99B1-7F94B8EDDE4B}" name="RECUPERO" dataDxfId="585"/>
    <tableColumn id="8" xr3:uid="{1A69791E-D827-4498-A9B8-C02ED9E8C0C0}" name="DNI" dataDxfId="584"/>
    <tableColumn id="9" xr3:uid="{17EC964E-623C-4526-9375-D1DFD0BBB147}" name="FECHA DE INGRESO" dataDxfId="583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2" headerRowBorderDxfId="581" tableBorderDxfId="580">
  <autoFilter ref="J8:O86" xr:uid="{91775BD2-E36D-479B-95DE-48127C3410BC}"/>
  <tableColumns count="6">
    <tableColumn id="2" xr3:uid="{033A6CF7-EC22-4EEE-8FF0-8C343161421D}" name="AL_AC" dataDxfId="579"/>
    <tableColumn id="3" xr3:uid="{2234E43A-FB04-4BD5-A5FB-BE681630D39D}" name="CLASIFICACIÓN" dataDxfId="578"/>
    <tableColumn id="1" xr3:uid="{E68E03C4-584B-48EC-AA41-D10E171DF6E2}" name="SUPERVISOR" dataDxfId="577"/>
    <tableColumn id="6" xr3:uid="{8FEE60A3-7153-47ED-82A3-25E3E95BD5B9}" name="RECUPERO" dataDxfId="576"/>
    <tableColumn id="5" xr3:uid="{96DEFE26-B796-4F9F-BB26-62A9B1295009}" name="META" dataDxfId="575"/>
    <tableColumn id="4" xr3:uid="{98491906-C3E6-4CCF-96D0-36184A648156}" name="ASER_" dataDxfId="574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3" dataDxfId="571" headerRowBorderDxfId="572" tableBorderDxfId="570" totalsRowBorderDxfId="569">
  <autoFilter ref="Q8:AQ16" xr:uid="{B03330B9-97D2-48C8-8B43-740321917DA5}"/>
  <tableColumns count="27">
    <tableColumn id="5" xr3:uid="{4E3B6BB8-3B21-487C-8667-D21D7F0B0DDF}" name="META SUPER" dataDxfId="568"/>
    <tableColumn id="1" xr3:uid="{C390EAAF-612A-443A-A32B-07A66CB5EF93}" name="RECUPERO SUPERVISOR" dataDxfId="567"/>
    <tableColumn id="2" xr3:uid="{BF66D468-0BA9-433F-A558-DB3EB49638C0}" name="ALCANCE SUPERVISOR" dataDxfId="566"/>
    <tableColumn id="4" xr3:uid="{833C2FF4-09CC-46A1-B127-078899129ED2}" name="SUPER" dataDxfId="565"/>
    <tableColumn id="6" xr3:uid="{7268ABE3-61CC-4084-9F8D-F9F866838337}" name="1-Set" dataDxfId="564"/>
    <tableColumn id="7" xr3:uid="{934984E8-2516-4844-B21B-29330A07EEE9}" name="2-Set" dataDxfId="563"/>
    <tableColumn id="8" xr3:uid="{5F8B97B9-8D43-4455-9D8F-E58FD0EDAC17}" name="3-Set" dataDxfId="562"/>
    <tableColumn id="9" xr3:uid="{85D24C9E-9252-4D30-9E54-18DBF77A6C70}" name="4-Set" dataDxfId="561"/>
    <tableColumn id="10" xr3:uid="{5A78F08C-1794-450A-88A4-F02CE65D2409}" name="5-Set" dataDxfId="560"/>
    <tableColumn id="11" xr3:uid="{C9868C58-D704-4A31-95DB-6D8FBCC63D90}" name="8-Set" dataDxfId="559"/>
    <tableColumn id="12" xr3:uid="{5A69AB6F-1CBE-456F-9AB1-9CFA02551564}" name="9-Set" dataDxfId="558"/>
    <tableColumn id="13" xr3:uid="{2FB09AC7-C3A6-45CD-8892-0B683DF946C3}" name="10-Set" dataDxfId="557"/>
    <tableColumn id="14" xr3:uid="{B8720ED9-AC2B-41EC-BFA3-A12BF9C966CC}" name="11-Set" dataDxfId="556"/>
    <tableColumn id="15" xr3:uid="{31CBBA73-A7BD-468C-BD0B-435687D2ACAD}" name="12-Set" dataDxfId="555"/>
    <tableColumn id="16" xr3:uid="{02C13EA1-381F-4C2D-B917-AF0FF1A9F773}" name="15-Set" dataDxfId="554"/>
    <tableColumn id="17" xr3:uid="{E6B04D90-5126-40CD-BDA1-E2B120BAD73C}" name="16-Set" dataDxfId="553"/>
    <tableColumn id="18" xr3:uid="{7CB5014E-CB0D-4F8A-A9D7-BD9A166A1B37}" name="17-Set" dataDxfId="552"/>
    <tableColumn id="19" xr3:uid="{040ABF10-1BFC-447A-AE21-D052CBC2ED82}" name="18-Set" dataDxfId="551"/>
    <tableColumn id="20" xr3:uid="{44DFBCB9-0C1E-48F5-ACC2-AC0990D1520D}" name="19-Set" dataDxfId="550"/>
    <tableColumn id="21" xr3:uid="{AFFC2ABC-F24F-4F16-B5DD-03747097DBCC}" name="22-Set" dataDxfId="549"/>
    <tableColumn id="22" xr3:uid="{E8A652BF-A601-498B-965E-DF95F032A19E}" name="23-Set" dataDxfId="548"/>
    <tableColumn id="23" xr3:uid="{E1A1F3EC-A932-4B54-BD80-6B3004BAC18C}" name="24-Set" dataDxfId="547"/>
    <tableColumn id="24" xr3:uid="{7F5C1B88-4DF8-4775-AEFB-F5F5D12AD778}" name="25-Set" dataDxfId="546"/>
    <tableColumn id="25" xr3:uid="{B40C371A-A255-4AD7-B43D-47350B1FF421}" name="26-Set" dataDxfId="545"/>
    <tableColumn id="26" xr3:uid="{AFFE8D31-2DD6-4039-8ED5-AD63D5758F88}" name="29-Set" dataDxfId="544"/>
    <tableColumn id="27" xr3:uid="{041693B7-E11C-4B55-8C93-8CFB39922E84}" name="30-Set" dataDxfId="543"/>
    <tableColumn id="3" xr3:uid="{1DAB60E5-FA3D-4422-89D0-AD46643BF45E}" name="CARTERA" dataDxfId="5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1"/>
    <tableColumn id="5" xr3:uid="{2D06A3B4-3271-49A3-9C7C-FFC311CAB0D8}" name="ASESOR"/>
    <tableColumn id="6" xr3:uid="{7C83291E-5126-4377-B991-EBB23328360F}" name="RECUPERO" dataDxfId="540">
      <calculatedColumnFormula>VLOOKUP(D1_OCTUBRE_2025[[#This Row],[ASESOR]],F78:$G$155,2,0)</calculatedColumnFormula>
    </tableColumn>
    <tableColumn id="8" xr3:uid="{7F2D2756-92A6-4522-A15C-2F10A82AAD95}" name="DNI" dataDxfId="539"/>
    <tableColumn id="9" xr3:uid="{B01E98C6-A76C-417B-B7FA-B0F1C8C2C7C6}" name="FECHA DE INICIO" dataDxfId="538"/>
    <tableColumn id="10" xr3:uid="{DEB6156D-2B0C-4157-8EE4-0EE1578CCF4A}" name="ESTADO" dataDxfId="537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6" tableBorderDxfId="53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4">
      <calculatedColumnFormula>DATA_OCTUBRE_2025[[#This Row],[RECUPERO]]/DATA_OCTUBRE_2025[[#This Row],[META]]</calculatedColumnFormula>
    </tableColumn>
    <tableColumn id="3" xr3:uid="{EE681579-D463-48E9-A57F-B73D04925E37}" name="CLASIFICACIÓN" dataDxfId="53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2"/>
    <tableColumn id="6" xr3:uid="{3B45E8CF-4BCD-492C-B1A3-3E157855AA4E}" name="RECUPERO" dataDxfId="531">
      <calculatedColumnFormula>SUM(DATA_OCTUBRE_2025[[#This Row],[1]:[31]])</calculatedColumnFormula>
    </tableColumn>
    <tableColumn id="7" xr3:uid="{2D762908-0860-493B-A482-9514EAD41E9B}" name="META" dataDxfId="530"/>
    <tableColumn id="4" xr3:uid="{B03F71B4-D73E-47CB-8F19-B1EBCB980D51}" name="ASER_" dataDxfId="529"/>
    <tableColumn id="8" xr3:uid="{DADEF8E1-B4EF-4A54-BDEA-772F65B2659B}" name="1" dataDxfId="528"/>
    <tableColumn id="9" xr3:uid="{09759773-B387-4885-980B-3377FCF2784C}" name="2" dataDxfId="527"/>
    <tableColumn id="10" xr3:uid="{0BEF3C74-7822-4935-9DEF-DBB8EF94B2E8}" name="3" dataDxfId="526"/>
    <tableColumn id="11" xr3:uid="{AB623BA8-8BC3-4899-82B4-0D2F75C64AC1}" name="4" dataDxfId="525"/>
    <tableColumn id="12" xr3:uid="{F3FF380C-FA1C-400D-953D-2426EC1D78FF}" name="5" dataDxfId="524"/>
    <tableColumn id="13" xr3:uid="{513A526B-B8DC-4F0A-BB71-A3C5DCBEE598}" name="6" dataDxfId="523"/>
    <tableColumn id="14" xr3:uid="{FE79AC7F-62E7-4115-BE1B-AAF936521653}" name="7" dataDxfId="522"/>
    <tableColumn id="15" xr3:uid="{68C170E4-F271-468B-91F8-3408D287CC52}" name="8" dataDxfId="521"/>
    <tableColumn id="16" xr3:uid="{AD7DCB27-1227-49CE-B962-67316F312A49}" name="9" dataDxfId="520"/>
    <tableColumn id="17" xr3:uid="{A28A426F-20DF-4E28-817D-D45F6DE67B10}" name="10" dataDxfId="519"/>
    <tableColumn id="18" xr3:uid="{E8A185AF-1E28-4F0F-9855-74F54DBD006B}" name="11" dataDxfId="518"/>
    <tableColumn id="19" xr3:uid="{63732328-29EA-40C6-ACD8-4B4DD4B4CF86}" name="12" dataDxfId="51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6"/>
    <tableColumn id="21" xr3:uid="{C17C4587-18F5-4FBD-868F-EBEC86A07A20}" name="23" dataDxfId="515"/>
    <tableColumn id="22" xr3:uid="{A943FEC5-F867-455B-820F-28C4395DB276}" name="24" dataDxfId="514"/>
    <tableColumn id="23" xr3:uid="{A8FFD2FC-7F1E-4386-AF41-D5EEEF19CDD0}" name="25" dataDxfId="513"/>
    <tableColumn id="24" xr3:uid="{ADF6FE87-D285-4286-AA45-3909EFB078E5}" name="26" dataDxfId="512"/>
    <tableColumn id="25" xr3:uid="{2F0BE83F-F151-4F99-839F-143CA77B5B85}" name="27" dataDxfId="511"/>
    <tableColumn id="26" xr3:uid="{380107E6-E719-4EEB-80BE-3FC920AAB0D8}" name="28" dataDxfId="510"/>
    <tableColumn id="27" xr3:uid="{E4578405-DBB6-4571-976F-D9686E90472D}" name="29" dataDxfId="509"/>
    <tableColumn id="28" xr3:uid="{C03A0B6A-D740-474A-B5C0-16AD1C50D0EF}" name="30" dataDxfId="508"/>
    <tableColumn id="29" xr3:uid="{ABC45238-95B8-44E1-B32D-323E0E09BD1E}" name="31" dataDxfId="507"/>
    <tableColumn id="5" xr3:uid="{DFC53255-43CA-45C9-9269-4215B54AB062}" name="CARTERA ASESOR" dataDxfId="506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5" dataDxfId="503" headerRowBorderDxfId="504" tableBorderDxfId="502" totalsRowBorderDxfId="50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0">
      <calculatedColumnFormula>VLOOKUP($M$3&amp;$N$3&amp;DITE_OCTUBRE_2025[[#This Row],[SUPER]],TablaMeta[],5,0)</calculatedColumnFormula>
    </tableColumn>
    <tableColumn id="1" xr3:uid="{2B34CFC4-0C9F-41CE-999A-2588C7446A9F}" name="RECUPERO SUPERVISOR" dataDxfId="499">
      <calculatedColumnFormula>MAX(DITE_OCTUBRE_2025[[#This Row],[1]:[31]])</calculatedColumnFormula>
    </tableColumn>
    <tableColumn id="2" xr3:uid="{12F44D75-C159-4886-875E-F84E5B64A541}" name="ALCANCE SUPERVISOR" dataDxfId="49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7"/>
    <tableColumn id="6" xr3:uid="{949DC2F4-4585-4646-A396-157D2DF8052D}" name="1" dataDxfId="496"/>
    <tableColumn id="7" xr3:uid="{97391D14-7779-42A7-9DB8-C0989C430B43}" name="2" dataDxfId="495"/>
    <tableColumn id="8" xr3:uid="{6354D769-4310-45AC-8145-E44CED72B4A9}" name="3" dataDxfId="494"/>
    <tableColumn id="9" xr3:uid="{4656D04C-0F05-4626-AF66-C82B40AEFAD8}" name="4" dataDxfId="493"/>
    <tableColumn id="10" xr3:uid="{7D1ED70B-0155-4C0E-8A2F-37B332A6F313}" name="5" dataDxfId="492"/>
    <tableColumn id="11" xr3:uid="{0111FAC8-499F-4CC3-8375-0BF99A4C35FA}" name="6" dataDxfId="491"/>
    <tableColumn id="12" xr3:uid="{C0C00B80-78A4-43E2-93D4-3EE00B3626FF}" name="7" dataDxfId="490"/>
    <tableColumn id="13" xr3:uid="{83880E56-1497-4302-8CA7-1D39E0DC1A97}" name="8" dataDxfId="489"/>
    <tableColumn id="14" xr3:uid="{BE01EA14-2F15-437D-A238-21FF4B75A0DE}" name="9" dataDxfId="488"/>
    <tableColumn id="15" xr3:uid="{EB92F6CE-8ACE-4537-AECA-46B61474948E}" name="10" dataDxfId="487"/>
    <tableColumn id="16" xr3:uid="{6D6490DB-3DEB-438C-AB40-C97EC626F0BE}" name="11" dataDxfId="486"/>
    <tableColumn id="17" xr3:uid="{0392FF10-F85D-41D2-8460-C3A186218696}" name="12" dataDxfId="48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4"/>
    <tableColumn id="19" xr3:uid="{3D252296-5BDD-4576-BACF-EBAA4EDD5204}" name="23" dataDxfId="483"/>
    <tableColumn id="20" xr3:uid="{23EB3C4F-7D5A-4D3B-8B24-D8DE6128BA5F}" name="24" dataDxfId="482"/>
    <tableColumn id="21" xr3:uid="{129CAF30-1851-4238-9880-454B24575BB9}" name="25" dataDxfId="481"/>
    <tableColumn id="22" xr3:uid="{72C02609-42DC-4EDE-B4E1-44D533A24355}" name="26" dataDxfId="480"/>
    <tableColumn id="23" xr3:uid="{9123D15C-9492-4356-8328-1BE17F140523}" name="27" dataDxfId="479"/>
    <tableColumn id="24" xr3:uid="{9D5D7ED1-F248-4C81-8326-BBA9C067C915}" name="28" dataDxfId="478"/>
    <tableColumn id="25" xr3:uid="{AF14494A-3DA5-4A85-BD20-353698E70147}" name="29" dataDxfId="477"/>
    <tableColumn id="26" xr3:uid="{B48EAE26-54B8-4E0C-A4A1-6956DA0D148E}" name="30" dataDxfId="476"/>
    <tableColumn id="27" xr3:uid="{85AC05C5-FE82-41A6-837C-F1F547FD8C2F}" name="31" dataDxfId="475"/>
    <tableColumn id="3" xr3:uid="{1CA2638D-96F9-4A0C-980A-6DAE6545AFFA}" name="CARTERA" dataDxfId="47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3" tableBorderDxfId="47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1">
      <calculatedColumnFormula>DATA_NOVIEMBRE_2025[[#This Row],[RECUPERO]]/DATA_NOVIEMBRE_2025[[#This Row],[META]]</calculatedColumnFormula>
    </tableColumn>
    <tableColumn id="3" xr3:uid="{855F5F44-294A-4871-9840-A24614956994}" name="CLASIFICACIÓN" dataDxfId="47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69"/>
    <tableColumn id="6" xr3:uid="{C0A22187-40B7-435A-ABDA-27944F0D7030}" name="RECUPERO" dataDxfId="468">
      <calculatedColumnFormula>SUM(DATA_NOVIEMBRE_2025[[#This Row],[1]:[31]])</calculatedColumnFormula>
    </tableColumn>
    <tableColumn id="7" xr3:uid="{72E7F13E-9273-4AED-98D2-5508FB4A326C}" name="META" dataDxfId="467"/>
    <tableColumn id="30" xr3:uid="{CFEB99FE-9EED-4763-A696-5BC3DA916AC5}" name="ASER_"/>
    <tableColumn id="8" xr3:uid="{00AE5065-FE4D-45E6-A294-E826836A1E33}" name="1" dataDxfId="466"/>
    <tableColumn id="9" xr3:uid="{EF6C35AD-ACD8-4C7F-8937-91D53147656D}" name="2" dataDxfId="465"/>
    <tableColumn id="10" xr3:uid="{CF32F196-CA95-4750-A946-3E0AC1A85184}" name="3" dataDxfId="464"/>
    <tableColumn id="11" xr3:uid="{9F563EAD-A249-4851-B979-F5575DE957AB}" name="4" dataDxfId="463"/>
    <tableColumn id="12" xr3:uid="{D6A6323F-D160-499D-BD7C-7C323AE07CB0}" name="5" dataDxfId="46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1"/>
    <tableColumn id="14" xr3:uid="{46BCBBD6-EB67-46A1-A356-989FA4845EF7}" name="17" dataDxfId="460"/>
    <tableColumn id="15" xr3:uid="{B50A5F7B-5C7E-48C1-80DA-278B6510B811}" name="18" dataDxfId="459"/>
    <tableColumn id="16" xr3:uid="{05796B28-1DD1-422E-9658-78C2FB73FD83}" name="19" dataDxfId="458"/>
    <tableColumn id="17" xr3:uid="{DB0D6520-FFC2-440C-B97F-9604384ED84D}" name="20" dataDxfId="457"/>
    <tableColumn id="18" xr3:uid="{50423629-1D31-4CC8-B9D0-046394DFED68}" name="21" dataDxfId="456"/>
    <tableColumn id="19" xr3:uid="{80B70DB0-A059-4A28-A799-0529D6BF1263}" name="22" dataDxfId="455"/>
    <tableColumn id="20" xr3:uid="{CE0AE96C-2D78-4B18-ADD7-C86E26CE69AB}" name="23" dataDxfId="454"/>
    <tableColumn id="21" xr3:uid="{D6CA8ADF-F50B-4822-B7AD-A49AC8CD28E8}" name="24" dataDxfId="453"/>
    <tableColumn id="22" xr3:uid="{8D2522DF-F1BC-4031-89AD-8B4B3515396A}" name="25" dataDxfId="452"/>
    <tableColumn id="23" xr3:uid="{293ABA54-17AB-40AD-A5F9-E0308A358390}" name="26" dataDxfId="451"/>
    <tableColumn id="24" xr3:uid="{099B62F0-F67D-4CF2-8C6A-AD383B297F15}" name="27" dataDxfId="450"/>
    <tableColumn id="25" xr3:uid="{104E6C24-1381-41DA-BF76-0DD6D49DF0C1}" name="28" dataDxfId="449"/>
    <tableColumn id="26" xr3:uid="{095F601D-F187-4396-A356-C09936718FF5}" name="29" dataDxfId="448"/>
    <tableColumn id="27" xr3:uid="{4F9FCA77-406D-4319-913A-82D308726F04}" name="30" dataDxfId="447"/>
    <tableColumn id="28" xr3:uid="{5825F9EE-936A-4C38-B210-9DA3DA553F75}" name="31" dataDxfId="446"/>
    <tableColumn id="1" xr3:uid="{D8CEB774-F634-4903-AC1C-0BF18BDD3A03}" name="CARTERA ASESOR" dataDxfId="445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4"/>
    <tableColumn id="2" xr3:uid="{7E004A30-FB94-4ABB-88FD-3005F8FA00C6}" name="ASESOR_CRR" dataDxfId="44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2"/>
    <tableColumn id="7" xr3:uid="{AA9D9715-8EBE-4ECB-8BB4-3F41AF689173}" name="SUPER2" dataDxfId="441"/>
    <tableColumn id="5" xr3:uid="{DDD5C800-04E2-4D8A-8C83-C410D5DF7F70}" name="ASESOR" dataDxfId="440"/>
    <tableColumn id="6" xr3:uid="{88DDFA81-E306-4531-9C28-1EEEFB91AC37}" name="RECUPERO" dataDxfId="439">
      <calculatedColumnFormula>VLOOKUP(D1_NOVIEMBRE_2025[[#This Row],[ASESOR]],$F$70:$G$130,2,0)</calculatedColumnFormula>
    </tableColumn>
    <tableColumn id="9" xr3:uid="{B4E0C179-9219-4DFF-AA71-3C7E15DC0CCB}" name="DNI" dataDxfId="438"/>
    <tableColumn id="10" xr3:uid="{A57DDDED-46A0-4CB6-B58A-B5F5FD8B6714}" name="FECHA DE INICIO" dataDxfId="437"/>
    <tableColumn id="8" xr3:uid="{6D0B725E-AD90-4FB1-ACD9-0C7E61DBD30D}" name="ESTADO" dataDxfId="436"/>
    <tableColumn id="11" xr3:uid="{14A41DD1-83BC-4380-9872-12E024A570EF}" name="SEGMENTO" dataDxfId="435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4" dataDxfId="433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2"/>
    <tableColumn id="2" xr3:uid="{39564DF7-490C-4B42-BA0D-A0C7965369AD}" name="RECUPERO SUPERVISOR" dataDxfId="431">
      <calculatedColumnFormula>MAX(DITE_NOVIEMBRE_2025[[#This Row],[1]:[31]])</calculatedColumnFormula>
    </tableColumn>
    <tableColumn id="3" xr3:uid="{714DADEA-706C-4919-B3C2-F0BF1111E161}" name="ALCANCE SUPERVISOR" dataDxfId="430">
      <calculatedColumnFormula>DITE_NOVIEMBRE_2025[[#This Row],[RECUPERO SUPERVISOR]]/DITE_NOVIEMBRE_2025[[#This Row],[META SUPER]]</calculatedColumnFormula>
    </tableColumn>
    <tableColumn id="1" xr3:uid="{9452BB90-F5DE-4B57-AF8A-BBAB41BDA625}" name="SUPER" dataDxfId="429"/>
    <tableColumn id="6" xr3:uid="{87C598B5-62D4-4EE7-861E-EEAA52C00585}" name="1" dataDxfId="428"/>
    <tableColumn id="7" xr3:uid="{633891A0-1EBF-4F76-A7F4-F66318664C43}" name="2" dataDxfId="427"/>
    <tableColumn id="8" xr3:uid="{0592F328-9F13-4B6C-80C9-E9F1845891CB}" name="3" dataDxfId="426"/>
    <tableColumn id="9" xr3:uid="{AE7882D8-BBFD-45AE-B2CB-28F66322BAEE}" name="4" dataDxfId="425"/>
    <tableColumn id="10" xr3:uid="{05F48497-7C3E-4EF2-8908-E3DDE502B309}" name="5" dataDxfId="424"/>
    <tableColumn id="11" xr3:uid="{BD05847D-8156-476D-9D43-53BF9B333675}" name="6" dataDxfId="423"/>
    <tableColumn id="12" xr3:uid="{407098C8-B89E-46C0-9B9A-DA4AD2929032}" name="7" dataDxfId="422"/>
    <tableColumn id="13" xr3:uid="{91FC56B9-68A8-46E6-AF86-C055E5241ADE}" name="8" dataDxfId="421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0"/>
    <tableColumn id="15" xr3:uid="{6D9CB553-B7A7-4211-8DDF-E67D0F75BD0A}" name="20" dataDxfId="419"/>
    <tableColumn id="16" xr3:uid="{C060B537-6CE4-430B-8A22-7A540BACE464}" name="21" dataDxfId="418"/>
    <tableColumn id="17" xr3:uid="{4C8D59DE-F0E8-4B3F-8552-A394ADA4C013}" name="22" dataDxfId="417"/>
    <tableColumn id="18" xr3:uid="{3AB7DFB9-4558-4621-AB3C-3891ECC67DB4}" name="23" dataDxfId="416"/>
    <tableColumn id="19" xr3:uid="{ECC2D027-50E3-4374-BA37-6384A463E763}" name="24" dataDxfId="415"/>
    <tableColumn id="20" xr3:uid="{03C4446D-2883-4E24-87C6-489668916C57}" name="25" dataDxfId="414"/>
    <tableColumn id="21" xr3:uid="{1D103BD3-6849-47BB-B1AD-9FF31C3432E4}" name="26" dataDxfId="413"/>
    <tableColumn id="22" xr3:uid="{E2A6B954-BE7E-4918-9A92-245143E3726C}" name="27" dataDxfId="412"/>
    <tableColumn id="23" xr3:uid="{3BE5D700-08A4-480A-8651-AFBBD596763A}" name="28" dataDxfId="411"/>
    <tableColumn id="24" xr3:uid="{16A1ECF5-0D22-4B11-B95E-D5BF2A42B1A3}" name="29" dataDxfId="410"/>
    <tableColumn id="25" xr3:uid="{AACA19B9-FD00-4B90-8B58-181F058F24E3}" name="30" dataDxfId="409"/>
    <tableColumn id="26" xr3:uid="{2DE2D547-EE6E-49C4-858B-C4D674245BFC}" name="31" dataDxfId="408"/>
    <tableColumn id="4" xr3:uid="{9AD4619F-F825-4B54-8AE2-92E8B9E9E57F}" name="CARTERA" dataDxfId="407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6" tableBorderDxfId="40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4">
      <calculatedColumnFormula>DATA_DICIEMBRE_2025[[#This Row],[RECUPERO]]/DATA_DICIEMBRE_2025[[#This Row],[META]]</calculatedColumnFormula>
    </tableColumn>
    <tableColumn id="2" xr3:uid="{B5D97F6A-AE7C-4FC3-8428-5737699DFEB1}" name="CLASIFICACIÓN" dataDxfId="40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2"/>
    <tableColumn id="1" xr3:uid="{47FCFB9B-5515-45CC-BFF9-2785144AD854}" name="RECUPERO" dataDxfId="401">
      <calculatedColumnFormula>SUM(DATA_DICIEMBRE_2025[[#This Row],[1]:[31]])</calculatedColumnFormula>
    </tableColumn>
    <tableColumn id="6" xr3:uid="{ED7BE75E-3624-4159-BFE7-645CEA862C3E}" name="META" dataDxfId="400"/>
    <tableColumn id="7" xr3:uid="{AD05A858-B012-4836-80E5-BF630A338442}" name="ASER_" dataDxfId="399"/>
    <tableColumn id="4" xr3:uid="{6792E8BB-5B6A-4E20-BC71-7F342FD1DE33}" name="1" dataDxfId="398"/>
    <tableColumn id="8" xr3:uid="{AFF95CFC-A6A6-4F82-9A47-D8F9735B080F}" name="2" dataDxfId="397"/>
    <tableColumn id="9" xr3:uid="{3EE2031A-4396-4C20-9B21-B423FD7A4983}" name="3" dataDxfId="396"/>
    <tableColumn id="10" xr3:uid="{98A61AE3-7932-414B-AE75-E4B9F37090B7}" name="4" dataDxfId="395"/>
    <tableColumn id="11" xr3:uid="{2B37FA03-0832-40E1-966B-188EC131A687}" name="5" dataDxfId="394"/>
    <tableColumn id="12" xr3:uid="{9A4E011C-C4A7-4F49-AD1B-BB28BEA4BF8C}" name="6" dataDxfId="393"/>
    <tableColumn id="13" xr3:uid="{EFB94F58-F00C-45C8-B4D0-E0C1802DF92E}" name="7" dataDxfId="392"/>
    <tableColumn id="14" xr3:uid="{F8800705-9DF6-4EEA-8D67-8321AE1E80D1}" name="8" dataDxfId="391"/>
    <tableColumn id="15" xr3:uid="{7B6D79FE-5D1B-462C-8037-0CACAB6F3911}" name="9" dataDxfId="390"/>
    <tableColumn id="16" xr3:uid="{E0E24420-1BF8-4BED-A5CC-D5EF1C7DF685}" name="10" dataDxfId="38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8"/>
    <tableColumn id="18" xr3:uid="{388429A9-C1D2-4EE1-BB12-A7C9C48AA9F0}" name="23" dataDxfId="387"/>
    <tableColumn id="19" xr3:uid="{6D1522B5-D820-4F42-ADD5-A6062E68E06A}" name="24" dataDxfId="386"/>
    <tableColumn id="20" xr3:uid="{A78EF6CB-6A5A-488F-8EC5-34C0267191BD}" name="25" dataDxfId="385"/>
    <tableColumn id="21" xr3:uid="{0817989E-B5E4-435D-99FF-C9E1A1D429CD}" name="26" dataDxfId="384"/>
    <tableColumn id="22" xr3:uid="{5AE7BF00-6E17-4434-AFC3-A082971963E9}" name="27" dataDxfId="383"/>
    <tableColumn id="23" xr3:uid="{AC4528BB-516C-4650-8587-2267B9400C8D}" name="28" dataDxfId="382"/>
    <tableColumn id="24" xr3:uid="{AB7921F2-B36A-4ABC-9DBC-BB0EC20ACC62}" name="29" dataDxfId="381"/>
    <tableColumn id="25" xr3:uid="{5D1446EA-3DB7-4807-AE25-EB2149040D6D}" name="30" dataDxfId="380"/>
    <tableColumn id="26" xr3:uid="{B5F2A170-57DC-49D6-9752-24386332D295}" name="31" dataDxfId="379"/>
    <tableColumn id="27" xr3:uid="{D1831881-0F77-44D4-82FA-57779D5E74BA}" name="CARTERA ASESOR" dataDxfId="378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6"/>
    <tableColumn id="2" xr3:uid="{C1D8B208-A530-42D3-A6B3-202247844AC6}" name="ASESOR_CRR" dataDxfId="375"/>
    <tableColumn id="5" xr3:uid="{0E2E2A96-2FDE-425E-A454-24F26F26F817}" name="META" dataDxfId="374">
      <calculatedColumnFormula>VLOOKUP(D1_DICIEMBRE_2025[[#This Row],[SUPER]],DATA_DICIEMBRE_2025[[SUPERVISOR]:[META]],3,0)</calculatedColumnFormula>
    </tableColumn>
    <tableColumn id="6" xr3:uid="{99265ED5-3CFF-4A20-97B4-3560EE99C717}" name="ALCANCE" dataDxfId="373">
      <calculatedColumnFormula>D1_DICIEMBRE_2025[[#This Row],[RECUPERO]]/D1_DICIEMBRE_2025[[#This Row],[META]]</calculatedColumnFormula>
    </tableColumn>
    <tableColumn id="7" xr3:uid="{374D40BE-0CEA-496A-A350-4762CACC979E}" name="SUPER2" dataDxfId="372"/>
    <tableColumn id="3" xr3:uid="{CE2FC99C-C2FA-4CF8-B4D5-38DB34F6C4C0}" name="ASESOR"/>
    <tableColumn id="4" xr3:uid="{1034AC9B-8A72-4332-A474-8471A1B8C391}" name="RECUPERO" dataDxfId="371"/>
    <tableColumn id="8" xr3:uid="{51D1D4C9-F574-4F9F-BB5F-619CFC8367F6}" name="DNI" dataDxfId="370"/>
    <tableColumn id="9" xr3:uid="{1F94989E-BD68-4711-BF6F-AABBC6D00AD3}" name="FECHA DE INICIO" dataDxfId="369"/>
    <tableColumn id="10" xr3:uid="{26BBC886-44C6-4729-85D8-0B926A843BA1}" name="ESTADO" dataDxfId="368"/>
    <tableColumn id="11" xr3:uid="{B8649A5B-760E-4178-AFFE-25BA3537578F}" name="SEGMENTO" dataDxfId="36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6" dataDxfId="364" headerRowBorderDxfId="365" tableBorderDxfId="363" totalsRowBorderDxfId="36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1"/>
    <tableColumn id="3" xr3:uid="{DED03312-7BDA-4CEA-9273-AA5DB2237A5F}" name="RECUPERO SUPERVISOR" dataDxfId="360">
      <calculatedColumnFormula>MAX(DITE_DICIEMBRE_2025[[#This Row],[1]:[31]])</calculatedColumnFormula>
    </tableColumn>
    <tableColumn id="4" xr3:uid="{5A956735-F760-4B1F-B874-402D928B71EA}" name="ALCANCE SUPERVISOR" dataDxfId="359">
      <calculatedColumnFormula>DITE_DICIEMBRE_2025[[#This Row],[RECUPERO SUPERVISOR]]/AZ9</calculatedColumnFormula>
    </tableColumn>
    <tableColumn id="1" xr3:uid="{ED2A948C-9442-4C47-9BE9-277A3D6239D3}" name="SUPER" dataDxfId="358"/>
    <tableColumn id="6" xr3:uid="{6E784300-7704-4F45-8E90-F7C2D4F71F66}" name="1" dataDxfId="357"/>
    <tableColumn id="7" xr3:uid="{EA789C05-CA47-4D66-B493-7D6222022389}" name="2" dataDxfId="356"/>
    <tableColumn id="36" xr3:uid="{E83A454A-CB07-409E-B2F9-FEFD108C0456}" name="3" dataDxfId="355"/>
    <tableColumn id="8" xr3:uid="{4ACB3C1D-600B-4503-9368-987BC1B3B0EA}" name="4" dataDxfId="354"/>
    <tableColumn id="9" xr3:uid="{B5C8B277-5A83-47A1-95FD-A620D749E785}" name="5" dataDxfId="353"/>
    <tableColumn id="10" xr3:uid="{FB101921-E892-41E0-B8B7-4141F51A83BB}" name="6" dataDxfId="352"/>
    <tableColumn id="11" xr3:uid="{C777EEA2-F048-439C-9EA1-0C4C731AA6E9}" name="7" dataDxfId="351"/>
    <tableColumn id="12" xr3:uid="{7AA80CD7-0570-4507-8C49-9CF331F01C83}" name="8" dataDxfId="350"/>
    <tableColumn id="13" xr3:uid="{F115F6D4-E69D-46D7-AD4B-F13AFDF74268}" name="9" dataDxfId="349"/>
    <tableColumn id="14" xr3:uid="{393E1035-13E1-4131-B853-53B4CA536CF0}" name="10" dataDxfId="348"/>
    <tableColumn id="15" xr3:uid="{7FF1CB48-1402-460C-BDDE-C67F81F66807}" name="11" dataDxfId="347"/>
    <tableColumn id="32" xr3:uid="{8F13018F-0746-40A8-8063-7F1351A273EA}" name="12" dataDxfId="346"/>
    <tableColumn id="33" xr3:uid="{5FD9BED8-7FEA-4B06-9B27-A0BFD046EB49}" name="13" dataDxfId="345"/>
    <tableColumn id="35" xr3:uid="{8D88E3F7-E581-49D0-B55A-812661F85CB6}" name="14" dataDxfId="344"/>
    <tableColumn id="34" xr3:uid="{98E6CACB-4217-4732-B54A-899D22A2EAF6}" name="15" dataDxfId="343"/>
    <tableColumn id="29" xr3:uid="{7C19F65B-AFA4-4BDB-849B-78B44514C8F1}" name="16" dataDxfId="342"/>
    <tableColumn id="30" xr3:uid="{5B8DAC84-4B56-4ED2-BCA8-C8513518494E}" name="17" dataDxfId="341"/>
    <tableColumn id="31" xr3:uid="{6135134A-5BCC-4221-AD87-B5C8D80AB6D3}" name="18" dataDxfId="340"/>
    <tableColumn id="26" xr3:uid="{2569A07A-57D5-45E4-94CF-9442436AFDAE}" name="19" dataDxfId="339"/>
    <tableColumn id="27" xr3:uid="{828CBD1E-742A-4B46-99B1-A5B0163441D5}" name="20" dataDxfId="338"/>
    <tableColumn id="28" xr3:uid="{773F208D-F15B-4823-A2FA-144A370D1B7A}" name="21" dataDxfId="337"/>
    <tableColumn id="16" xr3:uid="{419173FA-3C44-4167-9CA2-3C07CF180C9B}" name="22" dataDxfId="336"/>
    <tableColumn id="17" xr3:uid="{A8A10E2B-AFD7-46D0-8149-9A05D1EC2C03}" name="23" dataDxfId="335"/>
    <tableColumn id="18" xr3:uid="{CF29209E-568F-4788-AE4E-864CF179A3F5}" name="24" dataDxfId="334"/>
    <tableColumn id="19" xr3:uid="{C33D5154-B635-4235-8170-2F374C119543}" name="25" dataDxfId="333"/>
    <tableColumn id="20" xr3:uid="{70E870EC-47B5-4461-AC8F-7662212D49E0}" name="26" dataDxfId="332"/>
    <tableColumn id="21" xr3:uid="{2215DAF3-2DFC-47A4-940A-DC348054A7EB}" name="27" dataDxfId="331"/>
    <tableColumn id="22" xr3:uid="{BE707551-BD9D-4E46-9F38-1BF8DA272627}" name="28" dataDxfId="330"/>
    <tableColumn id="23" xr3:uid="{BA6108F0-3F12-4B54-8E19-7FF232FA9893}" name="29" dataDxfId="329"/>
    <tableColumn id="24" xr3:uid="{B18366FB-64C7-4779-8DB9-91A30E111223}" name="30" dataDxfId="328"/>
    <tableColumn id="25" xr3:uid="{8BD30A4B-DE19-4C3A-8A9E-7FFE10B8C56B}" name="31" dataDxfId="327"/>
    <tableColumn id="5" xr3:uid="{1A8ADD20-D8A3-4981-B322-7C16CBD19ABB}" name="CARTERA" dataDxfId="32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5"/>
    <tableColumn id="2" xr3:uid="{09FFA9EA-077A-4B1E-BBB0-BEFE3719755F}" name="ASESOR_CRR" dataDxfId="324"/>
    <tableColumn id="3" xr3:uid="{B2B98848-02EC-4CE4-B2C4-CF726670ADA0}" name="META" dataDxfId="323"/>
    <tableColumn id="4" xr3:uid="{843076CD-455D-4677-9B9B-753164881BDC}" name="ALCANCE" dataDxfId="322"/>
    <tableColumn id="5" xr3:uid="{27191708-D634-47D0-B6EF-7903B523F721}" name="SUPER2" dataDxfId="321"/>
    <tableColumn id="6" xr3:uid="{F95ADB27-E512-47F7-962C-D178A524B971}" name="ASESOR"/>
    <tableColumn id="7" xr3:uid="{32C145E4-25CE-4365-A7D9-EB2FB110C794}" name="RECUPERO" dataDxfId="320"/>
    <tableColumn id="8" xr3:uid="{20773954-0FEB-4980-9B49-FA8A9DD97C3C}" name="DNI" dataDxfId="319"/>
    <tableColumn id="9" xr3:uid="{0ACD1DB4-5167-41A6-9528-D0663730532D}" name="FECHA DE INICIO" dataDxfId="318"/>
    <tableColumn id="10" xr3:uid="{4C5570D8-15F0-4535-849A-56408975F639}" name="ESTADO" dataDxfId="317"/>
    <tableColumn id="11" xr3:uid="{2AF8D525-4A26-4F67-9B32-FE9919E49C0C}" name="SEGMENTO" dataDxfId="316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5" headerRowBorderDxfId="314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3">
      <calculatedColumnFormula>DATA_ENERO_2026[[#This Row],[RECUPERO]]/DATA_ENERO_2026[[#This Row],[META]]</calculatedColumnFormula>
    </tableColumn>
    <tableColumn id="2" xr3:uid="{7E513578-A5D7-4721-8AB2-4CF3CDD2FC39}" name="CLASIFICACIÓN" dataDxfId="312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1"/>
    <tableColumn id="4" xr3:uid="{41268A33-B17E-413A-B074-C6D8798C61CA}" name="RECUPERO" dataDxfId="310">
      <calculatedColumnFormula>SUM(DATA_ENERO_2026[[#This Row],[1]:[31]])</calculatedColumnFormula>
    </tableColumn>
    <tableColumn id="5" xr3:uid="{62F2A8A0-46E7-4D7F-AB57-24AB0CDE4B51}" name="META" dataDxfId="309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8" headerRowBorderDxfId="307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6"/>
    <tableColumn id="2" xr3:uid="{15ACA161-61F0-4530-82A1-17E6DBF20240}" name="RECUPERO SUPERVISOR" dataDxfId="305">
      <calculatedColumnFormula>MAX(DITE_ENERO_2026[[#This Row],[1]:[31]])</calculatedColumnFormula>
    </tableColumn>
    <tableColumn id="3" xr3:uid="{778859E8-B3B0-4937-8B5F-DE4BE24B1DFD}" name="ALCANCE SUPERVISOR" dataDxfId="304">
      <calculatedColumnFormula>DITE_ENERO_2026[[#This Row],[RECUPERO SUPERVISOR]]/DITE_ENERO_2026[[#This Row],[META SUPER]]</calculatedColumnFormula>
    </tableColumn>
    <tableColumn id="4" xr3:uid="{2A98F79A-DD24-4D83-8BA6-82D08E13FF65}" name="SUPER" dataDxfId="303"/>
    <tableColumn id="5" xr3:uid="{3F9C0B21-F246-40F5-B83B-6E1442CF2131}" name="1" dataDxfId="302"/>
    <tableColumn id="6" xr3:uid="{82FC80A9-9A41-42BE-ADC0-0CD59C900786}" name="2" dataDxfId="301"/>
    <tableColumn id="36" xr3:uid="{CA81CA44-827C-45E8-AC06-DC9981750310}" name="3" dataDxfId="300"/>
    <tableColumn id="35" xr3:uid="{4D1DEC94-6331-4F09-BA9E-B7A8C033B218}" name="4" dataDxfId="299"/>
    <tableColumn id="34" xr3:uid="{DB9BA0C3-7EE6-4EF0-BFE4-DFA6138CC954}" name="5" dataDxfId="298"/>
    <tableColumn id="33" xr3:uid="{555EB36D-2BD4-463A-AA30-BC4E2AF59577}" name="6" dataDxfId="297"/>
    <tableColumn id="32" xr3:uid="{CD594F14-E668-4171-B224-2D1EB8F12904}" name="7" dataDxfId="296"/>
    <tableColumn id="31" xr3:uid="{CE1693BC-730F-4221-A5EC-B12B2C08D967}" name="8" dataDxfId="295"/>
    <tableColumn id="30" xr3:uid="{D62E1F60-4782-4F2D-B690-7D11A373BFEE}" name="9" dataDxfId="294"/>
    <tableColumn id="29" xr3:uid="{67AA1F0E-6FD5-4227-8FC3-54350952F274}" name="10" dataDxfId="293"/>
    <tableColumn id="28" xr3:uid="{D4CCC202-871A-430E-A7C4-8C2E1F633660}" name="11" dataDxfId="292"/>
    <tableColumn id="7" xr3:uid="{77D5DF82-95A0-430A-9509-AA047E6F6BB6}" name="12" dataDxfId="291"/>
    <tableColumn id="8" xr3:uid="{45052ACC-BEA6-4143-B55C-D2927C794547}" name="13" dataDxfId="290"/>
    <tableColumn id="9" xr3:uid="{A76A60E2-ABB3-4CA9-876C-F0E146A4EE28}" name="14" dataDxfId="289"/>
    <tableColumn id="10" xr3:uid="{5361F0A7-C153-4400-A683-ADB185B2D1E4}" name="15" dataDxfId="288"/>
    <tableColumn id="11" xr3:uid="{5C1E0CB3-E70D-4999-8E10-8E327EB2D410}" name="16" dataDxfId="287"/>
    <tableColumn id="12" xr3:uid="{4E264E92-011A-4E01-B78E-20B2B900F7FB}" name="17" dataDxfId="286"/>
    <tableColumn id="13" xr3:uid="{4DE23C2E-4F9B-4579-9BCE-93EAD290F9A8}" name="18" dataDxfId="285"/>
    <tableColumn id="14" xr3:uid="{ADE81A92-9983-4367-83CB-C4FA26CF8415}" name="19" dataDxfId="284"/>
    <tableColumn id="15" xr3:uid="{28467DBF-6C6B-430A-98CA-67317F73CD23}" name="20" dataDxfId="283"/>
    <tableColumn id="16" xr3:uid="{19E54854-D1FF-45D4-94D2-82215DE354F0}" name="21" dataDxfId="282"/>
    <tableColumn id="17" xr3:uid="{1F67BAFC-1AE0-4A70-9864-2C684E0743C1}" name="22" dataDxfId="281"/>
    <tableColumn id="18" xr3:uid="{4887B78E-B1D4-490D-BDE4-66011785EB0B}" name="23" dataDxfId="280"/>
    <tableColumn id="19" xr3:uid="{A4E77FFD-C128-4F89-ACB7-5A19C9AC8068}" name="24" dataDxfId="279"/>
    <tableColumn id="20" xr3:uid="{3166AEA9-9CE1-49E0-85A7-B06251784AF0}" name="25" dataDxfId="278"/>
    <tableColumn id="21" xr3:uid="{D0F8CB31-F152-441F-95C0-C8F116F8FBD4}" name="26" dataDxfId="277"/>
    <tableColumn id="22" xr3:uid="{F8CD3E26-00FA-4CB1-AB01-D0E528D7E8B4}" name="27" dataDxfId="276"/>
    <tableColumn id="23" xr3:uid="{19608BA9-8EEF-49C7-B4A7-B9B3571F8643}" name="28" dataDxfId="275"/>
    <tableColumn id="24" xr3:uid="{FAD90248-66B1-421C-B230-68841EB2A0B9}" name="29" dataDxfId="274"/>
    <tableColumn id="25" xr3:uid="{9307F5B0-B35B-4416-BE7C-74E539966F44}" name="30" dataDxfId="273"/>
    <tableColumn id="26" xr3:uid="{0FA7DA7F-AD3E-4DD3-B407-DD15600893BE}" name="31" dataDxfId="272"/>
    <tableColumn id="27" xr3:uid="{CAD2B4E3-016B-42FA-AD88-18A28731A184}" name="CARTERA" dataDxfId="271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0" tableBorderDxfId="269">
  <autoFilter ref="M8:AX59" xr:uid="{D9CF28BD-D91E-4BE6-BD3B-BCADCA049C93}"/>
  <tableColumns count="38">
    <tableColumn id="5" xr3:uid="{A121E4E8-FA4D-47D4-9A77-06F28AAE4E54}" name="AL_AC" dataDxfId="268">
      <calculatedColumnFormula>DATA_FEBRERO_2026[[#This Row],[RECUPERO]]/DATA_FEBRERO_2026[[#This Row],[META]]</calculatedColumnFormula>
    </tableColumn>
    <tableColumn id="2" xr3:uid="{34ED75F7-6C69-4661-9178-0FEC57ED1324}" name="CLASIFICACIÓN" dataDxfId="267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6">
      <calculatedColumnFormula>IFERROR(VLOOKUP(DATA_FEBRERO_2026[[#This Row],[ASER_]],$B:$G,4,0),"")</calculatedColumnFormula>
    </tableColumn>
    <tableColumn id="1" xr3:uid="{9BC79FD6-44BC-4708-987B-14B90F71C5E5}" name="RECUPERO" dataDxfId="265">
      <calculatedColumnFormula>SUM(DATA_FEBRERO_2026[[#This Row],[1]:[31]])</calculatedColumnFormula>
    </tableColumn>
    <tableColumn id="6" xr3:uid="{018AE36B-77F5-47D3-A72E-855E3B4EA24D}" name="META" dataDxfId="264">
      <calculatedColumnFormula>VLOOKUP(DATA_FEBRERO_2026[[#This Row],[ASER_]],D1_FEBRERO_2026[[ASESOR_CRR]:[META]],2,0)</calculatedColumnFormula>
    </tableColumn>
    <tableColumn id="7" xr3:uid="{D07B538A-1223-4282-911D-0D8C6D33F252}" name="ASER_" dataDxfId="263"/>
    <tableColumn id="4" xr3:uid="{978EBDF4-AB0F-45EB-8F17-7A1040F8BBBE}" name="1" dataDxfId="262"/>
    <tableColumn id="8" xr3:uid="{1276421E-A9BD-4193-946B-2B02A7972B4A}" name="2" dataDxfId="261"/>
    <tableColumn id="9" xr3:uid="{31AFF576-CA16-4044-A433-CF00527C2D07}" name="3" dataDxfId="260"/>
    <tableColumn id="10" xr3:uid="{E8F5F7F4-A4CF-4AAC-A43C-A3FCD8C1BC19}" name="4" dataDxfId="259"/>
    <tableColumn id="11" xr3:uid="{188BA638-2000-41D9-B5E6-9165523ED42D}" name="5" dataDxfId="258"/>
    <tableColumn id="12" xr3:uid="{C225C63B-52FC-44AB-96F6-9151E73D6699}" name="6" dataDxfId="257"/>
    <tableColumn id="13" xr3:uid="{67E1F5CE-2C28-4FA3-9034-A737F1B2D7A4}" name="7" dataDxfId="256"/>
    <tableColumn id="14" xr3:uid="{BF6E4C42-64F4-4C86-87D7-0EB0DF723F0A}" name="8" dataDxfId="255"/>
    <tableColumn id="15" xr3:uid="{77DEB661-03C1-4274-9B6F-379D81B3710E}" name="9" dataDxfId="254"/>
    <tableColumn id="35" xr3:uid="{A13630BC-1BB6-4707-83E3-E2A6FD2FAFF3}" name="10" dataDxfId="253"/>
    <tableColumn id="36" xr3:uid="{5B83E5AF-B52C-4B3F-9B8E-974AD7242CB6}" name="11" dataDxfId="252"/>
    <tableColumn id="38" xr3:uid="{EFCD2EF3-DC69-46DB-8A4C-D03EFA19868F}" name="12" dataDxfId="251"/>
    <tableColumn id="37" xr3:uid="{283914E6-F846-42D8-BFA5-7E5CF71F8E39}" name="13" dataDxfId="250"/>
    <tableColumn id="32" xr3:uid="{506D1094-3E71-477B-9E3B-FD71CD452A13}" name="14" dataDxfId="249"/>
    <tableColumn id="33" xr3:uid="{51A0C186-4F1F-4B6E-A04E-6DA5B01E5817}" name="15" dataDxfId="248"/>
    <tableColumn id="34" xr3:uid="{83A09A26-D26C-4BF1-9870-7E24692CCAB5}" name="16" dataDxfId="247"/>
    <tableColumn id="26" xr3:uid="{F0CECF60-FD0C-487B-964E-F3D195A081A6}" name="17" dataDxfId="246"/>
    <tableColumn id="30" xr3:uid="{87E5481D-2747-411F-8715-2B1A58E5072E}" name="18" dataDxfId="245"/>
    <tableColumn id="31" xr3:uid="{56B820E5-7529-456B-BFFB-66FC13160FC7}" name="19" dataDxfId="244"/>
    <tableColumn id="16" xr3:uid="{943E3451-A77C-49F4-A8CD-FB3A234BB921}" name="20" dataDxfId="243"/>
    <tableColumn id="17" xr3:uid="{08A06D07-4057-4995-AD95-02726747926A}" name="21" dataDxfId="242"/>
    <tableColumn id="18" xr3:uid="{3CA4B4CF-845B-4625-A447-E9930B6C4C90}" name="22" dataDxfId="241"/>
    <tableColumn id="19" xr3:uid="{E2FCBDE7-CAF6-4719-A2E2-E3DFA5938EA9}" name="23" dataDxfId="240"/>
    <tableColumn id="20" xr3:uid="{8D68A4E9-C605-423B-B28C-8947CEDED2E3}" name="24" dataDxfId="239"/>
    <tableColumn id="21" xr3:uid="{E2A95743-C4CF-4116-BC14-7F1E8AF5B934}" name="25" dataDxfId="238"/>
    <tableColumn id="22" xr3:uid="{D4E75B42-4A90-4E6B-91F6-47924749D8CD}" name="26" dataDxfId="237"/>
    <tableColumn id="23" xr3:uid="{24EC0407-9580-4B34-8870-6246EA8347AA}" name="27" dataDxfId="236"/>
    <tableColumn id="24" xr3:uid="{9A472190-4164-4FC7-BF8C-D0120ACA1D92}" name="28" dataDxfId="235"/>
    <tableColumn id="25" xr3:uid="{67A0A5BC-662A-45DE-932F-9EB3EAF965DB}" name="29" dataDxfId="234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3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2">
  <autoFilter ref="A2:K58" xr:uid="{09401265-E178-4F26-958C-8E013ABD7F63}"/>
  <tableColumns count="11">
    <tableColumn id="1" xr3:uid="{FF4304D3-C1B3-4117-B1D1-7473C26439FA}" name="SUPER" dataDxfId="231">
      <calculatedColumnFormula>D1_FEBRERO_2026[[#This Row],[SUPER2]]</calculatedColumnFormula>
    </tableColumn>
    <tableColumn id="2" xr3:uid="{67ED5510-50EF-4F29-9E94-9FBEBF9785CA}" name="ASESOR_CRR" dataDxfId="230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29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8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7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6"/>
    <tableColumn id="11" xr3:uid="{43FBB121-21C6-4560-8A31-396504B80F85}" name="DNI" dataDxfId="225"/>
    <tableColumn id="12" xr3:uid="{050FC1E9-9233-41A1-8E92-B7BA6485722C}" name="FECHA DE INICIO" dataDxfId="224"/>
    <tableColumn id="8" xr3:uid="{5BBA9A50-BA4F-49CE-B7C8-1095BCBFEC60}" name="ESTADO" dataDxfId="223"/>
    <tableColumn id="9" xr3:uid="{898E5137-590F-493E-82A2-9DB1422BE516}" name="SEGMENTO" dataDxfId="222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1" dataDxfId="219" headerRowBorderDxfId="220" tableBorderDxfId="218" totalsRowBorderDxfId="217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6">
      <calculatedColumnFormula>VLOOKUP($M$3&amp;$N$3&amp;DITE_FEBRERO_2026[[#This Row],[SUPER]],TablaMeta[],5,0)</calculatedColumnFormula>
    </tableColumn>
    <tableColumn id="3" xr3:uid="{6B6BAC5B-8599-4731-A182-2C4F7DEEFEAE}" name="RECUPERO SUPERVISOR" dataDxfId="215">
      <calculatedColumnFormula>MAX(DITE_FEBRERO_2026[[#This Row],[SUPER]:[CARTERA]])</calculatedColumnFormula>
    </tableColumn>
    <tableColumn id="4" xr3:uid="{4933F2AB-4AE8-41EB-9B81-DB478EB8720C}" name="ALCANCE SUPERVISOR" dataDxfId="214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3"/>
    <tableColumn id="6" xr3:uid="{1385D33D-7CDB-4253-9C4B-559ACF4D4DAA}" name="1" dataDxfId="212"/>
    <tableColumn id="7" xr3:uid="{51AE8FE4-77E7-44A5-9C70-47F9BABA0830}" name="2" dataDxfId="211"/>
    <tableColumn id="27" xr3:uid="{1D246E4C-3547-4D3F-8436-3907FD9391BF}" name="3" dataDxfId="210"/>
    <tableColumn id="26" xr3:uid="{ACC21055-7F68-4EBE-A98E-8B2EBA670DAF}" name="4" dataDxfId="209"/>
    <tableColumn id="8" xr3:uid="{0453D1F4-77C1-4D27-8BF6-C892F06D8037}" name="5" dataDxfId="208"/>
    <tableColumn id="9" xr3:uid="{7FE05B03-2694-4042-93D1-1E8A18BEC10D}" name="6" dataDxfId="207"/>
    <tableColumn id="10" xr3:uid="{07F638D2-254F-4B29-9B2B-FA43C127E0CD}" name="7" dataDxfId="206"/>
    <tableColumn id="11" xr3:uid="{F53CCC3D-E418-4E84-9766-30CCCCAEF94C}" name="8" dataDxfId="205"/>
    <tableColumn id="12" xr3:uid="{9789EB55-C896-45E1-8B38-057DF9C6F8FF}" name="9" dataDxfId="204"/>
    <tableColumn id="13" xr3:uid="{2F4E85B1-BA28-448A-A8F3-8873A4197781}" name="10" dataDxfId="203"/>
    <tableColumn id="14" xr3:uid="{E386891B-028C-4934-99EC-39A6D8E87A77}" name="11" dataDxfId="202"/>
    <tableColumn id="15" xr3:uid="{3F90131C-5E3B-4375-AAC9-BE39D3073700}" name="12" dataDxfId="201"/>
    <tableColumn id="16" xr3:uid="{176424CB-4A73-4E0A-BAEC-1B002E427751}" name="13" dataDxfId="200"/>
    <tableColumn id="17" xr3:uid="{20013F01-EA55-4DBF-93AD-78228648A78B}" name="14" dataDxfId="199"/>
    <tableColumn id="18" xr3:uid="{A3E1B7CD-FD3B-4A3B-BA09-FB0B2522F474}" name="15" dataDxfId="198"/>
    <tableColumn id="19" xr3:uid="{25BB1268-DEAB-4394-AB3D-5028E517E118}" name="16" dataDxfId="197"/>
    <tableColumn id="20" xr3:uid="{1E99825A-7369-447C-81C1-6F57CF76B414}" name="17" dataDxfId="196"/>
    <tableColumn id="21" xr3:uid="{A76460CB-F28F-4034-BFB5-822E2F8ACDEE}" name="18" dataDxfId="195"/>
    <tableColumn id="22" xr3:uid="{45579674-F34E-4238-9155-A84E93C0EEDC}" name="19" dataDxfId="194"/>
    <tableColumn id="23" xr3:uid="{4A9727A5-6162-4A6C-980C-9485FB632B2C}" name="20" dataDxfId="193"/>
    <tableColumn id="24" xr3:uid="{839F012E-3965-47C4-A48B-B6ACC97A3F38}" name="21" dataDxfId="192"/>
    <tableColumn id="36" xr3:uid="{1C64A10A-7FC4-4258-A62B-43B06212544A}" name="22" dataDxfId="191"/>
    <tableColumn id="35" xr3:uid="{FFBDF276-626A-447A-A0F4-E7E78EDC17B4}" name="23" dataDxfId="190"/>
    <tableColumn id="34" xr3:uid="{7E693F8F-B376-48A1-9691-2B1EFFEC77E7}" name="24" dataDxfId="189"/>
    <tableColumn id="33" xr3:uid="{BBD3ABB0-0FEA-4DF0-B0B7-E417E6BF40E1}" name="25" dataDxfId="188"/>
    <tableColumn id="32" xr3:uid="{6F3706DA-AAB4-46A8-B7AB-36C461B04704}" name="26" dataDxfId="187"/>
    <tableColumn id="31" xr3:uid="{8771DA1E-DC48-4640-98D0-9BF514ABF088}" name="27" dataDxfId="186"/>
    <tableColumn id="30" xr3:uid="{F6F48FE7-4B31-45F6-9C90-C56A1AFDE462}" name="28" dataDxfId="185"/>
    <tableColumn id="29" xr3:uid="{7BDABDE2-32A4-4ABF-AF09-62502F6B7D68}" name="29" dataDxfId="184"/>
    <tableColumn id="28" xr3:uid="{552C8688-2A69-47D3-AFF3-7B94E4A5A563}" name="30" dataDxfId="183"/>
    <tableColumn id="25" xr3:uid="{7D18929B-B74F-4405-83F4-DF4F5C13E3E8}" name="31" dataDxfId="182"/>
    <tableColumn id="5" xr3:uid="{AE5733E5-56DE-4157-A3B4-7F889627B2A1}" name="CARTERA" dataDxfId="181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0" tableBorderDxfId="179">
  <autoFilter ref="M8:AO61" xr:uid="{10D9C722-BC82-4CBD-88CB-CD727BC4895B}"/>
  <tableColumns count="29">
    <tableColumn id="5" xr3:uid="{3EA8D04F-B731-4091-B799-92E6E8A12619}" name="AL_AC" dataDxfId="178">
      <calculatedColumnFormula>DATA_MARZO_202651[[#This Row],[RECUPERO]]/DATA_MARZO_202651[[#This Row],[META]]</calculatedColumnFormula>
    </tableColumn>
    <tableColumn id="2" xr3:uid="{7E499EF6-2412-4A87-8A0C-22E06B524D4F}" name="CLASIFICACIÓN" dataDxfId="177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6">
      <calculatedColumnFormula>IFERROR(VLOOKUP(DATA_MARZO_202651[[#This Row],[ASER_]],$B:$G,4,0),"")</calculatedColumnFormula>
    </tableColumn>
    <tableColumn id="1" xr3:uid="{60303CD3-4613-4145-8342-86D502299A8B}" name="RECUPERO" dataDxfId="175">
      <calculatedColumnFormula>VLOOKUP(DATA_MARZO_202651[[#This Row],[ASER_]],D1_MARZO_202655[[ASESOR_CRR]:[RECUPERO]],6,0)</calculatedColumnFormula>
    </tableColumn>
    <tableColumn id="6" xr3:uid="{856379E9-6B44-4AE2-9624-4D2FD560D923}" name="META" dataDxfId="174">
      <calculatedColumnFormula>VLOOKUP(DATA_MARZO_202651[[#This Row],[ASER_]],D1_MARZO_202655[[ASESOR_CRR]:[META]],2,0)</calculatedColumnFormula>
    </tableColumn>
    <tableColumn id="7" xr3:uid="{973ABAA2-566A-4673-AFE7-72D690F359B0}" name="ASER_" dataDxfId="173"/>
    <tableColumn id="4" xr3:uid="{6267F15F-68D8-4064-A7C3-4A95739D7D7D}" name="2" dataDxfId="172"/>
    <tableColumn id="8" xr3:uid="{617297D4-5DE5-468D-9D9E-3D5450B8C283}" name="3" dataDxfId="171"/>
    <tableColumn id="9" xr3:uid="{17C8DC6A-03F3-4202-83C1-46E923A2D1DF}" name="4" dataDxfId="170"/>
    <tableColumn id="10" xr3:uid="{4C96E5CA-D293-4DC5-A37E-3DBF6149890A}" name="5" dataDxfId="169"/>
    <tableColumn id="11" xr3:uid="{B792BD3F-46D9-40C4-A2FA-531E9E6115A9}" name="6" dataDxfId="168"/>
    <tableColumn id="12" xr3:uid="{648B1B03-D21B-4A18-881A-71E7191DF504}" name="9" dataDxfId="167"/>
    <tableColumn id="13" xr3:uid="{6EBA52BB-1706-4B79-A879-FE3268ED0BBF}" name="10" dataDxfId="166"/>
    <tableColumn id="14" xr3:uid="{2B12EC67-A932-4DD4-BD48-E7353960E2BF}" name="11" dataDxfId="165"/>
    <tableColumn id="15" xr3:uid="{D7F1E0B7-4D6E-49BF-9418-24F5297694EE}" name="12" dataDxfId="164"/>
    <tableColumn id="35" xr3:uid="{01749D29-46CC-47AC-8AA5-5B3159FC3624}" name="13" dataDxfId="163"/>
    <tableColumn id="36" xr3:uid="{D98199A8-307D-4EA2-AB10-B2B924BF4D53}" name="16" dataDxfId="162"/>
    <tableColumn id="38" xr3:uid="{6512BCB2-C1CC-4DF5-907A-4D7BDBE273C0}" name="17" dataDxfId="161"/>
    <tableColumn id="37" xr3:uid="{48DFBBB8-0BEB-4F05-A9DF-B6D5FEFA7922}" name="18" dataDxfId="160"/>
    <tableColumn id="32" xr3:uid="{DF7F0AD1-F0A8-4092-80DD-52B3202986C6}" name="19" dataDxfId="159"/>
    <tableColumn id="33" xr3:uid="{31379DCE-58EA-49E7-A093-1D4D11F4D719}" name="20" dataDxfId="158"/>
    <tableColumn id="34" xr3:uid="{AF028C85-0295-4506-BD52-A8C2D61B4263}" name="23" dataDxfId="157"/>
    <tableColumn id="26" xr3:uid="{C9F08C31-4D7A-4980-AAF5-AFB091013679}" name="24" dataDxfId="156"/>
    <tableColumn id="30" xr3:uid="{0EA87D7E-6026-4B22-AB9B-1ACD3E4A585C}" name="25" dataDxfId="155"/>
    <tableColumn id="31" xr3:uid="{F68B6077-5CFC-42ED-923A-AF0D719251AB}" name="26" dataDxfId="154"/>
    <tableColumn id="16" xr3:uid="{1C3C20D8-9CDD-4BE1-A12E-4E057E8F52D9}" name="27" dataDxfId="153"/>
    <tableColumn id="17" xr3:uid="{FE4352AA-AED9-41FA-B8EF-EDAF69656302}" name="30" dataDxfId="152"/>
    <tableColumn id="18" xr3:uid="{D67830D0-9348-49E3-8552-7C2C1F60368B}" name="31" dataDxfId="151"/>
    <tableColumn id="29" xr3:uid="{17BA8B4D-6786-4535-AB74-674976645F34}" name="CARTERA ASESOR" dataDxfId="15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49">
  <autoFilter ref="A2:K59" xr:uid="{E01CE6AA-C36B-4BD4-93EB-8762B2545E1A}"/>
  <tableColumns count="11">
    <tableColumn id="1" xr3:uid="{2131FF24-1653-4821-B8CB-2994A6FD2B90}" name="SUPER" dataDxfId="1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3"/>
    <tableColumn id="11" xr3:uid="{BD3DF0C1-1E9B-4EE4-A539-1F0A1F585CE9}" name="DNI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3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8" dataDxfId="136" headerRowBorderDxfId="137" tableBorderDxfId="135" totalsRowBorderDxfId="134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3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2">
      <calculatedColumnFormula>MAX(DITE_MARZO_202656[[#This Row],[SUPER]:[CARTERA]])</calculatedColumnFormula>
    </tableColumn>
    <tableColumn id="4" xr3:uid="{7CD6A40B-DE50-4B4C-8FE0-D559C24C5B7C}" name="ALCANCE SUPERVISOR" dataDxfId="131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0"/>
    <tableColumn id="6" xr3:uid="{15A19F2D-93B5-40FA-93BC-49CBD3FFA864}" name="2" dataDxfId="129"/>
    <tableColumn id="7" xr3:uid="{CF50FCAC-3D6E-4766-8052-F687DB2D3BB2}" name="3" dataDxfId="128"/>
    <tableColumn id="27" xr3:uid="{973979CD-2F5D-4B04-B9B4-B8CF351AC4DD}" name="4" dataDxfId="127"/>
    <tableColumn id="26" xr3:uid="{ACFB9B4D-96FE-4EA7-A28D-2C76FAD3B7FE}" name="5" dataDxfId="126"/>
    <tableColumn id="8" xr3:uid="{C4769E61-F413-4D8E-B1E9-C99CC43BC51E}" name="6" dataDxfId="125"/>
    <tableColumn id="9" xr3:uid="{0B5D79D1-0957-4379-BD0F-09EC6003DABC}" name="9" dataDxfId="124"/>
    <tableColumn id="10" xr3:uid="{7ED4553D-C770-4010-AE78-79CEED9E3688}" name="10" dataDxfId="123"/>
    <tableColumn id="11" xr3:uid="{B5B3A3E3-86EA-4A28-9341-4446DA4EC86F}" name="11" dataDxfId="122"/>
    <tableColumn id="12" xr3:uid="{20F7C89E-C0EA-4863-AD2C-ECE11F3C914C}" name="12" dataDxfId="121"/>
    <tableColumn id="13" xr3:uid="{CB3A9ADF-2A71-4315-9EED-921F3BC80E0B}" name="13" dataDxfId="120"/>
    <tableColumn id="14" xr3:uid="{AB466201-0021-4374-9E9C-FBC6912E7D00}" name="16" dataDxfId="119"/>
    <tableColumn id="15" xr3:uid="{CF0930AA-3683-412F-BB0C-0879E8AA45CA}" name="17" dataDxfId="118"/>
    <tableColumn id="16" xr3:uid="{B6819525-02E5-44DB-9161-5AE240527B5A}" name="18" dataDxfId="117"/>
    <tableColumn id="17" xr3:uid="{EF34C9D6-8F40-4817-8C4C-D79F58BCD150}" name="19" dataDxfId="116"/>
    <tableColumn id="18" xr3:uid="{3E376577-6CA4-4ABE-96FE-93C18911296B}" name="20" dataDxfId="115"/>
    <tableColumn id="19" xr3:uid="{12DC978E-AB73-4385-8B31-891E8DF1BDED}" name="23" dataDxfId="114"/>
    <tableColumn id="20" xr3:uid="{ED0D4DA8-BBB6-4210-8918-15057CC5B929}" name="24" dataDxfId="113"/>
    <tableColumn id="21" xr3:uid="{1D5B24BE-80A3-4E59-9BB5-8887D00E5479}" name="25" dataDxfId="112"/>
    <tableColumn id="22" xr3:uid="{1019D822-005E-4FAA-8B65-BB1C11AF450B}" name="26" dataDxfId="111"/>
    <tableColumn id="23" xr3:uid="{D5474EFB-00D1-4351-A34C-735E9FD53A78}" name="27" dataDxfId="110"/>
    <tableColumn id="24" xr3:uid="{EF9744F2-C4EC-45E4-8844-AE1CA94D83A6}" name="30" dataDxfId="109"/>
    <tableColumn id="36" xr3:uid="{F0ACF623-4A47-44A1-985E-3FB17DBE49F8}" name="31" dataDxfId="108"/>
    <tableColumn id="5" xr3:uid="{75CF2EC1-6198-4A79-A7CA-D258FCB6701B}" name="CARTERA" dataDxfId="107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6" tableBorderDxfId="105">
  <autoFilter ref="M8:AM59" xr:uid="{4674D711-8FDA-49B8-91E7-8E8BFE600256}"/>
  <tableColumns count="27">
    <tableColumn id="5" xr3:uid="{5F132C86-FD60-4105-A05E-7399F10522E1}" name="AL_AC" dataDxfId="104">
      <calculatedColumnFormula>DATA_MARZO_202659[[#This Row],[RECUPERO]]/DATA_MARZO_202659[[#This Row],[META]]</calculatedColumnFormula>
    </tableColumn>
    <tableColumn id="2" xr3:uid="{26123EEE-E738-4097-B64F-DE727558F2E9}" name="CLASIFICACIÓN" dataDxfId="1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2">
      <calculatedColumnFormula>IFERROR(VLOOKUP(DATA_MARZO_202659[[#This Row],[ASER_]],$B:$G,4,0),"")</calculatedColumnFormula>
    </tableColumn>
    <tableColumn id="1" xr3:uid="{2446915D-352F-48FC-A54B-86B7E0D937FA}" name="RECUPERO" dataDxfId="101">
      <calculatedColumnFormula>VLOOKUP(DATA_MARZO_202659[[#This Row],[ASER_]],D1_MARZO_202660[[ASESOR_CRR]:[RECUPERO]],6,0)</calculatedColumnFormula>
    </tableColumn>
    <tableColumn id="6" xr3:uid="{A25A8AC3-9CC7-4A3A-A8D9-212FD3F93687}" name="META" dataDxfId="100">
      <calculatedColumnFormula>VLOOKUP(DATA_MARZO_202659[[#This Row],[ASER_]],D1_MARZO_202660[[ASESOR_CRR]:[META]],2,0)</calculatedColumnFormula>
    </tableColumn>
    <tableColumn id="7" xr3:uid="{C52D2491-CDFB-40B5-A884-909C5FEC445B}" name="ASER_" dataDxfId="99"/>
    <tableColumn id="4" xr3:uid="{DE600806-870A-4C0D-9101-49AAF5AC383F}" name="1" dataDxfId="98"/>
    <tableColumn id="8" xr3:uid="{BE4BC420-81EA-43E8-8BBA-609D8B0F8C88}" name="6" dataDxfId="97"/>
    <tableColumn id="9" xr3:uid="{39C08C78-15AF-4E44-B050-F5D4532C00EE}" name="7" dataDxfId="96"/>
    <tableColumn id="10" xr3:uid="{3A0A15B8-0910-483C-BCCA-F8F4651DA25E}" name="8" dataDxfId="95"/>
    <tableColumn id="11" xr3:uid="{B4BA1A21-248B-4AFC-B040-D29D15754499}" name="9" dataDxfId="94"/>
    <tableColumn id="12" xr3:uid="{14108850-D364-4CF0-976B-8E53F6DE4877}" name="10" dataDxfId="93"/>
    <tableColumn id="13" xr3:uid="{7F673FC8-FC0A-4A15-87D6-B7F1A000710C}" name="13" dataDxfId="92"/>
    <tableColumn id="14" xr3:uid="{3CFB96DE-4D9D-4AFC-8AD0-816CCD4832BD}" name="14" dataDxfId="91"/>
    <tableColumn id="15" xr3:uid="{1BE8AE05-90F3-4DD0-9A61-33DCCF63D95C}" name="15" dataDxfId="90"/>
    <tableColumn id="35" xr3:uid="{4ECF85FD-1D61-48B3-8984-C16A39A2E49F}" name="16" dataDxfId="89"/>
    <tableColumn id="36" xr3:uid="{6663D018-7D0B-4581-A6C2-472754649147}" name="17" dataDxfId="88"/>
    <tableColumn id="38" xr3:uid="{B0110345-7E4C-400C-9AE3-B09313D7CC7C}" name="20" dataDxfId="87"/>
    <tableColumn id="37" xr3:uid="{F0B0FB80-9213-45D7-B0D1-0CEC84136504}" name="21" dataDxfId="86"/>
    <tableColumn id="32" xr3:uid="{3A771CC6-AD9B-421B-AAF1-4E32683000ED}" name="22" dataDxfId="85"/>
    <tableColumn id="33" xr3:uid="{734026D2-0E34-449A-A227-F1A23D2EB1DC}" name="23" dataDxfId="84"/>
    <tableColumn id="34" xr3:uid="{E9E90DE3-01F9-45DB-84EB-C6B787DCB978}" name="24" dataDxfId="83"/>
    <tableColumn id="26" xr3:uid="{7EBC28C2-37A3-4E16-A29B-DB94F8B90247}" name="27" dataDxfId="82"/>
    <tableColumn id="30" xr3:uid="{9EF77477-FA4C-46E8-BA9C-307B5604C40C}" name="28" dataDxfId="81"/>
    <tableColumn id="31" xr3:uid="{0F9E2ED5-E2DC-4A69-AE18-8B9CF2D84585}" name="29" dataDxfId="80"/>
    <tableColumn id="16" xr3:uid="{24C06BFB-17B1-4C60-983A-E34808ADEEDC}" name="30" dataDxfId="79"/>
    <tableColumn id="29" xr3:uid="{9A87A5C0-7BE6-4BFF-85E2-0BBBD687F508}" name="CARTERA ASESOR" dataDxfId="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7">
  <autoFilter ref="A2:K57" xr:uid="{57141373-C5A3-4BA8-9D78-B5F778D82FB5}"/>
  <tableColumns count="11">
    <tableColumn id="1" xr3:uid="{164AF3BC-0626-49DF-9139-7226B478255C}" name="SUPER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1"/>
    <tableColumn id="11" xr3:uid="{DF180A98-FB1C-4258-A98D-429BF8C95154}" name="DNI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6" dataDxfId="64" headerRowBorderDxfId="65" tableBorderDxfId="63" totalsRowBorderDxfId="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0">
      <calculatedColumnFormula>MAX(DITE_MARZO_202661[[#This Row],[SUPER]:[CARTERA]])</calculatedColumnFormula>
    </tableColumn>
    <tableColumn id="4" xr3:uid="{F34C5336-6862-41A0-A409-0FB6019105D8}" name="ALCANCE SUPERVISOR" dataDxfId="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8"/>
    <tableColumn id="6" xr3:uid="{F2748BC7-F61B-4028-B30C-9B7CFD4C1F43}" name="1" dataDxfId="57"/>
    <tableColumn id="7" xr3:uid="{F1653157-4532-4F05-98E2-0D0A5D116EBD}" name="6" dataDxfId="56"/>
    <tableColumn id="27" xr3:uid="{A0D73469-0ADD-4583-A690-120FBE5A5C22}" name="7" dataDxfId="55"/>
    <tableColumn id="26" xr3:uid="{43AEAD0D-21F8-4C47-A5C4-7018DC41F18D}" name="8" dataDxfId="54"/>
    <tableColumn id="8" xr3:uid="{97E91656-58E1-4629-A463-25DCC7CFA3B0}" name="9" dataDxfId="53"/>
    <tableColumn id="9" xr3:uid="{4E0A9486-6527-4A6B-ACC7-8B01636917F5}" name="10" dataDxfId="52"/>
    <tableColumn id="10" xr3:uid="{0EE2F553-0C54-499A-9ACC-F4DCDCFBBBEA}" name="13" dataDxfId="51"/>
    <tableColumn id="11" xr3:uid="{7289F0C7-72E7-4C8A-A0E7-531EF74F9254}" name="14" dataDxfId="50"/>
    <tableColumn id="12" xr3:uid="{EC9696F2-D4A5-4042-BBE1-E3C64FE72AED}" name="15" dataDxfId="49"/>
    <tableColumn id="13" xr3:uid="{C75045C6-B3C5-407C-B3A9-0F1F46535BC0}" name="16" dataDxfId="48"/>
    <tableColumn id="14" xr3:uid="{B0653272-6948-4A69-B7F5-9DADCB29A13E}" name="17" dataDxfId="47"/>
    <tableColumn id="15" xr3:uid="{0F1968FB-6B80-44F8-BE1A-C368F94B3C13}" name="20" dataDxfId="46"/>
    <tableColumn id="16" xr3:uid="{6D36DBEB-4AF5-426F-A752-698A5D1C3B62}" name="21" dataDxfId="45"/>
    <tableColumn id="17" xr3:uid="{0207C6D9-8D97-4852-BFED-C445D736D0DB}" name="22" dataDxfId="44"/>
    <tableColumn id="18" xr3:uid="{7DDAA5A2-633B-4C3F-B0EE-5FDD92815DC8}" name="23" dataDxfId="43"/>
    <tableColumn id="19" xr3:uid="{44AE6AAE-F0AD-4A2F-BFFB-98D8D3BA8E3C}" name="24" dataDxfId="42"/>
    <tableColumn id="20" xr3:uid="{B3CF3923-DF8A-4F76-B0EB-9BCF1BEB99D7}" name="27" dataDxfId="41"/>
    <tableColumn id="21" xr3:uid="{D1C5440B-A3AC-4083-9DEA-3C61BD3AA4BA}" name="28" dataDxfId="40"/>
    <tableColumn id="22" xr3:uid="{B9DADE9A-D31C-405D-B512-FA0C75505FD3}" name="29" dataDxfId="39"/>
    <tableColumn id="23" xr3:uid="{DDC02FAB-2145-4E5A-A691-0B443835F534}" name="30" dataDxfId="38"/>
    <tableColumn id="5" xr3:uid="{D4A0BEAA-FF12-423C-A01E-2E19D1AD53FF}" name="CARTERA" dataDxfId="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1" tableBorderDxfId="1230">
  <autoFilter ref="M8:AN58" xr:uid="{C43AC382-896C-48E3-967E-003D8C3BB4E1}"/>
  <tableColumns count="28">
    <tableColumn id="5" xr3:uid="{3070F4BF-8DA0-42C9-A329-60BF3937C6CD}" name="AL_AC" dataDxfId="1229">
      <calculatedColumnFormula>DATA_MARZO_2026[[#This Row],[RECUPERO]]/DATA_MARZO_2026[[#This Row],[META]]</calculatedColumnFormula>
    </tableColumn>
    <tableColumn id="2" xr3:uid="{6F4F1AB6-BBA7-498F-8826-77193C5F7DE1}" name="CLASIFICACIÓN" dataDxfId="1228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7">
      <calculatedColumnFormula>IFERROR(VLOOKUP(DATA_MARZO_2026[[#This Row],[ASER_]],$B:$G,4,0),"")</calculatedColumnFormula>
    </tableColumn>
    <tableColumn id="1" xr3:uid="{9CEE94D1-F610-44F2-BECC-051BA76BFF42}" name="RECUPERO" dataDxfId="1226">
      <calculatedColumnFormula>VLOOKUP(DATA_MARZO_2026[[#This Row],[ASER_]],D1_MARZO_2026[[ASESOR_CRR]:[RECUPERO]],6,0)</calculatedColumnFormula>
    </tableColumn>
    <tableColumn id="6" xr3:uid="{3562AB11-2CE4-4155-B81B-115DFB69AAAB}" name="META" dataDxfId="1225">
      <calculatedColumnFormula>VLOOKUP(DATA_MARZO_2026[[#This Row],[ASER_]],D1_MARZO_2026[[ASESOR_CRR]:[META]],2,0)</calculatedColumnFormula>
    </tableColumn>
    <tableColumn id="7" xr3:uid="{AC7A2592-ACAD-4ED6-8351-E4B65FF33302}" name="ASER_" dataDxfId="1224"/>
    <tableColumn id="4" xr3:uid="{DA0D3C8E-070D-4088-AECD-5F2EBC6508EA}" name="4" dataDxfId="1223"/>
    <tableColumn id="8" xr3:uid="{D7FBF1F2-5A46-485F-925D-86EC9088EE46}" name="5" dataDxfId="1222"/>
    <tableColumn id="9" xr3:uid="{98D48677-E650-4067-8686-1CC9080B6D71}" name="6" dataDxfId="1221"/>
    <tableColumn id="10" xr3:uid="{A974A4A9-21AF-43B2-9C93-C6F103E8C411}" name="7" dataDxfId="1220"/>
    <tableColumn id="11" xr3:uid="{D058D028-4AAB-47B9-A7D3-876CEDD146AA}" name="8" dataDxfId="1219"/>
    <tableColumn id="12" xr3:uid="{307618CA-E43D-42A3-8C03-88388003A5BF}" name="11" dataDxfId="1218"/>
    <tableColumn id="13" xr3:uid="{65D16E27-3C15-4385-9A4F-B28821EF4DF6}" name="12" dataDxfId="1217"/>
    <tableColumn id="14" xr3:uid="{5A29EA5C-756B-4F6D-B764-BBEF2AB98C7D}" name="13" dataDxfId="1216"/>
    <tableColumn id="15" xr3:uid="{3B9CE493-BFF8-40F7-8EBA-E6D80D76579A}" name="14" dataDxfId="1215"/>
    <tableColumn id="35" xr3:uid="{937A2A56-212E-4F5D-82A6-A611A736B874}" name="15" dataDxfId="1214"/>
    <tableColumn id="36" xr3:uid="{BDD4E521-FEB6-4C6D-A99C-4DEF1151ECB2}" name="18" dataDxfId="1213"/>
    <tableColumn id="38" xr3:uid="{8A3F13C2-2724-40B9-B643-549845061201}" name="19" dataDxfId="1212"/>
    <tableColumn id="37" xr3:uid="{1B44AA59-76C8-45D9-8D04-DE465519029A}" name="20" dataDxfId="1211"/>
    <tableColumn id="32" xr3:uid="{671123B0-2D4B-4251-A9E4-5E6081CC9B0D}" name="21" dataDxfId="1210"/>
    <tableColumn id="33" xr3:uid="{60129480-1A31-44E0-9812-1991A66734F8}" name="22" dataDxfId="1209"/>
    <tableColumn id="34" xr3:uid="{FDFC525F-FDF7-4915-B1C4-C85C973F5DA2}" name="25" dataDxfId="1208"/>
    <tableColumn id="26" xr3:uid="{B6EB21BB-98AE-4702-A51D-97935B8D2065}" name="26" dataDxfId="1207"/>
    <tableColumn id="30" xr3:uid="{60395B11-6EC8-498F-AE14-A906778E013B}" name="27" dataDxfId="1206"/>
    <tableColumn id="31" xr3:uid="{D6095057-15EB-4616-A6CE-8131684C14BF}" name="28" dataDxfId="1205"/>
    <tableColumn id="16" xr3:uid="{AEBDE2A8-76B9-42D9-9059-4EA0D9C9EF1E}" name="29" dataDxfId="1204"/>
    <tableColumn id="17" xr3:uid="{0874DB56-268A-4369-AFDE-AC61ECA55C23}" name="30" dataDxfId="1203"/>
    <tableColumn id="29" xr3:uid="{D20EC82C-02AB-47E1-8B4F-0454088553EB}" name="CARTERA ASESOR" dataDxfId="1202">
      <calculatedColumnFormula array="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1">
  <autoFilter ref="A2:K57" xr:uid="{AB1967BC-98FE-49B9-B96E-7F91454A75DF}"/>
  <tableColumns count="11">
    <tableColumn id="1" xr3:uid="{E8C9BFA3-A821-4545-B3F0-1D85338E10F0}" name="SUPER" dataDxfId="1200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199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1198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7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6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5"/>
    <tableColumn id="11" xr3:uid="{F601E667-9F29-4288-9F5A-767AD7CB84C9}" name="DNI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0" dataDxfId="1188" headerRowBorderDxfId="1189" tableBorderDxfId="1187" totalsRowBorderDxfId="1186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5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4">
      <calculatedColumnFormula>MAX(DITE_MARZO_2026[[#This Row],[SUPER]:[CARTERA]])</calculatedColumnFormula>
    </tableColumn>
    <tableColumn id="4" xr3:uid="{F9F9E33D-CF47-4A7B-B383-5185C72E6DBF}" name="ALCANCE SUPERVISOR" dataDxfId="1183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2"/>
    <tableColumn id="6" xr3:uid="{C6BD95E9-37E9-4C3B-8FAC-71C063D3CCCF}" name="4" dataDxfId="1181"/>
    <tableColumn id="7" xr3:uid="{154D80CB-9358-4F70-B790-869141CEED69}" name="5" dataDxfId="1180"/>
    <tableColumn id="27" xr3:uid="{B1E200F5-8C17-45BD-9A07-4B3CFCF2F55B}" name="6" dataDxfId="1179"/>
    <tableColumn id="26" xr3:uid="{C4A34376-F48F-4D30-891F-680F0DC972B5}" name="7" dataDxfId="1178"/>
    <tableColumn id="8" xr3:uid="{B8634A52-4E10-47C7-A2E2-7268D75FF3B1}" name="8" dataDxfId="1177"/>
    <tableColumn id="9" xr3:uid="{50F52F97-2FFF-429B-8205-9821B5E2DDA3}" name="11" dataDxfId="1176"/>
    <tableColumn id="10" xr3:uid="{6CA0D076-C021-4ECD-9708-296693BD3D20}" name="12" dataDxfId="1175"/>
    <tableColumn id="11" xr3:uid="{60AC6543-9932-43CA-8508-68010867604A}" name="13" dataDxfId="1174"/>
    <tableColumn id="12" xr3:uid="{0838B302-CF6C-41FA-9981-2C61DC3D728B}" name="14" dataDxfId="1173"/>
    <tableColumn id="13" xr3:uid="{26042530-89B3-48FD-877D-23191B67C000}" name="15" dataDxfId="1172"/>
    <tableColumn id="14" xr3:uid="{995CAE1C-81F5-4376-9FBF-9057F92CEBA2}" name="18" dataDxfId="1171"/>
    <tableColumn id="15" xr3:uid="{CE078F22-32E6-477A-8610-B39D8802D198}" name="19" dataDxfId="1170"/>
    <tableColumn id="16" xr3:uid="{E61DEB3E-541F-4914-B1D0-C31E52B10974}" name="20" dataDxfId="1169"/>
    <tableColumn id="17" xr3:uid="{EC1E57C1-8228-4A17-A0ED-ACC28C9F0842}" name="21" dataDxfId="1168"/>
    <tableColumn id="18" xr3:uid="{2DA8EC35-62DF-44D7-9B0C-1DA9FD7CFD91}" name="22" dataDxfId="1167"/>
    <tableColumn id="19" xr3:uid="{302180D2-EA42-43C4-9FEA-201681FA861E}" name="25" dataDxfId="1166"/>
    <tableColumn id="20" xr3:uid="{451825B8-387D-40FA-8E98-2EFAE991267E}" name="26" dataDxfId="1165"/>
    <tableColumn id="21" xr3:uid="{026C2977-2F45-419E-AE54-92E82A6FE474}" name="27" dataDxfId="1164"/>
    <tableColumn id="22" xr3:uid="{3BBAF7E2-3A2C-4E90-AE74-EEF9947AB60E}" name="28" dataDxfId="1163"/>
    <tableColumn id="23" xr3:uid="{8879B076-C842-409F-9B19-61F59EF05584}" name="29" dataDxfId="1162"/>
    <tableColumn id="24" xr3:uid="{AF13A28F-47F7-4494-B809-B096327E1B45}" name="30" dataDxfId="1161"/>
    <tableColumn id="5" xr3:uid="{E0FECB44-CCD1-447F-A9BF-090DD9D8B323}" name="CARTERA" dataDxfId="1160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S1" zoomScale="70" zoomScaleNormal="70" workbookViewId="0">
      <selection activeCell="AX9" sqref="AX9:AX5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zoomScale="70" zoomScaleNormal="70" workbookViewId="0">
      <selection activeCell="AX10" sqref="AX10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Z24" workbookViewId="0">
      <selection activeCell="AO10" sqref="AO10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opLeftCell="T1" zoomScale="80" zoomScaleNormal="80" workbookViewId="0">
      <selection activeCell="AM10" sqref="AM1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G15" sqref="G14:G15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8" s="34" cm="1">
        <f t="array" ref="C8">_xlfn.XLOOKUP(1,(TablaMeta[CONCAT]=$M$3&amp;$N$3&amp;D1_MARZO_2026[[#This Row],[SUPER]])*(TablaMeta[SEGG]=D1_MARZO_2026[[#This Row],[SEGMENTO]]),TablaMeta[Meta_Asesor])</f>
        <v>38500</v>
      </c>
      <c r="D8" s="35">
        <f>IF(D1_MARZO_2026[[#This Row],[RECUPERO]]="VACACIONES","VACACIONES",IFERROR(D1_MARZO_2026[[#This Row],[RECUPERO]]/D1_MARZO_2026[[#This Row],[META]],""))</f>
        <v>0.43246753246753245</v>
      </c>
      <c r="E8" s="35" t="str">
        <f>D1_MARZO_2026[[#This Row],[SUPER]]</f>
        <v>SANDY</v>
      </c>
      <c r="F8" s="34" t="s">
        <v>79</v>
      </c>
      <c r="G8" s="36">
        <v>16650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9" s="34" cm="1">
        <f t="array" ref="C9">_xlfn.XLOOKUP(1,(TablaMeta[CONCAT]=$M$3&amp;$N$3&amp;D1_MARZO_2026[[#This Row],[SUPER]])*(TablaMeta[SEGG]=D1_MARZO_2026[[#This Row],[SEGMENTO]]),TablaMeta[Meta_Asesor])</f>
        <v>38500</v>
      </c>
      <c r="D9" s="35">
        <f>IF(D1_MARZO_2026[[#This Row],[RECUPERO]]="VACACIONES","VACACIONES",IFERROR(D1_MARZO_2026[[#This Row],[RECUPERO]]/D1_MARZO_2026[[#This Row],[META]],""))</f>
        <v>0.2844155844155844</v>
      </c>
      <c r="E9" s="35" t="str">
        <f>D1_MARZO_2026[[#This Row],[SUPER]]</f>
        <v>SANDY</v>
      </c>
      <c r="F9" s="34" t="s">
        <v>85</v>
      </c>
      <c r="G9" s="36">
        <v>10950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9" s="56"/>
      <c r="M9" s="5">
        <f>DATA_MARZO_2026[[#This Row],[RECUPERO]]/DATA_MARZO_2026[[#This Row],[META]]</f>
        <v>9.0649350649350646E-2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SANDY</v>
      </c>
      <c r="P9" s="6">
        <f>VLOOKUP(DATA_MARZO_2026[[#This Row],[ASER_]],D1_MARZO_2026[[ASESOR_CRR]:[RECUPERO]],6,0)</f>
        <v>3490</v>
      </c>
      <c r="Q9" s="6">
        <f>VLOOKUP(DATA_MARZO_2026[[#This Row],[ASER_]],D1_MARZO_2026[[ASESOR_CRR]:[META]],2,0)</f>
        <v>38500</v>
      </c>
      <c r="R9" t="s">
        <v>58</v>
      </c>
      <c r="S9">
        <v>3100</v>
      </c>
      <c r="T9">
        <v>100</v>
      </c>
      <c r="U9">
        <v>0</v>
      </c>
      <c r="V9">
        <v>0</v>
      </c>
      <c r="W9">
        <v>290</v>
      </c>
      <c r="AN9" s="55" t="str" cm="1">
        <f t="array" ref="AN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9" s="10">
        <f>SUMIFS(TablaMeta[Meta_Equipo],TablaMeta[CONCAT],$M$3&amp;$N$3&amp;DITE_MARZO_2026[[#This Row],[SUPER]])</f>
        <v>384414</v>
      </c>
      <c r="AQ9" s="10">
        <f>MAX(DITE_MARZO_2026[[#This Row],[SUPER]:[CARTERA]])</f>
        <v>63956</v>
      </c>
      <c r="AR9" s="16">
        <f>IFERROR(DITE_MARZO_2026[[#This Row],[RECUPERO SUPERVISOR]]/DITE_MARZO_2026[[#This Row],[META SUPER]],"")</f>
        <v>0.16637271275239715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10" s="34" cm="1">
        <f t="array" ref="C10">_xlfn.XLOOKUP(1,(TablaMeta[CONCAT]=$M$3&amp;$N$3&amp;D1_MARZO_2026[[#This Row],[SUPER]])*(TablaMeta[SEGG]=D1_MARZO_2026[[#This Row],[SEGMENTO]]),TablaMeta[Meta_Asesor])</f>
        <v>38500</v>
      </c>
      <c r="D10" s="35">
        <f>IF(D1_MARZO_2026[[#This Row],[RECUPERO]]="VACACIONES","VACACIONES",IFERROR(D1_MARZO_2026[[#This Row],[RECUPERO]]/D1_MARZO_2026[[#This Row],[META]],""))</f>
        <v>0.21748051948051947</v>
      </c>
      <c r="E10" s="35" t="str">
        <f>D1_MARZO_2026[[#This Row],[SUPER]]</f>
        <v>SANDY</v>
      </c>
      <c r="F10" s="34" t="s">
        <v>68</v>
      </c>
      <c r="G10" s="36">
        <v>8373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0" s="56"/>
      <c r="M10" s="5">
        <f>DATA_MARZO_2026[[#This Row],[RECUPERO]]/DATA_MARZO_2026[[#This Row],[META]]</f>
        <v>0.21748051948051947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SANDY</v>
      </c>
      <c r="P10" s="6">
        <f>VLOOKUP(DATA_MARZO_2026[[#This Row],[ASER_]],D1_MARZO_2026[[ASESOR_CRR]:[RECUPERO]],6,0)</f>
        <v>8373</v>
      </c>
      <c r="Q10" s="6">
        <f>VLOOKUP(DATA_MARZO_2026[[#This Row],[ASER_]],D1_MARZO_2026[[ASESOR_CRR]:[META]],2,0)</f>
        <v>38500</v>
      </c>
      <c r="R10" t="s">
        <v>68</v>
      </c>
      <c r="S10">
        <v>2900</v>
      </c>
      <c r="T10">
        <v>0</v>
      </c>
      <c r="U10">
        <v>2000</v>
      </c>
      <c r="V10">
        <v>2800</v>
      </c>
      <c r="W10">
        <v>673</v>
      </c>
      <c r="AN10" s="55" t="str" cm="1">
        <f t="array" ref="AN1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0" s="11">
        <f>SUMIFS(TablaMeta[Meta_Equipo],TablaMeta[CONCAT],$M$3&amp;$N$3&amp;DITE_MARZO_2026[[#This Row],[SUPER]])</f>
        <v>429088</v>
      </c>
      <c r="AQ10" s="11">
        <f>MAX(DITE_MARZO_2026[[#This Row],[SUPER]:[CARTERA]])</f>
        <v>46855</v>
      </c>
      <c r="AR10" s="17">
        <f>IFERROR(DITE_MARZO_2026[[#This Row],[RECUPERO SUPERVISOR]]/DITE_MARZO_2026[[#This Row],[META SUPER]],"")</f>
        <v>0.10919671489298233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11" s="34" cm="1">
        <f t="array" ref="C11">_xlfn.XLOOKUP(1,(TablaMeta[CONCAT]=$M$3&amp;$N$3&amp;D1_MARZO_2026[[#This Row],[SUPER]])*(TablaMeta[SEGG]=D1_MARZO_2026[[#This Row],[SEGMENTO]]),TablaMeta[Meta_Asesor])</f>
        <v>38500</v>
      </c>
      <c r="D11" s="35">
        <f>IF(D1_MARZO_2026[[#This Row],[RECUPERO]]="VACACIONES","VACACIONES",IFERROR(D1_MARZO_2026[[#This Row],[RECUPERO]]/D1_MARZO_2026[[#This Row],[META]],""))</f>
        <v>0.2</v>
      </c>
      <c r="E11" s="35" t="str">
        <f>D1_MARZO_2026[[#This Row],[SUPER]]</f>
        <v>SANDY</v>
      </c>
      <c r="F11" t="s">
        <v>493</v>
      </c>
      <c r="G11" s="3">
        <v>7700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1" s="56"/>
      <c r="M11" s="5">
        <f>DATA_MARZO_2026[[#This Row],[RECUPERO]]/DATA_MARZO_2026[[#This Row],[META]]</f>
        <v>0.2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SANDY</v>
      </c>
      <c r="P11" s="6">
        <f>VLOOKUP(DATA_MARZO_2026[[#This Row],[ASER_]],D1_MARZO_2026[[ASESOR_CRR]:[RECUPERO]],6,0)</f>
        <v>7700</v>
      </c>
      <c r="Q11" s="6">
        <f>VLOOKUP(DATA_MARZO_2026[[#This Row],[ASER_]],D1_MARZO_2026[[ASESOR_CRR]:[META]],2,0)</f>
        <v>38500</v>
      </c>
      <c r="R11" t="s">
        <v>493</v>
      </c>
      <c r="S11">
        <v>750</v>
      </c>
      <c r="T11">
        <v>2000</v>
      </c>
      <c r="U11">
        <v>750</v>
      </c>
      <c r="V11">
        <v>0</v>
      </c>
      <c r="W11">
        <v>4200</v>
      </c>
      <c r="AN11" s="55" t="str" cm="1">
        <f t="array" ref="AN1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1" s="10">
        <f>SUMIFS(TablaMeta[Meta_Equipo],TablaMeta[CONCAT],$M$3&amp;$N$3&amp;DITE_MARZO_2026[[#This Row],[SUPER]])</f>
        <v>446424</v>
      </c>
      <c r="AQ11" s="10">
        <f>MAX(DITE_MARZO_2026[[#This Row],[SUPER]:[CARTERA]])</f>
        <v>66454.87</v>
      </c>
      <c r="AR11" s="16">
        <f>IFERROR(DITE_MARZO_2026[[#This Row],[RECUPERO SUPERVISOR]]/DITE_MARZO_2026[[#This Row],[META SUPER]],"")</f>
        <v>0.14886043313083525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12" s="34" cm="1">
        <f t="array" ref="C12">_xlfn.XLOOKUP(1,(TablaMeta[CONCAT]=$M$3&amp;$N$3&amp;D1_MARZO_2026[[#This Row],[SUPER]])*(TablaMeta[SEGG]=D1_MARZO_2026[[#This Row],[SEGMENTO]]),TablaMeta[Meta_Asesor])</f>
        <v>38500</v>
      </c>
      <c r="D12" s="35">
        <f>IF(D1_MARZO_2026[[#This Row],[RECUPERO]]="VACACIONES","VACACIONES",IFERROR(D1_MARZO_2026[[#This Row],[RECUPERO]]/D1_MARZO_2026[[#This Row],[META]],""))</f>
        <v>9.7662337662337659E-2</v>
      </c>
      <c r="E12" s="35" t="str">
        <f>D1_MARZO_2026[[#This Row],[SUPER]]</f>
        <v>SANDY</v>
      </c>
      <c r="F12" t="s">
        <v>174</v>
      </c>
      <c r="G12" s="3">
        <v>3760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2" s="56"/>
      <c r="M12" s="5">
        <f>DATA_MARZO_2026[[#This Row],[RECUPERO]]/DATA_MARZO_2026[[#This Row],[META]]</f>
        <v>9.7137662337662342E-2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SANDY</v>
      </c>
      <c r="P12" s="6">
        <f>VLOOKUP(DATA_MARZO_2026[[#This Row],[ASER_]],D1_MARZO_2026[[ASESOR_CRR]:[RECUPERO]],6,0)</f>
        <v>3739.8</v>
      </c>
      <c r="Q12" s="6">
        <f>VLOOKUP(DATA_MARZO_2026[[#This Row],[ASER_]],D1_MARZO_2026[[ASESOR_CRR]:[META]],2,0)</f>
        <v>38500</v>
      </c>
      <c r="R12" t="s">
        <v>29</v>
      </c>
      <c r="S12">
        <v>383.4</v>
      </c>
      <c r="T12">
        <v>196</v>
      </c>
      <c r="U12">
        <v>1885</v>
      </c>
      <c r="V12">
        <v>1000</v>
      </c>
      <c r="W12">
        <v>275.39999999999998</v>
      </c>
      <c r="AN12" s="55" t="str" cm="1">
        <f t="array" ref="AN1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2" s="11">
        <f>SUMIFS(TablaMeta[Meta_Equipo],TablaMeta[CONCAT],$M$3&amp;$N$3&amp;DITE_MARZO_2026[[#This Row],[SUPER]])</f>
        <v>290167</v>
      </c>
      <c r="AQ12" s="11">
        <f>MAX(DITE_MARZO_2026[[#This Row],[SUPER]:[CARTERA]])</f>
        <v>77474</v>
      </c>
      <c r="AR12" s="17">
        <f>IFERROR(DITE_MARZO_2026[[#This Row],[RECUPERO SUPERVISOR]]/DITE_MARZO_2026[[#This Row],[META SUPER]],"")</f>
        <v>0.26699797013443982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13" s="34" cm="1">
        <f t="array" ref="C13">_xlfn.XLOOKUP(1,(TablaMeta[CONCAT]=$M$3&amp;$N$3&amp;D1_MARZO_2026[[#This Row],[SUPER]])*(TablaMeta[SEGG]=D1_MARZO_2026[[#This Row],[SEGMENTO]]),TablaMeta[Meta_Asesor])</f>
        <v>38500</v>
      </c>
      <c r="D13" s="35">
        <f>IF(D1_MARZO_2026[[#This Row],[RECUPERO]]="VACACIONES","VACACIONES",IFERROR(D1_MARZO_2026[[#This Row],[RECUPERO]]/D1_MARZO_2026[[#This Row],[META]],""))</f>
        <v>9.7137662337662342E-2</v>
      </c>
      <c r="E13" s="35" t="str">
        <f>D1_MARZO_2026[[#This Row],[SUPER]]</f>
        <v>SANDY</v>
      </c>
      <c r="F13" t="s">
        <v>29</v>
      </c>
      <c r="G13" s="3">
        <v>3739.8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3" s="56"/>
      <c r="M13" s="5">
        <f>DATA_MARZO_2026[[#This Row],[RECUPERO]]/DATA_MARZO_2026[[#This Row],[META]]</f>
        <v>0.2844155844155844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SANDY</v>
      </c>
      <c r="P13" s="6">
        <f>VLOOKUP(DATA_MARZO_2026[[#This Row],[ASER_]],D1_MARZO_2026[[ASESOR_CRR]:[RECUPERO]],6,0)</f>
        <v>10950</v>
      </c>
      <c r="Q13" s="6">
        <f>VLOOKUP(DATA_MARZO_2026[[#This Row],[ASER_]],D1_MARZO_2026[[ASESOR_CRR]:[META]],2,0)</f>
        <v>38500</v>
      </c>
      <c r="R13" t="s">
        <v>85</v>
      </c>
      <c r="S13" s="47">
        <v>250</v>
      </c>
      <c r="T13">
        <v>700</v>
      </c>
      <c r="U13">
        <v>10000</v>
      </c>
      <c r="V13">
        <v>0</v>
      </c>
      <c r="W13">
        <v>0</v>
      </c>
      <c r="AN13" s="55" t="str" cm="1">
        <f t="array" ref="AN1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P13" s="10">
        <f>SUMIFS(TablaMeta[Meta_Equipo],TablaMeta[CONCAT],$M$3&amp;$N$3&amp;DITE_MARZO_2026[[#This Row],[SUPER]])</f>
        <v>446424</v>
      </c>
      <c r="AQ13" s="10">
        <f>MAX(DITE_MARZO_2026[[#This Row],[SUPER]:[CARTERA]])</f>
        <v>65301</v>
      </c>
      <c r="AR13" s="16">
        <f>IFERROR(DITE_MARZO_2026[[#This Row],[RECUPERO SUPERVISOR]]/DITE_MARZO_2026[[#This Row],[META SUPER]],"")</f>
        <v>0.14627573786355572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14" s="34" cm="1">
        <f t="array" ref="C14">_xlfn.XLOOKUP(1,(TablaMeta[CONCAT]=$M$3&amp;$N$3&amp;D1_MARZO_2026[[#This Row],[SUPER]])*(TablaMeta[SEGG]=D1_MARZO_2026[[#This Row],[SEGMENTO]]),TablaMeta[Meta_Asesor])</f>
        <v>38500</v>
      </c>
      <c r="D14" s="35">
        <f>IF(D1_MARZO_2026[[#This Row],[RECUPERO]]="VACACIONES","VACACIONES",IFERROR(D1_MARZO_2026[[#This Row],[RECUPERO]]/D1_MARZO_2026[[#This Row],[META]],""))</f>
        <v>9.0649350649350646E-2</v>
      </c>
      <c r="E14" s="35" t="str">
        <f>D1_MARZO_2026[[#This Row],[SUPER]]</f>
        <v>SANDY</v>
      </c>
      <c r="F14" t="s">
        <v>58</v>
      </c>
      <c r="G14" s="3">
        <v>3490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4" s="56"/>
      <c r="M14" s="5">
        <f>DATA_MARZO_2026[[#This Row],[RECUPERO]]/DATA_MARZO_2026[[#This Row],[META]]</f>
        <v>9.7662337662337659E-2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SANDY</v>
      </c>
      <c r="P14" s="6">
        <f>VLOOKUP(DATA_MARZO_2026[[#This Row],[ASER_]],D1_MARZO_2026[[ASESOR_CRR]:[RECUPERO]],6,0)</f>
        <v>3760</v>
      </c>
      <c r="Q14" s="6">
        <f>VLOOKUP(DATA_MARZO_2026[[#This Row],[ASER_]],D1_MARZO_2026[[ASESOR_CRR]:[META]],2,0)</f>
        <v>38500</v>
      </c>
      <c r="R14" t="s">
        <v>174</v>
      </c>
      <c r="S14" s="47">
        <v>210</v>
      </c>
      <c r="T14">
        <v>0</v>
      </c>
      <c r="U14">
        <v>1650</v>
      </c>
      <c r="V14">
        <v>800</v>
      </c>
      <c r="W14">
        <v>1100</v>
      </c>
      <c r="AN14" s="55" t="str" cm="1">
        <f t="array" ref="AN1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15" s="34" cm="1">
        <f t="array" ref="C15">_xlfn.XLOOKUP(1,(TablaMeta[CONCAT]=$M$3&amp;$N$3&amp;D1_MARZO_2026[[#This Row],[SUPER]])*(TablaMeta[SEGG]=D1_MARZO_2026[[#This Row],[SEGMENTO]]),TablaMeta[Meta_Asesor])</f>
        <v>38500</v>
      </c>
      <c r="D15" s="35">
        <f>IF(D1_MARZO_2026[[#This Row],[RECUPERO]]="VACACIONES","VACACIONES",IFERROR(D1_MARZO_2026[[#This Row],[RECUPERO]]/D1_MARZO_2026[[#This Row],[META]],""))</f>
        <v>9.0285714285714289E-2</v>
      </c>
      <c r="E15" s="35" t="str">
        <f>D1_MARZO_2026[[#This Row],[SUPER]]</f>
        <v>SANDY</v>
      </c>
      <c r="F15" t="s">
        <v>96</v>
      </c>
      <c r="G15" s="3">
        <v>3476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5" s="56"/>
      <c r="M15" s="5">
        <f>DATA_MARZO_2026[[#This Row],[RECUPERO]]/DATA_MARZO_2026[[#This Row],[META]]</f>
        <v>0.43246753246753245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IFERROR(VLOOKUP(DATA_MARZO_2026[[#This Row],[ASER_]],$B:$G,4,0),"")</f>
        <v>SANDY</v>
      </c>
      <c r="P15" s="6">
        <f>VLOOKUP(DATA_MARZO_2026[[#This Row],[ASER_]],D1_MARZO_2026[[ASESOR_CRR]:[RECUPERO]],6,0)</f>
        <v>16650</v>
      </c>
      <c r="Q15" s="6">
        <f>VLOOKUP(DATA_MARZO_2026[[#This Row],[ASER_]],D1_MARZO_2026[[ASESOR_CRR]:[META]],2,0)</f>
        <v>38500</v>
      </c>
      <c r="R15" t="s">
        <v>79</v>
      </c>
      <c r="S15" s="47">
        <v>0</v>
      </c>
      <c r="T15">
        <v>15500</v>
      </c>
      <c r="U15">
        <v>1150</v>
      </c>
      <c r="V15">
        <v>0</v>
      </c>
      <c r="W15">
        <v>0</v>
      </c>
      <c r="AN15" s="55" t="str" cm="1">
        <f t="array" ref="AN1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16" s="34" cm="1">
        <f t="array" ref="C16">_xlfn.XLOOKUP(1,(TablaMeta[CONCAT]=$M$3&amp;$N$3&amp;D1_MARZO_2026[[#This Row],[SUPER]])*(TablaMeta[SEGG]=D1_MARZO_2026[[#This Row],[SEGMENTO]]),TablaMeta[Meta_Asesor])</f>
        <v>38500</v>
      </c>
      <c r="D16" s="35">
        <f>IF(D1_MARZO_2026[[#This Row],[RECUPERO]]="VACACIONES","VACACIONES",IFERROR(D1_MARZO_2026[[#This Row],[RECUPERO]]/D1_MARZO_2026[[#This Row],[META]],""))</f>
        <v>8.8623376623376618E-2</v>
      </c>
      <c r="E16" s="35" t="str">
        <f>D1_MARZO_2026[[#This Row],[SUPER]]</f>
        <v>SANDY</v>
      </c>
      <c r="F16" t="s">
        <v>32</v>
      </c>
      <c r="G16" s="3">
        <v>3412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6" s="56"/>
      <c r="M16" s="5">
        <f>DATA_MARZO_2026[[#This Row],[RECUPERO]]/DATA_MARZO_2026[[#This Row],[META]]</f>
        <v>9.0285714285714289E-2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SANDY</v>
      </c>
      <c r="P16" s="6">
        <f>VLOOKUP(DATA_MARZO_2026[[#This Row],[ASER_]],D1_MARZO_2026[[ASESOR_CRR]:[RECUPERO]],6,0)</f>
        <v>3476</v>
      </c>
      <c r="Q16" s="6">
        <f>VLOOKUP(DATA_MARZO_2026[[#This Row],[ASER_]],D1_MARZO_2026[[ASESOR_CRR]:[META]],2,0)</f>
        <v>38500</v>
      </c>
      <c r="R16" t="s">
        <v>96</v>
      </c>
      <c r="S16">
        <v>0</v>
      </c>
      <c r="T16">
        <v>976</v>
      </c>
      <c r="U16">
        <v>2500</v>
      </c>
      <c r="V16">
        <v>0</v>
      </c>
      <c r="W16">
        <v>0</v>
      </c>
      <c r="AN16" s="55" t="str" cm="1">
        <f t="array" ref="AN1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17" s="34" cm="1">
        <f t="array" ref="C17">_xlfn.XLOOKUP(1,(TablaMeta[CONCAT]=$M$3&amp;$N$3&amp;D1_MARZO_2026[[#This Row],[SUPER]])*(TablaMeta[SEGG]=D1_MARZO_2026[[#This Row],[SEGMENTO]]),TablaMeta[Meta_Asesor])</f>
        <v>38500</v>
      </c>
      <c r="D17" s="35">
        <f>IF(D1_MARZO_2026[[#This Row],[RECUPERO]]="VACACIONES","VACACIONES",IFERROR(D1_MARZO_2026[[#This Row],[RECUPERO]]/D1_MARZO_2026[[#This Row],[META]],""))</f>
        <v>6.246753246753247E-2</v>
      </c>
      <c r="E17" s="35" t="str">
        <f>D1_MARZO_2026[[#This Row],[SUPER]]</f>
        <v>SANDY</v>
      </c>
      <c r="F17" t="s">
        <v>564</v>
      </c>
      <c r="G17" s="3">
        <v>2405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DATA_MARZO_2026[[#This Row],[RECUPERO]]/DATA_MARZO_2026[[#This Row],[META]]</f>
        <v>8.8623376623376618E-2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SANDY</v>
      </c>
      <c r="P17" s="6">
        <f>VLOOKUP(DATA_MARZO_2026[[#This Row],[ASER_]],D1_MARZO_2026[[ASESOR_CRR]:[RECUPERO]],6,0)</f>
        <v>3412</v>
      </c>
      <c r="Q17" s="6">
        <f>VLOOKUP(DATA_MARZO_2026[[#This Row],[ASER_]],D1_MARZO_2026[[ASESOR_CRR]:[META]],2,0)</f>
        <v>38500</v>
      </c>
      <c r="R17" t="s">
        <v>32</v>
      </c>
      <c r="S17" s="45">
        <v>0</v>
      </c>
      <c r="T17">
        <v>0</v>
      </c>
      <c r="U17">
        <v>3000</v>
      </c>
      <c r="V17">
        <v>0</v>
      </c>
      <c r="W17">
        <v>412</v>
      </c>
      <c r="AN17" s="55" t="str" cm="1">
        <f t="array" ref="AN1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18" s="34" cm="1">
        <f t="array" ref="C18">_xlfn.XLOOKUP(1,(TablaMeta[CONCAT]=$M$3&amp;$N$3&amp;D1_MARZO_2026[[#This Row],[SUPER]])*(TablaMeta[SEGG]=D1_MARZO_2026[[#This Row],[SEGMENTO]]),TablaMeta[Meta_Asesor])</f>
        <v>61300</v>
      </c>
      <c r="D18" s="35">
        <f>IF(D1_MARZO_2026[[#This Row],[RECUPERO]]="VACACIONES","VACACIONES",IFERROR(D1_MARZO_2026[[#This Row],[RECUPERO]]/D1_MARZO_2026[[#This Row],[META]],""))</f>
        <v>0.28874388254486133</v>
      </c>
      <c r="E18" s="35" t="str">
        <f>D1_MARZO_2026[[#This Row],[SUPER]]</f>
        <v>KENNETH</v>
      </c>
      <c r="F18" t="s">
        <v>34</v>
      </c>
      <c r="G18" s="3">
        <v>17700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DATA_MARZO_2026[[#This Row],[RECUPERO]]/DATA_MARZO_2026[[#This Row],[META]]</f>
        <v>6.246753246753247E-2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SANDY</v>
      </c>
      <c r="P18" s="6">
        <f>VLOOKUP(DATA_MARZO_2026[[#This Row],[ASER_]],D1_MARZO_2026[[ASESOR_CRR]:[RECUPERO]],6,0)</f>
        <v>2405</v>
      </c>
      <c r="Q18" s="6">
        <f>VLOOKUP(DATA_MARZO_2026[[#This Row],[ASER_]],D1_MARZO_2026[[ASESOR_CRR]:[META]],2,0)</f>
        <v>38500</v>
      </c>
      <c r="R18" t="s">
        <v>564</v>
      </c>
      <c r="S18">
        <v>0</v>
      </c>
      <c r="T18">
        <v>500</v>
      </c>
      <c r="U18">
        <v>500</v>
      </c>
      <c r="V18">
        <v>1405</v>
      </c>
      <c r="W18">
        <v>0</v>
      </c>
      <c r="AN18" s="55" t="str" cm="1">
        <f t="array" ref="AN1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19" s="34" cm="1">
        <f t="array" ref="C19">_xlfn.XLOOKUP(1,(TablaMeta[CONCAT]=$M$3&amp;$N$3&amp;D1_MARZO_2026[[#This Row],[SUPER]])*(TablaMeta[SEGG]=D1_MARZO_2026[[#This Row],[SEGMENTO]]),TablaMeta[Meta_Asesor])</f>
        <v>61300</v>
      </c>
      <c r="D19" s="35">
        <f>IF(D1_MARZO_2026[[#This Row],[RECUPERO]]="VACACIONES","VACACIONES",IFERROR(D1_MARZO_2026[[#This Row],[RECUPERO]]/D1_MARZO_2026[[#This Row],[META]],""))</f>
        <v>0.21207177814029363</v>
      </c>
      <c r="E19" s="35" t="str">
        <f>D1_MARZO_2026[[#This Row],[SUPER]]</f>
        <v>KENNETH</v>
      </c>
      <c r="F19" t="s">
        <v>105</v>
      </c>
      <c r="G19" s="3">
        <v>13000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DATA_MARZO_2026[[#This Row],[RECUPERO]]/DATA_MARZO_2026[[#This Row],[META]]</f>
        <v>1.2398042414355628E-2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KENNETH</v>
      </c>
      <c r="P19" s="6">
        <f>VLOOKUP(DATA_MARZO_2026[[#This Row],[ASER_]],D1_MARZO_2026[[ASESOR_CRR]:[RECUPERO]],6,0)</f>
        <v>760</v>
      </c>
      <c r="Q19" s="6">
        <f>VLOOKUP(DATA_MARZO_2026[[#This Row],[ASER_]],D1_MARZO_2026[[ASESOR_CRR]:[META]],2,0)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AN19" s="55" t="str" cm="1">
        <f t="array" ref="AN1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20" s="34" cm="1">
        <f t="array" ref="C20">_xlfn.XLOOKUP(1,(TablaMeta[CONCAT]=$M$3&amp;$N$3&amp;D1_MARZO_2026[[#This Row],[SUPER]])*(TablaMeta[SEGG]=D1_MARZO_2026[[#This Row],[SEGMENTO]]),TablaMeta[Meta_Asesor])</f>
        <v>61300</v>
      </c>
      <c r="D20" s="35">
        <f>IF(D1_MARZO_2026[[#This Row],[RECUPERO]]="VACACIONES","VACACIONES",IFERROR(D1_MARZO_2026[[#This Row],[RECUPERO]]/D1_MARZO_2026[[#This Row],[META]],""))</f>
        <v>9.7063621533442085E-2</v>
      </c>
      <c r="E20" s="35" t="str">
        <f>D1_MARZO_2026[[#This Row],[SUPER]]</f>
        <v>KENNETH</v>
      </c>
      <c r="F20" t="s">
        <v>11</v>
      </c>
      <c r="G20" s="3">
        <v>5950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DATA_MARZO_2026[[#This Row],[RECUPERO]]/DATA_MARZO_2026[[#This Row],[META]]</f>
        <v>5.4812398042414355E-2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KENNETH</v>
      </c>
      <c r="P20" s="6">
        <f>VLOOKUP(DATA_MARZO_2026[[#This Row],[ASER_]],D1_MARZO_2026[[ASESOR_CRR]:[RECUPERO]],6,0)</f>
        <v>3360</v>
      </c>
      <c r="Q20" s="6">
        <f>VLOOKUP(DATA_MARZO_2026[[#This Row],[ASER_]],D1_MARZO_2026[[ASESOR_CRR]:[META]],2,0)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AN20" s="55" t="str" cm="1">
        <f t="array" ref="AN2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21" s="34" cm="1">
        <f t="array" ref="C21">_xlfn.XLOOKUP(1,(TablaMeta[CONCAT]=$M$3&amp;$N$3&amp;D1_MARZO_2026[[#This Row],[SUPER]])*(TablaMeta[SEGG]=D1_MARZO_2026[[#This Row],[SEGMENTO]]),TablaMeta[Meta_Asesor])</f>
        <v>61300</v>
      </c>
      <c r="D21" s="35">
        <f>IF(D1_MARZO_2026[[#This Row],[RECUPERO]]="VACACIONES","VACACIONES",IFERROR(D1_MARZO_2026[[#This Row],[RECUPERO]]/D1_MARZO_2026[[#This Row],[META]],""))</f>
        <v>7.6427406199021206E-2</v>
      </c>
      <c r="E21" s="35" t="str">
        <f>D1_MARZO_2026[[#This Row],[SUPER]]</f>
        <v>KENNETH</v>
      </c>
      <c r="F21" t="s">
        <v>97</v>
      </c>
      <c r="G21" s="3">
        <v>4685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DATA_MARZO_2026[[#This Row],[RECUPERO]]/DATA_MARZO_2026[[#This Row],[META]]</f>
        <v>7.6427406199021206E-2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KENNETH</v>
      </c>
      <c r="P21" s="6">
        <f>VLOOKUP(DATA_MARZO_2026[[#This Row],[ASER_]],D1_MARZO_2026[[ASESOR_CRR]:[RECUPERO]],6,0)</f>
        <v>4685</v>
      </c>
      <c r="Q21" s="6">
        <f>VLOOKUP(DATA_MARZO_2026[[#This Row],[ASER_]],D1_MARZO_2026[[ASESOR_CRR]:[META]],2,0)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AN21" s="55" t="str" cm="1">
        <f t="array" ref="AN2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22" s="34" cm="1">
        <f t="array" ref="C22">_xlfn.XLOOKUP(1,(TablaMeta[CONCAT]=$M$3&amp;$N$3&amp;D1_MARZO_2026[[#This Row],[SUPER]])*(TablaMeta[SEGG]=D1_MARZO_2026[[#This Row],[SEGMENTO]]),TablaMeta[Meta_Asesor])</f>
        <v>61300</v>
      </c>
      <c r="D22" s="35">
        <f>IF(D1_MARZO_2026[[#This Row],[RECUPERO]]="VACACIONES","VACACIONES",IFERROR(D1_MARZO_2026[[#This Row],[RECUPERO]]/D1_MARZO_2026[[#This Row],[META]],""))</f>
        <v>5.4812398042414355E-2</v>
      </c>
      <c r="E22" s="35" t="str">
        <f>D1_MARZO_2026[[#This Row],[SUPER]]</f>
        <v>KENNETH</v>
      </c>
      <c r="F22" t="s">
        <v>35</v>
      </c>
      <c r="G22" s="3">
        <v>3360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DATA_MARZO_2026[[#This Row],[RECUPERO]]/DATA_MARZO_2026[[#This Row],[META]]</f>
        <v>0.21207177814029363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KENNETH</v>
      </c>
      <c r="P22" s="6">
        <f>VLOOKUP(DATA_MARZO_2026[[#This Row],[ASER_]],D1_MARZO_2026[[ASESOR_CRR]:[RECUPERO]],6,0)</f>
        <v>13000</v>
      </c>
      <c r="Q22" s="6">
        <f>VLOOKUP(DATA_MARZO_2026[[#This Row],[ASER_]],D1_MARZO_2026[[ASESOR_CRR]:[META]],2,0)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AN22" s="55" t="str" cm="1">
        <f t="array" ref="AN2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23" s="34" cm="1">
        <f t="array" ref="C23">_xlfn.XLOOKUP(1,(TablaMeta[CONCAT]=$M$3&amp;$N$3&amp;D1_MARZO_2026[[#This Row],[SUPER]])*(TablaMeta[SEGG]=D1_MARZO_2026[[#This Row],[SEGMENTO]]),TablaMeta[Meta_Asesor])</f>
        <v>61300</v>
      </c>
      <c r="D23" s="35">
        <f>IF(D1_MARZO_2026[[#This Row],[RECUPERO]]="VACACIONES","VACACIONES",IFERROR(D1_MARZO_2026[[#This Row],[RECUPERO]]/D1_MARZO_2026[[#This Row],[META]],""))</f>
        <v>2.2838499184339316E-2</v>
      </c>
      <c r="E23" s="35" t="str">
        <f>D1_MARZO_2026[[#This Row],[SUPER]]</f>
        <v>KENNETH</v>
      </c>
      <c r="F23" t="s">
        <v>19</v>
      </c>
      <c r="G23" s="3">
        <v>1400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DATA_MARZO_2026[[#This Row],[RECUPERO]]/DATA_MARZO_2026[[#This Row],[META]]</f>
        <v>9.7063621533442085E-2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KENNETH</v>
      </c>
      <c r="P23" s="6">
        <f>VLOOKUP(DATA_MARZO_2026[[#This Row],[ASER_]],D1_MARZO_2026[[ASESOR_CRR]:[RECUPERO]],6,0)</f>
        <v>5950</v>
      </c>
      <c r="Q23" s="6">
        <f>VLOOKUP(DATA_MARZO_2026[[#This Row],[ASER_]],D1_MARZO_2026[[ASESOR_CRR]:[META]],2,0)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AN23" s="55" t="str" cm="1">
        <f t="array" ref="AN2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24" s="34" cm="1">
        <f t="array" ref="C24">_xlfn.XLOOKUP(1,(TablaMeta[CONCAT]=$M$3&amp;$N$3&amp;D1_MARZO_2026[[#This Row],[SUPER]])*(TablaMeta[SEGG]=D1_MARZO_2026[[#This Row],[SEGMENTO]]),TablaMeta[Meta_Asesor])</f>
        <v>61300</v>
      </c>
      <c r="D24" s="35">
        <f>IF(D1_MARZO_2026[[#This Row],[RECUPERO]]="VACACIONES","VACACIONES",IFERROR(D1_MARZO_2026[[#This Row],[RECUPERO]]/D1_MARZO_2026[[#This Row],[META]],""))</f>
        <v>1.2398042414355628E-2</v>
      </c>
      <c r="E24" s="35" t="str">
        <f>D1_MARZO_2026[[#This Row],[SUPER]]</f>
        <v>KENNETH</v>
      </c>
      <c r="F24" t="s">
        <v>76</v>
      </c>
      <c r="G24" s="3">
        <v>760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DATA_MARZO_2026[[#This Row],[RECUPERO]]/DATA_MARZO_2026[[#This Row],[META]]</f>
        <v>2.2838499184339316E-2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KENNETH</v>
      </c>
      <c r="P24" s="6">
        <f>VLOOKUP(DATA_MARZO_2026[[#This Row],[ASER_]],D1_MARZO_2026[[ASESOR_CRR]:[RECUPERO]],6,0)</f>
        <v>1400</v>
      </c>
      <c r="Q24" s="6">
        <f>VLOOKUP(DATA_MARZO_2026[[#This Row],[ASER_]],D1_MARZO_2026[[ASESOR_CRR]:[META]],2,0)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AN24" s="55" t="str" cm="1">
        <f t="array" ref="AN2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25" s="34" cm="1">
        <f t="array" ref="C25">_xlfn.XLOOKUP(1,(TablaMeta[CONCAT]=$M$3&amp;$N$3&amp;D1_MARZO_2026[[#This Row],[SUPER]])*(TablaMeta[SEGG]=D1_MARZO_2026[[#This Row],[SEGMENTO]]),TablaMeta[Meta_Asesor])</f>
        <v>44700</v>
      </c>
      <c r="D25" s="35">
        <f>IF(D1_MARZO_2026[[#This Row],[RECUPERO]]="VACACIONES","VACACIONES",IFERROR(D1_MARZO_2026[[#This Row],[RECUPERO]]/D1_MARZO_2026[[#This Row],[META]],""))</f>
        <v>0.26890380313199103</v>
      </c>
      <c r="E25" s="35" t="str">
        <f>D1_MARZO_2026[[#This Row],[SUPER]]</f>
        <v>LEONOR</v>
      </c>
      <c r="F25" t="s">
        <v>629</v>
      </c>
      <c r="G25" s="3">
        <v>12020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0.28874388254486133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KENNETH</v>
      </c>
      <c r="P25" s="6">
        <f>VLOOKUP(DATA_MARZO_2026[[#This Row],[ASER_]],D1_MARZO_2026[[ASESOR_CRR]:[RECUPERO]],6,0)</f>
        <v>17700</v>
      </c>
      <c r="Q25" s="6">
        <f>VLOOKUP(DATA_MARZO_2026[[#This Row],[ASER_]],D1_MARZO_2026[[ASESOR_CRR]:[META]],2,0)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0</v>
      </c>
      <c r="AN25" s="55" t="str" cm="1">
        <f t="array" ref="AN2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26" s="34" cm="1">
        <f t="array" ref="C26">_xlfn.XLOOKUP(1,(TablaMeta[CONCAT]=$M$3&amp;$N$3&amp;D1_MARZO_2026[[#This Row],[SUPER]])*(TablaMeta[SEGG]=D1_MARZO_2026[[#This Row],[SEGMENTO]]),TablaMeta[Meta_Asesor])</f>
        <v>44700</v>
      </c>
      <c r="D26" s="35">
        <f>IF(D1_MARZO_2026[[#This Row],[RECUPERO]]="VACACIONES","VACACIONES",IFERROR(D1_MARZO_2026[[#This Row],[RECUPERO]]/D1_MARZO_2026[[#This Row],[META]],""))</f>
        <v>0.2651006711409396</v>
      </c>
      <c r="E26" s="35" t="str">
        <f>D1_MARZO_2026[[#This Row],[SUPER]]</f>
        <v>LEONOR</v>
      </c>
      <c r="F26" t="s">
        <v>18</v>
      </c>
      <c r="G26" s="3">
        <v>11850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1.1185682326621925E-2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LEONOR</v>
      </c>
      <c r="P26" s="6">
        <f>VLOOKUP(DATA_MARZO_2026[[#This Row],[ASER_]],D1_MARZO_2026[[ASESOR_CRR]:[RECUPERO]],6,0)</f>
        <v>500</v>
      </c>
      <c r="Q26" s="6">
        <f>VLOOKUP(DATA_MARZO_2026[[#This Row],[ASER_]],D1_MARZO_2026[[ASESOR_CRR]:[META]],2,0)</f>
        <v>44700</v>
      </c>
      <c r="R26" t="s">
        <v>51</v>
      </c>
      <c r="S26" s="45">
        <v>500</v>
      </c>
      <c r="T26">
        <v>0</v>
      </c>
      <c r="U26">
        <v>0</v>
      </c>
      <c r="V26">
        <v>0</v>
      </c>
      <c r="W26">
        <v>0</v>
      </c>
      <c r="AN26" s="55" t="str" cm="1">
        <f t="array" ref="AN2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27" s="34" cm="1">
        <f t="array" ref="C27">_xlfn.XLOOKUP(1,(TablaMeta[CONCAT]=$M$3&amp;$N$3&amp;D1_MARZO_2026[[#This Row],[SUPER]])*(TablaMeta[SEGG]=D1_MARZO_2026[[#This Row],[SEGMENTO]]),TablaMeta[Meta_Asesor])</f>
        <v>44700</v>
      </c>
      <c r="D27" s="35">
        <f>IF(D1_MARZO_2026[[#This Row],[RECUPERO]]="VACACIONES","VACACIONES",IFERROR(D1_MARZO_2026[[#This Row],[RECUPERO]]/D1_MARZO_2026[[#This Row],[META]],""))</f>
        <v>0.2402013422818792</v>
      </c>
      <c r="E27" s="35" t="str">
        <f>D1_MARZO_2026[[#This Row],[SUPER]]</f>
        <v>LEONOR</v>
      </c>
      <c r="F27" t="s">
        <v>628</v>
      </c>
      <c r="G27" s="3">
        <v>10737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0.2651006711409396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LEONOR</v>
      </c>
      <c r="P27" s="6">
        <f>VLOOKUP(DATA_MARZO_2026[[#This Row],[ASER_]],D1_MARZO_2026[[ASESOR_CRR]:[RECUPERO]],6,0)</f>
        <v>11850</v>
      </c>
      <c r="Q27" s="6">
        <f>VLOOKUP(DATA_MARZO_2026[[#This Row],[ASER_]],D1_MARZO_2026[[ASESOR_CRR]:[META]],2,0)</f>
        <v>44700</v>
      </c>
      <c r="R27" t="s">
        <v>18</v>
      </c>
      <c r="S27">
        <v>350</v>
      </c>
      <c r="T27">
        <v>2700</v>
      </c>
      <c r="U27">
        <v>3000</v>
      </c>
      <c r="V27">
        <v>5800</v>
      </c>
      <c r="W27">
        <v>0</v>
      </c>
      <c r="AN27" s="55" t="str" cm="1">
        <f t="array" ref="AN2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28" s="34" cm="1">
        <f t="array" ref="C28">_xlfn.XLOOKUP(1,(TablaMeta[CONCAT]=$M$3&amp;$N$3&amp;D1_MARZO_2026[[#This Row],[SUPER]])*(TablaMeta[SEGG]=D1_MARZO_2026[[#This Row],[SEGMENTO]]),TablaMeta[Meta_Asesor])</f>
        <v>44700</v>
      </c>
      <c r="D28" s="35">
        <f>IF(D1_MARZO_2026[[#This Row],[RECUPERO]]="VACACIONES","VACACIONES",IFERROR(D1_MARZO_2026[[#This Row],[RECUPERO]]/D1_MARZO_2026[[#This Row],[META]],""))</f>
        <v>0.21865771812080537</v>
      </c>
      <c r="E28" s="35" t="str">
        <f>D1_MARZO_2026[[#This Row],[SUPER]]</f>
        <v>LEONOR</v>
      </c>
      <c r="F28" t="s">
        <v>630</v>
      </c>
      <c r="G28" s="3">
        <v>9774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8" s="56"/>
      <c r="M28" s="5">
        <f>DATA_MARZO_2026[[#This Row],[RECUPERO]]/DATA_MARZO_2026[[#This Row],[META]]</f>
        <v>0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LEONOR</v>
      </c>
      <c r="P28" s="6">
        <f>VLOOKUP(DATA_MARZO_2026[[#This Row],[ASER_]],D1_MARZO_2026[[ASESOR_CRR]:[RECUPERO]],6,0)</f>
        <v>0</v>
      </c>
      <c r="Q28" s="6">
        <f>VLOOKUP(DATA_MARZO_2026[[#This Row],[ASER_]],D1_MARZO_2026[[ASESOR_CRR]:[META]],2,0)</f>
        <v>44700</v>
      </c>
      <c r="R28" t="s">
        <v>12</v>
      </c>
      <c r="S28">
        <v>0</v>
      </c>
      <c r="T28">
        <v>0</v>
      </c>
      <c r="U28">
        <v>0</v>
      </c>
      <c r="V28">
        <v>0</v>
      </c>
      <c r="W28">
        <v>0</v>
      </c>
      <c r="AN28" s="55" t="str" cm="1">
        <f t="array" ref="AN2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29" s="34" cm="1">
        <f t="array" ref="C29">_xlfn.XLOOKUP(1,(TablaMeta[CONCAT]=$M$3&amp;$N$3&amp;D1_MARZO_2026[[#This Row],[SUPER]])*(TablaMeta[SEGG]=D1_MARZO_2026[[#This Row],[SEGMENTO]]),TablaMeta[Meta_Asesor])</f>
        <v>44700</v>
      </c>
      <c r="D29" s="35">
        <f>IF(D1_MARZO_2026[[#This Row],[RECUPERO]]="VACACIONES","VACACIONES",IFERROR(D1_MARZO_2026[[#This Row],[RECUPERO]]/D1_MARZO_2026[[#This Row],[META]],""))</f>
        <v>0.21588366890380314</v>
      </c>
      <c r="E29" s="35" t="str">
        <f>D1_MARZO_2026[[#This Row],[SUPER]]</f>
        <v>LEONOR</v>
      </c>
      <c r="F29" t="s">
        <v>627</v>
      </c>
      <c r="G29" s="3">
        <v>9650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9" s="56"/>
      <c r="M29" s="5">
        <f>DATA_MARZO_2026[[#This Row],[RECUPERO]]/DATA_MARZO_2026[[#This Row],[META]]</f>
        <v>0.11185682326621924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LEONOR</v>
      </c>
      <c r="P29" s="6">
        <f>VLOOKUP(DATA_MARZO_2026[[#This Row],[ASER_]],D1_MARZO_2026[[ASESOR_CRR]:[RECUPERO]],6,0)</f>
        <v>5000</v>
      </c>
      <c r="Q29" s="6">
        <f>VLOOKUP(DATA_MARZO_2026[[#This Row],[ASER_]],D1_MARZO_2026[[ASESOR_CRR]:[META]],2,0)</f>
        <v>44700</v>
      </c>
      <c r="R29" t="s">
        <v>80</v>
      </c>
      <c r="S29">
        <v>5000</v>
      </c>
      <c r="T29">
        <v>0</v>
      </c>
      <c r="U29" s="45">
        <v>0</v>
      </c>
      <c r="V29">
        <v>0</v>
      </c>
      <c r="W29">
        <v>0</v>
      </c>
      <c r="AN29" s="55" t="str" cm="1">
        <f t="array" ref="AN2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0" s="34" cm="1">
        <f t="array" ref="C30">_xlfn.XLOOKUP(1,(TablaMeta[CONCAT]=$M$3&amp;$N$3&amp;D1_MARZO_2026[[#This Row],[SUPER]])*(TablaMeta[SEGG]=D1_MARZO_2026[[#This Row],[SEGMENTO]]),TablaMeta[Meta_Asesor])</f>
        <v>44700</v>
      </c>
      <c r="D30" s="35">
        <f>IF(D1_MARZO_2026[[#This Row],[RECUPERO]]="VACACIONES","VACACIONES",IFERROR(D1_MARZO_2026[[#This Row],[RECUPERO]]/D1_MARZO_2026[[#This Row],[META]],""))</f>
        <v>0.11185682326621924</v>
      </c>
      <c r="E30" s="35" t="str">
        <f>D1_MARZO_2026[[#This Row],[SUPER]]</f>
        <v>LEONOR</v>
      </c>
      <c r="F30" t="s">
        <v>624</v>
      </c>
      <c r="G30" s="3">
        <v>5000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0" s="56"/>
      <c r="M30" s="5">
        <f>DATA_MARZO_2026[[#This Row],[RECUPERO]]/DATA_MARZO_2026[[#This Row],[META]]</f>
        <v>3.9597315436241613E-2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1770</v>
      </c>
      <c r="Q30" s="6">
        <f>VLOOKUP(DATA_MARZO_2026[[#This Row],[ASER_]],D1_MARZO_2026[[ASESOR_CRR]:[META]],2,0)</f>
        <v>44700</v>
      </c>
      <c r="R30" t="s">
        <v>26</v>
      </c>
      <c r="S30">
        <v>1000</v>
      </c>
      <c r="T30">
        <v>0</v>
      </c>
      <c r="U30">
        <v>470</v>
      </c>
      <c r="V30">
        <v>0</v>
      </c>
      <c r="W30">
        <v>300</v>
      </c>
      <c r="AN30" s="55" t="str" cm="1">
        <f t="array" ref="AN3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31" s="34" cm="1">
        <f t="array" ref="C31">_xlfn.XLOOKUP(1,(TablaMeta[CONCAT]=$M$3&amp;$N$3&amp;D1_MARZO_2026[[#This Row],[SUPER]])*(TablaMeta[SEGG]=D1_MARZO_2026[[#This Row],[SEGMENTO]]),TablaMeta[Meta_Asesor])</f>
        <v>44700</v>
      </c>
      <c r="D31" s="35">
        <f>IF(D1_MARZO_2026[[#This Row],[RECUPERO]]="VACACIONES","VACACIONES",IFERROR(D1_MARZO_2026[[#This Row],[RECUPERO]]/D1_MARZO_2026[[#This Row],[META]],""))</f>
        <v>8.9485458612975396E-2</v>
      </c>
      <c r="E31" s="35" t="str">
        <f>D1_MARZO_2026[[#This Row],[SUPER]]</f>
        <v>LEONOR</v>
      </c>
      <c r="F31" t="s">
        <v>625</v>
      </c>
      <c r="G31" s="3">
        <v>4000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1" s="56"/>
      <c r="M31" s="5">
        <f>DATA_MARZO_2026[[#This Row],[RECUPERO]]/DATA_MARZO_2026[[#This Row],[META]]</f>
        <v>0.21865771812080537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LEONOR</v>
      </c>
      <c r="P31" s="6">
        <f>VLOOKUP(DATA_MARZO_2026[[#This Row],[ASER_]],D1_MARZO_2026[[ASESOR_CRR]:[RECUPERO]],6,0)</f>
        <v>9774</v>
      </c>
      <c r="Q31" s="6">
        <f>VLOOKUP(DATA_MARZO_2026[[#This Row],[ASER_]],D1_MARZO_2026[[ASESOR_CRR]:[META]],2,0)</f>
        <v>44700</v>
      </c>
      <c r="R31" t="s">
        <v>61</v>
      </c>
      <c r="S31">
        <v>1503</v>
      </c>
      <c r="T31">
        <v>900</v>
      </c>
      <c r="U31">
        <v>1550</v>
      </c>
      <c r="V31">
        <v>3821</v>
      </c>
      <c r="W31">
        <v>2000</v>
      </c>
      <c r="AN31" s="55" t="str" cm="1">
        <f t="array" ref="AN3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32" s="34" cm="1">
        <f t="array" ref="C32">_xlfn.XLOOKUP(1,(TablaMeta[CONCAT]=$M$3&amp;$N$3&amp;D1_MARZO_2026[[#This Row],[SUPER]])*(TablaMeta[SEGG]=D1_MARZO_2026[[#This Row],[SEGMENTO]]),TablaMeta[Meta_Asesor])</f>
        <v>44700</v>
      </c>
      <c r="D32" s="35">
        <f>IF(D1_MARZO_2026[[#This Row],[RECUPERO]]="VACACIONES","VACACIONES",IFERROR(D1_MARZO_2026[[#This Row],[RECUPERO]]/D1_MARZO_2026[[#This Row],[META]],""))</f>
        <v>3.9597315436241613E-2</v>
      </c>
      <c r="E32" s="35" t="str">
        <f>D1_MARZO_2026[[#This Row],[SUPER]]</f>
        <v>LEONOR</v>
      </c>
      <c r="F32" t="s">
        <v>626</v>
      </c>
      <c r="G32" s="3">
        <v>1770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2" s="56"/>
      <c r="M32" s="5">
        <f>DATA_MARZO_2026[[#This Row],[RECUPERO]]/DATA_MARZO_2026[[#This Row],[META]]</f>
        <v>0.21588366890380314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LEONOR</v>
      </c>
      <c r="P32" s="6">
        <f>VLOOKUP(DATA_MARZO_2026[[#This Row],[ASER_]],D1_MARZO_2026[[ASESOR_CRR]:[RECUPERO]],6,0)</f>
        <v>9650</v>
      </c>
      <c r="Q32" s="6">
        <f>VLOOKUP(DATA_MARZO_2026[[#This Row],[ASER_]],D1_MARZO_2026[[ASESOR_CRR]:[META]],2,0)</f>
        <v>44700</v>
      </c>
      <c r="R32" t="s">
        <v>59</v>
      </c>
      <c r="S32">
        <v>1000</v>
      </c>
      <c r="T32">
        <v>5600</v>
      </c>
      <c r="U32">
        <v>0</v>
      </c>
      <c r="V32">
        <v>3050</v>
      </c>
      <c r="W32">
        <v>0</v>
      </c>
      <c r="AN32" s="55" t="str" cm="1">
        <f t="array" ref="AN3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33" s="34" cm="1">
        <f t="array" ref="C33">_xlfn.XLOOKUP(1,(TablaMeta[CONCAT]=$M$3&amp;$N$3&amp;D1_MARZO_2026[[#This Row],[SUPER]])*(TablaMeta[SEGG]=D1_MARZO_2026[[#This Row],[SEGMENTO]]),TablaMeta[Meta_Asesor])</f>
        <v>44700</v>
      </c>
      <c r="D33" s="35">
        <f>IF(D1_MARZO_2026[[#This Row],[RECUPERO]]="VACACIONES","VACACIONES",IFERROR(D1_MARZO_2026[[#This Row],[RECUPERO]]/D1_MARZO_2026[[#This Row],[META]],""))</f>
        <v>1.1185682326621925E-2</v>
      </c>
      <c r="E33" s="35" t="str">
        <f>D1_MARZO_2026[[#This Row],[SUPER]]</f>
        <v>LEONOR</v>
      </c>
      <c r="F33" t="s">
        <v>51</v>
      </c>
      <c r="G33" s="3">
        <v>500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3" s="56"/>
      <c r="M33" s="5">
        <f>DATA_MARZO_2026[[#This Row],[RECUPERO]]/DATA_MARZO_2026[[#This Row],[META]]</f>
        <v>0.26890380313199103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LEONOR</v>
      </c>
      <c r="P33" s="6">
        <f>VLOOKUP(DATA_MARZO_2026[[#This Row],[ASER_]],D1_MARZO_2026[[ASESOR_CRR]:[RECUPERO]],6,0)</f>
        <v>12020</v>
      </c>
      <c r="Q33" s="6">
        <f>VLOOKUP(DATA_MARZO_2026[[#This Row],[ASER_]],D1_MARZO_2026[[ASESOR_CRR]:[META]],2,0)</f>
        <v>44700</v>
      </c>
      <c r="R33" t="s">
        <v>72</v>
      </c>
      <c r="S33">
        <v>0</v>
      </c>
      <c r="T33">
        <v>0</v>
      </c>
      <c r="U33">
        <v>11600</v>
      </c>
      <c r="V33">
        <v>0</v>
      </c>
      <c r="W33">
        <v>420</v>
      </c>
      <c r="AN33" s="55" t="str" cm="1">
        <f t="array" ref="AN3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34" s="34" cm="1">
        <f t="array" ref="C34">_xlfn.XLOOKUP(1,(TablaMeta[CONCAT]=$M$3&amp;$N$3&amp;D1_MARZO_2026[[#This Row],[SUPER]])*(TablaMeta[SEGG]=D1_MARZO_2026[[#This Row],[SEGMENTO]]),TablaMeta[Meta_Asesor])</f>
        <v>44700</v>
      </c>
      <c r="D34" s="35">
        <f>IF(D1_MARZO_2026[[#This Row],[RECUPERO]]="VACACIONES","VACACIONES",IFERROR(D1_MARZO_2026[[#This Row],[RECUPERO]]/D1_MARZO_2026[[#This Row],[META]],""))</f>
        <v>0</v>
      </c>
      <c r="E34" s="35" t="str">
        <f>D1_MARZO_2026[[#This Row],[SUPER]]</f>
        <v>LEONOR</v>
      </c>
      <c r="F34" t="s">
        <v>633</v>
      </c>
      <c r="G34" s="3">
        <v>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4" s="56"/>
      <c r="M34" s="5">
        <f>DATA_MARZO_2026[[#This Row],[RECUPERO]]/DATA_MARZO_2026[[#This Row],[META]]</f>
        <v>0.2402013422818792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LEONOR</v>
      </c>
      <c r="P34" s="6">
        <f>VLOOKUP(DATA_MARZO_2026[[#This Row],[ASER_]],D1_MARZO_2026[[ASESOR_CRR]:[RECUPERO]],6,0)</f>
        <v>10737</v>
      </c>
      <c r="Q34" s="6">
        <f>VLOOKUP(DATA_MARZO_2026[[#This Row],[ASER_]],D1_MARZO_2026[[ASESOR_CRR]:[META]],2,0)</f>
        <v>44700</v>
      </c>
      <c r="R34" t="s">
        <v>60</v>
      </c>
      <c r="S34">
        <v>570</v>
      </c>
      <c r="T34">
        <v>300</v>
      </c>
      <c r="U34">
        <v>8000</v>
      </c>
      <c r="V34">
        <v>1867</v>
      </c>
      <c r="W34">
        <v>0</v>
      </c>
      <c r="AN34" s="55" t="str" cm="1">
        <f t="array" ref="AN3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5" s="34" cm="1">
        <f t="array" ref="C35">_xlfn.XLOOKUP(1,(TablaMeta[CONCAT]=$M$3&amp;$N$3&amp;D1_MARZO_2026[[#This Row],[SUPER]])*(TablaMeta[SEGG]=D1_MARZO_2026[[#This Row],[SEGMENTO]]),TablaMeta[Meta_Asesor])</f>
        <v>18100</v>
      </c>
      <c r="D35" s="35">
        <f>IF(D1_MARZO_2026[[#This Row],[RECUPERO]]="VACACIONES","VACACIONES",IFERROR(D1_MARZO_2026[[#This Row],[RECUPERO]]/D1_MARZO_2026[[#This Row],[META]],""))</f>
        <v>0.51110497237569064</v>
      </c>
      <c r="E35" s="35" t="str">
        <f>D1_MARZO_2026[[#This Row],[SUPER]]</f>
        <v>LISELY</v>
      </c>
      <c r="F35" t="s">
        <v>41</v>
      </c>
      <c r="G35" s="3">
        <v>9251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DATA_MARZO_2026[[#This Row],[RECUPERO]]/DATA_MARZO_2026[[#This Row],[META]]</f>
        <v>8.9485458612975396E-2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LEONOR</v>
      </c>
      <c r="P35" s="6">
        <f>VLOOKUP(DATA_MARZO_2026[[#This Row],[ASER_]],D1_MARZO_2026[[ASESOR_CRR]:[RECUPERO]],6,0)</f>
        <v>4000</v>
      </c>
      <c r="Q35" s="6">
        <f>VLOOKUP(DATA_MARZO_2026[[#This Row],[ASER_]],D1_MARZO_2026[[ASESOR_CRR]:[META]],2,0)</f>
        <v>44700</v>
      </c>
      <c r="R35" t="s">
        <v>75</v>
      </c>
      <c r="S35">
        <v>2000</v>
      </c>
      <c r="T35">
        <v>2000</v>
      </c>
      <c r="U35">
        <v>0</v>
      </c>
      <c r="V35">
        <v>0</v>
      </c>
      <c r="W35">
        <v>0</v>
      </c>
      <c r="AB35" s="6"/>
      <c r="AC35" s="6"/>
      <c r="AD35" s="6"/>
      <c r="AE35" s="6"/>
      <c r="AF35" s="6"/>
      <c r="AG35" s="6"/>
      <c r="AH35" s="6"/>
      <c r="AN35" s="55" t="str" cm="1">
        <f t="array" ref="AN3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36" s="34" cm="1">
        <f t="array" ref="C36">_xlfn.XLOOKUP(1,(TablaMeta[CONCAT]=$M$3&amp;$N$3&amp;D1_MARZO_2026[[#This Row],[SUPER]])*(TablaMeta[SEGG]=D1_MARZO_2026[[#This Row],[SEGMENTO]]),TablaMeta[Meta_Asesor])</f>
        <v>18100</v>
      </c>
      <c r="D36" s="35">
        <f>IF(D1_MARZO_2026[[#This Row],[RECUPERO]]="VACACIONES","VACACIONES",IFERROR(D1_MARZO_2026[[#This Row],[RECUPERO]]/D1_MARZO_2026[[#This Row],[META]],""))</f>
        <v>0.10580110497237569</v>
      </c>
      <c r="E36" s="35" t="str">
        <f>D1_MARZO_2026[[#This Row],[SUPER]]</f>
        <v>LISELY</v>
      </c>
      <c r="F36" t="s">
        <v>566</v>
      </c>
      <c r="G36" s="3">
        <v>1915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DATA_MARZO_2026[[#This Row],[RECUPERO]]/DATA_MARZO_2026[[#This Row],[META]]</f>
        <v>0.23245614035087719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5300</v>
      </c>
      <c r="Q36" s="6">
        <f>VLOOKUP(DATA_MARZO_2026[[#This Row],[ASER_]],D1_MARZO_2026[[ASESOR_CRR]:[META]],2,0)</f>
        <v>22800</v>
      </c>
      <c r="R36" t="s">
        <v>495</v>
      </c>
      <c r="S36">
        <v>600</v>
      </c>
      <c r="T36">
        <v>2000</v>
      </c>
      <c r="U36">
        <v>0</v>
      </c>
      <c r="V36">
        <v>1200</v>
      </c>
      <c r="W36">
        <v>1500</v>
      </c>
      <c r="AB36" s="6"/>
      <c r="AC36" s="6"/>
      <c r="AD36" s="6"/>
      <c r="AE36" s="6"/>
      <c r="AF36" s="6"/>
      <c r="AG36" s="6"/>
      <c r="AH36" s="6"/>
      <c r="AN36" s="55" t="str" cm="1">
        <f t="array" ref="AN3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37" s="34" cm="1">
        <f t="array" ref="C37">_xlfn.XLOOKUP(1,(TablaMeta[CONCAT]=$M$3&amp;$N$3&amp;D1_MARZO_2026[[#This Row],[SUPER]])*(TablaMeta[SEGG]=D1_MARZO_2026[[#This Row],[SEGMENTO]]),TablaMeta[Meta_Asesor])</f>
        <v>18100</v>
      </c>
      <c r="D37" s="35">
        <f>IF(D1_MARZO_2026[[#This Row],[RECUPERO]]="VACACIONES","VACACIONES",IFERROR(D1_MARZO_2026[[#This Row],[RECUPERO]]/D1_MARZO_2026[[#This Row],[META]],""))</f>
        <v>9.9447513812154692E-2</v>
      </c>
      <c r="E37" s="35" t="str">
        <f>D1_MARZO_2026[[#This Row],[SUPER]]</f>
        <v>LISELY</v>
      </c>
      <c r="F37" t="s">
        <v>601</v>
      </c>
      <c r="G37" s="3">
        <v>1800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DATA_MARZO_2026[[#This Row],[RECUPERO]]/DATA_MARZO_2026[[#This Row],[META]]</f>
        <v>0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0</v>
      </c>
      <c r="Q37" s="6">
        <f>VLOOKUP(DATA_MARZO_2026[[#This Row],[ASER_]],D1_MARZO_2026[[ASESOR_CRR]:[META]],2,0)</f>
        <v>22800</v>
      </c>
      <c r="R37" t="s">
        <v>109</v>
      </c>
      <c r="S37">
        <v>0</v>
      </c>
      <c r="T37">
        <v>0</v>
      </c>
      <c r="U37">
        <v>0</v>
      </c>
      <c r="V37">
        <v>0</v>
      </c>
      <c r="W37">
        <v>0</v>
      </c>
      <c r="AB37" s="6"/>
      <c r="AC37" s="6"/>
      <c r="AD37" s="6"/>
      <c r="AE37" s="6"/>
      <c r="AF37" s="6"/>
      <c r="AG37" s="6"/>
      <c r="AH37" s="6"/>
      <c r="AN37" s="55" t="str" cm="1">
        <f t="array" ref="AN3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38" s="34" cm="1">
        <f t="array" ref="C38">_xlfn.XLOOKUP(1,(TablaMeta[CONCAT]=$M$3&amp;$N$3&amp;D1_MARZO_2026[[#This Row],[SUPER]])*(TablaMeta[SEGG]=D1_MARZO_2026[[#This Row],[SEGMENTO]]),TablaMeta[Meta_Asesor])</f>
        <v>18100</v>
      </c>
      <c r="D38" s="35">
        <f>IF(D1_MARZO_2026[[#This Row],[RECUPERO]]="VACACIONES","VACACIONES",IFERROR(D1_MARZO_2026[[#This Row],[RECUPERO]]/D1_MARZO_2026[[#This Row],[META]],""))</f>
        <v>9.6353591160220992E-2</v>
      </c>
      <c r="E38" s="35" t="str">
        <f>D1_MARZO_2026[[#This Row],[SUPER]]</f>
        <v>LISELY</v>
      </c>
      <c r="F38" t="s">
        <v>549</v>
      </c>
      <c r="G38" s="3">
        <v>1744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0.25438596491228072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5800</v>
      </c>
      <c r="Q38" s="6">
        <f>VLOOKUP(DATA_MARZO_2026[[#This Row],[ASER_]],D1_MARZO_2026[[ASESOR_CRR]:[META]],2,0)</f>
        <v>22800</v>
      </c>
      <c r="R38" t="s">
        <v>49</v>
      </c>
      <c r="S38">
        <v>5800</v>
      </c>
      <c r="T38">
        <v>0</v>
      </c>
      <c r="U38">
        <v>0</v>
      </c>
      <c r="V38">
        <v>0</v>
      </c>
      <c r="W38" s="5"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 cm="1">
        <f t="array" ref="AN3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39" s="34" cm="1">
        <f t="array" ref="C39">_xlfn.XLOOKUP(1,(TablaMeta[CONCAT]=$M$3&amp;$N$3&amp;D1_MARZO_2026[[#This Row],[SUPER]])*(TablaMeta[SEGG]=D1_MARZO_2026[[#This Row],[SEGMENTO]]),TablaMeta[Meta_Asesor])</f>
        <v>18100</v>
      </c>
      <c r="D39" s="35">
        <f>IF(D1_MARZO_2026[[#This Row],[RECUPERO]]="VACACIONES","VACACIONES",IFERROR(D1_MARZO_2026[[#This Row],[RECUPERO]]/D1_MARZO_2026[[#This Row],[META]],""))</f>
        <v>6.7679558011049717E-2</v>
      </c>
      <c r="E39" s="35" t="str">
        <f>D1_MARZO_2026[[#This Row],[SUPER]]</f>
        <v>LISELY</v>
      </c>
      <c r="F39" t="s">
        <v>599</v>
      </c>
      <c r="G39" s="3">
        <v>1225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0.40741228070175439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9289</v>
      </c>
      <c r="Q39" s="6">
        <f>VLOOKUP(DATA_MARZO_2026[[#This Row],[ASER_]],D1_MARZO_2026[[ASESOR_CRR]:[META]],2,0)</f>
        <v>22800</v>
      </c>
      <c r="R39" t="s">
        <v>77</v>
      </c>
      <c r="S39">
        <v>4924</v>
      </c>
      <c r="T39">
        <v>865</v>
      </c>
      <c r="U39">
        <v>3500</v>
      </c>
      <c r="V39">
        <v>0</v>
      </c>
      <c r="W39" s="5">
        <v>220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 cm="1">
        <f t="array" ref="AN3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0" s="34" cm="1">
        <f t="array" ref="C40">_xlfn.XLOOKUP(1,(TablaMeta[CONCAT]=$M$3&amp;$N$3&amp;D1_MARZO_2026[[#This Row],[SUPER]])*(TablaMeta[SEGG]=D1_MARZO_2026[[#This Row],[SEGMENTO]]),TablaMeta[Meta_Asesor])</f>
        <v>18100</v>
      </c>
      <c r="D40" s="35">
        <f>IF(D1_MARZO_2026[[#This Row],[RECUPERO]]="VACACIONES","VACACIONES",IFERROR(D1_MARZO_2026[[#This Row],[RECUPERO]]/D1_MARZO_2026[[#This Row],[META]],""))</f>
        <v>5.5248618784530384E-3</v>
      </c>
      <c r="E40" s="35" t="str">
        <f>D1_MARZO_2026[[#This Row],[SUPER]]</f>
        <v>LISELY</v>
      </c>
      <c r="F40" t="s">
        <v>55</v>
      </c>
      <c r="G40" s="3">
        <v>100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22800</v>
      </c>
      <c r="R40" t="s">
        <v>600</v>
      </c>
      <c r="S40">
        <v>0</v>
      </c>
      <c r="T40">
        <v>0</v>
      </c>
      <c r="U40">
        <v>0</v>
      </c>
      <c r="V40">
        <v>0</v>
      </c>
      <c r="W40" s="5"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 cm="1">
        <f t="array" ref="AN4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41" s="34" cm="1">
        <f t="array" ref="C41">_xlfn.XLOOKUP(1,(TablaMeta[CONCAT]=$M$3&amp;$N$3&amp;D1_MARZO_2026[[#This Row],[SUPER]])*(TablaMeta[SEGG]=D1_MARZO_2026[[#This Row],[SEGMENTO]]),TablaMeta[Meta_Asesor])</f>
        <v>22800</v>
      </c>
      <c r="D41" s="35">
        <f>IF(D1_MARZO_2026[[#This Row],[RECUPERO]]="VACACIONES","VACACIONES",IFERROR(D1_MARZO_2026[[#This Row],[RECUPERO]]/D1_MARZO_2026[[#This Row],[META]],""))</f>
        <v>0.46271929824561403</v>
      </c>
      <c r="E41" s="35" t="str">
        <f>D1_MARZO_2026[[#This Row],[SUPER]]</f>
        <v>LISELY</v>
      </c>
      <c r="F41" t="s">
        <v>48</v>
      </c>
      <c r="G41" s="3">
        <v>10550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DATA_MARZO_2026[[#This Row],[RECUPERO]]/DATA_MARZO_2026[[#This Row],[META]]</f>
        <v>0.46271929824561403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&gt;40%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10550</v>
      </c>
      <c r="Q41" s="6">
        <f>VLOOKUP(DATA_MARZO_2026[[#This Row],[ASER_]],D1_MARZO_2026[[ASESOR_CRR]:[META]],2,0)</f>
        <v>22800</v>
      </c>
      <c r="R41" t="s">
        <v>48</v>
      </c>
      <c r="S41">
        <v>0</v>
      </c>
      <c r="T41">
        <v>0</v>
      </c>
      <c r="U41">
        <v>0</v>
      </c>
      <c r="V41">
        <v>550</v>
      </c>
      <c r="W41" s="5">
        <v>10000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 cm="1">
        <f t="array" ref="AN4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42" s="34" cm="1">
        <f t="array" ref="C42">_xlfn.XLOOKUP(1,(TablaMeta[CONCAT]=$M$3&amp;$N$3&amp;D1_MARZO_2026[[#This Row],[SUPER]])*(TablaMeta[SEGG]=D1_MARZO_2026[[#This Row],[SEGMENTO]]),TablaMeta[Meta_Asesor])</f>
        <v>22800</v>
      </c>
      <c r="D42" s="35">
        <f>IF(D1_MARZO_2026[[#This Row],[RECUPERO]]="VACACIONES","VACACIONES",IFERROR(D1_MARZO_2026[[#This Row],[RECUPERO]]/D1_MARZO_2026[[#This Row],[META]],""))</f>
        <v>0.40741228070175439</v>
      </c>
      <c r="E42" s="35" t="str">
        <f>D1_MARZO_2026[[#This Row],[SUPER]]</f>
        <v>LISELY</v>
      </c>
      <c r="F42" t="s">
        <v>77</v>
      </c>
      <c r="G42" s="3">
        <v>9289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DATA_MARZO_2026[[#This Row],[RECUPERO]]/DATA_MARZO_2026[[#This Row],[META]]</f>
        <v>8.771929824561403E-2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LISELY</v>
      </c>
      <c r="P42" s="6">
        <f>VLOOKUP(DATA_MARZO_2026[[#This Row],[ASER_]],D1_MARZO_2026[[ASESOR_CRR]:[RECUPERO]],6,0)</f>
        <v>2000</v>
      </c>
      <c r="Q42" s="6">
        <f>VLOOKUP(DATA_MARZO_2026[[#This Row],[ASER_]],D1_MARZO_2026[[ASESOR_CRR]:[META]],2,0)</f>
        <v>22800</v>
      </c>
      <c r="R42" t="s">
        <v>78</v>
      </c>
      <c r="S42">
        <v>0</v>
      </c>
      <c r="T42">
        <v>2000</v>
      </c>
      <c r="U42">
        <v>0</v>
      </c>
      <c r="V42">
        <v>0</v>
      </c>
      <c r="W42" s="5"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 cm="1">
        <f t="array" ref="AN4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43" s="34" cm="1">
        <f t="array" ref="C43">_xlfn.XLOOKUP(1,(TablaMeta[CONCAT]=$M$3&amp;$N$3&amp;D1_MARZO_2026[[#This Row],[SUPER]])*(TablaMeta[SEGG]=D1_MARZO_2026[[#This Row],[SEGMENTO]]),TablaMeta[Meta_Asesor])</f>
        <v>22800</v>
      </c>
      <c r="D43" s="35">
        <f>IF(D1_MARZO_2026[[#This Row],[RECUPERO]]="VACACIONES","VACACIONES",IFERROR(D1_MARZO_2026[[#This Row],[RECUPERO]]/D1_MARZO_2026[[#This Row],[META]],""))</f>
        <v>0.25438596491228072</v>
      </c>
      <c r="E43" s="35" t="str">
        <f>D1_MARZO_2026[[#This Row],[SUPER]]</f>
        <v>LISELY</v>
      </c>
      <c r="F43" t="s">
        <v>49</v>
      </c>
      <c r="G43" s="3">
        <v>5800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DATA_MARZO_2026[[#This Row],[RECUPERO]]/DATA_MARZO_2026[[#This Row],[META]]</f>
        <v>9.6353591160220992E-2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LISELY</v>
      </c>
      <c r="P43" s="6">
        <f>VLOOKUP(DATA_MARZO_2026[[#This Row],[ASER_]],D1_MARZO_2026[[ASESOR_CRR]:[RECUPERO]],6,0)</f>
        <v>1744</v>
      </c>
      <c r="Q43" s="6">
        <f>VLOOKUP(DATA_MARZO_2026[[#This Row],[ASER_]],D1_MARZO_2026[[ASESOR_CRR]:[META]],2,0)</f>
        <v>18100</v>
      </c>
      <c r="R43" t="s">
        <v>549</v>
      </c>
      <c r="S43">
        <v>350</v>
      </c>
      <c r="T43">
        <v>660</v>
      </c>
      <c r="U43">
        <v>734</v>
      </c>
      <c r="V43">
        <v>0</v>
      </c>
      <c r="W43" s="5"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 cm="1">
        <f t="array" ref="AN4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44" s="34" cm="1">
        <f t="array" ref="C44">_xlfn.XLOOKUP(1,(TablaMeta[CONCAT]=$M$3&amp;$N$3&amp;D1_MARZO_2026[[#This Row],[SUPER]])*(TablaMeta[SEGG]=D1_MARZO_2026[[#This Row],[SEGMENTO]]),TablaMeta[Meta_Asesor])</f>
        <v>22800</v>
      </c>
      <c r="D44" s="35">
        <f>IF(D1_MARZO_2026[[#This Row],[RECUPERO]]="VACACIONES","VACACIONES",IFERROR(D1_MARZO_2026[[#This Row],[RECUPERO]]/D1_MARZO_2026[[#This Row],[META]],""))</f>
        <v>0.23245614035087719</v>
      </c>
      <c r="E44" s="35" t="str">
        <f>D1_MARZO_2026[[#This Row],[SUPER]]</f>
        <v>LISELY</v>
      </c>
      <c r="F44" t="s">
        <v>495</v>
      </c>
      <c r="G44" s="3">
        <v>5300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6.7679558011049717E-2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LISELY</v>
      </c>
      <c r="P44" s="6">
        <f>VLOOKUP(DATA_MARZO_2026[[#This Row],[ASER_]],D1_MARZO_2026[[ASESOR_CRR]:[RECUPERO]],6,0)</f>
        <v>1225</v>
      </c>
      <c r="Q44" s="6">
        <f>VLOOKUP(DATA_MARZO_2026[[#This Row],[ASER_]],D1_MARZO_2026[[ASESOR_CRR]:[META]],2,0)</f>
        <v>18100</v>
      </c>
      <c r="R44" t="s">
        <v>599</v>
      </c>
      <c r="S44">
        <v>0</v>
      </c>
      <c r="T44">
        <v>0</v>
      </c>
      <c r="U44">
        <v>0</v>
      </c>
      <c r="V44">
        <v>0</v>
      </c>
      <c r="W44" s="5">
        <v>1225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 cm="1">
        <f t="array" ref="AN4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45" s="34" cm="1">
        <f t="array" ref="C45">_xlfn.XLOOKUP(1,(TablaMeta[CONCAT]=$M$3&amp;$N$3&amp;D1_MARZO_2026[[#This Row],[SUPER]])*(TablaMeta[SEGG]=D1_MARZO_2026[[#This Row],[SEGMENTO]]),TablaMeta[Meta_Asesor])</f>
        <v>22800</v>
      </c>
      <c r="D45" s="35">
        <f>IF(D1_MARZO_2026[[#This Row],[RECUPERO]]="VACACIONES","VACACIONES",IFERROR(D1_MARZO_2026[[#This Row],[RECUPERO]]/D1_MARZO_2026[[#This Row],[META]],""))</f>
        <v>8.771929824561403E-2</v>
      </c>
      <c r="E45" s="35" t="str">
        <f>D1_MARZO_2026[[#This Row],[SUPER]]</f>
        <v>LISELY</v>
      </c>
      <c r="F45" t="s">
        <v>78</v>
      </c>
      <c r="G45" s="3">
        <v>2000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0.51110497237569064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IFERROR(VLOOKUP(DATA_MARZO_2026[[#This Row],[ASER_]],$B:$G,4,0),"")</f>
        <v>LISELY</v>
      </c>
      <c r="P45" s="6">
        <f>VLOOKUP(DATA_MARZO_2026[[#This Row],[ASER_]],D1_MARZO_2026[[ASESOR_CRR]:[RECUPERO]],6,0)</f>
        <v>9251</v>
      </c>
      <c r="Q45" s="6">
        <f>VLOOKUP(DATA_MARZO_2026[[#This Row],[ASER_]],D1_MARZO_2026[[ASESOR_CRR]:[META]],2,0)</f>
        <v>18100</v>
      </c>
      <c r="R45" t="s">
        <v>41</v>
      </c>
      <c r="S45">
        <v>0</v>
      </c>
      <c r="T45">
        <v>6900</v>
      </c>
      <c r="U45">
        <v>1500</v>
      </c>
      <c r="V45">
        <v>500</v>
      </c>
      <c r="W45">
        <v>351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 cm="1">
        <f t="array" ref="AN4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46" s="34" cm="1">
        <f t="array" ref="C46">_xlfn.XLOOKUP(1,(TablaMeta[CONCAT]=$M$3&amp;$N$3&amp;D1_MARZO_2026[[#This Row],[SUPER]])*(TablaMeta[SEGG]=D1_MARZO_2026[[#This Row],[SEGMENTO]]),TablaMeta[Meta_Asesor])</f>
        <v>22800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LISELY</v>
      </c>
      <c r="F46" t="s">
        <v>109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0.10580110497237569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LISELY</v>
      </c>
      <c r="P46" s="6">
        <f>VLOOKUP(DATA_MARZO_2026[[#This Row],[ASER_]],D1_MARZO_2026[[ASESOR_CRR]:[RECUPERO]],6,0)</f>
        <v>1915</v>
      </c>
      <c r="Q46" s="6">
        <f>VLOOKUP(DATA_MARZO_2026[[#This Row],[ASER_]],D1_MARZO_2026[[ASESOR_CRR]:[META]],2,0)</f>
        <v>18100</v>
      </c>
      <c r="R46" t="s">
        <v>566</v>
      </c>
      <c r="S46">
        <v>300</v>
      </c>
      <c r="T46">
        <v>0</v>
      </c>
      <c r="U46">
        <v>0</v>
      </c>
      <c r="V46">
        <v>0</v>
      </c>
      <c r="W46">
        <v>1615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 cm="1">
        <f t="array" ref="AN4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47" s="34" cm="1">
        <f t="array" ref="C47">_xlfn.XLOOKUP(1,(TablaMeta[CONCAT]=$M$3&amp;$N$3&amp;D1_MARZO_2026[[#This Row],[SUPER]])*(TablaMeta[SEGG]=D1_MARZO_2026[[#This Row],[SEGMENTO]]),TablaMeta[Meta_Asesor])</f>
        <v>22800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LISELY</v>
      </c>
      <c r="F47" t="s">
        <v>600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5.5248618784530384E-3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LISELY</v>
      </c>
      <c r="P47" s="6">
        <f>VLOOKUP(DATA_MARZO_2026[[#This Row],[ASER_]],D1_MARZO_2026[[ASESOR_CRR]:[RECUPERO]],6,0)</f>
        <v>100</v>
      </c>
      <c r="Q47" s="6">
        <f>VLOOKUP(DATA_MARZO_2026[[#This Row],[ASER_]],D1_MARZO_2026[[ASESOR_CRR]:[META]],2,0)</f>
        <v>18100</v>
      </c>
      <c r="R47" t="s">
        <v>55</v>
      </c>
      <c r="S47">
        <v>0</v>
      </c>
      <c r="T47">
        <v>0</v>
      </c>
      <c r="U47">
        <v>0</v>
      </c>
      <c r="V47">
        <v>0</v>
      </c>
      <c r="W47">
        <v>100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 cm="1">
        <f t="array" ref="AN4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48" s="34" cm="1">
        <f t="array" ref="C48">_xlfn.XLOOKUP(1,(TablaMeta[CONCAT]=$M$3&amp;$N$3&amp;D1_MARZO_2026[[#This Row],[SUPER]])*(TablaMeta[SEGG]=D1_MARZO_2026[[#This Row],[SEGMENTO]]),TablaMeta[Meta_Asesor])</f>
        <v>44700</v>
      </c>
      <c r="D48" s="35">
        <f>IF(D1_MARZO_2026[[#This Row],[RECUPERO]]="VACACIONES","VACACIONES",IFERROR(D1_MARZO_2026[[#This Row],[RECUPERO]]/D1_MARZO_2026[[#This Row],[META]],""))</f>
        <v>0.38002237136465322</v>
      </c>
      <c r="E48" s="35" t="str">
        <f>D1_MARZO_2026[[#This Row],[SUPER]]</f>
        <v>JORGE</v>
      </c>
      <c r="F48" t="s">
        <v>10</v>
      </c>
      <c r="G48" s="3">
        <v>16987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DATA_MARZO_2026[[#This Row],[RECUPERO]]/DATA_MARZO_2026[[#This Row],[META]]</f>
        <v>9.9447513812154692E-2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LISELY</v>
      </c>
      <c r="P48" s="6">
        <f>VLOOKUP(DATA_MARZO_2026[[#This Row],[ASER_]],D1_MARZO_2026[[ASESOR_CRR]:[RECUPERO]],6,0)</f>
        <v>1800</v>
      </c>
      <c r="Q48" s="6">
        <f>VLOOKUP(DATA_MARZO_2026[[#This Row],[ASER_]],D1_MARZO_2026[[ASESOR_CRR]:[META]],2,0)</f>
        <v>18100</v>
      </c>
      <c r="R48" t="s">
        <v>601</v>
      </c>
      <c r="S48">
        <v>0</v>
      </c>
      <c r="T48">
        <v>300</v>
      </c>
      <c r="U48">
        <v>0</v>
      </c>
      <c r="V48">
        <v>0</v>
      </c>
      <c r="W48">
        <v>1500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 cm="1">
        <f t="array" ref="AN4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49" s="34" cm="1">
        <f t="array" ref="C49">_xlfn.XLOOKUP(1,(TablaMeta[CONCAT]=$M$3&amp;$N$3&amp;D1_MARZO_2026[[#This Row],[SUPER]])*(TablaMeta[SEGG]=D1_MARZO_2026[[#This Row],[SEGMENTO]]),TablaMeta[Meta_Asesor])</f>
        <v>44700</v>
      </c>
      <c r="D49" s="35">
        <f>IF(D1_MARZO_2026[[#This Row],[RECUPERO]]="VACACIONES","VACACIONES",IFERROR(D1_MARZO_2026[[#This Row],[RECUPERO]]/D1_MARZO_2026[[#This Row],[META]],""))</f>
        <v>0.2967337807606264</v>
      </c>
      <c r="E49" s="35" t="str">
        <f>D1_MARZO_2026[[#This Row],[SUPER]]</f>
        <v>JORGE</v>
      </c>
      <c r="F49" t="s">
        <v>31</v>
      </c>
      <c r="G49" s="3">
        <v>13264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0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JORGE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44700</v>
      </c>
      <c r="R49" t="s">
        <v>81</v>
      </c>
      <c r="S49">
        <v>0</v>
      </c>
      <c r="T49">
        <v>0</v>
      </c>
      <c r="U49">
        <v>0</v>
      </c>
      <c r="V49">
        <v>0</v>
      </c>
      <c r="W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 cm="1">
        <f t="array" ref="AN49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50" s="34" cm="1">
        <f t="array" ref="C50">_xlfn.XLOOKUP(1,(TablaMeta[CONCAT]=$M$3&amp;$N$3&amp;D1_MARZO_2026[[#This Row],[SUPER]])*(TablaMeta[SEGG]=D1_MARZO_2026[[#This Row],[SEGMENTO]]),TablaMeta[Meta_Asesor])</f>
        <v>44700</v>
      </c>
      <c r="D50" s="35">
        <f>IF(D1_MARZO_2026[[#This Row],[RECUPERO]]="VACACIONES","VACACIONES",IFERROR(D1_MARZO_2026[[#This Row],[RECUPERO]]/D1_MARZO_2026[[#This Row],[META]],""))</f>
        <v>0.15548098434004473</v>
      </c>
      <c r="E50" s="35" t="str">
        <f>D1_MARZO_2026[[#This Row],[SUPER]]</f>
        <v>JORGE</v>
      </c>
      <c r="F50" t="s">
        <v>37</v>
      </c>
      <c r="G50" s="3">
        <v>6950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5.7606263982102911E-2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JORGE</v>
      </c>
      <c r="P50" s="6">
        <f>VLOOKUP(DATA_MARZO_2026[[#This Row],[ASER_]],D1_MARZO_2026[[ASESOR_CRR]:[RECUPERO]],6,0)</f>
        <v>2575</v>
      </c>
      <c r="Q50" s="6">
        <f>VLOOKUP(DATA_MARZO_2026[[#This Row],[ASER_]],D1_MARZO_2026[[ASESOR_CRR]:[META]],2,0)</f>
        <v>44700</v>
      </c>
      <c r="R50" t="s">
        <v>42</v>
      </c>
      <c r="S50">
        <v>400</v>
      </c>
      <c r="T50">
        <v>0</v>
      </c>
      <c r="U50">
        <v>1300</v>
      </c>
      <c r="V50">
        <v>0</v>
      </c>
      <c r="W50">
        <v>875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 cm="1">
        <f t="array" ref="AN50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51" s="34" cm="1">
        <f t="array" ref="C51">_xlfn.XLOOKUP(1,(TablaMeta[CONCAT]=$M$3&amp;$N$3&amp;D1_MARZO_2026[[#This Row],[SUPER]])*(TablaMeta[SEGG]=D1_MARZO_2026[[#This Row],[SEGMENTO]]),TablaMeta[Meta_Asesor])</f>
        <v>44700</v>
      </c>
      <c r="D51" s="35">
        <f>IF(D1_MARZO_2026[[#This Row],[RECUPERO]]="VACACIONES","VACACIONES",IFERROR(D1_MARZO_2026[[#This Row],[RECUPERO]]/D1_MARZO_2026[[#This Row],[META]],""))</f>
        <v>0.15548098434004473</v>
      </c>
      <c r="E51" s="35" t="str">
        <f>D1_MARZO_2026[[#This Row],[SUPER]]</f>
        <v>JORGE</v>
      </c>
      <c r="F51" t="s">
        <v>24</v>
      </c>
      <c r="G51" s="3">
        <v>6950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0.13501118568232662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JORGE</v>
      </c>
      <c r="P51" s="6">
        <f>VLOOKUP(DATA_MARZO_2026[[#This Row],[ASER_]],D1_MARZO_2026[[ASESOR_CRR]:[RECUPERO]],6,0)</f>
        <v>6035</v>
      </c>
      <c r="Q51" s="6">
        <f>VLOOKUP(DATA_MARZO_2026[[#This Row],[ASER_]],D1_MARZO_2026[[ASESOR_CRR]:[META]],2,0)</f>
        <v>44700</v>
      </c>
      <c r="R51" t="s">
        <v>65</v>
      </c>
      <c r="S51">
        <v>1565</v>
      </c>
      <c r="T51">
        <v>0</v>
      </c>
      <c r="U51">
        <v>2785</v>
      </c>
      <c r="V51">
        <v>0</v>
      </c>
      <c r="W51">
        <v>1685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 cm="1">
        <f t="array" ref="AN51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52" s="34" cm="1">
        <f t="array" ref="C52">_xlfn.XLOOKUP(1,(TablaMeta[CONCAT]=$M$3&amp;$N$3&amp;D1_MARZO_2026[[#This Row],[SUPER]])*(TablaMeta[SEGG]=D1_MARZO_2026[[#This Row],[SEGMENTO]]),TablaMeta[Meta_Asesor])</f>
        <v>44700</v>
      </c>
      <c r="D52" s="35">
        <f>IF(D1_MARZO_2026[[#This Row],[RECUPERO]]="VACACIONES","VACACIONES",IFERROR(D1_MARZO_2026[[#This Row],[RECUPERO]]/D1_MARZO_2026[[#This Row],[META]],""))</f>
        <v>0.15019843400447427</v>
      </c>
      <c r="E52" s="35" t="str">
        <f>D1_MARZO_2026[[#This Row],[SUPER]]</f>
        <v>JORGE</v>
      </c>
      <c r="F52" t="s">
        <v>22</v>
      </c>
      <c r="G52" s="3">
        <v>6713.87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0.38002237136465322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JORGE</v>
      </c>
      <c r="P52" s="6">
        <f>VLOOKUP(DATA_MARZO_2026[[#This Row],[ASER_]],D1_MARZO_2026[[ASESOR_CRR]:[RECUPERO]],6,0)</f>
        <v>16987</v>
      </c>
      <c r="Q52" s="6">
        <f>VLOOKUP(DATA_MARZO_2026[[#This Row],[ASER_]],D1_MARZO_2026[[ASESOR_CRR]:[META]],2,0)</f>
        <v>44700</v>
      </c>
      <c r="R52" t="s">
        <v>10</v>
      </c>
      <c r="S52">
        <v>0</v>
      </c>
      <c r="T52">
        <v>0</v>
      </c>
      <c r="U52">
        <v>16987</v>
      </c>
      <c r="V52">
        <v>0</v>
      </c>
      <c r="W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 cm="1">
        <f t="array" ref="AN52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53" s="34" cm="1">
        <f t="array" ref="C53">_xlfn.XLOOKUP(1,(TablaMeta[CONCAT]=$M$3&amp;$N$3&amp;D1_MARZO_2026[[#This Row],[SUPER]])*(TablaMeta[SEGG]=D1_MARZO_2026[[#This Row],[SEGMENTO]]),TablaMeta[Meta_Asesor])</f>
        <v>44700</v>
      </c>
      <c r="D53" s="35">
        <f>IF(D1_MARZO_2026[[#This Row],[RECUPERO]]="VACACIONES","VACACIONES",IFERROR(D1_MARZO_2026[[#This Row],[RECUPERO]]/D1_MARZO_2026[[#This Row],[META]],""))</f>
        <v>0.13501118568232662</v>
      </c>
      <c r="E53" s="35" t="str">
        <f>D1_MARZO_2026[[#This Row],[SUPER]]</f>
        <v>JORGE</v>
      </c>
      <c r="F53" t="s">
        <v>65</v>
      </c>
      <c r="G53" s="3">
        <v>6035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0.15548098434004473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JORGE</v>
      </c>
      <c r="P53" s="6">
        <f>VLOOKUP(DATA_MARZO_2026[[#This Row],[ASER_]],D1_MARZO_2026[[ASESOR_CRR]:[RECUPERO]],6,0)</f>
        <v>6950</v>
      </c>
      <c r="Q53" s="6">
        <f>VLOOKUP(DATA_MARZO_2026[[#This Row],[ASER_]],D1_MARZO_2026[[ASESOR_CRR]:[META]],2,0)</f>
        <v>44700</v>
      </c>
      <c r="R53" t="s">
        <v>37</v>
      </c>
      <c r="S53">
        <v>0</v>
      </c>
      <c r="T53">
        <v>6000</v>
      </c>
      <c r="U53">
        <v>0</v>
      </c>
      <c r="V53">
        <v>950</v>
      </c>
      <c r="W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 cm="1">
        <f t="array" ref="AN53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54" s="34" cm="1">
        <f t="array" ref="C54">_xlfn.XLOOKUP(1,(TablaMeta[CONCAT]=$M$3&amp;$N$3&amp;D1_MARZO_2026[[#This Row],[SUPER]])*(TablaMeta[SEGG]=D1_MARZO_2026[[#This Row],[SEGMENTO]]),TablaMeta[Meta_Asesor])</f>
        <v>44700</v>
      </c>
      <c r="D54" s="35">
        <f>IF(D1_MARZO_2026[[#This Row],[RECUPERO]]="VACACIONES","VACACIONES",IFERROR(D1_MARZO_2026[[#This Row],[RECUPERO]]/D1_MARZO_2026[[#This Row],[META]],""))</f>
        <v>0.11364653243847875</v>
      </c>
      <c r="E54" s="35" t="str">
        <f>D1_MARZO_2026[[#This Row],[SUPER]]</f>
        <v>JORGE</v>
      </c>
      <c r="F54" t="s">
        <v>25</v>
      </c>
      <c r="G54" s="3">
        <v>5080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0.15548098434004473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JORGE</v>
      </c>
      <c r="P54" s="6">
        <f>VLOOKUP(DATA_MARZO_2026[[#This Row],[ASER_]],D1_MARZO_2026[[ASESOR_CRR]:[RECUPERO]],6,0)</f>
        <v>6950</v>
      </c>
      <c r="Q54" s="6">
        <f>VLOOKUP(DATA_MARZO_2026[[#This Row],[ASER_]],D1_MARZO_2026[[ASESOR_CRR]:[META]],2,0)</f>
        <v>44700</v>
      </c>
      <c r="R54" t="s">
        <v>24</v>
      </c>
      <c r="S54">
        <v>0</v>
      </c>
      <c r="T54">
        <v>700</v>
      </c>
      <c r="U54">
        <v>0</v>
      </c>
      <c r="V54">
        <v>6250</v>
      </c>
      <c r="W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 cm="1">
        <f t="array" ref="AN54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55" s="34" cm="1">
        <f t="array" ref="C55">_xlfn.XLOOKUP(1,(TablaMeta[CONCAT]=$M$3&amp;$N$3&amp;D1_MARZO_2026[[#This Row],[SUPER]])*(TablaMeta[SEGG]=D1_MARZO_2026[[#This Row],[SEGMENTO]]),TablaMeta[Meta_Asesor])</f>
        <v>44700</v>
      </c>
      <c r="D55" s="35">
        <f>IF(D1_MARZO_2026[[#This Row],[RECUPERO]]="VACACIONES","VACACIONES",IFERROR(D1_MARZO_2026[[#This Row],[RECUPERO]]/D1_MARZO_2026[[#This Row],[META]],""))</f>
        <v>5.7606263982102911E-2</v>
      </c>
      <c r="E55" s="35" t="str">
        <f>D1_MARZO_2026[[#This Row],[SUPER]]</f>
        <v>JORGE</v>
      </c>
      <c r="F55" t="s">
        <v>42</v>
      </c>
      <c r="G55" s="3">
        <v>2575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3.5794183445190156E-2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JORGE</v>
      </c>
      <c r="P55" s="6">
        <f>VLOOKUP(DATA_MARZO_2026[[#This Row],[ASER_]],D1_MARZO_2026[[ASESOR_CRR]:[RECUPERO]],6,0)</f>
        <v>1600</v>
      </c>
      <c r="Q55" s="6">
        <f>VLOOKUP(DATA_MARZO_2026[[#This Row],[ASER_]],D1_MARZO_2026[[ASESOR_CRR]:[META]],2,0)</f>
        <v>44700</v>
      </c>
      <c r="R55" t="s">
        <v>13</v>
      </c>
      <c r="S55">
        <v>1600</v>
      </c>
      <c r="T55">
        <v>0</v>
      </c>
      <c r="U55">
        <v>0</v>
      </c>
      <c r="V55">
        <v>0</v>
      </c>
      <c r="W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 cm="1">
        <f t="array" ref="AN55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56" s="34" cm="1">
        <f t="array" ref="C56">_xlfn.XLOOKUP(1,(TablaMeta[CONCAT]=$M$3&amp;$N$3&amp;D1_MARZO_2026[[#This Row],[SUPER]])*(TablaMeta[SEGG]=D1_MARZO_2026[[#This Row],[SEGMENTO]]),TablaMeta[Meta_Asesor])</f>
        <v>44700</v>
      </c>
      <c r="D56" s="35">
        <f>IF(D1_MARZO_2026[[#This Row],[RECUPERO]]="VACACIONES","VACACIONES",IFERROR(D1_MARZO_2026[[#This Row],[RECUPERO]]/D1_MARZO_2026[[#This Row],[META]],""))</f>
        <v>3.5794183445190156E-2</v>
      </c>
      <c r="E56" s="35" t="str">
        <f>D1_MARZO_2026[[#This Row],[SUPER]]</f>
        <v>JORGE</v>
      </c>
      <c r="F56" t="s">
        <v>13</v>
      </c>
      <c r="G56" s="3">
        <v>1600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0.11364653243847875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JORGE</v>
      </c>
      <c r="P56" s="6">
        <f>VLOOKUP(DATA_MARZO_2026[[#This Row],[ASER_]],D1_MARZO_2026[[ASESOR_CRR]:[RECUPERO]],6,0)</f>
        <v>5080</v>
      </c>
      <c r="Q56" s="6">
        <f>VLOOKUP(DATA_MARZO_2026[[#This Row],[ASER_]],D1_MARZO_2026[[ASESOR_CRR]:[META]],2,0)</f>
        <v>44700</v>
      </c>
      <c r="R56" t="s">
        <v>25</v>
      </c>
      <c r="S56">
        <v>1100</v>
      </c>
      <c r="T56">
        <v>0</v>
      </c>
      <c r="U56">
        <v>3080</v>
      </c>
      <c r="V56">
        <v>500</v>
      </c>
      <c r="W56">
        <v>400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 cm="1">
        <f t="array" ref="AN56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57" s="34" cm="1">
        <f t="array" ref="C57">_xlfn.XLOOKUP(1,(TablaMeta[CONCAT]=$M$3&amp;$N$3&amp;D1_MARZO_2026[[#This Row],[SUPER]])*(TablaMeta[SEGG]=D1_MARZO_2026[[#This Row],[SEGMENTO]]),TablaMeta[Meta_Asesor])</f>
        <v>44700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JORGE</v>
      </c>
      <c r="F57" t="s">
        <v>81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0.15019843400447427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JORGE</v>
      </c>
      <c r="P57" s="6">
        <f>VLOOKUP(DATA_MARZO_2026[[#This Row],[ASER_]],D1_MARZO_2026[[ASESOR_CRR]:[RECUPERO]],6,0)</f>
        <v>6713.87</v>
      </c>
      <c r="Q57" s="6">
        <f>VLOOKUP(DATA_MARZO_2026[[#This Row],[ASER_]],D1_MARZO_2026[[ASESOR_CRR]:[META]],2,0)</f>
        <v>44700</v>
      </c>
      <c r="R57" t="s">
        <v>22</v>
      </c>
      <c r="S57">
        <v>2000</v>
      </c>
      <c r="T57">
        <v>0</v>
      </c>
      <c r="U57">
        <v>0</v>
      </c>
      <c r="V57">
        <v>0</v>
      </c>
      <c r="W57">
        <v>4713.87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 cm="1">
        <f t="array" ref="AN57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0" x14ac:dyDescent="0.25">
      <c r="H58"/>
      <c r="M58" s="5">
        <f>DATA_MARZO_2026[[#This Row],[RECUPERO]]/DATA_MARZO_2026[[#This Row],[META]]</f>
        <v>0.2967337807606264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JORGE</v>
      </c>
      <c r="P58" s="6">
        <f>VLOOKUP(DATA_MARZO_2026[[#This Row],[ASER_]],D1_MARZO_2026[[ASESOR_CRR]:[RECUPERO]],6,0)</f>
        <v>13264</v>
      </c>
      <c r="Q58" s="6">
        <f>VLOOKUP(DATA_MARZO_2026[[#This Row],[ASER_]],D1_MARZO_2026[[ASESOR_CRR]:[META]],2,0)</f>
        <v>44700</v>
      </c>
      <c r="R58" t="s">
        <v>31</v>
      </c>
      <c r="S58">
        <v>0</v>
      </c>
      <c r="T58">
        <v>2000</v>
      </c>
      <c r="U58">
        <v>11264</v>
      </c>
      <c r="V58">
        <v>0</v>
      </c>
      <c r="W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 cm="1">
        <f t="array" ref="AN58">IFERROR(VLOOKUP(DATA_MARZO_2026[[#This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631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632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92" zoomScale="85" zoomScaleNormal="85" workbookViewId="0">
      <selection activeCell="F210" sqref="F21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2026-05-11T12:44:08Z</dcterms:modified>
</cp:coreProperties>
</file>