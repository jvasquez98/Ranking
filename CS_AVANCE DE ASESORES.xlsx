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42BDD6E-4EB5-4B06-80EB-8B2E6E64502C}" xr6:coauthVersionLast="47" xr6:coauthVersionMax="47" xr10:uidLastSave="{00000000-0000-0000-0000-000000000000}"/>
  <bookViews>
    <workbookView xWindow="-120" yWindow="-120" windowWidth="20730" windowHeight="11040" firstSheet="10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externalReferences>
    <externalReference r:id="rId18"/>
  </externalReference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P11" i="13"/>
  <c r="M11" i="13" s="1"/>
  <c r="N11" i="13" s="1" a="1"/>
  <c r="N11" i="13" s="1"/>
  <c r="P12" i="13"/>
  <c r="M12" i="13" s="1"/>
  <c r="N12" i="13" s="1" a="1"/>
  <c r="N12" i="13" s="1"/>
  <c r="P13" i="13"/>
  <c r="P14" i="13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P20" i="13"/>
  <c r="P21" i="13"/>
  <c r="M21" i="13" s="1"/>
  <c r="N21" i="13" s="1" a="1"/>
  <c r="N21" i="13" s="1"/>
  <c r="P22" i="13"/>
  <c r="P23" i="13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P35" i="13"/>
  <c r="P36" i="13"/>
  <c r="M36" i="13" s="1"/>
  <c r="N36" i="13" s="1" a="1"/>
  <c r="N36" i="13" s="1"/>
  <c r="P37" i="13"/>
  <c r="P38" i="13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P47" i="13"/>
  <c r="P48" i="13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P59" i="13"/>
  <c r="P60" i="13"/>
  <c r="P61" i="13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P71" i="13"/>
  <c r="P72" i="13"/>
  <c r="M72" i="13" s="1"/>
  <c r="N72" i="13" s="1" a="1"/>
  <c r="N72" i="13" s="1"/>
  <c r="P73" i="13"/>
  <c r="M73" i="13" s="1"/>
  <c r="N73" i="13" s="1" a="1"/>
  <c r="N73" i="13" s="1"/>
  <c r="P74" i="13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14" i="13"/>
  <c r="N14" i="13" s="1" a="1"/>
  <c r="N14" i="13" s="1"/>
  <c r="M15" i="13"/>
  <c r="N15" i="13" s="1" a="1"/>
  <c r="N15" i="13" s="1"/>
  <c r="M17" i="13"/>
  <c r="N17" i="13" s="1" a="1"/>
  <c r="N17" i="13" s="1"/>
  <c r="M19" i="13"/>
  <c r="N19" i="13" s="1" a="1"/>
  <c r="N19" i="13" s="1"/>
  <c r="M20" i="13"/>
  <c r="N20" i="13" s="1" a="1"/>
  <c r="N20" i="13" s="1"/>
  <c r="M23" i="13"/>
  <c r="N23" i="13" s="1" a="1"/>
  <c r="N23" i="13" s="1"/>
  <c r="B78" i="13"/>
  <c r="B79" i="13"/>
  <c r="A78" i="13"/>
  <c r="C78" i="13" s="1"/>
  <c r="D78" i="13" s="1"/>
  <c r="A79" i="13"/>
  <c r="C79" i="13" s="1"/>
  <c r="D79" i="13" s="1"/>
  <c r="M74" i="13"/>
  <c r="N74" i="13" s="1" a="1"/>
  <c r="N74" i="13" s="1"/>
  <c r="B76" i="13"/>
  <c r="B77" i="13"/>
  <c r="A77" i="13"/>
  <c r="C77" i="13"/>
  <c r="M60" i="13"/>
  <c r="N60" i="13" s="1" a="1"/>
  <c r="N60" i="13" s="1"/>
  <c r="A76" i="13"/>
  <c r="C76" i="13" s="1"/>
  <c r="D76" i="13" s="1"/>
  <c r="M47" i="13"/>
  <c r="N47" i="13" s="1" a="1"/>
  <c r="N47" i="13" s="1"/>
  <c r="B75" i="13"/>
  <c r="C75" i="13"/>
  <c r="D75" i="13" s="1"/>
  <c r="M13" i="13"/>
  <c r="N13" i="13" s="1" a="1"/>
  <c r="N13" i="13" s="1"/>
  <c r="M59" i="13"/>
  <c r="N59" i="13" s="1" a="1"/>
  <c r="N59" i="13" s="1"/>
  <c r="M70" i="13"/>
  <c r="N70" i="13" s="1" a="1"/>
  <c r="N70" i="13" s="1"/>
  <c r="M49" i="13"/>
  <c r="N49" i="13" s="1" a="1"/>
  <c r="N49" i="13" s="1"/>
  <c r="M58" i="13"/>
  <c r="N58" i="13" s="1" a="1"/>
  <c r="N58" i="13" s="1"/>
  <c r="M71" i="13"/>
  <c r="N71" i="13" s="1" a="1"/>
  <c r="N71" i="13" s="1"/>
  <c r="M22" i="13"/>
  <c r="N22" i="13" s="1" a="1"/>
  <c r="N22" i="13" s="1"/>
  <c r="M35" i="13"/>
  <c r="N35" i="13" s="1" a="1"/>
  <c r="N35" i="13" s="1"/>
  <c r="M37" i="13"/>
  <c r="N37" i="13" s="1" a="1"/>
  <c r="N37" i="13" s="1"/>
  <c r="M46" i="13"/>
  <c r="N46" i="13" s="1" a="1"/>
  <c r="N46" i="13" s="1"/>
  <c r="M61" i="13"/>
  <c r="N61" i="13" s="1" a="1"/>
  <c r="N61" i="13" s="1"/>
  <c r="M10" i="13"/>
  <c r="N10" i="13" s="1" a="1"/>
  <c r="N10" i="13" s="1"/>
  <c r="M34" i="13"/>
  <c r="N34" i="13" s="1" a="1"/>
  <c r="N34" i="13" s="1"/>
  <c r="M38" i="13"/>
  <c r="N38" i="13" s="1" a="1"/>
  <c r="N38" i="13" s="1"/>
  <c r="M82" i="13"/>
  <c r="N82" i="13" s="1" a="1"/>
  <c r="N82" i="13" s="1"/>
  <c r="M9" i="13"/>
  <c r="N9" i="13" s="1" a="1"/>
  <c r="N9" i="13" s="1"/>
  <c r="M48" i="13"/>
  <c r="N48" i="13" s="1" a="1"/>
  <c r="N48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Z15" i="18" s="1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G105" i="28"/>
  <c r="F105" i="28"/>
  <c r="G104" i="28"/>
  <c r="F104" i="28"/>
  <c r="G103" i="28"/>
  <c r="F103" i="28"/>
  <c r="G102" i="28"/>
  <c r="F102" i="28"/>
  <c r="G101" i="28"/>
  <c r="F101" i="28"/>
  <c r="G100" i="28"/>
  <c r="F100" i="28"/>
  <c r="G99" i="28"/>
  <c r="F99" i="28"/>
  <c r="G98" i="28"/>
  <c r="F98" i="28"/>
  <c r="G97" i="28"/>
  <c r="F97" i="28"/>
  <c r="G96" i="28"/>
  <c r="F96" i="28"/>
  <c r="G95" i="28"/>
  <c r="F95" i="28"/>
  <c r="G94" i="28"/>
  <c r="F94" i="28"/>
  <c r="G93" i="28"/>
  <c r="F93" i="28"/>
  <c r="G92" i="28"/>
  <c r="F92" i="28"/>
  <c r="G91" i="28"/>
  <c r="F91" i="28"/>
  <c r="G90" i="28"/>
  <c r="F90" i="28"/>
  <c r="G89" i="28"/>
  <c r="F89" i="28"/>
  <c r="G88" i="28"/>
  <c r="F88" i="28"/>
  <c r="G87" i="28"/>
  <c r="F87" i="28"/>
  <c r="G86" i="28"/>
  <c r="F86" i="28"/>
  <c r="G85" i="28"/>
  <c r="F85" i="28"/>
  <c r="G84" i="28"/>
  <c r="F84" i="28"/>
  <c r="G83" i="28"/>
  <c r="F83" i="28"/>
  <c r="G82" i="28"/>
  <c r="F82" i="28"/>
  <c r="G81" i="28"/>
  <c r="F81" i="28"/>
  <c r="G80" i="28"/>
  <c r="F80" i="28"/>
  <c r="G79" i="28"/>
  <c r="F79" i="28"/>
  <c r="G78" i="28"/>
  <c r="F78" i="28"/>
  <c r="G77" i="28"/>
  <c r="F77" i="28"/>
  <c r="G76" i="28"/>
  <c r="F76" i="28"/>
  <c r="G75" i="28"/>
  <c r="F75" i="28"/>
  <c r="G74" i="28"/>
  <c r="F74" i="28"/>
  <c r="G73" i="28"/>
  <c r="F73" i="28"/>
  <c r="G72" i="28"/>
  <c r="F72" i="28"/>
  <c r="G71" i="28"/>
  <c r="F71" i="28"/>
  <c r="G70" i="28"/>
  <c r="F70" i="28"/>
  <c r="G69" i="28"/>
  <c r="F69" i="28"/>
  <c r="G68" i="28"/>
  <c r="F68" i="28"/>
  <c r="G67" i="28"/>
  <c r="F67" i="28"/>
  <c r="G66" i="28"/>
  <c r="F66" i="28"/>
  <c r="G65" i="28"/>
  <c r="F65" i="28"/>
  <c r="G64" i="28"/>
  <c r="F64" i="28"/>
  <c r="G63" i="28"/>
  <c r="F63" i="28"/>
  <c r="G62" i="28"/>
  <c r="F62" i="28"/>
  <c r="G61" i="28"/>
  <c r="F61" i="28"/>
  <c r="G60" i="28"/>
  <c r="F60" i="28"/>
  <c r="G59" i="28"/>
  <c r="F59" i="28"/>
  <c r="G58" i="28"/>
  <c r="F58" i="28"/>
  <c r="G57" i="28"/>
  <c r="F57" i="28"/>
  <c r="G56" i="28"/>
  <c r="F56" i="28"/>
  <c r="G55" i="28"/>
  <c r="F55" i="28"/>
  <c r="G54" i="28"/>
  <c r="F54" i="28"/>
  <c r="G53" i="28"/>
  <c r="F53" i="28"/>
  <c r="G52" i="28"/>
  <c r="F52" i="28"/>
  <c r="G51" i="28"/>
  <c r="F51" i="28"/>
  <c r="G50" i="28"/>
  <c r="F50" i="28"/>
  <c r="G49" i="28"/>
  <c r="F49" i="28"/>
  <c r="G48" i="28"/>
  <c r="F48" i="28"/>
  <c r="G47" i="28"/>
  <c r="F47" i="28"/>
  <c r="G46" i="28"/>
  <c r="F46" i="28"/>
  <c r="G45" i="28"/>
  <c r="F45" i="28"/>
  <c r="G44" i="28"/>
  <c r="F44" i="28"/>
  <c r="G43" i="28"/>
  <c r="F43" i="28"/>
  <c r="G42" i="28"/>
  <c r="F42" i="28"/>
  <c r="G41" i="28"/>
  <c r="F41" i="28"/>
  <c r="G40" i="28"/>
  <c r="F40" i="28"/>
  <c r="G39" i="28"/>
  <c r="F39" i="28"/>
  <c r="G38" i="28"/>
  <c r="F38" i="28"/>
  <c r="G37" i="28"/>
  <c r="F37" i="28"/>
  <c r="G36" i="28"/>
  <c r="F36" i="28"/>
  <c r="G35" i="28"/>
  <c r="F35" i="28"/>
  <c r="G34" i="28"/>
  <c r="F34" i="28"/>
  <c r="G33" i="28"/>
  <c r="F33" i="28"/>
  <c r="G32" i="28"/>
  <c r="F32" i="28"/>
  <c r="G31" i="28"/>
  <c r="F31" i="28"/>
  <c r="G30" i="28"/>
  <c r="F30" i="28"/>
  <c r="G29" i="28"/>
  <c r="F29" i="28"/>
  <c r="G28" i="28"/>
  <c r="F28" i="28"/>
  <c r="G27" i="28"/>
  <c r="F27" i="28"/>
  <c r="G26" i="28"/>
  <c r="F26" i="28"/>
  <c r="G25" i="28"/>
  <c r="F25" i="28"/>
  <c r="G24" i="28"/>
  <c r="F24" i="28"/>
  <c r="G23" i="28"/>
  <c r="F23" i="28"/>
  <c r="G22" i="28"/>
  <c r="F22" i="28"/>
  <c r="G21" i="28"/>
  <c r="F21" i="28"/>
  <c r="G20" i="28"/>
  <c r="F20" i="28"/>
  <c r="G19" i="28"/>
  <c r="F19" i="28"/>
  <c r="G18" i="28"/>
  <c r="F18" i="28"/>
  <c r="G17" i="28"/>
  <c r="F17" i="28"/>
  <c r="G16" i="28"/>
  <c r="F16" i="28"/>
  <c r="G15" i="28"/>
  <c r="F15" i="28"/>
  <c r="G14" i="28"/>
  <c r="F14" i="28"/>
  <c r="G13" i="28"/>
  <c r="F13" i="28"/>
  <c r="G12" i="28"/>
  <c r="F12" i="28"/>
  <c r="G11" i="28"/>
  <c r="F11" i="28"/>
  <c r="G10" i="28"/>
  <c r="F10" i="28"/>
  <c r="G9" i="28"/>
  <c r="F9" i="28"/>
  <c r="G8" i="28"/>
  <c r="F8" i="28"/>
  <c r="G7" i="28"/>
  <c r="F7" i="28"/>
  <c r="G6" i="28"/>
  <c r="F6" i="28"/>
  <c r="G5" i="28"/>
  <c r="F5" i="28"/>
  <c r="G4" i="28"/>
  <c r="F4" i="28"/>
  <c r="G3" i="28"/>
  <c r="F3" i="28"/>
  <c r="G2" i="28"/>
  <c r="F2" i="28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6" i="17" l="1"/>
  <c r="D6" i="17" s="1"/>
  <c r="D55" i="17"/>
  <c r="AZ11" i="18"/>
  <c r="BB11" i="18" s="1"/>
  <c r="AQ11" i="17"/>
  <c r="CI13" i="18"/>
  <c r="AQ9" i="17"/>
  <c r="BQ11" i="17"/>
  <c r="AR11" i="17" s="1"/>
  <c r="AS11" i="17" s="1"/>
  <c r="AZ16" i="18"/>
  <c r="D41" i="17"/>
  <c r="BQ13" i="17"/>
  <c r="AR13" i="17" s="1"/>
  <c r="AS13" i="17" s="1"/>
  <c r="CI11" i="18"/>
  <c r="AZ14" i="18"/>
  <c r="BB14" i="18" s="1"/>
  <c r="BQ12" i="17"/>
  <c r="AR12" i="17" s="1"/>
  <c r="CI10" i="18"/>
  <c r="BB15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BQ10" i="17"/>
  <c r="AR10" i="17" s="1"/>
  <c r="D48" i="17"/>
  <c r="D9" i="17"/>
  <c r="M50" i="17" s="1"/>
  <c r="N50" i="17" s="1" a="1"/>
  <c r="N50" i="17" s="1"/>
  <c r="BB16" i="18"/>
  <c r="AQ13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M46" i="17" s="1"/>
  <c r="N46" i="17" s="1" a="1"/>
  <c r="N46" i="17" s="1"/>
  <c r="E55" i="17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O22" i="17" s="1"/>
  <c r="E42" i="17"/>
  <c r="O55" i="17" s="1"/>
  <c r="C11" i="17"/>
  <c r="C9" i="17"/>
  <c r="Q50" i="17" s="1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O9" i="17" s="1"/>
  <c r="AO9" i="17" s="1"/>
  <c r="I24" i="17"/>
  <c r="H24" i="17"/>
  <c r="A24" i="17"/>
  <c r="J24" i="17"/>
  <c r="E24" i="17"/>
  <c r="O11" i="17" s="1"/>
  <c r="AO11" i="17" s="1"/>
  <c r="I10" i="17"/>
  <c r="J10" i="17"/>
  <c r="H10" i="17"/>
  <c r="E10" i="17"/>
  <c r="O24" i="17" s="1"/>
  <c r="A10" i="17"/>
  <c r="J13" i="17"/>
  <c r="I13" i="17"/>
  <c r="H13" i="17"/>
  <c r="E13" i="17"/>
  <c r="O18" i="17" s="1"/>
  <c r="A13" i="17"/>
  <c r="J30" i="17"/>
  <c r="E30" i="17"/>
  <c r="O21" i="17" s="1"/>
  <c r="A30" i="17"/>
  <c r="I30" i="17"/>
  <c r="H30" i="17"/>
  <c r="J33" i="17"/>
  <c r="I33" i="17"/>
  <c r="H33" i="17"/>
  <c r="E33" i="17"/>
  <c r="O33" i="17" s="1"/>
  <c r="A33" i="17"/>
  <c r="A35" i="17"/>
  <c r="J35" i="17"/>
  <c r="I35" i="17"/>
  <c r="E35" i="17"/>
  <c r="D2" i="29" s="1"/>
  <c r="H35" i="17"/>
  <c r="J43" i="17"/>
  <c r="I43" i="17"/>
  <c r="E43" i="17"/>
  <c r="D18" i="29" s="1"/>
  <c r="A43" i="17"/>
  <c r="H43" i="17"/>
  <c r="J51" i="17"/>
  <c r="I51" i="17"/>
  <c r="H51" i="17"/>
  <c r="A51" i="17"/>
  <c r="E51" i="17"/>
  <c r="O44" i="17" s="1"/>
  <c r="AO44" i="17" s="1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D28" i="29" s="1"/>
  <c r="E32" i="17"/>
  <c r="O36" i="17" s="1"/>
  <c r="J32" i="17"/>
  <c r="I32" i="17"/>
  <c r="H32" i="17"/>
  <c r="A32" i="17"/>
  <c r="J37" i="17"/>
  <c r="I37" i="17"/>
  <c r="H37" i="17"/>
  <c r="E37" i="17"/>
  <c r="O57" i="17" s="1"/>
  <c r="A37" i="17"/>
  <c r="J8" i="17"/>
  <c r="I8" i="17"/>
  <c r="H8" i="17"/>
  <c r="E8" i="17"/>
  <c r="O26" i="17" s="1"/>
  <c r="AO26" i="17" s="1"/>
  <c r="A8" i="17"/>
  <c r="J40" i="17"/>
  <c r="I40" i="17"/>
  <c r="H40" i="17"/>
  <c r="E40" i="17"/>
  <c r="A40" i="17"/>
  <c r="J45" i="17"/>
  <c r="I45" i="17"/>
  <c r="H45" i="17"/>
  <c r="E45" i="17"/>
  <c r="A45" i="17"/>
  <c r="H53" i="17"/>
  <c r="E53" i="17"/>
  <c r="O37" i="17" s="1"/>
  <c r="J53" i="17"/>
  <c r="I53" i="17"/>
  <c r="A53" i="17"/>
  <c r="A28" i="17"/>
  <c r="J28" i="17"/>
  <c r="I28" i="17"/>
  <c r="H28" i="17"/>
  <c r="E28" i="17"/>
  <c r="I31" i="17"/>
  <c r="H31" i="17"/>
  <c r="J31" i="17"/>
  <c r="E31" i="17"/>
  <c r="A31" i="17"/>
  <c r="A36" i="17"/>
  <c r="J36" i="17"/>
  <c r="I36" i="17"/>
  <c r="H36" i="17"/>
  <c r="E36" i="17"/>
  <c r="O51" i="17" s="1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O39" i="17" s="1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O25" i="17" s="1"/>
  <c r="I16" i="17"/>
  <c r="A16" i="17"/>
  <c r="E17" i="17"/>
  <c r="O10" i="17" s="1"/>
  <c r="AO10" i="17" s="1"/>
  <c r="E38" i="17"/>
  <c r="I46" i="17"/>
  <c r="A49" i="17"/>
  <c r="J49" i="17"/>
  <c r="I49" i="17"/>
  <c r="H49" i="17"/>
  <c r="E50" i="17"/>
  <c r="O48" i="17" s="1"/>
  <c r="E12" i="17"/>
  <c r="O46" i="17" s="1"/>
  <c r="I17" i="17"/>
  <c r="E27" i="17"/>
  <c r="O29" i="17" s="1"/>
  <c r="AO29" i="17" s="1"/>
  <c r="H12" i="17"/>
  <c r="J17" i="17"/>
  <c r="H27" i="17"/>
  <c r="E41" i="17"/>
  <c r="J48" i="17"/>
  <c r="I48" i="17"/>
  <c r="E6" i="17"/>
  <c r="I12" i="17"/>
  <c r="E16" i="17"/>
  <c r="E26" i="17"/>
  <c r="O35" i="17" s="1"/>
  <c r="AO35" i="17" s="1"/>
  <c r="I27" i="17"/>
  <c r="H41" i="17"/>
  <c r="E49" i="17"/>
  <c r="D29" i="29" s="1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E4" i="29"/>
  <c r="O50" i="17"/>
  <c r="AO50" i="17" s="1"/>
  <c r="O43" i="17"/>
  <c r="H3" i="17"/>
  <c r="E18" i="29"/>
  <c r="O54" i="17"/>
  <c r="O47" i="17"/>
  <c r="AO47" i="17" s="1"/>
  <c r="E3" i="17"/>
  <c r="E27" i="29"/>
  <c r="E13" i="29"/>
  <c r="E3" i="29"/>
  <c r="O58" i="17"/>
  <c r="AO58" i="17" s="1"/>
  <c r="E22" i="29"/>
  <c r="E31" i="29"/>
  <c r="E17" i="29"/>
  <c r="E7" i="29"/>
  <c r="D31" i="29"/>
  <c r="E26" i="29"/>
  <c r="E2" i="29"/>
  <c r="H14" i="17"/>
  <c r="I15" i="17"/>
  <c r="E18" i="17"/>
  <c r="O14" i="17" s="1"/>
  <c r="AO14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D20" i="29" l="1"/>
  <c r="O34" i="17"/>
  <c r="O28" i="17"/>
  <c r="D7" i="29"/>
  <c r="D24" i="29"/>
  <c r="O38" i="17"/>
  <c r="AO38" i="17" s="1"/>
  <c r="O32" i="17"/>
  <c r="AO32" i="17" s="1"/>
  <c r="D13" i="29"/>
  <c r="D17" i="29"/>
  <c r="D6" i="29"/>
  <c r="D23" i="29"/>
  <c r="D4" i="29"/>
  <c r="D5" i="29"/>
  <c r="O40" i="17"/>
  <c r="D22" i="29"/>
  <c r="O27" i="17"/>
  <c r="P27" i="17" s="1"/>
  <c r="D25" i="29"/>
  <c r="D11" i="29"/>
  <c r="D16" i="29"/>
  <c r="O30" i="17"/>
  <c r="AO30" i="17" s="1"/>
  <c r="O59" i="17"/>
  <c r="P59" i="17" s="1"/>
  <c r="O52" i="17"/>
  <c r="P52" i="17" s="1"/>
  <c r="O31" i="17"/>
  <c r="AO31" i="17" s="1"/>
  <c r="O56" i="17"/>
  <c r="AO56" i="17" s="1"/>
  <c r="O19" i="17"/>
  <c r="O23" i="17"/>
  <c r="AO23" i="17" s="1"/>
  <c r="D30" i="29"/>
  <c r="D15" i="29"/>
  <c r="O13" i="17"/>
  <c r="P13" i="17" s="1"/>
  <c r="D14" i="29"/>
  <c r="D12" i="29"/>
  <c r="D27" i="29"/>
  <c r="D9" i="29"/>
  <c r="D10" i="29"/>
  <c r="AS12" i="17"/>
  <c r="AS9" i="17"/>
  <c r="AS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M59" i="17" s="1"/>
  <c r="N59" i="17" s="1" a="1"/>
  <c r="N59" i="17" s="1"/>
  <c r="C54" i="17"/>
  <c r="Q59" i="17" s="1"/>
  <c r="D53" i="17"/>
  <c r="C53" i="17"/>
  <c r="O16" i="17"/>
  <c r="P16" i="17" s="1"/>
  <c r="D51" i="17"/>
  <c r="M44" i="17" s="1"/>
  <c r="N44" i="17" s="1" a="1"/>
  <c r="N44" i="17" s="1"/>
  <c r="C51" i="17"/>
  <c r="D49" i="17"/>
  <c r="C49" i="17"/>
  <c r="D52" i="17"/>
  <c r="C52" i="17"/>
  <c r="O15" i="17"/>
  <c r="P15" i="17" s="1"/>
  <c r="D19" i="29"/>
  <c r="O41" i="17"/>
  <c r="AO41" i="17" s="1"/>
  <c r="O42" i="17"/>
  <c r="P42" i="17" s="1"/>
  <c r="D44" i="17"/>
  <c r="M16" i="17" s="1"/>
  <c r="N16" i="17" s="1" a="1"/>
  <c r="N16" i="17" s="1"/>
  <c r="C44" i="17"/>
  <c r="Q16" i="17" s="1"/>
  <c r="D47" i="17"/>
  <c r="M13" i="17" s="1"/>
  <c r="N13" i="17" s="1" a="1"/>
  <c r="N13" i="17" s="1"/>
  <c r="C47" i="17"/>
  <c r="Q13" i="17" s="1"/>
  <c r="D40" i="17"/>
  <c r="C40" i="17"/>
  <c r="C12" i="17"/>
  <c r="Q46" i="17" s="1"/>
  <c r="D42" i="17"/>
  <c r="C42" i="17"/>
  <c r="D39" i="17"/>
  <c r="M53" i="17" s="1"/>
  <c r="N53" i="17" s="1" a="1"/>
  <c r="N53" i="17" s="1"/>
  <c r="C39" i="17"/>
  <c r="Q53" i="17" s="1"/>
  <c r="D45" i="17"/>
  <c r="M11" i="17" s="1"/>
  <c r="N11" i="17" s="1" a="1"/>
  <c r="N11" i="17" s="1"/>
  <c r="C45" i="17"/>
  <c r="P29" i="17"/>
  <c r="D43" i="17"/>
  <c r="M12" i="17" s="1"/>
  <c r="N12" i="17" s="1" a="1"/>
  <c r="N12" i="17" s="1"/>
  <c r="C43" i="17"/>
  <c r="Q12" i="17" s="1"/>
  <c r="D46" i="17"/>
  <c r="C46" i="17"/>
  <c r="P14" i="17"/>
  <c r="C14" i="17"/>
  <c r="D37" i="17"/>
  <c r="C37" i="17"/>
  <c r="D27" i="17"/>
  <c r="M20" i="17" s="1"/>
  <c r="N20" i="17" s="1" a="1"/>
  <c r="N20" i="17" s="1"/>
  <c r="C27" i="17"/>
  <c r="Q20" i="17" s="1"/>
  <c r="D28" i="17"/>
  <c r="M27" i="17" s="1"/>
  <c r="N27" i="17" s="1" a="1"/>
  <c r="N27" i="17" s="1"/>
  <c r="C28" i="17"/>
  <c r="Q27" i="17" s="1"/>
  <c r="D25" i="17"/>
  <c r="M23" i="17" s="1"/>
  <c r="N23" i="17" s="1" a="1"/>
  <c r="N23" i="17" s="1"/>
  <c r="C25" i="17"/>
  <c r="Q23" i="17" s="1"/>
  <c r="D30" i="17"/>
  <c r="M21" i="17" s="1"/>
  <c r="N21" i="17" s="1" a="1"/>
  <c r="N21" i="17" s="1"/>
  <c r="C30" i="17"/>
  <c r="D26" i="17"/>
  <c r="C26" i="17"/>
  <c r="D34" i="17"/>
  <c r="C34" i="17"/>
  <c r="D33" i="17"/>
  <c r="M25" i="17" s="1"/>
  <c r="N25" i="17" s="1" a="1"/>
  <c r="N25" i="17" s="1"/>
  <c r="C33" i="17"/>
  <c r="Q25" i="17" s="1"/>
  <c r="D29" i="17"/>
  <c r="M22" i="17" s="1"/>
  <c r="N22" i="17" s="1" a="1"/>
  <c r="N22" i="17" s="1"/>
  <c r="C29" i="17"/>
  <c r="Q22" i="17" s="1"/>
  <c r="D38" i="17"/>
  <c r="M31" i="17" s="1"/>
  <c r="N31" i="17" s="1" a="1"/>
  <c r="N31" i="17" s="1"/>
  <c r="C38" i="17"/>
  <c r="Q31" i="17" s="1"/>
  <c r="D36" i="17"/>
  <c r="C36" i="17"/>
  <c r="D32" i="17"/>
  <c r="C32" i="17"/>
  <c r="D31" i="17"/>
  <c r="C31" i="17"/>
  <c r="P58" i="17"/>
  <c r="D35" i="17"/>
  <c r="C35" i="17"/>
  <c r="D15" i="17"/>
  <c r="M37" i="17" s="1"/>
  <c r="N37" i="17" s="1" a="1"/>
  <c r="N37" i="17" s="1"/>
  <c r="C15" i="17"/>
  <c r="Q37" i="17" s="1"/>
  <c r="P53" i="17"/>
  <c r="D23" i="17"/>
  <c r="C23" i="17"/>
  <c r="D24" i="17"/>
  <c r="C24" i="17"/>
  <c r="D20" i="17"/>
  <c r="C20" i="17"/>
  <c r="D22" i="17"/>
  <c r="C22" i="17"/>
  <c r="Q40" i="17" s="1"/>
  <c r="D18" i="17"/>
  <c r="M38" i="17" s="1"/>
  <c r="N38" i="17" s="1" a="1"/>
  <c r="N38" i="17" s="1"/>
  <c r="C18" i="17"/>
  <c r="Q38" i="17" s="1"/>
  <c r="D19" i="17"/>
  <c r="M41" i="17" s="1"/>
  <c r="N41" i="17" s="1" a="1"/>
  <c r="N41" i="17" s="1"/>
  <c r="C19" i="17"/>
  <c r="Q41" i="17" s="1"/>
  <c r="D21" i="17"/>
  <c r="M32" i="17" s="1"/>
  <c r="N32" i="17" s="1" a="1"/>
  <c r="N32" i="17" s="1"/>
  <c r="C21" i="17"/>
  <c r="Q32" i="17" s="1"/>
  <c r="D16" i="17"/>
  <c r="C16" i="17"/>
  <c r="D17" i="17"/>
  <c r="M36" i="17" s="1"/>
  <c r="N36" i="17" s="1" a="1"/>
  <c r="N36" i="17" s="1"/>
  <c r="C17" i="17"/>
  <c r="Q36" i="17" s="1"/>
  <c r="P50" i="17"/>
  <c r="P38" i="17"/>
  <c r="D8" i="17"/>
  <c r="M47" i="17" s="1"/>
  <c r="N47" i="17" s="1" a="1"/>
  <c r="N47" i="17" s="1"/>
  <c r="C8" i="17"/>
  <c r="Q47" i="17" s="1"/>
  <c r="D13" i="17"/>
  <c r="M48" i="17" s="1"/>
  <c r="N48" i="17" s="1" a="1"/>
  <c r="N48" i="17" s="1"/>
  <c r="C13" i="17"/>
  <c r="Q48" i="17" s="1"/>
  <c r="D10" i="17"/>
  <c r="M45" i="17" s="1"/>
  <c r="N45" i="17" s="1" a="1"/>
  <c r="N45" i="17" s="1"/>
  <c r="C10" i="17"/>
  <c r="D7" i="17"/>
  <c r="M43" i="17" s="1"/>
  <c r="N43" i="17" s="1" a="1"/>
  <c r="N43" i="17" s="1"/>
  <c r="C7" i="17"/>
  <c r="Q43" i="17" s="1"/>
  <c r="P21" i="17"/>
  <c r="AO21" i="17"/>
  <c r="P47" i="17"/>
  <c r="P28" i="17"/>
  <c r="AO28" i="17"/>
  <c r="P18" i="17"/>
  <c r="AO18" i="17"/>
  <c r="P44" i="17"/>
  <c r="P9" i="17"/>
  <c r="P55" i="17"/>
  <c r="AO55" i="17"/>
  <c r="P35" i="17"/>
  <c r="P48" i="17"/>
  <c r="AO48" i="17"/>
  <c r="P49" i="17"/>
  <c r="AO49" i="17"/>
  <c r="P25" i="17"/>
  <c r="AO25" i="17"/>
  <c r="P39" i="17"/>
  <c r="AO39" i="17"/>
  <c r="AO27" i="17"/>
  <c r="P46" i="17"/>
  <c r="AO46" i="17"/>
  <c r="P51" i="17"/>
  <c r="AO51" i="17"/>
  <c r="P33" i="17"/>
  <c r="AO33" i="17"/>
  <c r="P32" i="17"/>
  <c r="P22" i="17"/>
  <c r="AO22" i="17"/>
  <c r="P37" i="17"/>
  <c r="AO37" i="17"/>
  <c r="P34" i="17"/>
  <c r="AO34" i="17"/>
  <c r="P54" i="17"/>
  <c r="AO54" i="17"/>
  <c r="P36" i="17"/>
  <c r="AO36" i="17"/>
  <c r="P10" i="17"/>
  <c r="P43" i="17"/>
  <c r="AO43" i="17"/>
  <c r="P26" i="17"/>
  <c r="P19" i="17"/>
  <c r="AO19" i="17"/>
  <c r="P11" i="17"/>
  <c r="P23" i="17"/>
  <c r="P24" i="17"/>
  <c r="AO24" i="17"/>
  <c r="P40" i="17"/>
  <c r="AO40" i="17"/>
  <c r="P57" i="17"/>
  <c r="AO57" i="17"/>
  <c r="Q11" i="17" l="1"/>
  <c r="Q55" i="17"/>
  <c r="Q24" i="17"/>
  <c r="M40" i="17"/>
  <c r="N40" i="17" s="1" a="1"/>
  <c r="N40" i="17" s="1"/>
  <c r="P30" i="17"/>
  <c r="M55" i="17"/>
  <c r="N55" i="17" s="1" a="1"/>
  <c r="N55" i="17" s="1"/>
  <c r="AO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O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O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O45" i="17"/>
  <c r="P41" i="17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<sst xmlns="http://schemas.openxmlformats.org/spreadsheetml/2006/main" count="10227" uniqueCount="577">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</sst>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INFORMACION%20SUPERVISORES\BD%20ASIGNACION\ASIGNACION%202025\BD_ASIGNACION%20-%20MARZO%20-%202025.xlsx" TargetMode="External"/><Relationship Id="rId1" Type="http://schemas.openxmlformats.org/officeDocument/2006/relationships/externalLinkPath" Target="file:///Y:\INFORMACION%20SUPERVISORES\BD%20ASIGNACION\ASIGNACION%202025\BD_ASIGNACION%20-%20MARZO%20-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BD- MARZO 2025"/>
      <sheetName val="INTERNO"/>
      <sheetName val="EXTERNO"/>
      <sheetName val="TOTAL - MELITA"/>
      <sheetName val="RESUMEN J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>
      <calculatedColumnFormula>VLOOKUP(DATA_MARZO_2025[[#This Row],[ASER_]],[1]Hoja1!$A$6:$AH$76,34,0)</calculatedColumnFormula>
    </tableColumn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5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4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3">
      <calculatedColumnFormula>IFERROR(VLOOKUP(DATA_ENERO_2026[[#This Row],[ASER_]],$B:$G,4,0),"")</calculatedColumnFormula>
    </tableColumn>
    <tableColumn id="1" xr3:uid="{9CEE94D1-F610-44F2-BECC-051BA76BFF42}" name="RECUPERO" dataDxfId="2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0">
      <calculatedColumnFormula>VLOOKUP(DATA_ENERO_2026[[#This Row],[ASER_]],D1_ENERO_2026[[ASESOR_CRR]:[META]],2,0)</calculatedColumnFormula>
    </tableColumn>
    <tableColumn id="7" xr3:uid="{AC7A2592-ACAD-4ED6-8351-E4B65FF33302}" name="ASER_" dataDxfId="1"/>
    <tableColumn id="4" xr3:uid="{DA0D3C8E-070D-4088-AECD-5F2EBC6508EA}" name="2" dataDxfId="102"/>
    <tableColumn id="8" xr3:uid="{D7FBF1F2-5A46-485F-925D-86EC9088EE46}" name="5" dataDxfId="101"/>
    <tableColumn id="9" xr3:uid="{98D48677-E650-4067-8686-1CC9080B6D71}" name="6" dataDxfId="100"/>
    <tableColumn id="10" xr3:uid="{A974A4A9-21AF-43B2-9C93-C6F103E8C411}" name="7" dataDxfId="99"/>
    <tableColumn id="11" xr3:uid="{D058D028-4AAB-47B9-A7D3-876CEDD146AA}" name="8" dataDxfId="98"/>
    <tableColumn id="12" xr3:uid="{307618CA-E43D-42A3-8C03-88388003A5BF}" name="9" dataDxfId="97"/>
    <tableColumn id="13" xr3:uid="{65D16E27-3C15-4385-9A4F-B28821EF4DF6}" name="12" dataDxfId="96"/>
    <tableColumn id="14" xr3:uid="{5A29EA5C-756B-4F6D-B764-BBEF2AB98C7D}" name="13" dataDxfId="95"/>
    <tableColumn id="15" xr3:uid="{3B9CE493-BFF8-40F7-8EBA-E6D80D76579A}" name="14" dataDxfId="94"/>
    <tableColumn id="16" xr3:uid="{AEBDE2A8-76B9-42D9-9059-4EA0D9C9EF1E}" name="15" dataDxfId="93"/>
    <tableColumn id="17" xr3:uid="{0874DB56-268A-4369-AFDE-AC61ECA55C23}" name="16" dataDxfId="92"/>
    <tableColumn id="18" xr3:uid="{E7197C37-94F8-4DE8-B898-F87CE13A355A}" name="19" dataDxfId="91"/>
    <tableColumn id="19" xr3:uid="{0266C1AC-EA27-4324-B7B0-8AB3B4A997D1}" name="20" dataDxfId="90"/>
    <tableColumn id="20" xr3:uid="{645E39B2-DC80-4E66-9458-0C362658FA9E}" name="21" dataDxfId="89"/>
    <tableColumn id="21" xr3:uid="{D0A909F0-E9C1-4BFB-A1C7-251196BA5DC0}" name="22" dataDxfId="88"/>
    <tableColumn id="22" xr3:uid="{CD196172-6AE3-4DE5-A06F-949E71EBEB0F}" name="23" dataDxfId="87"/>
    <tableColumn id="23" xr3:uid="{F4228B36-78DF-4ADD-88C1-72728A3AEB39}" name="26" dataDxfId="86"/>
    <tableColumn id="24" xr3:uid="{E94F1207-568E-4B89-8DB0-06CEBC5513E0}" name="27" dataDxfId="85"/>
    <tableColumn id="25" xr3:uid="{8DA8D870-2FE5-422D-A1EF-11DB81F83097}" name="28" dataDxfId="84"/>
    <tableColumn id="28" xr3:uid="{FAD5EAB1-F7EE-4FE6-B3BF-11079DEEBD18}" name="29"/>
    <tableColumn id="27" xr3:uid="{46F7627A-6099-49D4-B43B-10DFF8D2CADE}" name="30"/>
    <tableColumn id="26" xr3:uid="{05239370-8193-46BE-88F4-2AF50C4EE933}" name="31" dataDxfId="83"/>
    <tableColumn id="29" xr3:uid="{D20EC82C-02AB-47E1-8B4F-0454088553EB}" name="CARTERA ASESOR" dataDxfId="82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81">
  <autoFilter ref="A2:J56" xr:uid="{AB1967BC-98FE-49B9-B96E-7F91454A75DF}"/>
  <tableColumns count="10">
    <tableColumn id="1" xr3:uid="{E8C9BFA3-A821-4545-B3F0-1D85338E10F0}" name="SUPER" dataDxfId="80">
      <calculatedColumnFormula>IFERROR(VLOOKUP(D1_ENERO_2026[[#This Row],[ASESOR_CRR]],PLANTILLA_ACTUAL[],2,0),"")</calculatedColumnFormula>
    </tableColumn>
    <tableColumn id="2" xr3:uid="{3FE812CA-3CC6-4126-82E1-67F5FCA4D1F0}" name="ASESOR_CRR" dataDxfId="79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8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7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6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5"/>
    <tableColumn id="11" xr3:uid="{F601E667-9F29-4288-9F5A-767AD7CB84C9}" name="DNI" dataDxfId="74">
      <calculatedColumnFormula>VLOOKUP(D1_ENERO_2026[[#This Row],[ASESOR_CRR]],DIM!$C:$E,2,0)</calculatedColumnFormula>
    </tableColumn>
    <tableColumn id="12" xr3:uid="{8CE4D8BD-BFA8-4524-B7CC-97B4155A1DC0}" name="FECHA DE INGRESO" dataDxfId="73">
      <calculatedColumnFormula>VLOOKUP(D1_ENERO_2026[[#This Row],[ASESOR_CRR]],DIM!$C:$E,3,0)</calculatedColumnFormula>
    </tableColumn>
    <tableColumn id="8" xr3:uid="{38F96A8E-46ED-488B-B51E-F10392587B25}" name="ESTADO" dataDxfId="72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71" dataDxfId="69" headerRowBorderDxfId="70" tableBorderDxfId="68" totalsRowBorderDxfId="67">
  <autoFilter ref="AQ8:BQ13" xr:uid="{D9D89D51-DAB1-406D-9BCC-FA9DDE7F1EF0}"/>
  <tableColumns count="27">
    <tableColumn id="2" xr3:uid="{08060355-86C1-47A6-9DB1-6B46E3007B8A}" name="META SUPER" dataDxfId="66">
      <calculatedColumnFormula>VLOOKUP($M$3&amp;$N$3&amp;DITE_ENERO_2026[[#This Row],[SUPER]],TablaMeta[],5,0)</calculatedColumnFormula>
    </tableColumn>
    <tableColumn id="3" xr3:uid="{FDF7E5B8-6E43-422A-BFC9-1CCD7EE7F4E8}" name="RECUPERO SUPERVISOR" dataDxfId="65">
      <calculatedColumnFormula>MAX(DITE_ENERO_2026[[#This Row],[SUPER]:[CARTERA]])</calculatedColumnFormula>
    </tableColumn>
    <tableColumn id="4" xr3:uid="{F9F9E33D-CF47-4A7B-B383-5185C72E6DBF}" name="ALCANCE SUPERVISOR" dataDxfId="64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63"/>
    <tableColumn id="6" xr3:uid="{C6BD95E9-37E9-4C3B-8FAC-71C063D3CCCF}" name="2" dataDxfId="62"/>
    <tableColumn id="7" xr3:uid="{154D80CB-9358-4F70-B790-869141CEED69}" name="5" dataDxfId="61"/>
    <tableColumn id="27" xr3:uid="{B1E200F5-8C17-45BD-9A07-4B3CFCF2F55B}" name="6" dataDxfId="60"/>
    <tableColumn id="26" xr3:uid="{C4A34376-F48F-4D30-891F-680F0DC972B5}" name="7" dataDxfId="59"/>
    <tableColumn id="8" xr3:uid="{B8634A52-4E10-47C7-A2E2-7268D75FF3B1}" name="8" dataDxfId="58"/>
    <tableColumn id="9" xr3:uid="{50F52F97-2FFF-429B-8205-9821B5E2DDA3}" name="9" dataDxfId="57"/>
    <tableColumn id="10" xr3:uid="{6CA0D076-C021-4ECD-9708-296693BD3D20}" name="12" dataDxfId="56"/>
    <tableColumn id="11" xr3:uid="{60AC6543-9932-43CA-8508-68010867604A}" name="13" dataDxfId="55"/>
    <tableColumn id="12" xr3:uid="{0838B302-CF6C-41FA-9981-2C61DC3D728B}" name="14" dataDxfId="54"/>
    <tableColumn id="13" xr3:uid="{26042530-89B3-48FD-877D-23191B67C000}" name="15" dataDxfId="53"/>
    <tableColumn id="14" xr3:uid="{995CAE1C-81F5-4376-9FBF-9057F92CEBA2}" name="16" dataDxfId="52"/>
    <tableColumn id="15" xr3:uid="{CE078F22-32E6-477A-8610-B39D8802D198}" name="19" dataDxfId="51"/>
    <tableColumn id="16" xr3:uid="{E61DEB3E-541F-4914-B1D0-C31E52B10974}" name="20" dataDxfId="50"/>
    <tableColumn id="17" xr3:uid="{EC1E57C1-8228-4A17-A0ED-ACC28C9F0842}" name="21" dataDxfId="49"/>
    <tableColumn id="18" xr3:uid="{2DA8EC35-62DF-44D7-9B0C-1DA9FD7CFD91}" name="22" dataDxfId="48"/>
    <tableColumn id="19" xr3:uid="{302180D2-EA42-43C4-9FEA-201681FA861E}" name="23" dataDxfId="47"/>
    <tableColumn id="20" xr3:uid="{451825B8-387D-40FA-8E98-2EFAE991267E}" name="26" dataDxfId="46"/>
    <tableColumn id="21" xr3:uid="{026C2977-2F45-419E-AE54-92E82A6FE474}" name="27" dataDxfId="45"/>
    <tableColumn id="22" xr3:uid="{3BBAF7E2-3A2C-4E90-AE74-EEF9947AB60E}" name="28" dataDxfId="44"/>
    <tableColumn id="23" xr3:uid="{8879B076-C842-409F-9B19-61F59EF05584}" name="29" dataDxfId="43"/>
    <tableColumn id="24" xr3:uid="{AF13A28F-47F7-4494-B809-B096327E1B45}" name="30" dataDxfId="42"/>
    <tableColumn id="25" xr3:uid="{89BC57AE-7003-4222-9075-CD5FB2129550}" name="31" dataDxfId="41"/>
    <tableColumn id="5" xr3:uid="{E0FECB44-CCD1-447F-A9BF-090DD9D8B323}" name="CARTERA" dataDxfId="40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9"/>
    <tableColumn id="2" xr3:uid="{4006F32F-EE4A-427A-AF49-74D52FBF6D53}" uniqueName="2" name="PUESTO REAL" queryTableFieldId="10"/>
    <tableColumn id="3" xr3:uid="{E33DD98B-2314-40D0-9DFA-F987324F30A3}" uniqueName="3" name="FEC_NAC" queryTableFieldId="3" dataDxfId="38"/>
    <tableColumn id="4" xr3:uid="{8397B954-43F8-46B6-880D-47B541CAB0B9}" uniqueName="4" name="NOMBRE" queryTableFieldId="4" dataDxfId="37"/>
    <tableColumn id="8" xr3:uid="{C558150D-EEDC-4907-8F09-51F784EDF9BF}" uniqueName="8" name="PUESTO" queryTableFieldId="8" dataDxfId="36"/>
    <tableColumn id="7" xr3:uid="{C74AABE2-4219-45A4-BAE7-8D08B65D7B0D}" uniqueName="7" name="MES" queryTableFieldId="7" dataDxfId="35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4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33" dataDxfId="32">
  <autoFilter ref="A1:F55" xr:uid="{4B4B5CC4-5C3C-461A-AA1A-DC9321B1B957}"/>
  <tableColumns count="6">
    <tableColumn id="2" xr3:uid="{B4EEF3CC-7678-42BF-B035-CD88AB68C0D3}" name="ASESOR" dataDxfId="31"/>
    <tableColumn id="3" xr3:uid="{FB1CB57E-C468-417E-ABD0-3CE9B78E9634}" name="SUPERVISOR" dataDxfId="30"/>
    <tableColumn id="1" xr3:uid="{F397A808-BFC5-4F06-9B9C-381F51115E45}" name="PO" dataDxfId="29">
      <calculatedColumnFormula>PLANTILLA_ACTUAL[[#This Row],[ASESOR]]</calculatedColumnFormula>
    </tableColumn>
    <tableColumn id="4" xr3:uid="{014C9F4C-C2F1-4CF8-BCC7-D113C12A1316}" name="DNI" dataDxfId="28"/>
    <tableColumn id="5" xr3:uid="{8A032F20-8CA2-40BD-8E54-462A8D907821}" name="FECHA DE INGRESO" dataDxfId="27"/>
    <tableColumn id="6" xr3:uid="{ABB44D38-5F55-4F91-B375-D4C8E4A5B56A}" name="ESTADO" dataDxfId="26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25" headerRowBorderDxfId="24" tableBorderDxfId="23" totalsRowBorderDxfId="22">
  <autoFilter ref="A1:G183" xr:uid="{C41E08BB-0323-438E-BFE0-76BBB5F11D04}"/>
  <tableColumns count="7">
    <tableColumn id="1" xr3:uid="{392AC838-52ED-4D24-AEEF-DBB8AB8874AD}" name="CONCAT" dataDxfId="2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0"/>
    <tableColumn id="2" xr3:uid="{6AF5A16E-DFBE-42B7-BDA1-6E8694A629C3}" name="mes" dataDxfId="19"/>
    <tableColumn id="4" xr3:uid="{10D1F902-532A-4C8C-AB27-C2F522F14EA7}" name="Equipo" dataDxfId="18"/>
    <tableColumn id="5" xr3:uid="{75A35478-8934-432E-843B-D174D5C58C71}" name="Meta_Equipo" dataDxfId="17"/>
    <tableColumn id="6" xr3:uid="{C4DF57EE-8F57-44C8-ABE6-43EEF1F9DA62}" name="Meta_Asesor" dataDxfId="16"/>
    <tableColumn id="3" xr3:uid="{95E3CE54-9C14-4F51-963D-FFEEB667B07A}" name="SEGG" dataDxfId="15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4"/>
    <tableColumn id="1" xr3:uid="{A623E76D-4FA0-4B02-8A90-7970B94DF34B}" name="ASESOR" dataDxfId="13"/>
    <tableColumn id="2" xr3:uid="{9E723AA3-04D3-429E-B399-716F0DC3F71B}" name="DNI" dataDxfId="12">
      <calculatedColumnFormula>VLOOKUP(Tabla31[[#This Row],[ASESOR]],DIM!$A:$D,4,0)</calculatedColumnFormula>
    </tableColumn>
    <tableColumn id="5" xr3:uid="{92D90274-A82D-4355-9559-8897FF3C2E5E}" name="EQUIPO" dataDxfId="11">
      <calculatedColumnFormula>VLOOKUP(Tabla31[[#This Row],[ASESOR]],ENERO_2026!$B:$E,4,0)</calculatedColumnFormula>
    </tableColumn>
    <tableColumn id="4" xr3:uid="{6C714FD8-5FBA-40C9-B203-737ABF147461}" name="RECUPERO" dataDxfId="10">
      <calculatedColumnFormula>VLOOKUP(Tabla31[[#This Row],[ASESOR]],ENERO_2026!B:G,6,0)</calculatedColumnFormula>
    </tableColumn>
    <tableColumn id="6" xr3:uid="{6F1879E2-7433-4097-83E7-004BFF482A1A}" name="MONTO" dataDxfId="9"/>
    <tableColumn id="7" xr3:uid="{3479ECBD-4505-4CB0-83C8-6F46A3C0F87C}" name="META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535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535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535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535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535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535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535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535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535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535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535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535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535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535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535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535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535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535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535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535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535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535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535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535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535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535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535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535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535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535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535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535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535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535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535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535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535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535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535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535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535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535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535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535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535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535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535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535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535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535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535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535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535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535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535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535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535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535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535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535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535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535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535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535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535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535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535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535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535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535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535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571</v>
      </c>
      <c r="G74">
        <v>12973</v>
      </c>
      <c r="H74" t="s">
        <v>573</v>
      </c>
      <c r="I74" s="59">
        <v>44716</v>
      </c>
      <c r="J74" s="59" t="s">
        <v>535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572</v>
      </c>
      <c r="G75">
        <v>3270</v>
      </c>
      <c r="H75" t="s">
        <v>574</v>
      </c>
      <c r="I75" s="59">
        <v>45343</v>
      </c>
      <c r="J75" s="59" t="s">
        <v>535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575</v>
      </c>
      <c r="G76">
        <v>2025</v>
      </c>
      <c r="H76" t="s">
        <v>576</v>
      </c>
      <c r="I76" s="59">
        <v>45131</v>
      </c>
      <c r="J76" s="59" t="s">
        <v>535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Y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535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535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535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535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535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535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535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535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535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535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535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535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535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535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535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535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535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535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535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535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535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535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535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535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535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535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535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535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535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535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535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535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535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535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535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535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535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535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535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535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535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535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535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535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535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535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535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535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535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535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535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535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535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535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535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535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535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535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535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535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535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535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535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535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535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535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topLeftCell="AU1"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535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535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535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535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535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535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535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535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535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535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535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535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535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535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535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535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535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535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535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535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535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535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535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535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535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535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535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535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535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535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535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535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535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535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535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535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535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535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535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535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535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535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535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535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535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535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535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535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535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535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535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535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535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535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535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535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535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535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535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535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535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535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535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535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535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535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535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535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535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A21" sqref="BA2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535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535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535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535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535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535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535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535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535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535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535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535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535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535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535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535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535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535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535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535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535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535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535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535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535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535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535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535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535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535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535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535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535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535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535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535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535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535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535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535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535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535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535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535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535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535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535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535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535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535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535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535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535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535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535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535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535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535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535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535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535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535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535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535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535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535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535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535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535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535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535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535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535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535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535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535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535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535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535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535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535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535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535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535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535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535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535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535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535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535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535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535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535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535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535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535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535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535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535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535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535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535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535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535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535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535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535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535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535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535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535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535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535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535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535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535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535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535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535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535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535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535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535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535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535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535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535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535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535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535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535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535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535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535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534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534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534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534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534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535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535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535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535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535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535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535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535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535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535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535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535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535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535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535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535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535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535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535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535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535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535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535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535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535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535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535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535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535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535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535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535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535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535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535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535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535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535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535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535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535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535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535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535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535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535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535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535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535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535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535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535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535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535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535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535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535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535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535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535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535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535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535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535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535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535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535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535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535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535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535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535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535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535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535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535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535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535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535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535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535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535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535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535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535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535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535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535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535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535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535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535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535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535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535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535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535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535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535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535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535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535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535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535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535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535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535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535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535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535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535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535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535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535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535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535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535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535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535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535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535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535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535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535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535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535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535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535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535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535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535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535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535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535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535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535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535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535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535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535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535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535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535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535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535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535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535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535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535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535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I71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534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534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534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534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534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534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534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535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535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535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535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535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535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535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535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535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535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535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535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535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535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535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535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535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535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535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535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535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535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535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535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535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535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535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535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535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535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535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535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535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535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535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535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535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535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535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535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535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535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535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535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535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535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535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535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535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535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535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535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535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535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535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535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535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535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535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535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535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535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535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535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535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535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535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535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535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535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535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535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535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M1" zoomScale="70" zoomScaleNormal="70" workbookViewId="0">
      <selection activeCell="S15" sqref="S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534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534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534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534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534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534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535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535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535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535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535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535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535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535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535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535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535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535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535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535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535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535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535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535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535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535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535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535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535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535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535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535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535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535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535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535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535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535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535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535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535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535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535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535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535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535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535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535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535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535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535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535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535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535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535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535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535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535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535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535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535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535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535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535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535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535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535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535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535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535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534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534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534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534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535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535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535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535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535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535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535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535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535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535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535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535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535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535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535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535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535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535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535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535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535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535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535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535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535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535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535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535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535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535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535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535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535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535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535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535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535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535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535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535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535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535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535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535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535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535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535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535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535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535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535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535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535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535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535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535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38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535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535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535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535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535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535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535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535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535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535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535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535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535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535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535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535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535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535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535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535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535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535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535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535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535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535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535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535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535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535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535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535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535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535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535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535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535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535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535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535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535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535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535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535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535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535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535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535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535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535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7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A8" sqref="A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4" width="13.42578125" hidden="1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hidden="1" customWidth="1"/>
    <col min="63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KENNETH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6" s="37">
        <f>IF(D1_ENERO_2026[[#This Row],[RECUPERO]]="","",VLOOKUP($M$3&amp;$N$3&amp;D1_ENERO_2026[[#This Row],[SUPER]],TablaMeta[],6,0))</f>
        <v>27900</v>
      </c>
      <c r="D6" s="36">
        <f>IFERROR(D1_ENERO_2026[[#This Row],[RECUPERO]]/VLOOKUP($M$3&amp;$N$3&amp;D1_ENERO_2026[[#This Row],[SUPER]],TablaMeta[],6,0),"")</f>
        <v>1.4754121863799283</v>
      </c>
      <c r="E6" s="36" t="str">
        <f>IFERROR(VLOOKUP(D1_ENERO_2026[[#This Row],[ASESOR_CRR]],PLANTILLA_ACTUAL[],2,0),"")</f>
        <v>KENNETH</v>
      </c>
      <c r="F6" s="35" t="s">
        <v>81</v>
      </c>
      <c r="G6" s="37">
        <v>41164</v>
      </c>
      <c r="H6" s="35" t="str">
        <f>VLOOKUP(D1_ENERO_2026[[#This Row],[ASESOR_CRR]],DIM!$C:$E,2,0)</f>
        <v>72716299</v>
      </c>
      <c r="I6" s="68">
        <f>VLOOKUP(D1_ENERO_2026[[#This Row],[ASESOR_CRR]],DIM!$C:$E,3,0)</f>
        <v>45511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KENNETH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7" s="37">
        <f>IF(D1_ENERO_2026[[#This Row],[RECUPERO]]="","",VLOOKUP($M$3&amp;$N$3&amp;D1_ENERO_2026[[#This Row],[SUPER]],TablaMeta[],6,0))</f>
        <v>27900</v>
      </c>
      <c r="D7" s="36">
        <f>IFERROR(D1_ENERO_2026[[#This Row],[RECUPERO]]/VLOOKUP($M$3&amp;$N$3&amp;D1_ENERO_2026[[#This Row],[SUPER]],TablaMeta[],6,0),"")</f>
        <v>1.4117562724014336</v>
      </c>
      <c r="E7" s="36" t="str">
        <f>IFERROR(VLOOKUP(D1_ENERO_2026[[#This Row],[ASESOR_CRR]],PLANTILLA_ACTUAL[],2,0),"")</f>
        <v>KENNETH</v>
      </c>
      <c r="F7" s="35" t="s">
        <v>34</v>
      </c>
      <c r="G7" s="37">
        <v>39388</v>
      </c>
      <c r="H7" s="35" t="str">
        <f>VLOOKUP(D1_ENERO_2026[[#This Row],[ASESOR_CRR]],DIM!$C:$E,2,0)</f>
        <v>76824571</v>
      </c>
      <c r="I7" s="68">
        <f>VLOOKUP(D1_ENERO_2026[[#This Row],[ASESOR_CRR]],DIM!$C:$E,3,0)</f>
        <v>45173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KENNETH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8" s="37">
        <f>IF(D1_ENERO_2026[[#This Row],[RECUPERO]]="","",VLOOKUP($M$3&amp;$N$3&amp;D1_ENERO_2026[[#This Row],[SUPER]],TablaMeta[],6,0))</f>
        <v>27900</v>
      </c>
      <c r="D8" s="36">
        <f>IFERROR(D1_ENERO_2026[[#This Row],[RECUPERO]]/VLOOKUP($M$3&amp;$N$3&amp;D1_ENERO_2026[[#This Row],[SUPER]],TablaMeta[],6,0),"")</f>
        <v>1.26831541218638</v>
      </c>
      <c r="E8" s="36" t="str">
        <f>IFERROR(VLOOKUP(D1_ENERO_2026[[#This Row],[ASESOR_CRR]],PLANTILLA_ACTUAL[],2,0),"")</f>
        <v>KENNETH</v>
      </c>
      <c r="F8" s="35" t="s">
        <v>26</v>
      </c>
      <c r="G8" s="37">
        <v>35386</v>
      </c>
      <c r="H8" s="35" t="str">
        <f>VLOOKUP(D1_ENERO_2026[[#This Row],[ASESOR_CRR]],DIM!$C:$E,2,0)</f>
        <v>41005089</v>
      </c>
      <c r="I8" s="68">
        <f>VLOOKUP(D1_ENERO_2026[[#This Row],[ASESOR_CRR]],DIM!$C:$E,3,0)</f>
        <v>44257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537</v>
      </c>
      <c r="T8" s="14" t="s">
        <v>538</v>
      </c>
      <c r="U8" s="14" t="s">
        <v>539</v>
      </c>
      <c r="V8" s="14" t="s">
        <v>540</v>
      </c>
      <c r="W8" s="14" t="s">
        <v>541</v>
      </c>
      <c r="X8" s="14" t="s">
        <v>542</v>
      </c>
      <c r="Y8" s="14" t="s">
        <v>543</v>
      </c>
      <c r="Z8" s="14" t="s">
        <v>544</v>
      </c>
      <c r="AA8" s="14" t="s">
        <v>545</v>
      </c>
      <c r="AB8" s="14" t="s">
        <v>546</v>
      </c>
      <c r="AC8" s="14" t="s">
        <v>547</v>
      </c>
      <c r="AD8" s="14" t="s">
        <v>548</v>
      </c>
      <c r="AE8" s="14" t="s">
        <v>549</v>
      </c>
      <c r="AF8" s="14" t="s">
        <v>550</v>
      </c>
      <c r="AG8" s="14" t="s">
        <v>551</v>
      </c>
      <c r="AH8" s="14" t="s">
        <v>552</v>
      </c>
      <c r="AI8" s="14" t="s">
        <v>553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4" t="s">
        <v>558</v>
      </c>
      <c r="AO8" s="15" t="s">
        <v>536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537</v>
      </c>
      <c r="AV8" s="20" t="s">
        <v>538</v>
      </c>
      <c r="AW8" s="20" t="s">
        <v>539</v>
      </c>
      <c r="AX8" s="20" t="s">
        <v>540</v>
      </c>
      <c r="AY8" s="20" t="s">
        <v>541</v>
      </c>
      <c r="AZ8" s="20" t="s">
        <v>542</v>
      </c>
      <c r="BA8" s="20" t="s">
        <v>543</v>
      </c>
      <c r="BB8" s="20" t="s">
        <v>544</v>
      </c>
      <c r="BC8" s="20" t="s">
        <v>545</v>
      </c>
      <c r="BD8" s="20" t="s">
        <v>546</v>
      </c>
      <c r="BE8" s="20" t="s">
        <v>547</v>
      </c>
      <c r="BF8" s="20" t="s">
        <v>548</v>
      </c>
      <c r="BG8" s="20" t="s">
        <v>549</v>
      </c>
      <c r="BH8" s="20" t="s">
        <v>550</v>
      </c>
      <c r="BI8" s="20" t="s">
        <v>551</v>
      </c>
      <c r="BJ8" s="20" t="s">
        <v>552</v>
      </c>
      <c r="BK8" s="20" t="s">
        <v>553</v>
      </c>
      <c r="BL8" s="20" t="s">
        <v>554</v>
      </c>
      <c r="BM8" s="20" t="s">
        <v>555</v>
      </c>
      <c r="BN8" s="20" t="s">
        <v>556</v>
      </c>
      <c r="BO8" s="20" t="s">
        <v>557</v>
      </c>
      <c r="BP8" s="20" t="s">
        <v>558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KENNETH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9" s="37">
        <f>IF(D1_ENERO_2026[[#This Row],[RECUPERO]]="","",VLOOKUP($M$3&amp;$N$3&amp;D1_ENERO_2026[[#This Row],[SUPER]],TablaMeta[],6,0))</f>
        <v>27900</v>
      </c>
      <c r="D9" s="36">
        <f>IFERROR(D1_ENERO_2026[[#This Row],[RECUPERO]]/VLOOKUP($M$3&amp;$N$3&amp;D1_ENERO_2026[[#This Row],[SUPER]],TablaMeta[],6,0),"")</f>
        <v>1.2525089605734767</v>
      </c>
      <c r="E9" s="36" t="str">
        <f>IFERROR(VLOOKUP(D1_ENERO_2026[[#This Row],[ASESOR_CRR]],PLANTILLA_ACTUAL[],2,0),"")</f>
        <v>KENNETH</v>
      </c>
      <c r="F9" s="35" t="s">
        <v>19</v>
      </c>
      <c r="G9" s="37">
        <v>34945</v>
      </c>
      <c r="H9" s="35" t="str">
        <f>VLOOKUP(D1_ENERO_2026[[#This Row],[ASESOR_CRR]],DIM!$C:$E,2,0)</f>
        <v>76656128</v>
      </c>
      <c r="I9" s="68">
        <f>VLOOKUP(D1_ENERO_2026[[#This Row],[ASESOR_CRR]],DIM!$C:$E,3,0)</f>
        <v>44671</v>
      </c>
      <c r="J9" s="68" t="str">
        <f>VLOOKUP(D1_ENERO_2026[[#This Row],[ASESOR_CRR]],PLANTILLA_ACTUAL[],6,0)</f>
        <v>CALL</v>
      </c>
      <c r="K9" s="68"/>
      <c r="L9" s="59"/>
      <c r="M9" s="5">
        <f>IF(DATA_ENERO_2026[[#This Row],[ASER_]]="","",VLOOKUP(DATA_ENERO_2026[[#This Row],[ASER_]],$B:$G,3,0))</f>
        <v>0.58239583333333333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&gt;40%</v>
      </c>
      <c r="O9" s="58" t="str">
        <f>IFERROR(VLOOKUP(DATA_ENERO_2026[[#This Row],[ASER_]],$B:$G,4,0),"")</f>
        <v>MELINA</v>
      </c>
      <c r="P9" s="6">
        <f>IF(DATA_ENERO_2026[[#This Row],[SUPERVISOR]]="","",VLOOKUP(DATA_ENERO_2026[[#This Row],[ASER_]],$B:$G,6,0))</f>
        <v>27955</v>
      </c>
      <c r="Q9" s="6">
        <f>VLOOKUP(DATA_ENERO_2026[[#This Row],[ASER_]],D1_ENERO_2026[[ASESOR_CRR]:[META]],2,0)</f>
        <v>48000</v>
      </c>
      <c r="R9" t="s">
        <v>18</v>
      </c>
      <c r="S9">
        <v>0</v>
      </c>
      <c r="T9">
        <v>0</v>
      </c>
      <c r="U9">
        <v>1700</v>
      </c>
      <c r="V9">
        <v>2000</v>
      </c>
      <c r="W9">
        <v>2500</v>
      </c>
      <c r="X9">
        <v>0</v>
      </c>
      <c r="Y9">
        <v>0</v>
      </c>
      <c r="Z9">
        <v>600</v>
      </c>
      <c r="AA9">
        <v>0</v>
      </c>
      <c r="AB9">
        <v>1000</v>
      </c>
      <c r="AC9">
        <v>6550</v>
      </c>
      <c r="AD9">
        <v>2000</v>
      </c>
      <c r="AE9">
        <v>0</v>
      </c>
      <c r="AF9">
        <v>5350</v>
      </c>
      <c r="AG9">
        <v>3055</v>
      </c>
      <c r="AH9">
        <v>0</v>
      </c>
      <c r="AI9">
        <v>1700</v>
      </c>
      <c r="AJ9">
        <v>1500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379486</v>
      </c>
      <c r="AS9" s="17">
        <f>IFERROR(DITE_ENERO_2026[[#This Row],[RECUPERO SUPERVISOR]]/DITE_ENERO_2026[[#This Row],[META SUPER]],"")</f>
        <v>0.87908692046460124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KENNETH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0" s="37">
        <f>IF(D1_ENERO_2026[[#This Row],[RECUPERO]]="","",VLOOKUP($M$3&amp;$N$3&amp;D1_ENERO_2026[[#This Row],[SUPER]],TablaMeta[],6,0))</f>
        <v>27900</v>
      </c>
      <c r="D10" s="36">
        <f>IFERROR(D1_ENERO_2026[[#This Row],[RECUPERO]]/VLOOKUP($M$3&amp;$N$3&amp;D1_ENERO_2026[[#This Row],[SUPER]],TablaMeta[],6,0),"")</f>
        <v>1.226989247311828</v>
      </c>
      <c r="E10" s="36" t="str">
        <f>IFERROR(VLOOKUP(D1_ENERO_2026[[#This Row],[ASESOR_CRR]],PLANTILLA_ACTUAL[],2,0),"")</f>
        <v>KENNETH</v>
      </c>
      <c r="F10" s="35" t="s">
        <v>50</v>
      </c>
      <c r="G10" s="37">
        <v>34233</v>
      </c>
      <c r="H10" s="35" t="str">
        <f>VLOOKUP(D1_ENERO_2026[[#This Row],[ASESOR_CRR]],DIM!$C:$E,2,0)</f>
        <v>72733809</v>
      </c>
      <c r="I10" s="68">
        <f>VLOOKUP(D1_ENERO_2026[[#This Row],[ASESOR_CRR]],DIM!$C:$E,3,0)</f>
        <v>45789</v>
      </c>
      <c r="J10" s="68" t="str">
        <f>VLOOKUP(D1_ENERO_2026[[#This Row],[ASESOR_CRR]],PLANTILLA_ACTUAL[],6,0)</f>
        <v>CALL</v>
      </c>
      <c r="K10" s="68"/>
      <c r="L10" s="59"/>
      <c r="M10" s="5">
        <f>IF(DATA_ENERO_2026[[#This Row],[ASER_]]="","",VLOOKUP(DATA_ENERO_2026[[#This Row],[ASER_]],$B:$G,3,0))</f>
        <v>1.2647291666666667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&gt;100%</v>
      </c>
      <c r="O10" s="58" t="str">
        <f>IFERROR(VLOOKUP(DATA_ENERO_2026[[#This Row],[ASER_]],$B:$G,4,0),"")</f>
        <v>MELINA</v>
      </c>
      <c r="P10" s="6">
        <f>IF(DATA_ENERO_2026[[#This Row],[SUPERVISOR]]="","",VLOOKUP(DATA_ENERO_2026[[#This Row],[ASER_]],$B:$G,6,0))</f>
        <v>60707</v>
      </c>
      <c r="Q10" s="6">
        <f>VLOOKUP(DATA_ENERO_2026[[#This Row],[ASER_]],D1_ENERO_2026[[ASESOR_CRR]:[META]],2,0)</f>
        <v>48000</v>
      </c>
      <c r="R10" t="s">
        <v>60</v>
      </c>
      <c r="S10">
        <v>4000</v>
      </c>
      <c r="T10">
        <v>600</v>
      </c>
      <c r="U10">
        <v>3400</v>
      </c>
      <c r="V10">
        <v>2500</v>
      </c>
      <c r="W10">
        <v>0</v>
      </c>
      <c r="X10">
        <v>0</v>
      </c>
      <c r="Y10">
        <v>0</v>
      </c>
      <c r="Z10">
        <v>2500</v>
      </c>
      <c r="AA10">
        <v>3800</v>
      </c>
      <c r="AB10">
        <v>0</v>
      </c>
      <c r="AC10">
        <v>26801</v>
      </c>
      <c r="AD10">
        <v>956</v>
      </c>
      <c r="AE10">
        <v>0</v>
      </c>
      <c r="AF10">
        <v>9100</v>
      </c>
      <c r="AG10">
        <v>5300</v>
      </c>
      <c r="AH10">
        <v>0</v>
      </c>
      <c r="AI10">
        <v>1750</v>
      </c>
      <c r="AJ10">
        <v>0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338913</v>
      </c>
      <c r="AS10" s="18">
        <f>IFERROR(DITE_ENERO_2026[[#This Row],[RECUPERO SUPERVISOR]]/DITE_ENERO_2026[[#This Row],[META SUPER]],"")</f>
        <v>0.78509875324891931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KENNETH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11" s="37">
        <f>IF(D1_ENERO_2026[[#This Row],[RECUPERO]]="","",VLOOKUP($M$3&amp;$N$3&amp;D1_ENERO_2026[[#This Row],[SUPER]],TablaMeta[],6,0))</f>
        <v>27900</v>
      </c>
      <c r="D11" s="36">
        <f>IFERROR(D1_ENERO_2026[[#This Row],[RECUPERO]]/VLOOKUP($M$3&amp;$N$3&amp;D1_ENERO_2026[[#This Row],[SUPER]],TablaMeta[],6,0),"")</f>
        <v>1.1614695340501793</v>
      </c>
      <c r="E11" s="36" t="str">
        <f>IFERROR(VLOOKUP(D1_ENERO_2026[[#This Row],[ASESOR_CRR]],PLANTILLA_ACTUAL[],2,0),"")</f>
        <v>KENNETH</v>
      </c>
      <c r="F11" s="35" t="s">
        <v>105</v>
      </c>
      <c r="G11" s="37">
        <v>32405</v>
      </c>
      <c r="H11" s="35" t="str">
        <f>VLOOKUP(D1_ENERO_2026[[#This Row],[ASESOR_CRR]],DIM!$C:$E,2,0)</f>
        <v>48344037</v>
      </c>
      <c r="I11" s="68">
        <f>VLOOKUP(D1_ENERO_2026[[#This Row],[ASESOR_CRR]],DIM!$C:$E,3,0)</f>
        <v>46027</v>
      </c>
      <c r="J11" s="68" t="str">
        <f>VLOOKUP(D1_ENERO_2026[[#This Row],[ASESOR_CRR]],PLANTILLA_ACTUAL[],6,0)</f>
        <v>CALL</v>
      </c>
      <c r="K11" s="68"/>
      <c r="L11" s="59"/>
      <c r="M11" s="5">
        <f>IF(DATA_ENERO_2026[[#This Row],[ASER_]]="","",VLOOKUP(DATA_ENERO_2026[[#This Row],[ASER_]],$B:$G,3,0))</f>
        <v>0.23666666666666666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&gt;0%</v>
      </c>
      <c r="O11" s="58" t="str">
        <f>IFERROR(VLOOKUP(DATA_ENERO_2026[[#This Row],[ASER_]],$B:$G,4,0),"")</f>
        <v>MELINA</v>
      </c>
      <c r="P11" s="6">
        <f>IF(DATA_ENERO_2026[[#This Row],[SUPERVISOR]]="","",VLOOKUP(DATA_ENERO_2026[[#This Row],[ASER_]],$B:$G,6,0))</f>
        <v>11360</v>
      </c>
      <c r="Q11" s="6">
        <f>VLOOKUP(DATA_ENERO_2026[[#This Row],[ASER_]],D1_ENERO_2026[[ASESOR_CRR]:[META]],2,0)</f>
        <v>48000</v>
      </c>
      <c r="R11" t="s">
        <v>72</v>
      </c>
      <c r="S11">
        <v>3160</v>
      </c>
      <c r="T11">
        <v>0</v>
      </c>
      <c r="U11">
        <v>2000</v>
      </c>
      <c r="V11">
        <v>0</v>
      </c>
      <c r="W11">
        <v>0</v>
      </c>
      <c r="X11">
        <v>0</v>
      </c>
      <c r="Y11">
        <v>250</v>
      </c>
      <c r="Z11">
        <v>0</v>
      </c>
      <c r="AA11">
        <v>0</v>
      </c>
      <c r="AB11">
        <v>800</v>
      </c>
      <c r="AC11">
        <v>0</v>
      </c>
      <c r="AD11">
        <v>200</v>
      </c>
      <c r="AE11">
        <v>500</v>
      </c>
      <c r="AF11">
        <v>2000</v>
      </c>
      <c r="AG11">
        <v>600</v>
      </c>
      <c r="AH11">
        <v>0</v>
      </c>
      <c r="AI11">
        <v>1850</v>
      </c>
      <c r="AJ11">
        <v>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279328.03000000003</v>
      </c>
      <c r="AS11" s="17">
        <f>IFERROR(DITE_ENERO_2026[[#This Row],[RECUPERO SUPERVISOR]]/DITE_ENERO_2026[[#This Row],[META SUPER]],"")</f>
        <v>0.95006302506717466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KENNETH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2" s="37">
        <f>IF(D1_ENERO_2026[[#This Row],[RECUPERO]]="","",VLOOKUP($M$3&amp;$N$3&amp;D1_ENERO_2026[[#This Row],[SUPER]],TablaMeta[],6,0))</f>
        <v>27900</v>
      </c>
      <c r="D12" s="36">
        <f>IFERROR(D1_ENERO_2026[[#This Row],[RECUPERO]]/VLOOKUP($M$3&amp;$N$3&amp;D1_ENERO_2026[[#This Row],[SUPER]],TablaMeta[],6,0),"")</f>
        <v>0.99982078853046596</v>
      </c>
      <c r="E12" s="36" t="str">
        <f>IFERROR(VLOOKUP(D1_ENERO_2026[[#This Row],[ASESOR_CRR]],PLANTILLA_ACTUAL[],2,0),"")</f>
        <v>KENNETH</v>
      </c>
      <c r="F12" s="35" t="s">
        <v>11</v>
      </c>
      <c r="G12" s="37">
        <v>27895</v>
      </c>
      <c r="H12" s="35" t="str">
        <f>VLOOKUP(D1_ENERO_2026[[#This Row],[ASESOR_CRR]],DIM!$C:$E,2,0)</f>
        <v>45139159</v>
      </c>
      <c r="I12" s="68">
        <f>VLOOKUP(D1_ENERO_2026[[#This Row],[ASESOR_CRR]],DIM!$C:$E,3,0)</f>
        <v>45369</v>
      </c>
      <c r="J12" s="68" t="str">
        <f>VLOOKUP(D1_ENERO_2026[[#This Row],[ASESOR_CRR]],PLANTILLA_ACTUAL[],6,0)</f>
        <v>CALL</v>
      </c>
      <c r="K12" s="68"/>
      <c r="L12" s="59"/>
      <c r="M12" s="5">
        <f>IF(DATA_ENERO_2026[[#This Row],[ASER_]]="","",VLOOKUP(DATA_ENERO_2026[[#This Row],[ASER_]],$B:$G,3,0))</f>
        <v>0.63322916666666662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&gt;40%</v>
      </c>
      <c r="O12" s="58" t="str">
        <f>IFERROR(VLOOKUP(DATA_ENERO_2026[[#This Row],[ASER_]],$B:$G,4,0),"")</f>
        <v>MELINA</v>
      </c>
      <c r="P12" s="6">
        <f>IF(DATA_ENERO_2026[[#This Row],[SUPERVISOR]]="","",VLOOKUP(DATA_ENERO_2026[[#This Row],[ASER_]],$B:$G,6,0))</f>
        <v>30395</v>
      </c>
      <c r="Q12" s="6">
        <f>VLOOKUP(DATA_ENERO_2026[[#This Row],[ASER_]],D1_ENERO_2026[[ASESOR_CRR]:[META]],2,0)</f>
        <v>48000</v>
      </c>
      <c r="R12" t="s">
        <v>12</v>
      </c>
      <c r="S12">
        <v>1700</v>
      </c>
      <c r="T12">
        <v>3230</v>
      </c>
      <c r="U12">
        <v>0</v>
      </c>
      <c r="V12">
        <v>6700</v>
      </c>
      <c r="W12">
        <v>2800</v>
      </c>
      <c r="X12">
        <v>750</v>
      </c>
      <c r="Y12">
        <v>0</v>
      </c>
      <c r="Z12">
        <v>6500</v>
      </c>
      <c r="AA12">
        <v>0</v>
      </c>
      <c r="AB12">
        <v>2500</v>
      </c>
      <c r="AC12">
        <v>750</v>
      </c>
      <c r="AD12">
        <v>0</v>
      </c>
      <c r="AE12">
        <v>0</v>
      </c>
      <c r="AF12">
        <v>315</v>
      </c>
      <c r="AG12">
        <v>0</v>
      </c>
      <c r="AH12">
        <v>5000</v>
      </c>
      <c r="AI12">
        <v>150</v>
      </c>
      <c r="AJ12">
        <v>0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276432</v>
      </c>
      <c r="AS12" s="18">
        <f>IFERROR(DITE_ENERO_2026[[#This Row],[RECUPERO SUPERVISOR]]/DITE_ENERO_2026[[#This Row],[META SUPER]],"")</f>
        <v>1.1005597713139099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KENNETH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13" s="37">
        <f>IF(D1_ENERO_2026[[#This Row],[RECUPERO]]="","",VLOOKUP($M$3&amp;$N$3&amp;D1_ENERO_2026[[#This Row],[SUPER]],TablaMeta[],6,0))</f>
        <v>27900</v>
      </c>
      <c r="D13" s="36">
        <f>IFERROR(D1_ENERO_2026[[#This Row],[RECUPERO]]/VLOOKUP($M$3&amp;$N$3&amp;D1_ENERO_2026[[#This Row],[SUPER]],TablaMeta[],6,0),"")</f>
        <v>0.72329749103942653</v>
      </c>
      <c r="E13" s="36" t="str">
        <f>IFERROR(VLOOKUP(D1_ENERO_2026[[#This Row],[ASESOR_CRR]],PLANTILLA_ACTUAL[],2,0),"")</f>
        <v>KENNETH</v>
      </c>
      <c r="F13" s="35" t="s">
        <v>80</v>
      </c>
      <c r="G13" s="37">
        <v>20180</v>
      </c>
      <c r="H13" s="35" t="str">
        <f>VLOOKUP(D1_ENERO_2026[[#This Row],[ASESOR_CRR]],DIM!$C:$E,2,0)</f>
        <v>45084594</v>
      </c>
      <c r="I13" s="68">
        <f>VLOOKUP(D1_ENERO_2026[[#This Row],[ASESOR_CRR]],DIM!$C:$E,3,0)</f>
        <v>45281</v>
      </c>
      <c r="J13" s="68" t="str">
        <f>VLOOKUP(D1_ENERO_2026[[#This Row],[ASESOR_CRR]],PLANTILLA_ACTUAL[],6,0)</f>
        <v>CALL</v>
      </c>
      <c r="K13" s="68"/>
      <c r="L13" s="59"/>
      <c r="M13" s="5">
        <f>IF(DATA_ENERO_2026[[#This Row],[ASER_]]="","",VLOOKUP(DATA_ENERO_2026[[#This Row],[ASER_]],$B:$G,3,0))</f>
        <v>0.40135416666666668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&gt;40%</v>
      </c>
      <c r="O13" s="58" t="str">
        <f>IFERROR(VLOOKUP(DATA_ENERO_2026[[#This Row],[ASER_]],$B:$G,4,0),"")</f>
        <v>MELINA</v>
      </c>
      <c r="P13" s="6">
        <f>IF(DATA_ENERO_2026[[#This Row],[SUPERVISOR]]="","",VLOOKUP(DATA_ENERO_2026[[#This Row],[ASER_]],$B:$G,6,0))</f>
        <v>19265</v>
      </c>
      <c r="Q13" s="6">
        <f>VLOOKUP(DATA_ENERO_2026[[#This Row],[ASER_]],D1_ENERO_2026[[ASESOR_CRR]:[META]],2,0)</f>
        <v>48000</v>
      </c>
      <c r="R13" t="s">
        <v>122</v>
      </c>
      <c r="S13">
        <v>1030</v>
      </c>
      <c r="T13">
        <v>10000</v>
      </c>
      <c r="U13">
        <v>500</v>
      </c>
      <c r="V13">
        <v>0</v>
      </c>
      <c r="W13">
        <v>0</v>
      </c>
      <c r="X13">
        <v>5300</v>
      </c>
      <c r="Y13">
        <v>0</v>
      </c>
      <c r="Z13">
        <v>0</v>
      </c>
      <c r="AA13">
        <v>0</v>
      </c>
      <c r="AB13">
        <v>1900</v>
      </c>
      <c r="AC13">
        <v>0</v>
      </c>
      <c r="AD13">
        <v>0</v>
      </c>
      <c r="AE13">
        <v>535</v>
      </c>
      <c r="AF13">
        <v>0</v>
      </c>
      <c r="AG13">
        <v>0</v>
      </c>
      <c r="AH13">
        <v>0</v>
      </c>
      <c r="AI13">
        <v>0</v>
      </c>
      <c r="AJ13">
        <v>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271178</v>
      </c>
      <c r="AS13" s="17">
        <f>IFERROR(DITE_ENERO_2026[[#This Row],[RECUPERO SUPERVISOR]]/DITE_ENERO_2026[[#This Row],[META SUPER]],"")</f>
        <v>0.91280214620156652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KENNETH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14" s="37">
        <f>IF(D1_ENERO_2026[[#This Row],[RECUPERO]]="","",VLOOKUP($M$3&amp;$N$3&amp;D1_ENERO_2026[[#This Row],[SUPER]],TablaMeta[],6,0))</f>
        <v>27900</v>
      </c>
      <c r="D14" s="36">
        <f>IFERROR(D1_ENERO_2026[[#This Row],[RECUPERO]]/VLOOKUP($M$3&amp;$N$3&amp;D1_ENERO_2026[[#This Row],[SUPER]],TablaMeta[],6,0),"")</f>
        <v>0.26530465949820786</v>
      </c>
      <c r="E14" s="36" t="str">
        <f>IFERROR(VLOOKUP(D1_ENERO_2026[[#This Row],[ASESOR_CRR]],PLANTILLA_ACTUAL[],2,0),"")</f>
        <v>KENNETH</v>
      </c>
      <c r="F14" s="35" t="s">
        <v>35</v>
      </c>
      <c r="G14" s="37">
        <v>7402</v>
      </c>
      <c r="H14" s="35" t="str">
        <f>VLOOKUP(D1_ENERO_2026[[#This Row],[ASESOR_CRR]],DIM!$C:$E,2,0)</f>
        <v>10491198</v>
      </c>
      <c r="I14" s="68">
        <f>VLOOKUP(D1_ENERO_2026[[#This Row],[ASESOR_CRR]],DIM!$C:$E,3,0)</f>
        <v>44746</v>
      </c>
      <c r="J14" s="68" t="str">
        <f>VLOOKUP(D1_ENERO_2026[[#This Row],[ASESOR_CRR]],PLANTILLA_ACTUAL[],6,0)</f>
        <v>CALL</v>
      </c>
      <c r="K14" s="68"/>
      <c r="L14" s="59"/>
      <c r="M14" s="5">
        <f>IF(DATA_ENERO_2026[[#This Row],[ASER_]]="","",VLOOKUP(DATA_ENERO_2026[[#This Row],[ASER_]],$B:$G,3,0))</f>
        <v>1.1684791666666667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s="58" t="str">
        <f>IFERROR(VLOOKUP(DATA_ENERO_2026[[#This Row],[ASER_]],$B:$G,4,0),"")</f>
        <v>MELINA</v>
      </c>
      <c r="P14" s="6">
        <f>IF(DATA_ENERO_2026[[#This Row],[SUPERVISOR]]="","",VLOOKUP(DATA_ENERO_2026[[#This Row],[ASER_]],$B:$G,6,0))</f>
        <v>56087</v>
      </c>
      <c r="Q14" s="6">
        <f>VLOOKUP(DATA_ENERO_2026[[#This Row],[ASER_]],D1_ENERO_2026[[ASESOR_CRR]:[META]],2,0)</f>
        <v>48000</v>
      </c>
      <c r="R14" t="s">
        <v>75</v>
      </c>
      <c r="S14">
        <v>0</v>
      </c>
      <c r="T14">
        <v>3500</v>
      </c>
      <c r="U14">
        <v>0</v>
      </c>
      <c r="V14">
        <v>0</v>
      </c>
      <c r="W14">
        <v>0</v>
      </c>
      <c r="X14">
        <v>10000</v>
      </c>
      <c r="Y14">
        <v>800</v>
      </c>
      <c r="Z14">
        <v>0</v>
      </c>
      <c r="AA14">
        <v>2000</v>
      </c>
      <c r="AB14">
        <v>3500</v>
      </c>
      <c r="AC14">
        <v>5600</v>
      </c>
      <c r="AD14">
        <v>5500</v>
      </c>
      <c r="AE14">
        <v>0</v>
      </c>
      <c r="AF14">
        <v>5520</v>
      </c>
      <c r="AG14">
        <v>1500</v>
      </c>
      <c r="AH14">
        <v>9137</v>
      </c>
      <c r="AI14">
        <v>4600</v>
      </c>
      <c r="AJ14">
        <v>4430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0.12308243727598567</v>
      </c>
      <c r="E15" s="36" t="str">
        <f>IFERROR(VLOOKUP(D1_ENERO_2026[[#This Row],[ASESOR_CRR]],PLANTILLA_ACTUAL[],2,0),"")</f>
        <v>KENNETH</v>
      </c>
      <c r="F15" s="35" t="s">
        <v>37</v>
      </c>
      <c r="G15" s="37">
        <v>3434</v>
      </c>
      <c r="H15" s="35" t="str">
        <f>VLOOKUP(D1_ENERO_2026[[#This Row],[ASESOR_CRR]],DIM!$C:$E,2,0)</f>
        <v>70988976</v>
      </c>
      <c r="I15" s="68">
        <f>VLOOKUP(D1_ENERO_2026[[#This Row],[ASESOR_CRR]],DIM!$C:$E,3,0)</f>
        <v>45112</v>
      </c>
      <c r="J15" s="68" t="str">
        <f>VLOOKUP(D1_ENERO_2026[[#This Row],[ASESOR_CRR]],PLANTILLA_ACTUAL[],6,0)</f>
        <v>CALL</v>
      </c>
      <c r="K15" s="68"/>
      <c r="L15" s="59"/>
      <c r="M15" s="5">
        <f>IF(DATA_ENERO_2026[[#This Row],[ASER_]]="","",VLOOKUP(DATA_ENERO_2026[[#This Row],[ASER_]],$B:$G,3,0))</f>
        <v>0.38456249999999997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&gt;0%</v>
      </c>
      <c r="O15" s="58" t="str">
        <f>IFERROR(VLOOKUP(DATA_ENERO_2026[[#This Row],[ASER_]],$B:$G,4,0),"")</f>
        <v>MELINA</v>
      </c>
      <c r="P15" s="6">
        <f>IF(DATA_ENERO_2026[[#This Row],[SUPERVISOR]]="","",VLOOKUP(DATA_ENERO_2026[[#This Row],[ASER_]],$B:$G,6,0))</f>
        <v>18459</v>
      </c>
      <c r="Q15" s="6">
        <f>VLOOKUP(DATA_ENERO_2026[[#This Row],[ASER_]],D1_ENERO_2026[[ASESOR_CRR]:[META]],2,0)</f>
        <v>48000</v>
      </c>
      <c r="R15" t="s">
        <v>208</v>
      </c>
      <c r="S15">
        <v>0</v>
      </c>
      <c r="T15">
        <v>750</v>
      </c>
      <c r="U15">
        <v>0</v>
      </c>
      <c r="V15">
        <v>0</v>
      </c>
      <c r="W15">
        <v>0</v>
      </c>
      <c r="X15">
        <v>4400</v>
      </c>
      <c r="Y15">
        <v>0</v>
      </c>
      <c r="Z15">
        <v>300</v>
      </c>
      <c r="AA15">
        <v>0</v>
      </c>
      <c r="AB15">
        <v>5000</v>
      </c>
      <c r="AC15">
        <v>700</v>
      </c>
      <c r="AD15">
        <v>1090</v>
      </c>
      <c r="AE15">
        <v>219</v>
      </c>
      <c r="AF15">
        <v>2000</v>
      </c>
      <c r="AG15">
        <v>4000</v>
      </c>
      <c r="AH15">
        <v>0</v>
      </c>
      <c r="AI15">
        <v>0</v>
      </c>
      <c r="AJ15">
        <v>0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16" s="37">
        <f>IF(D1_ENERO_2026[[#This Row],[RECUPERO]]="","",VLOOKUP($M$3&amp;$N$3&amp;D1_ENERO_2026[[#This Row],[SUPER]],TablaMeta[],6,0))</f>
        <v>48000</v>
      </c>
      <c r="D16" s="36">
        <f>IFERROR(D1_ENERO_2026[[#This Row],[RECUPERO]]/VLOOKUP($M$3&amp;$N$3&amp;D1_ENERO_2026[[#This Row],[SUPER]],TablaMeta[],6,0),"")</f>
        <v>1.560125</v>
      </c>
      <c r="E16" s="36" t="str">
        <f>IFERROR(VLOOKUP(D1_ENERO_2026[[#This Row],[ASESOR_CRR]],PLANTILLA_ACTUAL[],2,0),"")</f>
        <v>MELINA</v>
      </c>
      <c r="F16" s="35" t="s">
        <v>59</v>
      </c>
      <c r="G16" s="37">
        <v>74886</v>
      </c>
      <c r="H16" s="35" t="str">
        <f>VLOOKUP(D1_ENERO_2026[[#This Row],[ASESOR_CRR]],DIM!$C:$E,2,0)</f>
        <v>60870839</v>
      </c>
      <c r="I16" s="68">
        <f>VLOOKUP(D1_ENERO_2026[[#This Row],[ASESOR_CRR]],DIM!$C:$E,3,0)</f>
        <v>45344</v>
      </c>
      <c r="J16" s="68" t="str">
        <f>VLOOKUP(D1_ENERO_2026[[#This Row],[ASESOR_CRR]],PLANTILLA_ACTUAL[],6,0)</f>
        <v>CALL</v>
      </c>
      <c r="K16" s="68"/>
      <c r="L16" s="59"/>
      <c r="M16" s="5">
        <f>IF(DATA_ENERO_2026[[#This Row],[ASER_]]="","",VLOOKUP(DATA_ENERO_2026[[#This Row],[ASER_]],$B:$G,3,0))</f>
        <v>1.560125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s="58" t="str">
        <f>IFERROR(VLOOKUP(DATA_ENERO_2026[[#This Row],[ASER_]],$B:$G,4,0),"")</f>
        <v>MELINA</v>
      </c>
      <c r="P16" s="6">
        <f>IF(DATA_ENERO_2026[[#This Row],[SUPERVISOR]]="","",VLOOKUP(DATA_ENERO_2026[[#This Row],[ASER_]],$B:$G,6,0))</f>
        <v>74886</v>
      </c>
      <c r="Q16" s="6">
        <f>VLOOKUP(DATA_ENERO_2026[[#This Row],[ASER_]],D1_ENERO_2026[[ASESOR_CRR]:[META]],2,0)</f>
        <v>48000</v>
      </c>
      <c r="R16" t="s">
        <v>59</v>
      </c>
      <c r="S16">
        <v>10000</v>
      </c>
      <c r="T16">
        <v>2700</v>
      </c>
      <c r="U16">
        <v>1650</v>
      </c>
      <c r="V16">
        <v>0</v>
      </c>
      <c r="W16">
        <v>0</v>
      </c>
      <c r="X16">
        <v>10596</v>
      </c>
      <c r="Y16">
        <v>1000</v>
      </c>
      <c r="Z16">
        <v>0</v>
      </c>
      <c r="AA16">
        <v>0</v>
      </c>
      <c r="AB16">
        <v>5200</v>
      </c>
      <c r="AC16">
        <v>2500</v>
      </c>
      <c r="AD16">
        <v>0</v>
      </c>
      <c r="AE16">
        <v>11400</v>
      </c>
      <c r="AF16">
        <v>0</v>
      </c>
      <c r="AG16">
        <v>4000</v>
      </c>
      <c r="AH16">
        <v>11500</v>
      </c>
      <c r="AI16">
        <v>12340</v>
      </c>
      <c r="AJ16">
        <v>2000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17" s="37">
        <f>IF(D1_ENERO_2026[[#This Row],[RECUPERO]]="","",VLOOKUP($M$3&amp;$N$3&amp;D1_ENERO_2026[[#This Row],[SUPER]],TablaMeta[],6,0))</f>
        <v>48000</v>
      </c>
      <c r="D17" s="36">
        <f>IFERROR(D1_ENERO_2026[[#This Row],[RECUPERO]]/VLOOKUP($M$3&amp;$N$3&amp;D1_ENERO_2026[[#This Row],[SUPER]],TablaMeta[],6,0),"")</f>
        <v>1.2647291666666667</v>
      </c>
      <c r="E17" s="36" t="str">
        <f>IFERROR(VLOOKUP(D1_ENERO_2026[[#This Row],[ASESOR_CRR]],PLANTILLA_ACTUAL[],2,0),"")</f>
        <v>MELINA</v>
      </c>
      <c r="F17" s="35" t="s">
        <v>60</v>
      </c>
      <c r="G17" s="37">
        <v>60707</v>
      </c>
      <c r="H17" s="35" t="str">
        <f>VLOOKUP(D1_ENERO_2026[[#This Row],[ASESOR_CRR]],DIM!$C:$E,2,0)</f>
        <v>72839865</v>
      </c>
      <c r="I17" s="68">
        <f>VLOOKUP(D1_ENERO_2026[[#This Row],[ASESOR_CRR]],DIM!$C:$E,3,0)</f>
        <v>45854</v>
      </c>
      <c r="J17" s="68" t="str">
        <f>VLOOKUP(D1_ENERO_2026[[#This Row],[ASESOR_CRR]],PLANTILLA_ACTUAL[],6,0)</f>
        <v>CALL</v>
      </c>
      <c r="K17" s="68"/>
      <c r="L17" s="59"/>
      <c r="M17" s="5">
        <f>IF(DATA_ENERO_2026[[#This Row],[ASER_]]="","",VLOOKUP(DATA_ENERO_2026[[#This Row],[ASER_]],$B:$G,3,0))</f>
        <v>0.82914583333333336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&gt;70%</v>
      </c>
      <c r="O17" s="58" t="str">
        <f>IFERROR(VLOOKUP(DATA_ENERO_2026[[#This Row],[ASER_]],$B:$G,4,0),"")</f>
        <v>MELINA</v>
      </c>
      <c r="P17" s="6">
        <f>IF(DATA_ENERO_2026[[#This Row],[SUPERVISOR]]="","",VLOOKUP(DATA_ENERO_2026[[#This Row],[ASER_]],$B:$G,6,0))</f>
        <v>39799</v>
      </c>
      <c r="Q17" s="6">
        <f>VLOOKUP(DATA_ENERO_2026[[#This Row],[ASER_]],D1_ENERO_2026[[ASESOR_CRR]:[META]],2,0)</f>
        <v>48000</v>
      </c>
      <c r="R17" t="s">
        <v>10</v>
      </c>
      <c r="S17">
        <v>700</v>
      </c>
      <c r="T17">
        <v>8751</v>
      </c>
      <c r="U17">
        <v>0</v>
      </c>
      <c r="V17">
        <v>7000</v>
      </c>
      <c r="W17">
        <v>0</v>
      </c>
      <c r="X17">
        <v>1300</v>
      </c>
      <c r="Y17">
        <v>16100</v>
      </c>
      <c r="Z17">
        <v>0</v>
      </c>
      <c r="AA17">
        <v>0</v>
      </c>
      <c r="AB17">
        <v>2000</v>
      </c>
      <c r="AC17">
        <v>360</v>
      </c>
      <c r="AD17">
        <v>0</v>
      </c>
      <c r="AE17">
        <v>0</v>
      </c>
      <c r="AF17">
        <v>700</v>
      </c>
      <c r="AG17">
        <v>2200</v>
      </c>
      <c r="AH17">
        <v>688</v>
      </c>
      <c r="AI17">
        <v>0</v>
      </c>
      <c r="AJ17">
        <v>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18" s="37">
        <f>IF(D1_ENERO_2026[[#This Row],[RECUPERO]]="","",VLOOKUP($M$3&amp;$N$3&amp;D1_ENERO_2026[[#This Row],[SUPER]],TablaMeta[],6,0))</f>
        <v>48000</v>
      </c>
      <c r="D18" s="36">
        <f>IFERROR(D1_ENERO_2026[[#This Row],[RECUPERO]]/VLOOKUP($M$3&amp;$N$3&amp;D1_ENERO_2026[[#This Row],[SUPER]],TablaMeta[],6,0),"")</f>
        <v>1.1684791666666667</v>
      </c>
      <c r="E18" s="36" t="str">
        <f>IFERROR(VLOOKUP(D1_ENERO_2026[[#This Row],[ASESOR_CRR]],PLANTILLA_ACTUAL[],2,0),"")</f>
        <v>MELINA</v>
      </c>
      <c r="F18" t="s">
        <v>75</v>
      </c>
      <c r="G18" s="3">
        <v>56087</v>
      </c>
      <c r="H18" t="str">
        <f>VLOOKUP(D1_ENERO_2026[[#This Row],[ASESOR_CRR]],DIM!$C:$E,2,0)</f>
        <v>71264767</v>
      </c>
      <c r="I18" s="59">
        <f>VLOOKUP(D1_ENERO_2026[[#This Row],[ASESOR_CRR]],DIM!$C:$E,3,0)</f>
        <v>44714</v>
      </c>
      <c r="J18" s="59" t="str">
        <f>VLOOKUP(D1_ENERO_2026[[#This Row],[ASESOR_CRR]],PLANTILLA_ACTUAL[],6,0)</f>
        <v>CALL</v>
      </c>
      <c r="K18" s="59"/>
      <c r="L18" s="59"/>
      <c r="M18" s="5">
        <f>IF(DATA_ENERO_2026[[#This Row],[ASER_]]="","",VLOOKUP(DATA_ENERO_2026[[#This Row],[ASER_]],$B:$G,3,0))</f>
        <v>0.72329749103942653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&gt;70%</v>
      </c>
      <c r="O18" s="58" t="str">
        <f>IFERROR(VLOOKUP(DATA_ENERO_2026[[#This Row],[ASER_]],$B:$G,4,0),"")</f>
        <v>KENNETH</v>
      </c>
      <c r="P18" s="6">
        <f>IF(DATA_ENERO_2026[[#This Row],[SUPERVISOR]]="","",VLOOKUP(DATA_ENERO_2026[[#This Row],[ASER_]],$B:$G,6,0))</f>
        <v>20180</v>
      </c>
      <c r="Q18" s="6">
        <f>VLOOKUP(DATA_ENERO_2026[[#This Row],[ASER_]],D1_ENERO_2026[[ASESOR_CRR]:[META]],2,0)</f>
        <v>27900</v>
      </c>
      <c r="R18" t="s">
        <v>80</v>
      </c>
      <c r="S18">
        <v>3000</v>
      </c>
      <c r="T18">
        <v>0</v>
      </c>
      <c r="U18">
        <v>8300</v>
      </c>
      <c r="V18">
        <v>0</v>
      </c>
      <c r="W18">
        <v>0</v>
      </c>
      <c r="X18">
        <v>0</v>
      </c>
      <c r="Y18">
        <v>4200</v>
      </c>
      <c r="Z18">
        <v>3710</v>
      </c>
      <c r="AA18">
        <v>0</v>
      </c>
      <c r="AB18">
        <v>700</v>
      </c>
      <c r="AC18">
        <v>270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19" s="37">
        <f>IF(D1_ENERO_2026[[#This Row],[RECUPERO]]="","",VLOOKUP($M$3&amp;$N$3&amp;D1_ENERO_2026[[#This Row],[SUPER]],TablaMeta[],6,0))</f>
        <v>48000</v>
      </c>
      <c r="D19" s="36">
        <f>IFERROR(D1_ENERO_2026[[#This Row],[RECUPERO]]/VLOOKUP($M$3&amp;$N$3&amp;D1_ENERO_2026[[#This Row],[SUPER]],TablaMeta[],6,0),"")</f>
        <v>0.82914583333333336</v>
      </c>
      <c r="E19" s="36" t="str">
        <f>IFERROR(VLOOKUP(D1_ENERO_2026[[#This Row],[ASESOR_CRR]],PLANTILLA_ACTUAL[],2,0),"")</f>
        <v>MELINA</v>
      </c>
      <c r="F19" t="s">
        <v>10</v>
      </c>
      <c r="G19" s="3">
        <v>39799</v>
      </c>
      <c r="H19" t="str">
        <f>VLOOKUP(D1_ENERO_2026[[#This Row],[ASESOR_CRR]],DIM!$C:$E,2,0)</f>
        <v>40980108</v>
      </c>
      <c r="I19" s="59">
        <f>VLOOKUP(D1_ENERO_2026[[#This Row],[ASESOR_CRR]],DIM!$C:$E,3,0)</f>
        <v>44704</v>
      </c>
      <c r="J19" s="59" t="str">
        <f>VLOOKUP(D1_ENERO_2026[[#This Row],[ASESOR_CRR]],PLANTILLA_ACTUAL[],6,0)</f>
        <v>CALL</v>
      </c>
      <c r="K19" s="59"/>
      <c r="L19" s="59"/>
      <c r="M19" s="5">
        <f>IF(DATA_ENERO_2026[[#This Row],[ASER_]]="","",VLOOKUP(DATA_ENERO_2026[[#This Row],[ASER_]],$B:$G,3,0))</f>
        <v>0.12308243727598567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&gt;0%</v>
      </c>
      <c r="O19" s="58" t="str">
        <f>IFERROR(VLOOKUP(DATA_ENERO_2026[[#This Row],[ASER_]],$B:$G,4,0),"")</f>
        <v>KENNETH</v>
      </c>
      <c r="P19" s="6">
        <f>IF(DATA_ENERO_2026[[#This Row],[SUPERVISOR]]="","",VLOOKUP(DATA_ENERO_2026[[#This Row],[ASER_]],$B:$G,6,0))</f>
        <v>3434</v>
      </c>
      <c r="Q19" s="6">
        <f>VLOOKUP(DATA_ENERO_2026[[#This Row],[ASER_]],D1_ENERO_2026[[ASESOR_CRR]:[META]],2,0)</f>
        <v>27900</v>
      </c>
      <c r="R19" t="s">
        <v>37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148</v>
      </c>
      <c r="AA19">
        <v>286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3000</v>
      </c>
      <c r="AO19" t="str">
        <f>VLOOKUP($M$3&amp;$N$3&amp;DATA_ENERO_2026[[#This Row],[SUPERVISOR]],TablaMeta[],7,0)</f>
        <v>S0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20" s="37">
        <f>IF(D1_ENERO_2026[[#This Row],[RECUPERO]]="","",VLOOKUP($M$3&amp;$N$3&amp;D1_ENERO_2026[[#This Row],[SUPER]],TablaMeta[],6,0))</f>
        <v>48000</v>
      </c>
      <c r="D20" s="36">
        <f>IFERROR(D1_ENERO_2026[[#This Row],[RECUPERO]]/VLOOKUP($M$3&amp;$N$3&amp;D1_ENERO_2026[[#This Row],[SUPER]],TablaMeta[],6,0),"")</f>
        <v>0.63322916666666662</v>
      </c>
      <c r="E20" s="36" t="str">
        <f>IFERROR(VLOOKUP(D1_ENERO_2026[[#This Row],[ASESOR_CRR]],PLANTILLA_ACTUAL[],2,0),"")</f>
        <v>MELINA</v>
      </c>
      <c r="F20" t="s">
        <v>12</v>
      </c>
      <c r="G20" s="3">
        <v>30395</v>
      </c>
      <c r="H20" t="str">
        <f>VLOOKUP(D1_ENERO_2026[[#This Row],[ASESOR_CRR]],DIM!$C:$E,2,0)</f>
        <v>45262585</v>
      </c>
      <c r="I20" s="59">
        <f>VLOOKUP(D1_ENERO_2026[[#This Row],[ASESOR_CRR]],DIM!$C:$E,3,0)</f>
        <v>44868</v>
      </c>
      <c r="J20" s="59" t="str">
        <f>VLOOKUP(D1_ENERO_2026[[#This Row],[ASESOR_CRR]],PLANTILLA_ACTUAL[],6,0)</f>
        <v>CALL</v>
      </c>
      <c r="K20" s="59"/>
      <c r="L20" s="59"/>
      <c r="M20" s="5">
        <f>IF(DATA_ENERO_2026[[#This Row],[ASER_]]="","",VLOOKUP(DATA_ENERO_2026[[#This Row],[ASER_]],$B:$G,3,0))</f>
        <v>1.4117562724014336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s="58" t="str">
        <f>IFERROR(VLOOKUP(DATA_ENERO_2026[[#This Row],[ASER_]],$B:$G,4,0),"")</f>
        <v>KENNETH</v>
      </c>
      <c r="P20" s="6">
        <f>IF(DATA_ENERO_2026[[#This Row],[SUPERVISOR]]="","",VLOOKUP(DATA_ENERO_2026[[#This Row],[ASER_]],$B:$G,6,0))</f>
        <v>39388</v>
      </c>
      <c r="Q20" s="6">
        <f>VLOOKUP(DATA_ENERO_2026[[#This Row],[ASER_]],D1_ENERO_2026[[ASESOR_CRR]:[META]],2,0)</f>
        <v>27900</v>
      </c>
      <c r="R20" t="s">
        <v>34</v>
      </c>
      <c r="S20">
        <v>500</v>
      </c>
      <c r="T20">
        <v>5500</v>
      </c>
      <c r="U20">
        <v>8500</v>
      </c>
      <c r="V20">
        <v>3313</v>
      </c>
      <c r="W20">
        <v>0</v>
      </c>
      <c r="X20">
        <v>0</v>
      </c>
      <c r="Y20">
        <v>0</v>
      </c>
      <c r="Z20">
        <v>500</v>
      </c>
      <c r="AA20">
        <v>4500</v>
      </c>
      <c r="AB20">
        <v>575</v>
      </c>
      <c r="AC20">
        <v>0</v>
      </c>
      <c r="AD20">
        <v>8300</v>
      </c>
      <c r="AE20">
        <v>200</v>
      </c>
      <c r="AF20">
        <v>5000</v>
      </c>
      <c r="AG20">
        <v>500</v>
      </c>
      <c r="AH20">
        <v>2000</v>
      </c>
      <c r="AI20">
        <v>0</v>
      </c>
      <c r="AJ20">
        <v>0</v>
      </c>
      <c r="AO20" t="str">
        <f>VLOOKUP($M$3&amp;$N$3&amp;DATA_ENERO_2026[[#This Row],[SUPERVISOR]],TablaMeta[],7,0)</f>
        <v>S0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MELINA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21" s="37">
        <f>IF(D1_ENERO_2026[[#This Row],[RECUPERO]]="","",VLOOKUP($M$3&amp;$N$3&amp;D1_ENERO_2026[[#This Row],[SUPER]],TablaMeta[],6,0))</f>
        <v>48000</v>
      </c>
      <c r="D21" s="36">
        <f>IFERROR(D1_ENERO_2026[[#This Row],[RECUPERO]]/VLOOKUP($M$3&amp;$N$3&amp;D1_ENERO_2026[[#This Row],[SUPER]],TablaMeta[],6,0),"")</f>
        <v>0.58239583333333333</v>
      </c>
      <c r="E21" s="36" t="str">
        <f>IFERROR(VLOOKUP(D1_ENERO_2026[[#This Row],[ASESOR_CRR]],PLANTILLA_ACTUAL[],2,0),"")</f>
        <v>MELINA</v>
      </c>
      <c r="F21" t="s">
        <v>18</v>
      </c>
      <c r="G21" s="3">
        <v>27955</v>
      </c>
      <c r="H21" t="str">
        <f>VLOOKUP(D1_ENERO_2026[[#This Row],[ASESOR_CRR]],DIM!$C:$E,2,0)</f>
        <v>76214436</v>
      </c>
      <c r="I21" s="59">
        <f>VLOOKUP(D1_ENERO_2026[[#This Row],[ASESOR_CRR]],DIM!$C:$E,3,0)</f>
        <v>45132</v>
      </c>
      <c r="J21" s="59" t="str">
        <f>VLOOKUP(D1_ENERO_2026[[#This Row],[ASESOR_CRR]],PLANTILLA_ACTUAL[],6,0)</f>
        <v>CALL</v>
      </c>
      <c r="K21" s="59"/>
      <c r="L21" s="59"/>
      <c r="M21" s="5">
        <f>IF(DATA_ENERO_2026[[#This Row],[ASER_]]="","",VLOOKUP(DATA_ENERO_2026[[#This Row],[ASER_]],$B:$G,3,0))</f>
        <v>0.26530465949820786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&gt;0%</v>
      </c>
      <c r="O21" s="58" t="str">
        <f>IFERROR(VLOOKUP(DATA_ENERO_2026[[#This Row],[ASER_]],$B:$G,4,0),"")</f>
        <v>KENNETH</v>
      </c>
      <c r="P21" s="6">
        <f>IF(DATA_ENERO_2026[[#This Row],[SUPERVISOR]]="","",VLOOKUP(DATA_ENERO_2026[[#This Row],[ASER_]],$B:$G,6,0))</f>
        <v>7402</v>
      </c>
      <c r="Q21" s="6">
        <f>VLOOKUP(DATA_ENERO_2026[[#This Row],[ASER_]],D1_ENERO_2026[[ASESOR_CRR]:[META]],2,0)</f>
        <v>27900</v>
      </c>
      <c r="R21" t="s">
        <v>35</v>
      </c>
      <c r="S21">
        <v>0</v>
      </c>
      <c r="T21">
        <v>800</v>
      </c>
      <c r="U21">
        <v>350</v>
      </c>
      <c r="V21">
        <v>0</v>
      </c>
      <c r="W21">
        <v>0</v>
      </c>
      <c r="X21">
        <v>257</v>
      </c>
      <c r="Y21">
        <v>370</v>
      </c>
      <c r="Z21">
        <v>500</v>
      </c>
      <c r="AA21">
        <v>115</v>
      </c>
      <c r="AB21">
        <v>0</v>
      </c>
      <c r="AC21">
        <v>0</v>
      </c>
      <c r="AD21">
        <v>0</v>
      </c>
      <c r="AE21">
        <v>0</v>
      </c>
      <c r="AF21">
        <v>50</v>
      </c>
      <c r="AG21">
        <v>3960</v>
      </c>
      <c r="AH21">
        <v>0</v>
      </c>
      <c r="AI21">
        <v>1000</v>
      </c>
      <c r="AJ21">
        <v>0</v>
      </c>
      <c r="AO21" t="str">
        <f>VLOOKUP($M$3&amp;$N$3&amp;DATA_ENERO_2026[[#This Row],[SUPERVISOR]],TablaMeta[],7,0)</f>
        <v>S0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22" s="37">
        <f>IF(D1_ENERO_2026[[#This Row],[RECUPERO]]="","",VLOOKUP($M$3&amp;$N$3&amp;D1_ENERO_2026[[#This Row],[SUPER]],TablaMeta[],6,0))</f>
        <v>48000</v>
      </c>
      <c r="D22" s="36">
        <f>IFERROR(D1_ENERO_2026[[#This Row],[RECUPERO]]/VLOOKUP($M$3&amp;$N$3&amp;D1_ENERO_2026[[#This Row],[SUPER]],TablaMeta[],6,0),"")</f>
        <v>0.40135416666666668</v>
      </c>
      <c r="E22" s="36" t="str">
        <f>IFERROR(VLOOKUP(D1_ENERO_2026[[#This Row],[ASESOR_CRR]],PLANTILLA_ACTUAL[],2,0),"")</f>
        <v>MELINA</v>
      </c>
      <c r="F22" t="s">
        <v>122</v>
      </c>
      <c r="G22" s="3">
        <v>19265</v>
      </c>
      <c r="H22" t="str">
        <f>VLOOKUP(D1_ENERO_2026[[#This Row],[ASESOR_CRR]],DIM!$C:$E,2,0)</f>
        <v>76586998</v>
      </c>
      <c r="I22" s="59">
        <f>VLOOKUP(D1_ENERO_2026[[#This Row],[ASESOR_CRR]],DIM!$C:$E,3,0)</f>
        <v>45971</v>
      </c>
      <c r="J22" s="59" t="str">
        <f>VLOOKUP(D1_ENERO_2026[[#This Row],[ASESOR_CRR]],PLANTILLA_ACTUAL[],6,0)</f>
        <v>CALL</v>
      </c>
      <c r="K22" s="59"/>
      <c r="L22" s="59"/>
      <c r="M22" s="5">
        <f>IF(DATA_ENERO_2026[[#This Row],[ASER_]]="","",VLOOKUP(DATA_ENERO_2026[[#This Row],[ASER_]],$B:$G,3,0))</f>
        <v>1.2525089605734767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&gt;100%</v>
      </c>
      <c r="O22" s="58" t="str">
        <f>IFERROR(VLOOKUP(DATA_ENERO_2026[[#This Row],[ASER_]],$B:$G,4,0),"")</f>
        <v>KENNETH</v>
      </c>
      <c r="P22" s="6">
        <f>IF(DATA_ENERO_2026[[#This Row],[SUPERVISOR]]="","",VLOOKUP(DATA_ENERO_2026[[#This Row],[ASER_]],$B:$G,6,0))</f>
        <v>34945</v>
      </c>
      <c r="Q22" s="6">
        <f>VLOOKUP(DATA_ENERO_2026[[#This Row],[ASER_]],D1_ENERO_2026[[ASESOR_CRR]:[META]],2,0)</f>
        <v>27900</v>
      </c>
      <c r="R22" t="s">
        <v>19</v>
      </c>
      <c r="S22">
        <v>0</v>
      </c>
      <c r="T22">
        <v>0</v>
      </c>
      <c r="U22">
        <v>0</v>
      </c>
      <c r="V22">
        <v>3200</v>
      </c>
      <c r="W22">
        <v>500</v>
      </c>
      <c r="X22">
        <v>2000</v>
      </c>
      <c r="Y22">
        <v>7000</v>
      </c>
      <c r="Z22">
        <v>5000</v>
      </c>
      <c r="AA22">
        <v>3250</v>
      </c>
      <c r="AB22">
        <v>0</v>
      </c>
      <c r="AC22">
        <v>2495</v>
      </c>
      <c r="AD22">
        <v>250</v>
      </c>
      <c r="AE22">
        <v>3000</v>
      </c>
      <c r="AF22">
        <v>8000</v>
      </c>
      <c r="AG22">
        <v>250</v>
      </c>
      <c r="AH22">
        <v>0</v>
      </c>
      <c r="AI22">
        <v>0</v>
      </c>
      <c r="AJ22">
        <v>0</v>
      </c>
      <c r="AO22" t="str">
        <f>VLOOKUP($M$3&amp;$N$3&amp;DATA_ENERO_2026[[#This Row],[SUPERVISOR]],TablaMeta[],7,0)</f>
        <v>S0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23" s="37">
        <f>IF(D1_ENERO_2026[[#This Row],[RECUPERO]]="","",VLOOKUP($M$3&amp;$N$3&amp;D1_ENERO_2026[[#This Row],[SUPER]],TablaMeta[],6,0))</f>
        <v>48000</v>
      </c>
      <c r="D23" s="36">
        <f>IFERROR(D1_ENERO_2026[[#This Row],[RECUPERO]]/VLOOKUP($M$3&amp;$N$3&amp;D1_ENERO_2026[[#This Row],[SUPER]],TablaMeta[],6,0),"")</f>
        <v>0.38456249999999997</v>
      </c>
      <c r="E23" s="36" t="str">
        <f>IFERROR(VLOOKUP(D1_ENERO_2026[[#This Row],[ASESOR_CRR]],PLANTILLA_ACTUAL[],2,0),"")</f>
        <v>MELINA</v>
      </c>
      <c r="F23" t="s">
        <v>208</v>
      </c>
      <c r="G23" s="3">
        <v>18459</v>
      </c>
      <c r="H23" t="str">
        <f>VLOOKUP(D1_ENERO_2026[[#This Row],[ASESOR_CRR]],DIM!$C:$E,2,0)</f>
        <v>47497410</v>
      </c>
      <c r="I23" s="59">
        <f>VLOOKUP(D1_ENERO_2026[[#This Row],[ASESOR_CRR]],DIM!$C:$E,3,0)</f>
        <v>46024</v>
      </c>
      <c r="J23" s="59" t="str">
        <f>VLOOKUP(D1_ENERO_2026[[#This Row],[ASESOR_CRR]],PLANTILLA_ACTUAL[],6,0)</f>
        <v>CALL</v>
      </c>
      <c r="K23" s="59"/>
      <c r="L23" s="59"/>
      <c r="M23" s="5">
        <f>IF(DATA_ENERO_2026[[#This Row],[ASER_]]="","",VLOOKUP(DATA_ENERO_2026[[#This Row],[ASER_]],$B:$G,3,0))</f>
        <v>1.4754121863799283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s="58" t="str">
        <f>IFERROR(VLOOKUP(DATA_ENERO_2026[[#This Row],[ASER_]],$B:$G,4,0),"")</f>
        <v>KENNETH</v>
      </c>
      <c r="P23" s="6">
        <f>IF(DATA_ENERO_2026[[#This Row],[SUPERVISOR]]="","",VLOOKUP(DATA_ENERO_2026[[#This Row],[ASER_]],$B:$G,6,0))</f>
        <v>41164</v>
      </c>
      <c r="Q23" s="6">
        <f>VLOOKUP(DATA_ENERO_2026[[#This Row],[ASER_]],D1_ENERO_2026[[ASESOR_CRR]:[META]],2,0)</f>
        <v>27900</v>
      </c>
      <c r="R23" t="s">
        <v>81</v>
      </c>
      <c r="S23">
        <v>0</v>
      </c>
      <c r="T23">
        <v>0</v>
      </c>
      <c r="U23">
        <v>0</v>
      </c>
      <c r="V23">
        <v>0</v>
      </c>
      <c r="W23">
        <v>0</v>
      </c>
      <c r="X23">
        <v>28574</v>
      </c>
      <c r="Y23">
        <v>0</v>
      </c>
      <c r="Z23">
        <v>3925</v>
      </c>
      <c r="AA23">
        <v>0</v>
      </c>
      <c r="AB23">
        <v>500</v>
      </c>
      <c r="AC23">
        <v>1400</v>
      </c>
      <c r="AD23">
        <v>0</v>
      </c>
      <c r="AE23">
        <v>93</v>
      </c>
      <c r="AF23">
        <v>172</v>
      </c>
      <c r="AG23">
        <v>2500</v>
      </c>
      <c r="AH23">
        <v>0</v>
      </c>
      <c r="AI23">
        <v>4000</v>
      </c>
      <c r="AJ23">
        <v>0</v>
      </c>
      <c r="AO23" t="str">
        <f>VLOOKUP($M$3&amp;$N$3&amp;DATA_ENERO_2026[[#This Row],[SUPERVISOR]],TablaMeta[],7,0)</f>
        <v>S0</v>
      </c>
      <c r="BI23" s="46"/>
    </row>
    <row r="24" spans="1:68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24" s="37">
        <f>IF(D1_ENERO_2026[[#This Row],[RECUPERO]]="","",VLOOKUP($M$3&amp;$N$3&amp;D1_ENERO_2026[[#This Row],[SUPER]],TablaMeta[],6,0))</f>
        <v>48000</v>
      </c>
      <c r="D24" s="36">
        <f>IFERROR(D1_ENERO_2026[[#This Row],[RECUPERO]]/VLOOKUP($M$3&amp;$N$3&amp;D1_ENERO_2026[[#This Row],[SUPER]],TablaMeta[],6,0),"")</f>
        <v>0.23666666666666666</v>
      </c>
      <c r="E24" s="36" t="str">
        <f>IFERROR(VLOOKUP(D1_ENERO_2026[[#This Row],[ASESOR_CRR]],PLANTILLA_ACTUAL[],2,0),"")</f>
        <v>MELINA</v>
      </c>
      <c r="F24" t="s">
        <v>72</v>
      </c>
      <c r="G24" s="3">
        <v>11360</v>
      </c>
      <c r="H24" t="str">
        <f>VLOOKUP(D1_ENERO_2026[[#This Row],[ASESOR_CRR]],DIM!$C:$E,2,0)</f>
        <v>47690367</v>
      </c>
      <c r="I24" s="59">
        <f>VLOOKUP(D1_ENERO_2026[[#This Row],[ASESOR_CRR]],DIM!$C:$E,3,0)</f>
        <v>45691</v>
      </c>
      <c r="J24" s="59" t="str">
        <f>VLOOKUP(D1_ENERO_2026[[#This Row],[ASESOR_CRR]],PLANTILLA_ACTUAL[],6,0)</f>
        <v>CALL</v>
      </c>
      <c r="K24" s="59"/>
      <c r="L24" s="59"/>
      <c r="M24" s="5">
        <f>IF(DATA_ENERO_2026[[#This Row],[ASER_]]="","",VLOOKUP(DATA_ENERO_2026[[#This Row],[ASER_]],$B:$G,3,0))</f>
        <v>1.226989247311828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s="58" t="str">
        <f>IFERROR(VLOOKUP(DATA_ENERO_2026[[#This Row],[ASER_]],$B:$G,4,0),"")</f>
        <v>KENNETH</v>
      </c>
      <c r="P24" s="6">
        <f>IF(DATA_ENERO_2026[[#This Row],[SUPERVISOR]]="","",VLOOKUP(DATA_ENERO_2026[[#This Row],[ASER_]],$B:$G,6,0))</f>
        <v>34233</v>
      </c>
      <c r="Q24" s="6">
        <f>VLOOKUP(DATA_ENERO_2026[[#This Row],[ASER_]],D1_ENERO_2026[[ASESOR_CRR]:[META]],2,0)</f>
        <v>27900</v>
      </c>
      <c r="R24" t="s">
        <v>50</v>
      </c>
      <c r="S24">
        <v>13500</v>
      </c>
      <c r="T24">
        <v>350</v>
      </c>
      <c r="U24">
        <v>0</v>
      </c>
      <c r="V24">
        <v>0</v>
      </c>
      <c r="W24">
        <v>0</v>
      </c>
      <c r="X24">
        <v>0</v>
      </c>
      <c r="Y24">
        <v>8485</v>
      </c>
      <c r="Z24">
        <v>6750</v>
      </c>
      <c r="AA24">
        <v>4500</v>
      </c>
      <c r="AB24">
        <v>648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O24" t="str">
        <f>VLOOKUP($M$3&amp;$N$3&amp;DATA_ENERO_2026[[#This Row],[SUPERVISOR]],TablaMeta[],7,0)</f>
        <v>S0</v>
      </c>
      <c r="BM24" s="46"/>
    </row>
    <row r="25" spans="1:68" x14ac:dyDescent="0.25">
      <c r="A25" s="35" t="str">
        <f>IFERROR(VLOOKUP(D1_ENERO_2026[[#This Row],[ASESOR_CRR]],PLANTILLA_ACTUAL[],2,0),"")</f>
        <v>SANDY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25" s="37">
        <f>IF(D1_ENERO_2026[[#This Row],[RECUPERO]]="","",VLOOKUP($M$3&amp;$N$3&amp;D1_ENERO_2026[[#This Row],[SUPER]],TablaMeta[],6,0))</f>
        <v>48000</v>
      </c>
      <c r="D25" s="36">
        <f>IFERROR(D1_ENERO_2026[[#This Row],[RECUPERO]]/VLOOKUP($M$3&amp;$N$3&amp;D1_ENERO_2026[[#This Row],[SUPER]],TablaMeta[],6,0),"")</f>
        <v>1.7793749999999999</v>
      </c>
      <c r="E25" s="36" t="str">
        <f>IFERROR(VLOOKUP(D1_ENERO_2026[[#This Row],[ASESOR_CRR]],PLANTILLA_ACTUAL[],2,0),"")</f>
        <v>SANDY</v>
      </c>
      <c r="F25" t="s">
        <v>32</v>
      </c>
      <c r="G25" s="3">
        <v>85410</v>
      </c>
      <c r="H25" t="str">
        <f>VLOOKUP(D1_ENERO_2026[[#This Row],[ASESOR_CRR]],DIM!$C:$E,2,0)</f>
        <v>48584670</v>
      </c>
      <c r="I25" s="59">
        <f>VLOOKUP(D1_ENERO_2026[[#This Row],[ASESOR_CRR]],DIM!$C:$E,3,0)</f>
        <v>45526</v>
      </c>
      <c r="J25" s="59" t="str">
        <f>VLOOKUP(D1_ENERO_2026[[#This Row],[ASESOR_CRR]],PLANTILLA_ACTUAL[],6,0)</f>
        <v>CALL</v>
      </c>
      <c r="K25" s="59"/>
      <c r="L25" s="59"/>
      <c r="M25" s="5">
        <f>IF(DATA_ENERO_2026[[#This Row],[ASER_]]="","",VLOOKUP(DATA_ENERO_2026[[#This Row],[ASER_]],$B:$G,3,0))</f>
        <v>1.1614695340501793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&gt;100%</v>
      </c>
      <c r="O25" s="58" t="str">
        <f>IFERROR(VLOOKUP(DATA_ENERO_2026[[#This Row],[ASER_]],$B:$G,4,0),"")</f>
        <v>KENNETH</v>
      </c>
      <c r="P25" s="6">
        <f>IF(DATA_ENERO_2026[[#This Row],[SUPERVISOR]]="","",VLOOKUP(DATA_ENERO_2026[[#This Row],[ASER_]],$B:$G,6,0))</f>
        <v>32405</v>
      </c>
      <c r="Q25" s="6">
        <f>VLOOKUP(DATA_ENERO_2026[[#This Row],[ASER_]],D1_ENERO_2026[[ASESOR_CRR]:[META]],2,0)</f>
        <v>27900</v>
      </c>
      <c r="R25" t="s">
        <v>105</v>
      </c>
      <c r="U25">
        <v>0</v>
      </c>
      <c r="V25">
        <v>0</v>
      </c>
      <c r="W25">
        <v>20000</v>
      </c>
      <c r="X25">
        <v>600</v>
      </c>
      <c r="Y25">
        <v>0</v>
      </c>
      <c r="Z25">
        <v>0</v>
      </c>
      <c r="AA25">
        <v>0</v>
      </c>
      <c r="AB25">
        <v>605</v>
      </c>
      <c r="AC25">
        <v>0</v>
      </c>
      <c r="AD25">
        <v>1000</v>
      </c>
      <c r="AE25">
        <v>0</v>
      </c>
      <c r="AF25">
        <v>0</v>
      </c>
      <c r="AG25">
        <v>0</v>
      </c>
      <c r="AH25">
        <v>0</v>
      </c>
      <c r="AI25">
        <v>200</v>
      </c>
      <c r="AJ25">
        <v>10000</v>
      </c>
      <c r="AO25" t="str">
        <f>VLOOKUP($M$3&amp;$N$3&amp;DATA_ENERO_2026[[#This Row],[SUPERVISOR]],TablaMeta[],7,0)</f>
        <v>S0</v>
      </c>
    </row>
    <row r="26" spans="1:68" x14ac:dyDescent="0.25">
      <c r="A26" s="35" t="str">
        <f>IFERROR(VLOOKUP(D1_ENERO_2026[[#This Row],[ASESOR_CRR]],PLANTILLA_ACTUAL[],2,0),"")</f>
        <v>SANDY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26" s="37">
        <f>IF(D1_ENERO_2026[[#This Row],[RECUPERO]]="","",VLOOKUP($M$3&amp;$N$3&amp;D1_ENERO_2026[[#This Row],[SUPER]],TablaMeta[],6,0))</f>
        <v>48000</v>
      </c>
      <c r="D26" s="36">
        <f>IFERROR(D1_ENERO_2026[[#This Row],[RECUPERO]]/VLOOKUP($M$3&amp;$N$3&amp;D1_ENERO_2026[[#This Row],[SUPER]],TablaMeta[],6,0),"")</f>
        <v>1.1633333333333333</v>
      </c>
      <c r="E26" s="36" t="str">
        <f>IFERROR(VLOOKUP(D1_ENERO_2026[[#This Row],[ASESOR_CRR]],PLANTILLA_ACTUAL[],2,0),"")</f>
        <v>SANDY</v>
      </c>
      <c r="F26" t="s">
        <v>96</v>
      </c>
      <c r="G26" s="3">
        <v>55840</v>
      </c>
      <c r="H26" t="str">
        <f>VLOOKUP(D1_ENERO_2026[[#This Row],[ASESOR_CRR]],DIM!$C:$E,2,0)</f>
        <v>46793103</v>
      </c>
      <c r="I26" s="59">
        <f>VLOOKUP(D1_ENERO_2026[[#This Row],[ASESOR_CRR]],DIM!$C:$E,3,0)</f>
        <v>45882</v>
      </c>
      <c r="J26" s="59" t="str">
        <f>VLOOKUP(D1_ENERO_2026[[#This Row],[ASESOR_CRR]],PLANTILLA_ACTUAL[],6,0)</f>
        <v>CALL</v>
      </c>
      <c r="K26" s="59"/>
      <c r="L26" s="59"/>
      <c r="M26" s="5">
        <f>IF(DATA_ENERO_2026[[#This Row],[ASER_]]="","",VLOOKUP(DATA_ENERO_2026[[#This Row],[ASER_]],$B:$G,3,0))</f>
        <v>1.26831541218638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&gt;100%</v>
      </c>
      <c r="O26" s="58" t="str">
        <f>IFERROR(VLOOKUP(DATA_ENERO_2026[[#This Row],[ASER_]],$B:$G,4,0),"")</f>
        <v>KENNETH</v>
      </c>
      <c r="P26" s="6">
        <f>IF(DATA_ENERO_2026[[#This Row],[SUPERVISOR]]="","",VLOOKUP(DATA_ENERO_2026[[#This Row],[ASER_]],$B:$G,6,0))</f>
        <v>35386</v>
      </c>
      <c r="Q26" s="6">
        <f>VLOOKUP(DATA_ENERO_2026[[#This Row],[ASER_]],D1_ENERO_2026[[ASESOR_CRR]:[META]],2,0)</f>
        <v>27900</v>
      </c>
      <c r="R26" t="s">
        <v>26</v>
      </c>
      <c r="S26">
        <v>1500</v>
      </c>
      <c r="T26">
        <v>0</v>
      </c>
      <c r="U26">
        <v>3500</v>
      </c>
      <c r="V26">
        <v>950</v>
      </c>
      <c r="W26">
        <v>0</v>
      </c>
      <c r="X26">
        <v>0</v>
      </c>
      <c r="Y26">
        <v>0</v>
      </c>
      <c r="Z26">
        <v>0</v>
      </c>
      <c r="AA26">
        <v>0</v>
      </c>
      <c r="AB26">
        <v>1263</v>
      </c>
      <c r="AC26">
        <v>2000</v>
      </c>
      <c r="AD26">
        <v>0</v>
      </c>
      <c r="AE26">
        <v>0</v>
      </c>
      <c r="AF26">
        <v>5850</v>
      </c>
      <c r="AG26">
        <v>3300</v>
      </c>
      <c r="AH26">
        <v>0</v>
      </c>
      <c r="AI26">
        <v>0</v>
      </c>
      <c r="AJ26">
        <v>17023</v>
      </c>
      <c r="AO26" t="str">
        <f>VLOOKUP($M$3&amp;$N$3&amp;DATA_ENERO_2026[[#This Row],[SUPERVISOR]],TablaMeta[],7,0)</f>
        <v>S0</v>
      </c>
    </row>
    <row r="27" spans="1:68" x14ac:dyDescent="0.25">
      <c r="A27" s="35" t="str">
        <f>IFERROR(VLOOKUP(D1_ENERO_2026[[#This Row],[ASESOR_CRR]],PLANTILLA_ACTUAL[],2,0),"")</f>
        <v>SANDY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27" s="37">
        <f>IF(D1_ENERO_2026[[#This Row],[RECUPERO]]="","",VLOOKUP($M$3&amp;$N$3&amp;D1_ENERO_2026[[#This Row],[SUPER]],TablaMeta[],6,0))</f>
        <v>48000</v>
      </c>
      <c r="D27" s="36">
        <f>IFERROR(D1_ENERO_2026[[#This Row],[RECUPERO]]/VLOOKUP($M$3&amp;$N$3&amp;D1_ENERO_2026[[#This Row],[SUPER]],TablaMeta[],6,0),"")</f>
        <v>1.1081458333333334</v>
      </c>
      <c r="E27" s="36" t="str">
        <f>IFERROR(VLOOKUP(D1_ENERO_2026[[#This Row],[ASESOR_CRR]],PLANTILLA_ACTUAL[],2,0),"")</f>
        <v>SANDY</v>
      </c>
      <c r="F27" t="s">
        <v>23</v>
      </c>
      <c r="G27" s="3">
        <v>53191</v>
      </c>
      <c r="H27" t="str">
        <f>VLOOKUP(D1_ENERO_2026[[#This Row],[ASESOR_CRR]],DIM!$C:$E,2,0)</f>
        <v>72413556</v>
      </c>
      <c r="I27" s="59">
        <f>VLOOKUP(D1_ENERO_2026[[#This Row],[ASESOR_CRR]],DIM!$C:$E,3,0)</f>
        <v>44109</v>
      </c>
      <c r="J27" s="59" t="str">
        <f>VLOOKUP(D1_ENERO_2026[[#This Row],[ASESOR_CRR]],PLANTILLA_ACTUAL[],6,0)</f>
        <v>CALL</v>
      </c>
      <c r="K27" s="59"/>
      <c r="L27" s="59"/>
      <c r="M27" s="5">
        <f>IF(DATA_ENERO_2026[[#This Row],[ASER_]]="","",VLOOKUP(DATA_ENERO_2026[[#This Row],[ASER_]],$B:$G,3,0))</f>
        <v>0.99982078853046596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s="58" t="str">
        <f>IFERROR(VLOOKUP(DATA_ENERO_2026[[#This Row],[ASER_]],$B:$G,4,0),"")</f>
        <v>KENNETH</v>
      </c>
      <c r="P27" s="6">
        <f>IF(DATA_ENERO_2026[[#This Row],[SUPERVISOR]]="","",VLOOKUP(DATA_ENERO_2026[[#This Row],[ASER_]],$B:$G,6,0))</f>
        <v>27895</v>
      </c>
      <c r="Q27" s="6">
        <f>VLOOKUP(DATA_ENERO_2026[[#This Row],[ASER_]],D1_ENERO_2026[[ASESOR_CRR]:[META]],2,0)</f>
        <v>27900</v>
      </c>
      <c r="R27" t="s">
        <v>11</v>
      </c>
      <c r="S27" s="46">
        <v>3300</v>
      </c>
      <c r="T27">
        <v>1500</v>
      </c>
      <c r="U27">
        <v>0</v>
      </c>
      <c r="V27">
        <v>0</v>
      </c>
      <c r="W27">
        <v>675</v>
      </c>
      <c r="X27">
        <v>0</v>
      </c>
      <c r="Y27">
        <v>0</v>
      </c>
      <c r="Z27">
        <v>0</v>
      </c>
      <c r="AA27">
        <v>13500</v>
      </c>
      <c r="AB27">
        <v>2150</v>
      </c>
      <c r="AC27">
        <v>1720</v>
      </c>
      <c r="AD27">
        <v>0</v>
      </c>
      <c r="AE27">
        <v>0</v>
      </c>
      <c r="AF27">
        <v>500</v>
      </c>
      <c r="AG27">
        <v>0</v>
      </c>
      <c r="AH27">
        <v>1000</v>
      </c>
      <c r="AI27">
        <v>0</v>
      </c>
      <c r="AJ27">
        <v>3550</v>
      </c>
      <c r="AO27" t="str">
        <f>VLOOKUP($M$3&amp;$N$3&amp;DATA_ENERO_2026[[#This Row],[SUPERVISOR]],TablaMeta[],7,0)</f>
        <v>S0</v>
      </c>
    </row>
    <row r="28" spans="1:68" x14ac:dyDescent="0.25">
      <c r="A28" s="35" t="str">
        <f>IFERROR(VLOOKUP(D1_ENERO_2026[[#This Row],[ASESOR_CRR]],PLANTILLA_ACTUAL[],2,0),"")</f>
        <v>SANDY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28" s="37">
        <f>IF(D1_ENERO_2026[[#This Row],[RECUPERO]]="","",VLOOKUP($M$3&amp;$N$3&amp;D1_ENERO_2026[[#This Row],[SUPER]],TablaMeta[],6,0))</f>
        <v>48000</v>
      </c>
      <c r="D28" s="36">
        <f>IFERROR(D1_ENERO_2026[[#This Row],[RECUPERO]]/VLOOKUP($M$3&amp;$N$3&amp;D1_ENERO_2026[[#This Row],[SUPER]],TablaMeta[],6,0),"")</f>
        <v>0.88131250000000005</v>
      </c>
      <c r="E28" s="36" t="str">
        <f>IFERROR(VLOOKUP(D1_ENERO_2026[[#This Row],[ASESOR_CRR]],PLANTILLA_ACTUAL[],2,0),"")</f>
        <v>SANDY</v>
      </c>
      <c r="F28" t="s">
        <v>31</v>
      </c>
      <c r="G28" s="3">
        <v>42303</v>
      </c>
      <c r="H28" t="str">
        <f>VLOOKUP(D1_ENERO_2026[[#This Row],[ASESOR_CRR]],DIM!$C:$E,2,0)</f>
        <v>75882265</v>
      </c>
      <c r="I28" s="59">
        <f>VLOOKUP(D1_ENERO_2026[[#This Row],[ASESOR_CRR]],DIM!$C:$E,3,0)</f>
        <v>45334</v>
      </c>
      <c r="J28" s="59" t="str">
        <f>VLOOKUP(D1_ENERO_2026[[#This Row],[ASESOR_CRR]],PLANTILLA_ACTUAL[],6,0)</f>
        <v>CALL</v>
      </c>
      <c r="K28" s="59"/>
      <c r="L28" s="59"/>
      <c r="M28" s="5">
        <f>IF(DATA_ENERO_2026[[#This Row],[ASER_]]="","",VLOOKUP(DATA_ENERO_2026[[#This Row],[ASER_]],$B:$G,3,0))</f>
        <v>0.88131250000000005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s="58" t="str">
        <f>IFERROR(VLOOKUP(DATA_ENERO_2026[[#This Row],[ASER_]],$B:$G,4,0),"")</f>
        <v>SANDY</v>
      </c>
      <c r="P28" s="6">
        <f>IF(DATA_ENERO_2026[[#This Row],[SUPERVISOR]]="","",VLOOKUP(DATA_ENERO_2026[[#This Row],[ASER_]],$B:$G,6,0))</f>
        <v>42303</v>
      </c>
      <c r="Q28" s="6">
        <f>VLOOKUP(DATA_ENERO_2026[[#This Row],[ASER_]],D1_ENERO_2026[[ASESOR_CRR]:[META]],2,0)</f>
        <v>48000</v>
      </c>
      <c r="R28" t="s">
        <v>31</v>
      </c>
      <c r="S28" s="46">
        <v>2000</v>
      </c>
      <c r="T28">
        <v>6300</v>
      </c>
      <c r="U28">
        <v>0</v>
      </c>
      <c r="V28">
        <v>0</v>
      </c>
      <c r="W28">
        <v>0</v>
      </c>
      <c r="X28">
        <v>11500</v>
      </c>
      <c r="Y28">
        <v>0</v>
      </c>
      <c r="Z28">
        <v>1500</v>
      </c>
      <c r="AA28">
        <v>2220</v>
      </c>
      <c r="AB28">
        <v>3000</v>
      </c>
      <c r="AC28">
        <v>0</v>
      </c>
      <c r="AD28">
        <v>0</v>
      </c>
      <c r="AE28">
        <v>0</v>
      </c>
      <c r="AF28">
        <v>0</v>
      </c>
      <c r="AG28">
        <v>7225</v>
      </c>
      <c r="AH28">
        <v>1558</v>
      </c>
      <c r="AI28">
        <v>2500</v>
      </c>
      <c r="AJ28">
        <v>4000</v>
      </c>
      <c r="AO28" t="str">
        <f>VLOOKUP($M$3&amp;$N$3&amp;DATA_ENERO_2026[[#This Row],[SUPERVISOR]],TablaMeta[],7,0)</f>
        <v>S1</v>
      </c>
    </row>
    <row r="29" spans="1:68" x14ac:dyDescent="0.25">
      <c r="A29" s="35" t="str">
        <f>IFERROR(VLOOKUP(D1_ENERO_2026[[#This Row],[ASESOR_CRR]],PLANTILLA_ACTUAL[],2,0),"")</f>
        <v>SANDY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29" s="37">
        <f>IF(D1_ENERO_2026[[#This Row],[RECUPERO]]="","",VLOOKUP($M$3&amp;$N$3&amp;D1_ENERO_2026[[#This Row],[SUPER]],TablaMeta[],6,0))</f>
        <v>48000</v>
      </c>
      <c r="D29" s="36">
        <f>IFERROR(D1_ENERO_2026[[#This Row],[RECUPERO]]/VLOOKUP($M$3&amp;$N$3&amp;D1_ENERO_2026[[#This Row],[SUPER]],TablaMeta[],6,0),"")</f>
        <v>0.75</v>
      </c>
      <c r="E29" s="36" t="str">
        <f>IFERROR(VLOOKUP(D1_ENERO_2026[[#This Row],[ASESOR_CRR]],PLANTILLA_ACTUAL[],2,0),"")</f>
        <v>SANDY</v>
      </c>
      <c r="F29" t="s">
        <v>13</v>
      </c>
      <c r="G29" s="3">
        <v>36000</v>
      </c>
      <c r="H29" t="str">
        <f>VLOOKUP(D1_ENERO_2026[[#This Row],[ASESOR_CRR]],DIM!$C:$E,2,0)</f>
        <v>72512391</v>
      </c>
      <c r="I29" s="59">
        <f>VLOOKUP(D1_ENERO_2026[[#This Row],[ASESOR_CRR]],DIM!$C:$E,3,0)</f>
        <v>44809</v>
      </c>
      <c r="J29" s="59" t="str">
        <f>VLOOKUP(D1_ENERO_2026[[#This Row],[ASESOR_CRR]],PLANTILLA_ACTUAL[],6,0)</f>
        <v>CALL</v>
      </c>
      <c r="K29" s="59"/>
      <c r="L29" s="59"/>
      <c r="M29" s="5">
        <f>IF(DATA_ENERO_2026[[#This Row],[ASER_]]="","",VLOOKUP(DATA_ENERO_2026[[#This Row],[ASER_]],$B:$G,3,0))</f>
        <v>1.1081458333333334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s="58" t="str">
        <f>IFERROR(VLOOKUP(DATA_ENERO_2026[[#This Row],[ASER_]],$B:$G,4,0),"")</f>
        <v>SANDY</v>
      </c>
      <c r="P29" s="6">
        <f>IF(DATA_ENERO_2026[[#This Row],[SUPERVISOR]]="","",VLOOKUP(DATA_ENERO_2026[[#This Row],[ASER_]],$B:$G,6,0))</f>
        <v>53191</v>
      </c>
      <c r="Q29" s="6">
        <f>VLOOKUP(DATA_ENERO_2026[[#This Row],[ASER_]],D1_ENERO_2026[[ASESOR_CRR]:[META]],2,0)</f>
        <v>48000</v>
      </c>
      <c r="R29" t="s">
        <v>23</v>
      </c>
      <c r="S29" s="46">
        <v>1700</v>
      </c>
      <c r="T29">
        <v>3578</v>
      </c>
      <c r="U29">
        <v>830</v>
      </c>
      <c r="V29">
        <v>2200</v>
      </c>
      <c r="W29">
        <v>0</v>
      </c>
      <c r="X29">
        <v>580</v>
      </c>
      <c r="Y29">
        <v>10850</v>
      </c>
      <c r="Z29">
        <v>1000</v>
      </c>
      <c r="AA29">
        <v>0</v>
      </c>
      <c r="AB29">
        <v>700</v>
      </c>
      <c r="AC29">
        <v>8374</v>
      </c>
      <c r="AD29">
        <v>1323</v>
      </c>
      <c r="AE29">
        <v>1200</v>
      </c>
      <c r="AF29">
        <v>2925</v>
      </c>
      <c r="AG29">
        <v>5031</v>
      </c>
      <c r="AH29">
        <v>9550</v>
      </c>
      <c r="AI29">
        <v>3300</v>
      </c>
      <c r="AJ29">
        <v>350</v>
      </c>
      <c r="AO29" t="str">
        <f>VLOOKUP($M$3&amp;$N$3&amp;DATA_ENERO_2026[[#This Row],[SUPERVISOR]],TablaMeta[],7,0)</f>
        <v>S1</v>
      </c>
    </row>
    <row r="30" spans="1:68" x14ac:dyDescent="0.25">
      <c r="A30" s="35" t="str">
        <f>IFERROR(VLOOKUP(D1_ENERO_2026[[#This Row],[ASESOR_CRR]],PLANTILLA_ACTUAL[],2,0),"")</f>
        <v>SANDY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30" s="37">
        <f>IF(D1_ENERO_2026[[#This Row],[RECUPERO]]="","",VLOOKUP($M$3&amp;$N$3&amp;D1_ENERO_2026[[#This Row],[SUPER]],TablaMeta[],6,0))</f>
        <v>48000</v>
      </c>
      <c r="D30" s="36">
        <f>IFERROR(D1_ENERO_2026[[#This Row],[RECUPERO]]/VLOOKUP($M$3&amp;$N$3&amp;D1_ENERO_2026[[#This Row],[SUPER]],TablaMeta[],6,0),"")</f>
        <v>0.70839583333333334</v>
      </c>
      <c r="E30" s="36" t="str">
        <f>IFERROR(VLOOKUP(D1_ENERO_2026[[#This Row],[ASESOR_CRR]],PLANTILLA_ACTUAL[],2,0),"")</f>
        <v>SANDY</v>
      </c>
      <c r="F30" t="s">
        <v>17</v>
      </c>
      <c r="G30" s="3">
        <v>34003</v>
      </c>
      <c r="H30" t="str">
        <f>VLOOKUP(D1_ENERO_2026[[#This Row],[ASESOR_CRR]],DIM!$C:$E,2,0)</f>
        <v>70876605</v>
      </c>
      <c r="I30" s="59">
        <f>VLOOKUP(D1_ENERO_2026[[#This Row],[ASESOR_CRR]],DIM!$C:$E,3,0)</f>
        <v>44886</v>
      </c>
      <c r="J30" s="59" t="str">
        <f>VLOOKUP(D1_ENERO_2026[[#This Row],[ASESOR_CRR]],PLANTILLA_ACTUAL[],6,0)</f>
        <v>CALL</v>
      </c>
      <c r="K30" s="59"/>
      <c r="L30" s="59"/>
      <c r="M30" s="5">
        <f>IF(DATA_ENERO_2026[[#This Row],[ASER_]]="","",VLOOKUP(DATA_ENERO_2026[[#This Row],[ASER_]],$B:$G,3,0))</f>
        <v>1.7793749999999999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&gt;100%</v>
      </c>
      <c r="O30" s="58" t="str">
        <f>IFERROR(VLOOKUP(DATA_ENERO_2026[[#This Row],[ASER_]],$B:$G,4,0),"")</f>
        <v>SANDY</v>
      </c>
      <c r="P30" s="6">
        <f>IF(DATA_ENERO_2026[[#This Row],[SUPERVISOR]]="","",VLOOKUP(DATA_ENERO_2026[[#This Row],[ASER_]],$B:$G,6,0))</f>
        <v>85410</v>
      </c>
      <c r="Q30" s="6">
        <f>VLOOKUP(DATA_ENERO_2026[[#This Row],[ASER_]],D1_ENERO_2026[[ASESOR_CRR]:[META]],2,0)</f>
        <v>48000</v>
      </c>
      <c r="R30" t="s">
        <v>32</v>
      </c>
      <c r="S30" s="46">
        <v>877</v>
      </c>
      <c r="T30">
        <v>600</v>
      </c>
      <c r="U30">
        <v>3233</v>
      </c>
      <c r="V30">
        <v>1800</v>
      </c>
      <c r="W30">
        <v>0</v>
      </c>
      <c r="X30">
        <v>7000</v>
      </c>
      <c r="Y30">
        <v>0</v>
      </c>
      <c r="Z30">
        <v>8350</v>
      </c>
      <c r="AA30">
        <v>0</v>
      </c>
      <c r="AB30">
        <v>710</v>
      </c>
      <c r="AC30">
        <v>30500</v>
      </c>
      <c r="AD30">
        <v>3400</v>
      </c>
      <c r="AE30">
        <v>150</v>
      </c>
      <c r="AF30">
        <v>2525</v>
      </c>
      <c r="AG30">
        <v>600</v>
      </c>
      <c r="AH30">
        <v>25065</v>
      </c>
      <c r="AI30">
        <v>600</v>
      </c>
      <c r="AJ30">
        <v>0</v>
      </c>
      <c r="AO30" t="str">
        <f>VLOOKUP($M$3&amp;$N$3&amp;DATA_ENERO_2026[[#This Row],[SUPERVISOR]],TablaMeta[],7,0)</f>
        <v>S1</v>
      </c>
    </row>
    <row r="31" spans="1:68" x14ac:dyDescent="0.25">
      <c r="A31" s="35" t="str">
        <f>IFERROR(VLOOKUP(D1_ENERO_2026[[#This Row],[ASESOR_CRR]],PLANTILLA_ACTUAL[],2,0),"")</f>
        <v>SANDY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31" s="37">
        <f>IF(D1_ENERO_2026[[#This Row],[RECUPERO]]="","",VLOOKUP($M$3&amp;$N$3&amp;D1_ENERO_2026[[#This Row],[SUPER]],TablaMeta[],6,0))</f>
        <v>48000</v>
      </c>
      <c r="D31" s="36">
        <f>IFERROR(D1_ENERO_2026[[#This Row],[RECUPERO]]/VLOOKUP($M$3&amp;$N$3&amp;D1_ENERO_2026[[#This Row],[SUPER]],TablaMeta[],6,0),"")</f>
        <v>0.58250000000000002</v>
      </c>
      <c r="E31" s="36" t="str">
        <f>IFERROR(VLOOKUP(D1_ENERO_2026[[#This Row],[ASESOR_CRR]],PLANTILLA_ACTUAL[],2,0),"")</f>
        <v>SANDY</v>
      </c>
      <c r="F31" t="s">
        <v>65</v>
      </c>
      <c r="G31" s="3">
        <v>27960</v>
      </c>
      <c r="H31" t="str">
        <f>VLOOKUP(D1_ENERO_2026[[#This Row],[ASESOR_CRR]],DIM!$C:$E,2,0)</f>
        <v>47659267</v>
      </c>
      <c r="I31" s="59">
        <f>VLOOKUP(D1_ENERO_2026[[#This Row],[ASESOR_CRR]],DIM!$C:$E,3,0)</f>
        <v>45019</v>
      </c>
      <c r="J31" s="59" t="str">
        <f>VLOOKUP(D1_ENERO_2026[[#This Row],[ASESOR_CRR]],PLANTILLA_ACTUAL[],6,0)</f>
        <v>CALL</v>
      </c>
      <c r="K31" s="59"/>
      <c r="L31" s="59"/>
      <c r="M31" s="5">
        <f>IF(DATA_ENERO_2026[[#This Row],[ASER_]]="","",VLOOKUP(DATA_ENERO_2026[[#This Row],[ASER_]],$B:$G,3,0))</f>
        <v>0.58250000000000002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&gt;40%</v>
      </c>
      <c r="O31" s="58" t="str">
        <f>IFERROR(VLOOKUP(DATA_ENERO_2026[[#This Row],[ASER_]],$B:$G,4,0),"")</f>
        <v>SANDY</v>
      </c>
      <c r="P31" s="6">
        <f>IF(DATA_ENERO_2026[[#This Row],[SUPERVISOR]]="","",VLOOKUP(DATA_ENERO_2026[[#This Row],[ASER_]],$B:$G,6,0))</f>
        <v>27960</v>
      </c>
      <c r="Q31" s="6">
        <f>VLOOKUP(DATA_ENERO_2026[[#This Row],[ASER_]],D1_ENERO_2026[[ASESOR_CRR]:[META]],2,0)</f>
        <v>48000</v>
      </c>
      <c r="R31" t="s">
        <v>65</v>
      </c>
      <c r="S31" s="46">
        <v>700</v>
      </c>
      <c r="T31">
        <v>281</v>
      </c>
      <c r="U31">
        <v>0</v>
      </c>
      <c r="V31">
        <v>0</v>
      </c>
      <c r="W31">
        <v>0</v>
      </c>
      <c r="X31">
        <v>2300</v>
      </c>
      <c r="Y31">
        <v>1000</v>
      </c>
      <c r="Z31">
        <v>1000</v>
      </c>
      <c r="AA31">
        <v>4700</v>
      </c>
      <c r="AB31">
        <v>3000</v>
      </c>
      <c r="AC31">
        <v>0</v>
      </c>
      <c r="AD31">
        <v>0</v>
      </c>
      <c r="AE31">
        <v>2700</v>
      </c>
      <c r="AF31">
        <v>5500</v>
      </c>
      <c r="AG31">
        <v>2000</v>
      </c>
      <c r="AH31">
        <v>0</v>
      </c>
      <c r="AI31">
        <v>329</v>
      </c>
      <c r="AJ31">
        <v>4450</v>
      </c>
      <c r="AO31" t="str">
        <f>VLOOKUP($M$3&amp;$N$3&amp;DATA_ENERO_2026[[#This Row],[SUPERVISOR]],TablaMeta[],7,0)</f>
        <v>S1</v>
      </c>
    </row>
    <row r="32" spans="1:68" x14ac:dyDescent="0.25">
      <c r="A32" s="35" t="str">
        <f>IFERROR(VLOOKUP(D1_ENERO_2026[[#This Row],[ASESOR_CRR]],PLANTILLA_ACTUAL[],2,0),"")</f>
        <v>SANDY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32" s="37">
        <f>IF(D1_ENERO_2026[[#This Row],[RECUPERO]]="","",VLOOKUP($M$3&amp;$N$3&amp;D1_ENERO_2026[[#This Row],[SUPER]],TablaMeta[],6,0))</f>
        <v>48000</v>
      </c>
      <c r="D32" s="36">
        <f>IFERROR(D1_ENERO_2026[[#This Row],[RECUPERO]]/VLOOKUP($M$3&amp;$N$3&amp;D1_ENERO_2026[[#This Row],[SUPER]],TablaMeta[],6,0),"")</f>
        <v>0.57947916666666666</v>
      </c>
      <c r="E32" s="36" t="str">
        <f>IFERROR(VLOOKUP(D1_ENERO_2026[[#This Row],[ASESOR_CRR]],PLANTILLA_ACTUAL[],2,0),"")</f>
        <v>SANDY</v>
      </c>
      <c r="F32" t="s">
        <v>24</v>
      </c>
      <c r="G32" s="3">
        <v>27815</v>
      </c>
      <c r="H32" t="str">
        <f>VLOOKUP(D1_ENERO_2026[[#This Row],[ASESOR_CRR]],DIM!$C:$E,2,0)</f>
        <v>43614775</v>
      </c>
      <c r="I32" s="59">
        <f>VLOOKUP(D1_ENERO_2026[[#This Row],[ASESOR_CRR]],DIM!$C:$E,3,0)</f>
        <v>45334</v>
      </c>
      <c r="J32" s="59" t="str">
        <f>VLOOKUP(D1_ENERO_2026[[#This Row],[ASESOR_CRR]],PLANTILLA_ACTUAL[],6,0)</f>
        <v>CALL</v>
      </c>
      <c r="K32" s="59"/>
      <c r="L32" s="59"/>
      <c r="M32" s="5">
        <f>IF(DATA_ENERO_2026[[#This Row],[ASER_]]="","",VLOOKUP(DATA_ENERO_2026[[#This Row],[ASER_]],$B:$G,3,0))</f>
        <v>0.70839583333333334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s="58" t="str">
        <f>IFERROR(VLOOKUP(DATA_ENERO_2026[[#This Row],[ASER_]],$B:$G,4,0),"")</f>
        <v>SANDY</v>
      </c>
      <c r="P32" s="6">
        <f>IF(DATA_ENERO_2026[[#This Row],[SUPERVISOR]]="","",VLOOKUP(DATA_ENERO_2026[[#This Row],[ASER_]],$B:$G,6,0))</f>
        <v>34003</v>
      </c>
      <c r="Q32" s="6">
        <f>VLOOKUP(DATA_ENERO_2026[[#This Row],[ASER_]],D1_ENERO_2026[[ASESOR_CRR]:[META]],2,0)</f>
        <v>48000</v>
      </c>
      <c r="R32" t="s">
        <v>17</v>
      </c>
      <c r="S32">
        <v>636</v>
      </c>
      <c r="T32">
        <v>0</v>
      </c>
      <c r="U32">
        <v>4000</v>
      </c>
      <c r="V32">
        <v>4200</v>
      </c>
      <c r="W32">
        <v>0</v>
      </c>
      <c r="X32">
        <v>0</v>
      </c>
      <c r="Y32">
        <v>461</v>
      </c>
      <c r="Z32">
        <v>13000</v>
      </c>
      <c r="AA32">
        <v>0</v>
      </c>
      <c r="AB32">
        <v>0</v>
      </c>
      <c r="AC32">
        <v>0</v>
      </c>
      <c r="AD32">
        <v>656</v>
      </c>
      <c r="AE32">
        <v>5450</v>
      </c>
      <c r="AF32">
        <v>0</v>
      </c>
      <c r="AG32">
        <v>0</v>
      </c>
      <c r="AH32">
        <v>320</v>
      </c>
      <c r="AI32">
        <v>1780</v>
      </c>
      <c r="AJ32">
        <v>3500</v>
      </c>
      <c r="AO32" t="str">
        <f>VLOOKUP($M$3&amp;$N$3&amp;DATA_ENERO_2026[[#This Row],[SUPERVISOR]],TablaMeta[],7,0)</f>
        <v>S1</v>
      </c>
    </row>
    <row r="33" spans="1:41" x14ac:dyDescent="0.25">
      <c r="A33" s="35" t="str">
        <f>IFERROR(VLOOKUP(D1_ENERO_2026[[#This Row],[ASESOR_CRR]],PLANTILLA_ACTUAL[],2,0),"")</f>
        <v>SANDY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33" s="37">
        <f>IF(D1_ENERO_2026[[#This Row],[RECUPERO]]="","",VLOOKUP($M$3&amp;$N$3&amp;D1_ENERO_2026[[#This Row],[SUPER]],TablaMeta[],6,0))</f>
        <v>48000</v>
      </c>
      <c r="D33" s="36">
        <f>IFERROR(D1_ENERO_2026[[#This Row],[RECUPERO]]/VLOOKUP($M$3&amp;$N$3&amp;D1_ENERO_2026[[#This Row],[SUPER]],TablaMeta[],6,0),"")</f>
        <v>0.34291666666666665</v>
      </c>
      <c r="E33" s="36" t="str">
        <f>IFERROR(VLOOKUP(D1_ENERO_2026[[#This Row],[ASESOR_CRR]],PLANTILLA_ACTUAL[],2,0),"")</f>
        <v>SANDY</v>
      </c>
      <c r="F33" t="s">
        <v>33</v>
      </c>
      <c r="G33" s="3">
        <v>16460</v>
      </c>
      <c r="H33" t="str">
        <f>VLOOKUP(D1_ENERO_2026[[#This Row],[ASESOR_CRR]],DIM!$C:$E,2,0)</f>
        <v>80689573</v>
      </c>
      <c r="I33" s="59">
        <f>VLOOKUP(D1_ENERO_2026[[#This Row],[ASESOR_CRR]],DIM!$C:$E,3,0)</f>
        <v>44867</v>
      </c>
      <c r="J33" s="59" t="str">
        <f>VLOOKUP(D1_ENERO_2026[[#This Row],[ASESOR_CRR]],PLANTILLA_ACTUAL[],6,0)</f>
        <v>CALL</v>
      </c>
      <c r="K33" s="59"/>
      <c r="L33" s="59"/>
      <c r="M33" s="5">
        <f>IF(DATA_ENERO_2026[[#This Row],[ASER_]]="","",VLOOKUP(DATA_ENERO_2026[[#This Row],[ASER_]],$B:$G,3,0))</f>
        <v>0.34291666666666665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s="58" t="str">
        <f>IFERROR(VLOOKUP(DATA_ENERO_2026[[#This Row],[ASER_]],$B:$G,4,0),"")</f>
        <v>SANDY</v>
      </c>
      <c r="P33" s="6">
        <f>IF(DATA_ENERO_2026[[#This Row],[SUPERVISOR]]="","",VLOOKUP(DATA_ENERO_2026[[#This Row],[ASER_]],$B:$G,6,0))</f>
        <v>16460</v>
      </c>
      <c r="Q33" s="6">
        <f>VLOOKUP(DATA_ENERO_2026[[#This Row],[ASER_]],D1_ENERO_2026[[ASESOR_CRR]:[META]],2,0)</f>
        <v>48000</v>
      </c>
      <c r="R33" t="s">
        <v>33</v>
      </c>
      <c r="S33">
        <v>335</v>
      </c>
      <c r="T33">
        <v>0</v>
      </c>
      <c r="U33">
        <v>7300</v>
      </c>
      <c r="V33">
        <v>0</v>
      </c>
      <c r="W33">
        <v>300</v>
      </c>
      <c r="X33">
        <v>225</v>
      </c>
      <c r="Y33">
        <v>0</v>
      </c>
      <c r="Z33">
        <v>0</v>
      </c>
      <c r="AA33">
        <v>2000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3800</v>
      </c>
      <c r="AH33">
        <v>0</v>
      </c>
      <c r="AI33">
        <v>0</v>
      </c>
      <c r="AJ33">
        <v>2500</v>
      </c>
      <c r="AO33" t="str">
        <f>VLOOKUP($M$3&amp;$N$3&amp;DATA_ENERO_2026[[#This Row],[SUPERVISOR]],TablaMeta[],7,0)</f>
        <v>S1</v>
      </c>
    </row>
    <row r="34" spans="1:41" x14ac:dyDescent="0.25">
      <c r="A34" s="35" t="str">
        <f>IFERROR(VLOOKUP(D1_ENERO_2026[[#This Row],[ASESOR_CRR]],PLANTILLA_ACTUAL[],2,0),"")</f>
        <v>JORGE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4" s="37">
        <f>IF(D1_ENERO_2026[[#This Row],[RECUPERO]]="","",VLOOKUP($M$3&amp;$N$3&amp;D1_ENERO_2026[[#This Row],[SUPER]],TablaMeta[],6,0))</f>
        <v>32600</v>
      </c>
      <c r="D34" s="36">
        <f>IFERROR(D1_ENERO_2026[[#This Row],[RECUPERO]]/VLOOKUP($M$3&amp;$N$3&amp;D1_ENERO_2026[[#This Row],[SUPER]],TablaMeta[],6,0),"")</f>
        <v>1.5916564417177914</v>
      </c>
      <c r="E34" s="36" t="str">
        <f>IFERROR(VLOOKUP(D1_ENERO_2026[[#This Row],[ASESOR_CRR]],PLANTILLA_ACTUAL[],2,0),"")</f>
        <v>JORGE</v>
      </c>
      <c r="F34" t="s">
        <v>25</v>
      </c>
      <c r="G34" s="3">
        <v>51888</v>
      </c>
      <c r="H34" t="str">
        <f>VLOOKUP(D1_ENERO_2026[[#This Row],[ASESOR_CRR]],DIM!$C:$E,2,0)</f>
        <v>72373931</v>
      </c>
      <c r="I34" s="59">
        <f>VLOOKUP(D1_ENERO_2026[[#This Row],[ASESOR_CRR]],DIM!$C:$E,3,0)</f>
        <v>44818</v>
      </c>
      <c r="J34" s="59" t="str">
        <f>VLOOKUP(D1_ENERO_2026[[#This Row],[ASESOR_CRR]],PLANTILLA_ACTUAL[],6,0)</f>
        <v>CALL</v>
      </c>
      <c r="K34" s="59"/>
      <c r="L34" s="59"/>
      <c r="M34" s="5">
        <f>IF(DATA_ENERO_2026[[#This Row],[ASER_]]="","",VLOOKUP(DATA_ENERO_2026[[#This Row],[ASER_]],$B:$G,3,0))</f>
        <v>0.75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&gt;70%</v>
      </c>
      <c r="O34" s="58" t="str">
        <f>IFERROR(VLOOKUP(DATA_ENERO_2026[[#This Row],[ASER_]],$B:$G,4,0),"")</f>
        <v>SANDY</v>
      </c>
      <c r="P34" s="6">
        <f>IF(DATA_ENERO_2026[[#This Row],[SUPERVISOR]]="","",VLOOKUP(DATA_ENERO_2026[[#This Row],[ASER_]],$B:$G,6,0))</f>
        <v>36000</v>
      </c>
      <c r="Q34" s="6">
        <f>VLOOKUP(DATA_ENERO_2026[[#This Row],[ASER_]],D1_ENERO_2026[[ASESOR_CRR]:[META]],2,0)</f>
        <v>48000</v>
      </c>
      <c r="R34" t="s">
        <v>13</v>
      </c>
      <c r="S34">
        <v>0</v>
      </c>
      <c r="T34">
        <v>700</v>
      </c>
      <c r="U34">
        <v>2000</v>
      </c>
      <c r="V34">
        <v>3000</v>
      </c>
      <c r="W34">
        <v>0</v>
      </c>
      <c r="X34">
        <v>2500</v>
      </c>
      <c r="Y34">
        <v>0</v>
      </c>
      <c r="Z34">
        <v>5000</v>
      </c>
      <c r="AA34">
        <v>700</v>
      </c>
      <c r="AB34">
        <v>2500</v>
      </c>
      <c r="AC34">
        <v>1000</v>
      </c>
      <c r="AD34">
        <v>2500</v>
      </c>
      <c r="AE34">
        <v>0</v>
      </c>
      <c r="AF34">
        <v>7000</v>
      </c>
      <c r="AG34">
        <v>5000</v>
      </c>
      <c r="AH34">
        <v>0</v>
      </c>
      <c r="AI34">
        <v>3500</v>
      </c>
      <c r="AJ34">
        <v>250</v>
      </c>
      <c r="AO34" t="str">
        <f>VLOOKUP($M$3&amp;$N$3&amp;DATA_ENERO_2026[[#This Row],[SUPERVISOR]],TablaMeta[],7,0)</f>
        <v>S1</v>
      </c>
    </row>
    <row r="35" spans="1:41" x14ac:dyDescent="0.25">
      <c r="A35" s="35" t="str">
        <f>IFERROR(VLOOKUP(D1_ENERO_2026[[#This Row],[ASESOR_CRR]],PLANTILLA_ACTUAL[],2,0),"")</f>
        <v>JORGE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35" s="37">
        <f>IF(D1_ENERO_2026[[#This Row],[RECUPERO]]="","",VLOOKUP($M$3&amp;$N$3&amp;D1_ENERO_2026[[#This Row],[SUPER]],TablaMeta[],6,0))</f>
        <v>32600</v>
      </c>
      <c r="D35" s="36">
        <f>IFERROR(D1_ENERO_2026[[#This Row],[RECUPERO]]/VLOOKUP($M$3&amp;$N$3&amp;D1_ENERO_2026[[#This Row],[SUPER]],TablaMeta[],6,0),"")</f>
        <v>1.5449693251533743</v>
      </c>
      <c r="E35" s="36" t="str">
        <f>IFERROR(VLOOKUP(D1_ENERO_2026[[#This Row],[ASESOR_CRR]],PLANTILLA_ACTUAL[],2,0),"")</f>
        <v>JORGE</v>
      </c>
      <c r="F35" t="s">
        <v>68</v>
      </c>
      <c r="G35" s="3">
        <v>50366</v>
      </c>
      <c r="H35" t="str">
        <f>VLOOKUP(D1_ENERO_2026[[#This Row],[ASESOR_CRR]],DIM!$C:$E,2,0)</f>
        <v>73257316</v>
      </c>
      <c r="I35" s="59">
        <f>VLOOKUP(D1_ENERO_2026[[#This Row],[ASESOR_CRR]],DIM!$C:$E,3,0)</f>
        <v>45363</v>
      </c>
      <c r="J35" s="59" t="str">
        <f>VLOOKUP(D1_ENERO_2026[[#This Row],[ASESOR_CRR]],PLANTILLA_ACTUAL[],6,0)</f>
        <v>CALL</v>
      </c>
      <c r="K35" s="59"/>
      <c r="L35" s="59"/>
      <c r="M35" s="5">
        <f>IF(DATA_ENERO_2026[[#This Row],[ASER_]]="","",VLOOKUP(DATA_ENERO_2026[[#This Row],[ASER_]],$B:$G,3,0))</f>
        <v>1.1633333333333333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&gt;100%</v>
      </c>
      <c r="O35" s="58" t="str">
        <f>IFERROR(VLOOKUP(DATA_ENERO_2026[[#This Row],[ASER_]],$B:$G,4,0),"")</f>
        <v>SANDY</v>
      </c>
      <c r="P35" s="6">
        <f>IF(DATA_ENERO_2026[[#This Row],[SUPERVISOR]]="","",VLOOKUP(DATA_ENERO_2026[[#This Row],[ASER_]],$B:$G,6,0))</f>
        <v>55840</v>
      </c>
      <c r="Q35" s="6">
        <f>VLOOKUP(DATA_ENERO_2026[[#This Row],[ASER_]],D1_ENERO_2026[[ASESOR_CRR]:[META]],2,0)</f>
        <v>48000</v>
      </c>
      <c r="R35" t="s">
        <v>96</v>
      </c>
      <c r="S35">
        <v>0</v>
      </c>
      <c r="T35">
        <v>0</v>
      </c>
      <c r="U35">
        <v>0</v>
      </c>
      <c r="V35">
        <v>0</v>
      </c>
      <c r="W35">
        <v>2100</v>
      </c>
      <c r="X35">
        <v>23800</v>
      </c>
      <c r="Y35">
        <v>1200</v>
      </c>
      <c r="Z35">
        <v>6820</v>
      </c>
      <c r="AA35">
        <v>0</v>
      </c>
      <c r="AB35">
        <v>10890</v>
      </c>
      <c r="AC35">
        <v>0</v>
      </c>
      <c r="AD35">
        <v>0</v>
      </c>
      <c r="AE35">
        <v>0</v>
      </c>
      <c r="AF35">
        <v>7000</v>
      </c>
      <c r="AG35">
        <v>750</v>
      </c>
      <c r="AH35">
        <v>0</v>
      </c>
      <c r="AI35">
        <v>750</v>
      </c>
      <c r="AJ35">
        <v>2500</v>
      </c>
      <c r="AO35" t="str">
        <f>VLOOKUP($M$3&amp;$N$3&amp;DATA_ENERO_2026[[#This Row],[SUPERVISOR]],TablaMeta[],7,0)</f>
        <v>S1</v>
      </c>
    </row>
    <row r="36" spans="1:41" x14ac:dyDescent="0.25">
      <c r="A36" s="35" t="str">
        <f>IFERROR(VLOOKUP(D1_ENERO_2026[[#This Row],[ASESOR_CRR]],PLANTILLA_ACTUAL[],2,0),"")</f>
        <v>JORGE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36" s="37">
        <f>IF(D1_ENERO_2026[[#This Row],[RECUPERO]]="","",VLOOKUP($M$3&amp;$N$3&amp;D1_ENERO_2026[[#This Row],[SUPER]],TablaMeta[],6,0))</f>
        <v>32600</v>
      </c>
      <c r="D36" s="36">
        <f>IFERROR(D1_ENERO_2026[[#This Row],[RECUPERO]]/VLOOKUP($M$3&amp;$N$3&amp;D1_ENERO_2026[[#This Row],[SUPER]],TablaMeta[],6,0),"")</f>
        <v>1.4844478527607361</v>
      </c>
      <c r="E36" s="36" t="str">
        <f>IFERROR(VLOOKUP(D1_ENERO_2026[[#This Row],[ASESOR_CRR]],PLANTILLA_ACTUAL[],2,0),"")</f>
        <v>JORGE</v>
      </c>
      <c r="F36" t="s">
        <v>38</v>
      </c>
      <c r="G36" s="3">
        <v>48393</v>
      </c>
      <c r="H36" t="str">
        <f>VLOOKUP(D1_ENERO_2026[[#This Row],[ASESOR_CRR]],DIM!$C:$E,2,0)</f>
        <v>47411966</v>
      </c>
      <c r="I36" s="59">
        <f>VLOOKUP(D1_ENERO_2026[[#This Row],[ASESOR_CRR]],DIM!$C:$E,3,0)</f>
        <v>45800</v>
      </c>
      <c r="J36" s="59" t="str">
        <f>VLOOKUP(D1_ENERO_2026[[#This Row],[ASESOR_CRR]],PLANTILLA_ACTUAL[],6,0)</f>
        <v>CALL</v>
      </c>
      <c r="K36" s="59"/>
      <c r="L36" s="59"/>
      <c r="M36" s="5">
        <f>IF(DATA_ENERO_2026[[#This Row],[ASER_]]="","",VLOOKUP(DATA_ENERO_2026[[#This Row],[ASER_]],$B:$G,3,0))</f>
        <v>0.57947916666666666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s="58" t="str">
        <f>IFERROR(VLOOKUP(DATA_ENERO_2026[[#This Row],[ASER_]],$B:$G,4,0),"")</f>
        <v>SANDY</v>
      </c>
      <c r="P36" s="6">
        <f>IF(DATA_ENERO_2026[[#This Row],[SUPERVISOR]]="","",VLOOKUP(DATA_ENERO_2026[[#This Row],[ASER_]],$B:$G,6,0))</f>
        <v>27815</v>
      </c>
      <c r="Q36" s="6">
        <f>VLOOKUP(DATA_ENERO_2026[[#This Row],[ASER_]],D1_ENERO_2026[[ASESOR_CRR]:[META]],2,0)</f>
        <v>48000</v>
      </c>
      <c r="R36" t="s">
        <v>24</v>
      </c>
      <c r="S36">
        <v>0</v>
      </c>
      <c r="T36">
        <v>2850</v>
      </c>
      <c r="U36">
        <v>0</v>
      </c>
      <c r="V36">
        <v>3300</v>
      </c>
      <c r="W36">
        <v>200</v>
      </c>
      <c r="X36">
        <v>100</v>
      </c>
      <c r="Y36">
        <v>0</v>
      </c>
      <c r="Z36">
        <v>7435</v>
      </c>
      <c r="AA36">
        <v>3000</v>
      </c>
      <c r="AB36">
        <v>5900</v>
      </c>
      <c r="AC36">
        <v>250</v>
      </c>
      <c r="AD36">
        <v>0</v>
      </c>
      <c r="AE36">
        <v>600</v>
      </c>
      <c r="AF36">
        <v>500</v>
      </c>
      <c r="AG36">
        <v>0</v>
      </c>
      <c r="AH36">
        <v>0</v>
      </c>
      <c r="AI36">
        <v>0</v>
      </c>
      <c r="AJ36">
        <v>2000</v>
      </c>
      <c r="AO36" t="str">
        <f>VLOOKUP($M$3&amp;$N$3&amp;DATA_ENERO_2026[[#This Row],[SUPERVISOR]],TablaMeta[],7,0)</f>
        <v>S1</v>
      </c>
    </row>
    <row r="37" spans="1:41" x14ac:dyDescent="0.25">
      <c r="A37" s="35" t="str">
        <f>IFERROR(VLOOKUP(D1_ENERO_2026[[#This Row],[ASESOR_CRR]],PLANTILLA_ACTUAL[],2,0),"")</f>
        <v>JORGE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37" s="37">
        <f>IF(D1_ENERO_2026[[#This Row],[RECUPERO]]="","",VLOOKUP($M$3&amp;$N$3&amp;D1_ENERO_2026[[#This Row],[SUPER]],TablaMeta[],6,0))</f>
        <v>32600</v>
      </c>
      <c r="D37" s="36">
        <f>IFERROR(D1_ENERO_2026[[#This Row],[RECUPERO]]/VLOOKUP($M$3&amp;$N$3&amp;D1_ENERO_2026[[#This Row],[SUPER]],TablaMeta[],6,0),"")</f>
        <v>1.0384969325153375</v>
      </c>
      <c r="E37" s="36" t="str">
        <f>IFERROR(VLOOKUP(D1_ENERO_2026[[#This Row],[ASESOR_CRR]],PLANTILLA_ACTUAL[],2,0),"")</f>
        <v>JORGE</v>
      </c>
      <c r="F37" t="s">
        <v>76</v>
      </c>
      <c r="G37" s="3">
        <v>33855</v>
      </c>
      <c r="H37" t="str">
        <f>VLOOKUP(D1_ENERO_2026[[#This Row],[ASESOR_CRR]],DIM!$C:$E,2,0)</f>
        <v>60914051</v>
      </c>
      <c r="I37" s="59">
        <f>VLOOKUP(D1_ENERO_2026[[#This Row],[ASESOR_CRR]],DIM!$C:$E,3,0)</f>
        <v>44817</v>
      </c>
      <c r="J37" s="59" t="str">
        <f>VLOOKUP(D1_ENERO_2026[[#This Row],[ASESOR_CRR]],PLANTILLA_ACTUAL[],6,0)</f>
        <v>CALL</v>
      </c>
      <c r="K37" s="59"/>
      <c r="L37" s="59"/>
      <c r="M37" s="5">
        <f>IF(DATA_ENERO_2026[[#This Row],[ASER_]]="","",VLOOKUP(DATA_ENERO_2026[[#This Row],[ASER_]],$B:$G,3,0))</f>
        <v>0.34848979591836737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&gt;0%</v>
      </c>
      <c r="O37" s="58" t="str">
        <f>IFERROR(VLOOKUP(DATA_ENERO_2026[[#This Row],[ASER_]],$B:$G,4,0),"")</f>
        <v>JOHAN</v>
      </c>
      <c r="P37" s="6">
        <f>IF(DATA_ENERO_2026[[#This Row],[SUPERVISOR]]="","",VLOOKUP(DATA_ENERO_2026[[#This Row],[ASER_]],$B:$G,6,0))</f>
        <v>8538</v>
      </c>
      <c r="Q37" s="6">
        <f>VLOOKUP(DATA_ENERO_2026[[#This Row],[ASER_]],D1_ENERO_2026[[ASESOR_CRR]:[META]],2,0)</f>
        <v>24500</v>
      </c>
      <c r="R37" t="s">
        <v>40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600</v>
      </c>
      <c r="Z37">
        <v>200</v>
      </c>
      <c r="AA37">
        <v>0</v>
      </c>
      <c r="AB37">
        <v>2050</v>
      </c>
      <c r="AC37">
        <v>238</v>
      </c>
      <c r="AD37">
        <v>0</v>
      </c>
      <c r="AE37">
        <v>0</v>
      </c>
      <c r="AF37">
        <v>700</v>
      </c>
      <c r="AG37">
        <v>800</v>
      </c>
      <c r="AH37">
        <v>2000</v>
      </c>
      <c r="AI37">
        <v>0</v>
      </c>
      <c r="AJ37">
        <v>950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JORGE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38" s="37">
        <f>IF(D1_ENERO_2026[[#This Row],[RECUPERO]]="","",VLOOKUP($M$3&amp;$N$3&amp;D1_ENERO_2026[[#This Row],[SUPER]],TablaMeta[],6,0))</f>
        <v>32600</v>
      </c>
      <c r="D38" s="36">
        <f>IFERROR(D1_ENERO_2026[[#This Row],[RECUPERO]]/VLOOKUP($M$3&amp;$N$3&amp;D1_ENERO_2026[[#This Row],[SUPER]],TablaMeta[],6,0),"")</f>
        <v>0.87877699386503072</v>
      </c>
      <c r="E38" s="36" t="str">
        <f>IFERROR(VLOOKUP(D1_ENERO_2026[[#This Row],[ASESOR_CRR]],PLANTILLA_ACTUAL[],2,0),"")</f>
        <v>JORGE</v>
      </c>
      <c r="F38" t="s">
        <v>42</v>
      </c>
      <c r="G38" s="3">
        <v>28648.13</v>
      </c>
      <c r="H38" t="str">
        <f>VLOOKUP(D1_ENERO_2026[[#This Row],[ASESOR_CRR]],DIM!$C:$E,2,0)</f>
        <v>73725129</v>
      </c>
      <c r="I38" s="59">
        <f>VLOOKUP(D1_ENERO_2026[[#This Row],[ASESOR_CRR]],DIM!$C:$E,3,0)</f>
        <v>45398</v>
      </c>
      <c r="J38" s="59" t="str">
        <f>VLOOKUP(D1_ENERO_2026[[#This Row],[ASESOR_CRR]],PLANTILLA_ACTUAL[],6,0)</f>
        <v>CALL</v>
      </c>
      <c r="K38" s="59"/>
      <c r="L38" s="59"/>
      <c r="M38" s="5">
        <f>IF(DATA_ENERO_2026[[#This Row],[ASER_]]="","",VLOOKUP(DATA_ENERO_2026[[#This Row],[ASER_]],$B:$G,3,0))</f>
        <v>1.5695102040816327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s="58" t="str">
        <f>IFERROR(VLOOKUP(DATA_ENERO_2026[[#This Row],[ASER_]],$B:$G,4,0),"")</f>
        <v>JOHAN</v>
      </c>
      <c r="P38" s="6">
        <f>IF(DATA_ENERO_2026[[#This Row],[SUPERVISOR]]="","",VLOOKUP(DATA_ENERO_2026[[#This Row],[ASER_]],$B:$G,6,0))</f>
        <v>38453</v>
      </c>
      <c r="Q38" s="6">
        <f>VLOOKUP(DATA_ENERO_2026[[#This Row],[ASER_]],D1_ENERO_2026[[ASESOR_CRR]:[META]],2,0)</f>
        <v>24500</v>
      </c>
      <c r="R38" t="s">
        <v>77</v>
      </c>
      <c r="S38">
        <v>200</v>
      </c>
      <c r="T38">
        <v>4150</v>
      </c>
      <c r="U38">
        <v>3000</v>
      </c>
      <c r="V38">
        <v>3500</v>
      </c>
      <c r="W38">
        <v>0</v>
      </c>
      <c r="X38">
        <v>400</v>
      </c>
      <c r="Y38">
        <v>1222</v>
      </c>
      <c r="Z38">
        <v>300</v>
      </c>
      <c r="AA38">
        <v>0</v>
      </c>
      <c r="AB38">
        <v>15700</v>
      </c>
      <c r="AC38">
        <v>481</v>
      </c>
      <c r="AD38">
        <v>5000</v>
      </c>
      <c r="AE38">
        <v>0</v>
      </c>
      <c r="AF38">
        <v>0</v>
      </c>
      <c r="AG38">
        <v>0</v>
      </c>
      <c r="AH38">
        <v>0</v>
      </c>
      <c r="AI38">
        <v>4500</v>
      </c>
      <c r="AJ38">
        <v>0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0.67235889570552154</v>
      </c>
      <c r="E39" s="36" t="str">
        <f>IFERROR(VLOOKUP(D1_ENERO_2026[[#This Row],[ASESOR_CRR]],PLANTILLA_ACTUAL[],2,0),"")</f>
        <v>JORGE</v>
      </c>
      <c r="F39" t="s">
        <v>29</v>
      </c>
      <c r="G39" s="3">
        <v>21918.9</v>
      </c>
      <c r="H39" t="str">
        <f>VLOOKUP(D1_ENERO_2026[[#This Row],[ASESOR_CRR]],DIM!$C:$E,2,0)</f>
        <v>72758956</v>
      </c>
      <c r="I39" s="59">
        <f>VLOOKUP(D1_ENERO_2026[[#This Row],[ASESOR_CRR]],DIM!$C:$E,3,0)</f>
        <v>44685</v>
      </c>
      <c r="J39" s="59" t="str">
        <f>VLOOKUP(D1_ENERO_2026[[#This Row],[ASESOR_CRR]],PLANTILLA_ACTUAL[],6,0)</f>
        <v>CALL</v>
      </c>
      <c r="K39" s="59"/>
      <c r="L39" s="59"/>
      <c r="M39" s="5">
        <f>IF(DATA_ENERO_2026[[#This Row],[ASER_]]="","",VLOOKUP(DATA_ENERO_2026[[#This Row],[ASER_]],$B:$G,3,0))</f>
        <v>0.97183673469387755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&gt;70%</v>
      </c>
      <c r="O39" s="58" t="str">
        <f>IFERROR(VLOOKUP(DATA_ENERO_2026[[#This Row],[ASER_]],$B:$G,4,0),"")</f>
        <v>JOHAN</v>
      </c>
      <c r="P39" s="6">
        <f>IF(DATA_ENERO_2026[[#This Row],[SUPERVISOR]]="","",VLOOKUP(DATA_ENERO_2026[[#This Row],[ASER_]],$B:$G,6,0))</f>
        <v>23810</v>
      </c>
      <c r="Q39" s="6">
        <f>VLOOKUP(DATA_ENERO_2026[[#This Row],[ASER_]],D1_ENERO_2026[[ASESOR_CRR]:[META]],2,0)</f>
        <v>24500</v>
      </c>
      <c r="R39" t="s">
        <v>48</v>
      </c>
      <c r="S39">
        <v>200</v>
      </c>
      <c r="T39">
        <v>4100</v>
      </c>
      <c r="U39">
        <v>1500</v>
      </c>
      <c r="V39">
        <v>6000</v>
      </c>
      <c r="W39">
        <v>3000</v>
      </c>
      <c r="X39">
        <v>1000</v>
      </c>
      <c r="Y39">
        <v>0</v>
      </c>
      <c r="Z39">
        <v>0</v>
      </c>
      <c r="AA39">
        <v>0</v>
      </c>
      <c r="AB39">
        <v>0</v>
      </c>
      <c r="AC39">
        <v>2650</v>
      </c>
      <c r="AD39">
        <v>0</v>
      </c>
      <c r="AE39">
        <v>1000</v>
      </c>
      <c r="AF39">
        <v>1660</v>
      </c>
      <c r="AG39">
        <v>1000</v>
      </c>
      <c r="AH39">
        <v>0</v>
      </c>
      <c r="AI39">
        <v>0</v>
      </c>
      <c r="AJ39">
        <v>1700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0.6115644171779141</v>
      </c>
      <c r="E40" s="36" t="str">
        <f>IFERROR(VLOOKUP(D1_ENERO_2026[[#This Row],[ASESOR_CRR]],PLANTILLA_ACTUAL[],2,0),"")</f>
        <v>JORGE</v>
      </c>
      <c r="F40" t="s">
        <v>79</v>
      </c>
      <c r="G40" s="3">
        <v>19937</v>
      </c>
      <c r="H40" t="str">
        <f>VLOOKUP(D1_ENERO_2026[[#This Row],[ASESOR_CRR]],DIM!$C:$E,2,0)</f>
        <v>71262377</v>
      </c>
      <c r="I40" s="59">
        <f>VLOOKUP(D1_ENERO_2026[[#This Row],[ASESOR_CRR]],DIM!$C:$E,3,0)</f>
        <v>45145</v>
      </c>
      <c r="J40" s="59" t="str">
        <f>VLOOKUP(D1_ENERO_2026[[#This Row],[ASESOR_CRR]],PLANTILLA_ACTUAL[],6,0)</f>
        <v>CALL</v>
      </c>
      <c r="K40" s="59"/>
      <c r="L40" s="59"/>
      <c r="M40" s="5">
        <f>IF(DATA_ENERO_2026[[#This Row],[ASER_]]="","",VLOOKUP(DATA_ENERO_2026[[#This Row],[ASER_]],$B:$G,3,0))</f>
        <v>0.92951020408163265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&gt;70%</v>
      </c>
      <c r="O40" s="58" t="str">
        <f>IFERROR(VLOOKUP(DATA_ENERO_2026[[#This Row],[ASER_]],$B:$G,4,0),"")</f>
        <v>JOHAN</v>
      </c>
      <c r="P40" s="6">
        <f>IF(DATA_ENERO_2026[[#This Row],[SUPERVISOR]]="","",VLOOKUP(DATA_ENERO_2026[[#This Row],[ASER_]],$B:$G,6,0))</f>
        <v>22773</v>
      </c>
      <c r="Q40" s="6">
        <f>VLOOKUP(DATA_ENERO_2026[[#This Row],[ASER_]],D1_ENERO_2026[[ASESOR_CRR]:[META]],2,0)</f>
        <v>24500</v>
      </c>
      <c r="R40" t="s">
        <v>51</v>
      </c>
      <c r="S40">
        <v>0</v>
      </c>
      <c r="T40">
        <v>400</v>
      </c>
      <c r="U40">
        <v>0</v>
      </c>
      <c r="V40">
        <v>0</v>
      </c>
      <c r="W40">
        <v>0</v>
      </c>
      <c r="X40">
        <v>4000</v>
      </c>
      <c r="Y40">
        <v>2500</v>
      </c>
      <c r="Z40">
        <v>0</v>
      </c>
      <c r="AA40">
        <v>0</v>
      </c>
      <c r="AB40">
        <v>273</v>
      </c>
      <c r="AC40">
        <v>0</v>
      </c>
      <c r="AD40">
        <v>500</v>
      </c>
      <c r="AE40">
        <v>300</v>
      </c>
      <c r="AF40">
        <v>10000</v>
      </c>
      <c r="AG40">
        <v>1300</v>
      </c>
      <c r="AH40">
        <v>1500</v>
      </c>
      <c r="AI40">
        <v>0</v>
      </c>
      <c r="AJ40">
        <v>2000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0.41104294478527609</v>
      </c>
      <c r="E41" s="36" t="str">
        <f>IFERROR(VLOOKUP(D1_ENERO_2026[[#This Row],[ASESOR_CRR]],PLANTILLA_ACTUAL[],2,0),"")</f>
        <v>JORGE</v>
      </c>
      <c r="F41" t="s">
        <v>78</v>
      </c>
      <c r="G41" s="3">
        <v>13400</v>
      </c>
      <c r="H41" t="str">
        <f>VLOOKUP(D1_ENERO_2026[[#This Row],[ASESOR_CRR]],DIM!$C:$E,2,0)</f>
        <v>10706451</v>
      </c>
      <c r="I41" s="59">
        <f>VLOOKUP(D1_ENERO_2026[[#This Row],[ASESOR_CRR]],DIM!$C:$E,3,0)</f>
        <v>44943</v>
      </c>
      <c r="J41" s="59" t="str">
        <f>VLOOKUP(D1_ENERO_2026[[#This Row],[ASESOR_CRR]],PLANTILLA_ACTUAL[],6,0)</f>
        <v>CALL</v>
      </c>
      <c r="K41" s="59"/>
      <c r="L41" s="59"/>
      <c r="M41" s="5">
        <f>IF(DATA_ENERO_2026[[#This Row],[ASER_]]="","",VLOOKUP(DATA_ENERO_2026[[#This Row],[ASER_]],$B:$G,3,0))</f>
        <v>0.9810204081632653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s="58" t="str">
        <f>IFERROR(VLOOKUP(DATA_ENERO_2026[[#This Row],[ASER_]],$B:$G,4,0),"")</f>
        <v>JOHAN</v>
      </c>
      <c r="P41" s="6">
        <f>IF(DATA_ENERO_2026[[#This Row],[SUPERVISOR]]="","",VLOOKUP(DATA_ENERO_2026[[#This Row],[ASER_]],$B:$G,6,0))</f>
        <v>24035</v>
      </c>
      <c r="Q41" s="6">
        <f>VLOOKUP(DATA_ENERO_2026[[#This Row],[ASER_]],D1_ENERO_2026[[ASESOR_CRR]:[META]],2,0)</f>
        <v>24500</v>
      </c>
      <c r="R41" t="s">
        <v>97</v>
      </c>
      <c r="S41" s="46">
        <v>0</v>
      </c>
      <c r="T41">
        <v>0</v>
      </c>
      <c r="U41">
        <v>5900</v>
      </c>
      <c r="V41">
        <v>400</v>
      </c>
      <c r="W41">
        <v>0</v>
      </c>
      <c r="X41">
        <v>2067</v>
      </c>
      <c r="Y41">
        <v>500</v>
      </c>
      <c r="Z41">
        <v>0</v>
      </c>
      <c r="AA41">
        <v>6100</v>
      </c>
      <c r="AB41">
        <v>0</v>
      </c>
      <c r="AC41">
        <v>3718</v>
      </c>
      <c r="AD41">
        <v>700</v>
      </c>
      <c r="AE41">
        <v>500</v>
      </c>
      <c r="AF41">
        <v>0</v>
      </c>
      <c r="AG41">
        <v>600</v>
      </c>
      <c r="AH41">
        <v>850</v>
      </c>
      <c r="AI41">
        <v>0</v>
      </c>
      <c r="AJ41">
        <v>2700</v>
      </c>
      <c r="AO41" t="str">
        <f>VLOOKUP($M$3&amp;$N$3&amp;DATA_ENERO_2026[[#This Row],[SUPERVISOR]],TablaMeta[],7,0)</f>
        <v>S2-3-4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0.33503067484662574</v>
      </c>
      <c r="E42" s="36" t="str">
        <f>IFERROR(VLOOKUP(D1_ENERO_2026[[#This Row],[ASESOR_CRR]],PLANTILLA_ACTUAL[],2,0),"")</f>
        <v>JORGE</v>
      </c>
      <c r="F42" t="s">
        <v>15</v>
      </c>
      <c r="G42" s="3">
        <v>10922</v>
      </c>
      <c r="H42" t="str">
        <f>VLOOKUP(D1_ENERO_2026[[#This Row],[ASESOR_CRR]],DIM!$C:$E,2,0)</f>
        <v>47587400</v>
      </c>
      <c r="I42" s="59">
        <f>VLOOKUP(D1_ENERO_2026[[#This Row],[ASESOR_CRR]],DIM!$C:$E,3,0)</f>
        <v>44733</v>
      </c>
      <c r="J42" s="59" t="str">
        <f>VLOOKUP(D1_ENERO_2026[[#This Row],[ASESOR_CRR]],PLANTILLA_ACTUAL[],6,0)</f>
        <v>CALL</v>
      </c>
      <c r="K42" s="59"/>
      <c r="L42" s="59"/>
      <c r="M42" s="5">
        <f>IF(DATA_ENERO_2026[[#This Row],[ASER_]]="","",VLOOKUP(DATA_ENERO_2026[[#This Row],[ASER_]],$B:$G,3,0))</f>
        <v>1.8335102040816327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s="58" t="str">
        <f>IFERROR(VLOOKUP(DATA_ENERO_2026[[#This Row],[ASER_]],$B:$G,4,0),"")</f>
        <v>JOHAN</v>
      </c>
      <c r="P42" s="6">
        <f>IF(DATA_ENERO_2026[[#This Row],[SUPERVISOR]]="","",VLOOKUP(DATA_ENERO_2026[[#This Row],[ASER_]],$B:$G,6,0))</f>
        <v>44921</v>
      </c>
      <c r="Q42" s="6">
        <f>VLOOKUP(DATA_ENERO_2026[[#This Row],[ASER_]],D1_ENERO_2026[[ASESOR_CRR]:[META]],2,0)</f>
        <v>24500</v>
      </c>
      <c r="R42" t="s">
        <v>58</v>
      </c>
      <c r="S42" s="46">
        <v>1000</v>
      </c>
      <c r="T42">
        <v>0</v>
      </c>
      <c r="U42">
        <v>1650</v>
      </c>
      <c r="V42">
        <v>205</v>
      </c>
      <c r="W42">
        <v>11100</v>
      </c>
      <c r="X42">
        <v>0</v>
      </c>
      <c r="Y42">
        <v>500</v>
      </c>
      <c r="Z42">
        <v>0</v>
      </c>
      <c r="AA42">
        <v>2850</v>
      </c>
      <c r="AB42">
        <v>300</v>
      </c>
      <c r="AC42">
        <v>7000</v>
      </c>
      <c r="AD42">
        <v>706</v>
      </c>
      <c r="AE42">
        <v>150</v>
      </c>
      <c r="AF42">
        <v>1750</v>
      </c>
      <c r="AG42">
        <v>1600</v>
      </c>
      <c r="AH42">
        <v>5500</v>
      </c>
      <c r="AI42">
        <v>8500</v>
      </c>
      <c r="AJ42">
        <v>2110</v>
      </c>
      <c r="AO42" t="str">
        <f>VLOOKUP($M$3&amp;$N$3&amp;DATA_ENERO_2026[[#This Row],[SUPERVISOR]],TablaMeta[],7,0)</f>
        <v>S2-3-4</v>
      </c>
    </row>
    <row r="43" spans="1:41" x14ac:dyDescent="0.25">
      <c r="A43" s="35" t="str">
        <f>IFERROR(VLOOKUP(D1_ENERO_2026[[#This Row],[ASESOR_CRR]],PLANTILLA_ACTUAL[],2,0),"")</f>
        <v>JOHAN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43" s="37">
        <f>IF(D1_ENERO_2026[[#This Row],[RECUPERO]]="","",VLOOKUP($M$3&amp;$N$3&amp;D1_ENERO_2026[[#This Row],[SUPER]],TablaMeta[],6,0))</f>
        <v>24500</v>
      </c>
      <c r="D43" s="36">
        <f>IFERROR(D1_ENERO_2026[[#This Row],[RECUPERO]]/VLOOKUP($M$3&amp;$N$3&amp;D1_ENERO_2026[[#This Row],[SUPER]],TablaMeta[],6,0),"")</f>
        <v>1.8335102040816327</v>
      </c>
      <c r="E43" s="36" t="str">
        <f>IFERROR(VLOOKUP(D1_ENERO_2026[[#This Row],[ASESOR_CRR]],PLANTILLA_ACTUAL[],2,0),"")</f>
        <v>JOHAN</v>
      </c>
      <c r="F43" t="s">
        <v>58</v>
      </c>
      <c r="G43" s="3">
        <v>44921</v>
      </c>
      <c r="H43" t="str">
        <f>VLOOKUP(D1_ENERO_2026[[#This Row],[ASESOR_CRR]],DIM!$C:$E,2,0)</f>
        <v>72519113</v>
      </c>
      <c r="I43" s="59">
        <f>VLOOKUP(D1_ENERO_2026[[#This Row],[ASESOR_CRR]],DIM!$C:$E,3,0)</f>
        <v>43119</v>
      </c>
      <c r="J43" s="59" t="str">
        <f>VLOOKUP(D1_ENERO_2026[[#This Row],[ASESOR_CRR]],PLANTILLA_ACTUAL[],6,0)</f>
        <v>CALL</v>
      </c>
      <c r="K43" s="59"/>
      <c r="L43" s="59"/>
      <c r="M43" s="5">
        <f>IF(DATA_ENERO_2026[[#This Row],[ASER_]]="","",VLOOKUP(DATA_ENERO_2026[[#This Row],[ASER_]],$B:$G,3,0))</f>
        <v>0.16632653061224489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&gt;0%</v>
      </c>
      <c r="O43" s="58" t="str">
        <f>IFERROR(VLOOKUP(DATA_ENERO_2026[[#This Row],[ASER_]],$B:$G,4,0),"")</f>
        <v>JOHAN</v>
      </c>
      <c r="P43" s="6">
        <f>IF(DATA_ENERO_2026[[#This Row],[SUPERVISOR]]="","",VLOOKUP(DATA_ENERO_2026[[#This Row],[ASER_]],$B:$G,6,0))</f>
        <v>4075</v>
      </c>
      <c r="Q43" s="6">
        <f>VLOOKUP(DATA_ENERO_2026[[#This Row],[ASER_]],D1_ENERO_2026[[ASESOR_CRR]:[META]],2,0)</f>
        <v>24500</v>
      </c>
      <c r="R43" t="s">
        <v>55</v>
      </c>
      <c r="S43">
        <v>310</v>
      </c>
      <c r="T43">
        <v>280</v>
      </c>
      <c r="U43">
        <v>735</v>
      </c>
      <c r="V43">
        <v>500</v>
      </c>
      <c r="W43">
        <v>0</v>
      </c>
      <c r="X43">
        <v>0</v>
      </c>
      <c r="Y43">
        <v>0</v>
      </c>
      <c r="Z43">
        <v>0</v>
      </c>
      <c r="AA43">
        <v>2250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O43" t="str">
        <f>VLOOKUP($M$3&amp;$N$3&amp;DATA_ENERO_2026[[#This Row],[SUPERVISOR]],TablaMeta[],7,0)</f>
        <v>S2-3-4</v>
      </c>
    </row>
    <row r="44" spans="1:41" x14ac:dyDescent="0.25">
      <c r="A44" s="35" t="str">
        <f>IFERROR(VLOOKUP(D1_ENERO_2026[[#This Row],[ASESOR_CRR]],PLANTILLA_ACTUAL[],2,0),"")</f>
        <v>JOHAN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44" s="37">
        <f>IF(D1_ENERO_2026[[#This Row],[RECUPERO]]="","",VLOOKUP($M$3&amp;$N$3&amp;D1_ENERO_2026[[#This Row],[SUPER]],TablaMeta[],6,0))</f>
        <v>24500</v>
      </c>
      <c r="D44" s="36">
        <f>IFERROR(D1_ENERO_2026[[#This Row],[RECUPERO]]/VLOOKUP($M$3&amp;$N$3&amp;D1_ENERO_2026[[#This Row],[SUPER]],TablaMeta[],6,0),"")</f>
        <v>1.5695102040816327</v>
      </c>
      <c r="E44" s="36" t="str">
        <f>IFERROR(VLOOKUP(D1_ENERO_2026[[#This Row],[ASESOR_CRR]],PLANTILLA_ACTUAL[],2,0),"")</f>
        <v>JOHAN</v>
      </c>
      <c r="F44" t="s">
        <v>77</v>
      </c>
      <c r="G44" s="3">
        <v>38453</v>
      </c>
      <c r="H44" t="str">
        <f>VLOOKUP(D1_ENERO_2026[[#This Row],[ASESOR_CRR]],DIM!$C:$E,2,0)</f>
        <v>42251780</v>
      </c>
      <c r="I44" s="59">
        <f>VLOOKUP(D1_ENERO_2026[[#This Row],[ASESOR_CRR]],DIM!$C:$E,3,0)</f>
        <v>44838</v>
      </c>
      <c r="J44" s="59" t="str">
        <f>VLOOKUP(D1_ENERO_2026[[#This Row],[ASESOR_CRR]],PLANTILLA_ACTUAL[],6,0)</f>
        <v>CALL</v>
      </c>
      <c r="K44" s="59"/>
      <c r="L44" s="59"/>
      <c r="M44" s="5">
        <f>IF(DATA_ENERO_2026[[#This Row],[ASER_]]="","",VLOOKUP(DATA_ENERO_2026[[#This Row],[ASER_]],$B:$G,3,0))</f>
        <v>0.58922448979591835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s="58" t="str">
        <f>IFERROR(VLOOKUP(DATA_ENERO_2026[[#This Row],[ASER_]],$B:$G,4,0),"")</f>
        <v>JOHAN</v>
      </c>
      <c r="P44" s="6">
        <f>IF(DATA_ENERO_2026[[#This Row],[SUPERVISOR]]="","",VLOOKUP(DATA_ENERO_2026[[#This Row],[ASER_]],$B:$G,6,0))</f>
        <v>14436</v>
      </c>
      <c r="Q44" s="6">
        <f>VLOOKUP(DATA_ENERO_2026[[#This Row],[ASER_]],D1_ENERO_2026[[ASESOR_CRR]:[META]],2,0)</f>
        <v>24500</v>
      </c>
      <c r="R44" t="s">
        <v>41</v>
      </c>
      <c r="S44">
        <v>0</v>
      </c>
      <c r="T44">
        <v>1486</v>
      </c>
      <c r="U44">
        <v>0</v>
      </c>
      <c r="V44">
        <v>0</v>
      </c>
      <c r="W44">
        <v>0</v>
      </c>
      <c r="X44">
        <v>200</v>
      </c>
      <c r="Y44">
        <v>2300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10450</v>
      </c>
      <c r="AJ44">
        <v>0</v>
      </c>
      <c r="AO44" t="str">
        <f>VLOOKUP($M$3&amp;$N$3&amp;DATA_ENERO_2026[[#This Row],[SUPERVISOR]],TablaMeta[],7,0)</f>
        <v>S2-3-4</v>
      </c>
    </row>
    <row r="45" spans="1:41" x14ac:dyDescent="0.25">
      <c r="A45" s="35" t="str">
        <f>IFERROR(VLOOKUP(D1_ENERO_2026[[#This Row],[ASESOR_CRR]],PLANTILLA_ACTUAL[],2,0),"")</f>
        <v>JOHAN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45" s="37">
        <f>IF(D1_ENERO_2026[[#This Row],[RECUPERO]]="","",VLOOKUP($M$3&amp;$N$3&amp;D1_ENERO_2026[[#This Row],[SUPER]],TablaMeta[],6,0))</f>
        <v>24500</v>
      </c>
      <c r="D45" s="36">
        <f>IFERROR(D1_ENERO_2026[[#This Row],[RECUPERO]]/VLOOKUP($M$3&amp;$N$3&amp;D1_ENERO_2026[[#This Row],[SUPER]],TablaMeta[],6,0),"")</f>
        <v>0.9810204081632653</v>
      </c>
      <c r="E45" s="36" t="str">
        <f>IFERROR(VLOOKUP(D1_ENERO_2026[[#This Row],[ASESOR_CRR]],PLANTILLA_ACTUAL[],2,0),"")</f>
        <v>JOHAN</v>
      </c>
      <c r="F45" t="s">
        <v>97</v>
      </c>
      <c r="G45" s="3">
        <v>24035</v>
      </c>
      <c r="H45" t="str">
        <f>VLOOKUP(D1_ENERO_2026[[#This Row],[ASESOR_CRR]],DIM!$C:$E,2,0)</f>
        <v>74602206</v>
      </c>
      <c r="I45" s="59">
        <f>VLOOKUP(D1_ENERO_2026[[#This Row],[ASESOR_CRR]],DIM!$C:$E,3,0)</f>
        <v>45884</v>
      </c>
      <c r="J45" s="59" t="str">
        <f>VLOOKUP(D1_ENERO_2026[[#This Row],[ASESOR_CRR]],PLANTILLA_ACTUAL[],6,0)</f>
        <v>CALL</v>
      </c>
      <c r="K45" s="59"/>
      <c r="L45" s="59"/>
      <c r="M45" s="5">
        <f>IF(DATA_ENERO_2026[[#This Row],[ASER_]]="","",VLOOKUP(DATA_ENERO_2026[[#This Row],[ASER_]],$B:$G,3,0))</f>
        <v>0.51224489795918371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s="58" t="str">
        <f>IFERROR(VLOOKUP(DATA_ENERO_2026[[#This Row],[ASER_]],$B:$G,4,0),"")</f>
        <v>JOHAN</v>
      </c>
      <c r="P45" s="6">
        <f>IF(DATA_ENERO_2026[[#This Row],[SUPERVISOR]]="","",VLOOKUP(DATA_ENERO_2026[[#This Row],[ASER_]],$B:$G,6,0))</f>
        <v>12550</v>
      </c>
      <c r="Q45" s="6">
        <f>VLOOKUP(DATA_ENERO_2026[[#This Row],[ASER_]],D1_ENERO_2026[[ASESOR_CRR]:[META]],2,0)</f>
        <v>24500</v>
      </c>
      <c r="R45" t="s">
        <v>73</v>
      </c>
      <c r="S45">
        <v>0</v>
      </c>
      <c r="T45">
        <v>600</v>
      </c>
      <c r="U45">
        <v>0</v>
      </c>
      <c r="V45">
        <v>0</v>
      </c>
      <c r="W45">
        <v>0</v>
      </c>
      <c r="X45">
        <v>2500</v>
      </c>
      <c r="Y45">
        <v>1500</v>
      </c>
      <c r="Z45">
        <v>0</v>
      </c>
      <c r="AA45">
        <v>0</v>
      </c>
      <c r="AB45">
        <v>3200</v>
      </c>
      <c r="AC45">
        <v>1600</v>
      </c>
      <c r="AD45">
        <v>250</v>
      </c>
      <c r="AE45">
        <v>0</v>
      </c>
      <c r="AF45">
        <v>600</v>
      </c>
      <c r="AG45">
        <v>2000</v>
      </c>
      <c r="AH45">
        <v>300</v>
      </c>
      <c r="AI45">
        <v>0</v>
      </c>
      <c r="AJ45">
        <v>0</v>
      </c>
      <c r="AO45" t="str">
        <f>VLOOKUP($M$3&amp;$N$3&amp;DATA_ENERO_2026[[#This Row],[SUPERVISOR]],TablaMeta[],7,0)</f>
        <v>S2-3-4</v>
      </c>
    </row>
    <row r="46" spans="1:41" x14ac:dyDescent="0.25">
      <c r="A46" s="35" t="str">
        <f>IFERROR(VLOOKUP(D1_ENERO_2026[[#This Row],[ASESOR_CRR]],PLANTILLA_ACTUAL[],2,0),"")</f>
        <v>JOHAN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46" s="37">
        <f>IF(D1_ENERO_2026[[#This Row],[RECUPERO]]="","",VLOOKUP($M$3&amp;$N$3&amp;D1_ENERO_2026[[#This Row],[SUPER]],TablaMeta[],6,0))</f>
        <v>24500</v>
      </c>
      <c r="D46" s="36">
        <f>IFERROR(D1_ENERO_2026[[#This Row],[RECUPERO]]/VLOOKUP($M$3&amp;$N$3&amp;D1_ENERO_2026[[#This Row],[SUPER]],TablaMeta[],6,0),"")</f>
        <v>0.97775510204081628</v>
      </c>
      <c r="E46" s="36" t="str">
        <f>IFERROR(VLOOKUP(D1_ENERO_2026[[#This Row],[ASESOR_CRR]],PLANTILLA_ACTUAL[],2,0),"")</f>
        <v>JOHAN</v>
      </c>
      <c r="F46" t="s">
        <v>206</v>
      </c>
      <c r="G46" s="3">
        <v>23955</v>
      </c>
      <c r="H46" t="str">
        <f>VLOOKUP(D1_ENERO_2026[[#This Row],[ASESOR_CRR]],DIM!$C:$E,2,0)</f>
        <v>46994661</v>
      </c>
      <c r="I46" s="59">
        <f>VLOOKUP(D1_ENERO_2026[[#This Row],[ASESOR_CRR]],DIM!$C:$E,3,0)</f>
        <v>45992</v>
      </c>
      <c r="J46" s="59" t="str">
        <f>VLOOKUP(D1_ENERO_2026[[#This Row],[ASESOR_CRR]],PLANTILLA_ACTUAL[],6,0)</f>
        <v>CALL</v>
      </c>
      <c r="K46" s="59"/>
      <c r="L46" s="59"/>
      <c r="M46" s="5">
        <f>IF(DATA_ENERO_2026[[#This Row],[ASER_]]="","",VLOOKUP(DATA_ENERO_2026[[#This Row],[ASER_]],$B:$G,3,0))</f>
        <v>0.97775510204081628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&gt;70%</v>
      </c>
      <c r="O46" s="58" t="str">
        <f>IFERROR(VLOOKUP(DATA_ENERO_2026[[#This Row],[ASER_]],$B:$G,4,0),"")</f>
        <v>JOHAN</v>
      </c>
      <c r="P46" s="6">
        <f>IF(DATA_ENERO_2026[[#This Row],[SUPERVISOR]]="","",VLOOKUP(DATA_ENERO_2026[[#This Row],[ASER_]],$B:$G,6,0))</f>
        <v>23955</v>
      </c>
      <c r="Q46" s="6">
        <f>VLOOKUP(DATA_ENERO_2026[[#This Row],[ASER_]],D1_ENERO_2026[[ASESOR_CRR]:[META]],2,0)</f>
        <v>24500</v>
      </c>
      <c r="R46" t="s">
        <v>174</v>
      </c>
      <c r="S46">
        <v>0</v>
      </c>
      <c r="T46">
        <v>800</v>
      </c>
      <c r="U46">
        <v>1000</v>
      </c>
      <c r="V46">
        <v>0</v>
      </c>
      <c r="W46">
        <v>1500</v>
      </c>
      <c r="X46">
        <v>700</v>
      </c>
      <c r="Y46">
        <v>1000</v>
      </c>
      <c r="Z46">
        <v>500</v>
      </c>
      <c r="AA46">
        <v>0</v>
      </c>
      <c r="AB46">
        <v>5000</v>
      </c>
      <c r="AC46">
        <v>1395</v>
      </c>
      <c r="AD46">
        <v>0</v>
      </c>
      <c r="AE46">
        <v>3500</v>
      </c>
      <c r="AF46">
        <v>0</v>
      </c>
      <c r="AG46">
        <v>230</v>
      </c>
      <c r="AH46">
        <v>0</v>
      </c>
      <c r="AI46">
        <v>6330</v>
      </c>
      <c r="AJ46">
        <v>2000</v>
      </c>
      <c r="AO46" t="str">
        <f>VLOOKUP($M$3&amp;$N$3&amp;DATA_ENERO_2026[[#This Row],[SUPERVISOR]],TablaMeta[],7,0)</f>
        <v>S2-3-4</v>
      </c>
    </row>
    <row r="47" spans="1:41" x14ac:dyDescent="0.25">
      <c r="A47" s="35" t="str">
        <f>IFERROR(VLOOKUP(D1_ENERO_2026[[#This Row],[ASESOR_CRR]],PLANTILLA_ACTUAL[],2,0),"")</f>
        <v>JOHAN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47" s="37">
        <f>IF(D1_ENERO_2026[[#This Row],[RECUPERO]]="","",VLOOKUP($M$3&amp;$N$3&amp;D1_ENERO_2026[[#This Row],[SUPER]],TablaMeta[],6,0))</f>
        <v>24500</v>
      </c>
      <c r="D47" s="36">
        <f>IFERROR(D1_ENERO_2026[[#This Row],[RECUPERO]]/VLOOKUP($M$3&amp;$N$3&amp;D1_ENERO_2026[[#This Row],[SUPER]],TablaMeta[],6,0),"")</f>
        <v>0.97183673469387755</v>
      </c>
      <c r="E47" s="36" t="str">
        <f>IFERROR(VLOOKUP(D1_ENERO_2026[[#This Row],[ASESOR_CRR]],PLANTILLA_ACTUAL[],2,0),"")</f>
        <v>JOHAN</v>
      </c>
      <c r="F47" t="s">
        <v>48</v>
      </c>
      <c r="G47" s="3">
        <v>23810</v>
      </c>
      <c r="H47" t="str">
        <f>VLOOKUP(D1_ENERO_2026[[#This Row],[ASESOR_CRR]],DIM!$C:$E,2,0)</f>
        <v>43307898</v>
      </c>
      <c r="I47" s="59">
        <f>VLOOKUP(D1_ENERO_2026[[#This Row],[ASESOR_CRR]],DIM!$C:$E,3,0)</f>
        <v>44746</v>
      </c>
      <c r="J47" s="59" t="str">
        <f>VLOOKUP(D1_ENERO_2026[[#This Row],[ASESOR_CRR]],PLANTILLA_ACTUAL[],6,0)</f>
        <v>CALL</v>
      </c>
      <c r="K47" s="59"/>
      <c r="L47" s="59"/>
      <c r="M47" s="5">
        <f>IF(DATA_ENERO_2026[[#This Row],[ASER_]]="","",VLOOKUP(DATA_ENERO_2026[[#This Row],[ASER_]],$B:$G,3,0))</f>
        <v>0.94857142857142862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&gt;70%</v>
      </c>
      <c r="O47" s="58" t="str">
        <f>IFERROR(VLOOKUP(DATA_ENERO_2026[[#This Row],[ASER_]],$B:$G,4,0),"")</f>
        <v>JOHAN</v>
      </c>
      <c r="P47" s="6">
        <f>IF(DATA_ENERO_2026[[#This Row],[SUPERVISOR]]="","",VLOOKUP(DATA_ENERO_2026[[#This Row],[ASER_]],$B:$G,6,0))</f>
        <v>23240</v>
      </c>
      <c r="Q47" s="6">
        <f>VLOOKUP(DATA_ENERO_2026[[#This Row],[ASER_]],D1_ENERO_2026[[ASESOR_CRR]:[META]],2,0)</f>
        <v>24500</v>
      </c>
      <c r="R47" t="s">
        <v>109</v>
      </c>
      <c r="S47">
        <v>0</v>
      </c>
      <c r="T47">
        <v>1200</v>
      </c>
      <c r="U47" s="46">
        <v>2000</v>
      </c>
      <c r="V47">
        <v>4000</v>
      </c>
      <c r="W47">
        <v>0</v>
      </c>
      <c r="X47">
        <v>0</v>
      </c>
      <c r="Y47">
        <v>3000</v>
      </c>
      <c r="Z47">
        <v>1000</v>
      </c>
      <c r="AA47">
        <v>3000</v>
      </c>
      <c r="AB47">
        <v>200</v>
      </c>
      <c r="AC47">
        <v>0</v>
      </c>
      <c r="AD47">
        <v>0</v>
      </c>
      <c r="AE47">
        <v>1000</v>
      </c>
      <c r="AF47">
        <v>3000</v>
      </c>
      <c r="AG47">
        <v>0</v>
      </c>
      <c r="AH47">
        <v>0</v>
      </c>
      <c r="AI47">
        <v>1500</v>
      </c>
      <c r="AJ47">
        <v>3340</v>
      </c>
      <c r="AO47" t="str">
        <f>VLOOKUP($M$3&amp;$N$3&amp;DATA_ENERO_2026[[#This Row],[SUPERVISOR]],TablaMeta[],7,0)</f>
        <v>S2-3-4</v>
      </c>
    </row>
    <row r="48" spans="1:41" x14ac:dyDescent="0.25">
      <c r="A48" s="35" t="str">
        <f>IFERROR(VLOOKUP(D1_ENERO_2026[[#This Row],[ASESOR_CRR]],PLANTILLA_ACTUAL[],2,0),"")</f>
        <v>JOHAN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48" s="37">
        <f>IF(D1_ENERO_2026[[#This Row],[RECUPERO]]="","",VLOOKUP($M$3&amp;$N$3&amp;D1_ENERO_2026[[#This Row],[SUPER]],TablaMeta[],6,0))</f>
        <v>24500</v>
      </c>
      <c r="D48" s="36">
        <f>IFERROR(D1_ENERO_2026[[#This Row],[RECUPERO]]/VLOOKUP($M$3&amp;$N$3&amp;D1_ENERO_2026[[#This Row],[SUPER]],TablaMeta[],6,0),"")</f>
        <v>0.94857142857142862</v>
      </c>
      <c r="E48" s="36" t="str">
        <f>IFERROR(VLOOKUP(D1_ENERO_2026[[#This Row],[ASESOR_CRR]],PLANTILLA_ACTUAL[],2,0),"")</f>
        <v>JOHAN</v>
      </c>
      <c r="F48" t="s">
        <v>109</v>
      </c>
      <c r="G48" s="3">
        <v>23240</v>
      </c>
      <c r="H48" t="str">
        <f>VLOOKUP(D1_ENERO_2026[[#This Row],[ASESOR_CRR]],DIM!$C:$E,2,0)</f>
        <v>74626735</v>
      </c>
      <c r="I48" s="59">
        <f>VLOOKUP(D1_ENERO_2026[[#This Row],[ASESOR_CRR]],DIM!$C:$E,3,0)</f>
        <v>46024</v>
      </c>
      <c r="J48" s="59" t="str">
        <f>VLOOKUP(D1_ENERO_2026[[#This Row],[ASESOR_CRR]],PLANTILLA_ACTUAL[],6,0)</f>
        <v>CALL</v>
      </c>
      <c r="K48" s="59"/>
      <c r="L48" s="59"/>
      <c r="M48" s="5">
        <f>IF(DATA_ENERO_2026[[#This Row],[ASER_]]="","",VLOOKUP(DATA_ENERO_2026[[#This Row],[ASER_]],$B:$G,3,0))</f>
        <v>0.61599999999999999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&gt;40%</v>
      </c>
      <c r="O48" s="58" t="str">
        <f>IFERROR(VLOOKUP(DATA_ENERO_2026[[#This Row],[ASER_]],$B:$G,4,0),"")</f>
        <v>JOHAN</v>
      </c>
      <c r="P48" s="6">
        <f>IF(DATA_ENERO_2026[[#This Row],[SUPERVISOR]]="","",VLOOKUP(DATA_ENERO_2026[[#This Row],[ASER_]],$B:$G,6,0))</f>
        <v>15092</v>
      </c>
      <c r="Q48" s="6">
        <f>VLOOKUP(DATA_ENERO_2026[[#This Row],[ASER_]],D1_ENERO_2026[[ASESOR_CRR]:[META]],2,0)</f>
        <v>24500</v>
      </c>
      <c r="R48" t="s">
        <v>209</v>
      </c>
      <c r="S48">
        <v>0</v>
      </c>
      <c r="T48">
        <v>0</v>
      </c>
      <c r="U48">
        <v>0</v>
      </c>
      <c r="V48">
        <v>4000</v>
      </c>
      <c r="W48">
        <v>0</v>
      </c>
      <c r="X48">
        <v>0</v>
      </c>
      <c r="Y48">
        <v>0</v>
      </c>
      <c r="Z48">
        <v>1300</v>
      </c>
      <c r="AA48">
        <v>150</v>
      </c>
      <c r="AB48">
        <v>5920</v>
      </c>
      <c r="AC48">
        <v>1000</v>
      </c>
      <c r="AD48">
        <v>1150</v>
      </c>
      <c r="AE48">
        <v>0</v>
      </c>
      <c r="AF48">
        <v>220</v>
      </c>
      <c r="AG48">
        <v>552</v>
      </c>
      <c r="AH48">
        <v>0</v>
      </c>
      <c r="AI48">
        <v>500</v>
      </c>
      <c r="AJ48">
        <v>300</v>
      </c>
      <c r="AO48" t="str">
        <f>VLOOKUP($M$3&amp;$N$3&amp;DATA_ENERO_2026[[#This Row],[SUPERVISOR]],TablaMeta[],7,0)</f>
        <v>S2-3-4</v>
      </c>
    </row>
    <row r="49" spans="1:41" x14ac:dyDescent="0.25">
      <c r="A49" s="35" t="str">
        <f>IFERROR(VLOOKUP(D1_ENERO_2026[[#This Row],[ASESOR_CRR]],PLANTILLA_ACTUAL[],2,0),"")</f>
        <v>JOHAN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49" s="37">
        <f>IF(D1_ENERO_2026[[#This Row],[RECUPERO]]="","",VLOOKUP($M$3&amp;$N$3&amp;D1_ENERO_2026[[#This Row],[SUPER]],TablaMeta[],6,0))</f>
        <v>24500</v>
      </c>
      <c r="D49" s="36">
        <f>IFERROR(D1_ENERO_2026[[#This Row],[RECUPERO]]/VLOOKUP($M$3&amp;$N$3&amp;D1_ENERO_2026[[#This Row],[SUPER]],TablaMeta[],6,0),"")</f>
        <v>0.92951020408163265</v>
      </c>
      <c r="E49" s="36" t="str">
        <f>IFERROR(VLOOKUP(D1_ENERO_2026[[#This Row],[ASESOR_CRR]],PLANTILLA_ACTUAL[],2,0),"")</f>
        <v>JOHAN</v>
      </c>
      <c r="F49" t="s">
        <v>51</v>
      </c>
      <c r="G49" s="3">
        <v>22773</v>
      </c>
      <c r="H49" t="str">
        <f>VLOOKUP(D1_ENERO_2026[[#This Row],[ASESOR_CRR]],DIM!$C:$E,2,0)</f>
        <v>76089925</v>
      </c>
      <c r="I49" s="59">
        <f>VLOOKUP(D1_ENERO_2026[[#This Row],[ASESOR_CRR]],DIM!$C:$E,3,0)</f>
        <v>45678</v>
      </c>
      <c r="J49" s="59" t="str">
        <f>VLOOKUP(D1_ENERO_2026[[#This Row],[ASESOR_CRR]],PLANTILLA_ACTUAL[],6,0)</f>
        <v>CALL</v>
      </c>
      <c r="K49" s="59"/>
      <c r="L49" s="59"/>
      <c r="M49" s="5">
        <f>IF(DATA_ENERO_2026[[#This Row],[ASER_]]="","",VLOOKUP(DATA_ENERO_2026[[#This Row],[ASER_]],$B:$G,3,0))</f>
        <v>0.28163265306122448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&gt;0%</v>
      </c>
      <c r="O49" s="58" t="str">
        <f>IFERROR(VLOOKUP(DATA_ENERO_2026[[#This Row],[ASER_]],$B:$G,4,0),"")</f>
        <v>JOHAN</v>
      </c>
      <c r="P49" s="6">
        <f>IF(DATA_ENERO_2026[[#This Row],[SUPERVISOR]]="","",VLOOKUP(DATA_ENERO_2026[[#This Row],[ASER_]],$B:$G,6,0))</f>
        <v>6900</v>
      </c>
      <c r="Q49" s="6">
        <f>VLOOKUP(DATA_ENERO_2026[[#This Row],[ASER_]],D1_ENERO_2026[[ASESOR_CRR]:[META]],2,0)</f>
        <v>24500</v>
      </c>
      <c r="R49" t="s">
        <v>527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3300</v>
      </c>
      <c r="AG49">
        <v>0</v>
      </c>
      <c r="AH49">
        <v>2700</v>
      </c>
      <c r="AI49">
        <v>900</v>
      </c>
      <c r="AJ49">
        <v>0</v>
      </c>
      <c r="AO49" t="str">
        <f>VLOOKUP($M$3&amp;$N$3&amp;DATA_ENERO_2026[[#This Row],[SUPERVISOR]],TablaMeta[],7,0)</f>
        <v>S2-3-4</v>
      </c>
    </row>
    <row r="50" spans="1:41" x14ac:dyDescent="0.25">
      <c r="A50" s="35" t="str">
        <f>IFERROR(VLOOKUP(D1_ENERO_2026[[#This Row],[ASESOR_CRR]],PLANTILLA_ACTUAL[],2,0),"")</f>
        <v>JOHAN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50" s="37">
        <f>IF(D1_ENERO_2026[[#This Row],[RECUPERO]]="","",VLOOKUP($M$3&amp;$N$3&amp;D1_ENERO_2026[[#This Row],[SUPER]],TablaMeta[],6,0))</f>
        <v>24500</v>
      </c>
      <c r="D50" s="36">
        <f>IFERROR(D1_ENERO_2026[[#This Row],[RECUPERO]]/VLOOKUP($M$3&amp;$N$3&amp;D1_ENERO_2026[[#This Row],[SUPER]],TablaMeta[],6,0),"")</f>
        <v>0.61599999999999999</v>
      </c>
      <c r="E50" s="36" t="str">
        <f>IFERROR(VLOOKUP(D1_ENERO_2026[[#This Row],[ASESOR_CRR]],PLANTILLA_ACTUAL[],2,0),"")</f>
        <v>JOHAN</v>
      </c>
      <c r="F50" t="s">
        <v>209</v>
      </c>
      <c r="G50" s="3">
        <v>15092</v>
      </c>
      <c r="H50" t="str">
        <f>VLOOKUP(D1_ENERO_2026[[#This Row],[ASESOR_CRR]],DIM!$C:$E,2,0)</f>
        <v>75069320</v>
      </c>
      <c r="I50" s="59">
        <f>VLOOKUP(D1_ENERO_2026[[#This Row],[ASESOR_CRR]],DIM!$C:$E,3,0)</f>
        <v>46029</v>
      </c>
      <c r="J50" s="59" t="str">
        <f>VLOOKUP(D1_ENERO_2026[[#This Row],[ASESOR_CRR]],PLANTILLA_ACTUAL[],6,0)</f>
        <v>CALL</v>
      </c>
      <c r="K50" s="59"/>
      <c r="L50" s="59"/>
      <c r="M50" s="5">
        <f>IF(DATA_ENERO_2026[[#This Row],[ASER_]]="","",VLOOKUP(DATA_ENERO_2026[[#This Row],[ASER_]],$B:$G,3,0))</f>
        <v>9.7959183673469383E-2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&gt;0%</v>
      </c>
      <c r="O50" s="58" t="str">
        <f>IFERROR(VLOOKUP(DATA_ENERO_2026[[#This Row],[ASER_]],$B:$G,4,0),"")</f>
        <v>JOHAN</v>
      </c>
      <c r="P50" s="6">
        <f>IF(DATA_ENERO_2026[[#This Row],[SUPERVISOR]]="","",VLOOKUP(DATA_ENERO_2026[[#This Row],[ASER_]],$B:$G,6,0))</f>
        <v>2400</v>
      </c>
      <c r="Q50" s="6">
        <f>VLOOKUP(DATA_ENERO_2026[[#This Row],[ASER_]],D1_ENERO_2026[[ASESOR_CRR]:[META]],2,0)</f>
        <v>24500</v>
      </c>
      <c r="R50" t="s">
        <v>404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1900</v>
      </c>
      <c r="AF50">
        <v>0</v>
      </c>
      <c r="AG50">
        <v>0</v>
      </c>
      <c r="AH50">
        <v>0</v>
      </c>
      <c r="AI50">
        <v>500</v>
      </c>
      <c r="AJ50">
        <v>0</v>
      </c>
      <c r="AO50" t="str">
        <f>VLOOKUP($M$3&amp;$N$3&amp;DATA_ENERO_2026[[#This Row],[SUPERVISOR]],TablaMeta[],7,0)</f>
        <v>S2-3-4</v>
      </c>
    </row>
    <row r="51" spans="1:41" x14ac:dyDescent="0.25">
      <c r="A51" s="35" t="str">
        <f>IFERROR(VLOOKUP(D1_ENERO_2026[[#This Row],[ASESOR_CRR]],PLANTILLA_ACTUAL[],2,0),"")</f>
        <v>JOHAN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51" s="37">
        <f>IF(D1_ENERO_2026[[#This Row],[RECUPERO]]="","",VLOOKUP($M$3&amp;$N$3&amp;D1_ENERO_2026[[#This Row],[SUPER]],TablaMeta[],6,0))</f>
        <v>24500</v>
      </c>
      <c r="D51" s="36">
        <f>IFERROR(D1_ENERO_2026[[#This Row],[RECUPERO]]/VLOOKUP($M$3&amp;$N$3&amp;D1_ENERO_2026[[#This Row],[SUPER]],TablaMeta[],6,0),"")</f>
        <v>0.58922448979591835</v>
      </c>
      <c r="E51" s="36" t="str">
        <f>IFERROR(VLOOKUP(D1_ENERO_2026[[#This Row],[ASESOR_CRR]],PLANTILLA_ACTUAL[],2,0),"")</f>
        <v>JOHAN</v>
      </c>
      <c r="F51" t="s">
        <v>41</v>
      </c>
      <c r="G51" s="3">
        <v>14436</v>
      </c>
      <c r="H51" t="str">
        <f>VLOOKUP(D1_ENERO_2026[[#This Row],[ASESOR_CRR]],DIM!$C:$E,2,0)</f>
        <v>46461021</v>
      </c>
      <c r="I51" s="59">
        <f>VLOOKUP(D1_ENERO_2026[[#This Row],[ASESOR_CRR]],DIM!$C:$E,3,0)</f>
        <v>45302</v>
      </c>
      <c r="J51" s="59" t="str">
        <f>VLOOKUP(D1_ENERO_2026[[#This Row],[ASESOR_CRR]],PLANTILLA_ACTUAL[],6,0)</f>
        <v>CALL</v>
      </c>
      <c r="K51" s="59"/>
      <c r="L51" s="59"/>
      <c r="M51" s="5">
        <f>IF(DATA_ENERO_2026[[#This Row],[ASER_]]="","",VLOOKUP(DATA_ENERO_2026[[#This Row],[ASER_]],$B:$G,3,0))</f>
        <v>1.4844478527607361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s="58" t="str">
        <f>IFERROR(VLOOKUP(DATA_ENERO_2026[[#This Row],[ASER_]],$B:$G,4,0),"")</f>
        <v>JORGE</v>
      </c>
      <c r="P51" s="6">
        <f>IF(DATA_ENERO_2026[[#This Row],[SUPERVISOR]]="","",VLOOKUP(DATA_ENERO_2026[[#This Row],[ASER_]],$B:$G,6,0))</f>
        <v>48393</v>
      </c>
      <c r="Q51" s="6">
        <f>VLOOKUP(DATA_ENERO_2026[[#This Row],[ASER_]],D1_ENERO_2026[[ASESOR_CRR]:[META]],2,0)</f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G51">
        <v>8200</v>
      </c>
      <c r="AH51">
        <v>1650</v>
      </c>
      <c r="AI51">
        <v>0</v>
      </c>
      <c r="AJ51">
        <v>2600</v>
      </c>
      <c r="AO51" t="str">
        <f>VLOOKUP($M$3&amp;$N$3&amp;DATA_ENERO_2026[[#This Row],[SUPERVISOR]],TablaMeta[],7,0)</f>
        <v>S0</v>
      </c>
    </row>
    <row r="52" spans="1:41" x14ac:dyDescent="0.25">
      <c r="A52" s="35" t="str">
        <f>IFERROR(VLOOKUP(D1_ENERO_2026[[#This Row],[ASESOR_CRR]],PLANTILLA_ACTUAL[],2,0),"")</f>
        <v>JOHAN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52" s="37">
        <f>IF(D1_ENERO_2026[[#This Row],[RECUPERO]]="","",VLOOKUP($M$3&amp;$N$3&amp;D1_ENERO_2026[[#This Row],[SUPER]],TablaMeta[],6,0))</f>
        <v>24500</v>
      </c>
      <c r="D52" s="36">
        <f>IFERROR(D1_ENERO_2026[[#This Row],[RECUPERO]]/VLOOKUP($M$3&amp;$N$3&amp;D1_ENERO_2026[[#This Row],[SUPER]],TablaMeta[],6,0),"")</f>
        <v>0.51224489795918371</v>
      </c>
      <c r="E52" s="36" t="str">
        <f>IFERROR(VLOOKUP(D1_ENERO_2026[[#This Row],[ASESOR_CRR]],PLANTILLA_ACTUAL[],2,0),"")</f>
        <v>JOHAN</v>
      </c>
      <c r="F52" t="s">
        <v>73</v>
      </c>
      <c r="G52" s="3">
        <v>12550</v>
      </c>
      <c r="H52" t="str">
        <f>VLOOKUP(D1_ENERO_2026[[#This Row],[ASESOR_CRR]],DIM!$C:$E,2,0)</f>
        <v>40318129</v>
      </c>
      <c r="I52" s="59">
        <f>VLOOKUP(D1_ENERO_2026[[#This Row],[ASESOR_CRR]],DIM!$C:$E,3,0)</f>
        <v>45141</v>
      </c>
      <c r="J52" s="59" t="str">
        <f>VLOOKUP(D1_ENERO_2026[[#This Row],[ASESOR_CRR]],PLANTILLA_ACTUAL[],6,0)</f>
        <v>CALL</v>
      </c>
      <c r="K52" s="59"/>
      <c r="L52" s="59"/>
      <c r="M52" s="5">
        <f>IF(DATA_ENERO_2026[[#This Row],[ASER_]]="","",VLOOKUP(DATA_ENERO_2026[[#This Row],[ASER_]],$B:$G,3,0))</f>
        <v>1.5449693251533743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s="58" t="str">
        <f>IFERROR(VLOOKUP(DATA_ENERO_2026[[#This Row],[ASER_]],$B:$G,4,0),"")</f>
        <v>JORGE</v>
      </c>
      <c r="P52" s="6">
        <f>IF(DATA_ENERO_2026[[#This Row],[SUPERVISOR]]="","",VLOOKUP(DATA_ENERO_2026[[#This Row],[ASER_]],$B:$G,6,0))</f>
        <v>50366</v>
      </c>
      <c r="Q52" s="6">
        <f>VLOOKUP(DATA_ENERO_2026[[#This Row],[ASER_]],D1_ENERO_2026[[ASESOR_CRR]:[META]],2,0)</f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G52">
        <v>4200</v>
      </c>
      <c r="AH52">
        <v>0</v>
      </c>
      <c r="AI52">
        <v>3000</v>
      </c>
      <c r="AJ52">
        <v>20400</v>
      </c>
      <c r="AO52" t="str">
        <f>VLOOKUP($M$3&amp;$N$3&amp;DATA_ENERO_2026[[#This Row],[SUPERVISOR]],TablaMeta[],7,0)</f>
        <v>S0</v>
      </c>
    </row>
    <row r="53" spans="1:41" x14ac:dyDescent="0.25">
      <c r="A53" s="35" t="str">
        <f>IFERROR(VLOOKUP(D1_ENERO_2026[[#This Row],[ASESOR_CRR]],PLANTILLA_ACTUAL[],2,0),"")</f>
        <v>JOHAN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53" s="37">
        <f>IF(D1_ENERO_2026[[#This Row],[RECUPERO]]="","",VLOOKUP($M$3&amp;$N$3&amp;D1_ENERO_2026[[#This Row],[SUPER]],TablaMeta[],6,0))</f>
        <v>24500</v>
      </c>
      <c r="D53" s="36">
        <f>IFERROR(D1_ENERO_2026[[#This Row],[RECUPERO]]/VLOOKUP($M$3&amp;$N$3&amp;D1_ENERO_2026[[#This Row],[SUPER]],TablaMeta[],6,0),"")</f>
        <v>0.34848979591836737</v>
      </c>
      <c r="E53" s="36" t="str">
        <f>IFERROR(VLOOKUP(D1_ENERO_2026[[#This Row],[ASESOR_CRR]],PLANTILLA_ACTUAL[],2,0),"")</f>
        <v>JOHAN</v>
      </c>
      <c r="F53" t="s">
        <v>40</v>
      </c>
      <c r="G53" s="3">
        <v>8538</v>
      </c>
      <c r="H53" t="str">
        <f>VLOOKUP(D1_ENERO_2026[[#This Row],[ASESOR_CRR]],DIM!$C:$E,2,0)</f>
        <v>60976055</v>
      </c>
      <c r="I53" s="59">
        <f>VLOOKUP(D1_ENERO_2026[[#This Row],[ASESOR_CRR]],DIM!$C:$E,3,0)</f>
        <v>45433</v>
      </c>
      <c r="J53" s="59" t="str">
        <f>VLOOKUP(D1_ENERO_2026[[#This Row],[ASESOR_CRR]],PLANTILLA_ACTUAL[],6,0)</f>
        <v>CALL</v>
      </c>
      <c r="K53" s="59"/>
      <c r="L53" s="59"/>
      <c r="M53" s="5">
        <f>IF(DATA_ENERO_2026[[#This Row],[ASER_]]="","",VLOOKUP(DATA_ENERO_2026[[#This Row],[ASER_]],$B:$G,3,0))</f>
        <v>0.67235889570552154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&gt;40%</v>
      </c>
      <c r="O53" s="58" t="str">
        <f>IFERROR(VLOOKUP(DATA_ENERO_2026[[#This Row],[ASER_]],$B:$G,4,0),"")</f>
        <v>JORGE</v>
      </c>
      <c r="P53" s="6">
        <f>IF(DATA_ENERO_2026[[#This Row],[SUPERVISOR]]="","",VLOOKUP(DATA_ENERO_2026[[#This Row],[ASER_]],$B:$G,6,0))</f>
        <v>21918.9</v>
      </c>
      <c r="Q53" s="6">
        <f>VLOOKUP(DATA_ENERO_2026[[#This Row],[ASER_]],D1_ENERO_2026[[ASESOR_CRR]:[META]],2,0)</f>
        <v>32600</v>
      </c>
      <c r="R53" t="s">
        <v>29</v>
      </c>
      <c r="S53">
        <v>1108</v>
      </c>
      <c r="T53">
        <v>0</v>
      </c>
      <c r="U53">
        <v>250</v>
      </c>
      <c r="V53">
        <v>380</v>
      </c>
      <c r="W53">
        <v>0</v>
      </c>
      <c r="X53">
        <v>1650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G53">
        <v>250</v>
      </c>
      <c r="AH53">
        <v>1180</v>
      </c>
      <c r="AI53">
        <v>3265</v>
      </c>
      <c r="AJ53">
        <v>2500</v>
      </c>
      <c r="AO53" t="str">
        <f>VLOOKUP($M$3&amp;$N$3&amp;DATA_ENERO_2026[[#This Row],[SUPERVISOR]],TablaMeta[],7,0)</f>
        <v>S0</v>
      </c>
    </row>
    <row r="54" spans="1:41" x14ac:dyDescent="0.25">
      <c r="A54" s="35" t="str">
        <f>IFERROR(VLOOKUP(D1_ENERO_2026[[#This Row],[ASESOR_CRR]],PLANTILLA_ACTUAL[],2,0),"")</f>
        <v>JOHAN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54" s="37">
        <f>IF(D1_ENERO_2026[[#This Row],[RECUPERO]]="","",VLOOKUP($M$3&amp;$N$3&amp;D1_ENERO_2026[[#This Row],[SUPER]],TablaMeta[],6,0))</f>
        <v>24500</v>
      </c>
      <c r="D54" s="36">
        <f>IFERROR(D1_ENERO_2026[[#This Row],[RECUPERO]]/VLOOKUP($M$3&amp;$N$3&amp;D1_ENERO_2026[[#This Row],[SUPER]],TablaMeta[],6,0),"")</f>
        <v>0.28163265306122448</v>
      </c>
      <c r="E54" s="36" t="str">
        <f>IFERROR(VLOOKUP(D1_ENERO_2026[[#This Row],[ASESOR_CRR]],PLANTILLA_ACTUAL[],2,0),"")</f>
        <v>JOHAN</v>
      </c>
      <c r="F54" t="s">
        <v>527</v>
      </c>
      <c r="G54" s="3">
        <v>6900</v>
      </c>
      <c r="H54" t="str">
        <f>VLOOKUP(D1_ENERO_2026[[#This Row],[ASESOR_CRR]],DIM!$C:$E,2,0)</f>
        <v>09668687</v>
      </c>
      <c r="I54" s="59">
        <f>VLOOKUP(D1_ENERO_2026[[#This Row],[ASESOR_CRR]],DIM!$C:$E,3,0)</f>
        <v>46041</v>
      </c>
      <c r="J54" s="59" t="str">
        <f>VLOOKUP(D1_ENERO_2026[[#This Row],[ASESOR_CRR]],PLANTILLA_ACTUAL[],6,0)</f>
        <v>CALL</v>
      </c>
      <c r="K54" s="59"/>
      <c r="M54" s="5">
        <f>IF(DATA_ENERO_2026[[#This Row],[ASER_]]="","",VLOOKUP(DATA_ENERO_2026[[#This Row],[ASER_]],$B:$G,3,0))</f>
        <v>0.87877699386503072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&gt;70%</v>
      </c>
      <c r="O54" s="58" t="str">
        <f>IFERROR(VLOOKUP(DATA_ENERO_2026[[#This Row],[ASER_]],$B:$G,4,0),"")</f>
        <v>JORGE</v>
      </c>
      <c r="P54" s="6">
        <f>IF(DATA_ENERO_2026[[#This Row],[SUPERVISOR]]="","",VLOOKUP(DATA_ENERO_2026[[#This Row],[ASER_]],$B:$G,6,0))</f>
        <v>28648.13</v>
      </c>
      <c r="Q54" s="6">
        <f>VLOOKUP(DATA_ENERO_2026[[#This Row],[ASER_]],D1_ENERO_2026[[ASESOR_CRR]:[META]],2,0)</f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G54">
        <v>5200</v>
      </c>
      <c r="AH54">
        <v>0</v>
      </c>
      <c r="AI54">
        <v>4910</v>
      </c>
      <c r="AJ54">
        <v>232</v>
      </c>
      <c r="AO54" t="str">
        <f>VLOOKUP($M$3&amp;$N$3&amp;DATA_ENERO_2026[[#This Row],[SUPERVISOR]],TablaMeta[],7,0)</f>
        <v>S0</v>
      </c>
    </row>
    <row r="55" spans="1:41" x14ac:dyDescent="0.25">
      <c r="A55" s="35" t="str">
        <f>IFERROR(VLOOKUP(D1_ENERO_2026[[#This Row],[ASESOR_CRR]],PLANTILLA_ACTUAL[],2,0),"")</f>
        <v>JOHAN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55" s="37">
        <f>IF(D1_ENERO_2026[[#This Row],[RECUPERO]]="","",VLOOKUP($M$3&amp;$N$3&amp;D1_ENERO_2026[[#This Row],[SUPER]],TablaMeta[],6,0))</f>
        <v>24500</v>
      </c>
      <c r="D55" s="36">
        <f>IFERROR(D1_ENERO_2026[[#This Row],[RECUPERO]]/VLOOKUP($M$3&amp;$N$3&amp;D1_ENERO_2026[[#This Row],[SUPER]],TablaMeta[],6,0),"")</f>
        <v>0.16632653061224489</v>
      </c>
      <c r="E55" s="36" t="str">
        <f>IFERROR(VLOOKUP(D1_ENERO_2026[[#This Row],[ASESOR_CRR]],PLANTILLA_ACTUAL[],2,0),"")</f>
        <v>JOHAN</v>
      </c>
      <c r="F55" t="s">
        <v>55</v>
      </c>
      <c r="G55" s="3">
        <v>4075</v>
      </c>
      <c r="H55" t="str">
        <f>VLOOKUP(D1_ENERO_2026[[#This Row],[ASESOR_CRR]],DIM!$C:$E,2,0)</f>
        <v>45119892</v>
      </c>
      <c r="I55" s="59">
        <f>VLOOKUP(D1_ENERO_2026[[#This Row],[ASESOR_CRR]],DIM!$C:$E,3,0)</f>
        <v>45813</v>
      </c>
      <c r="J55" s="59" t="str">
        <f>VLOOKUP(D1_ENERO_2026[[#This Row],[ASESOR_CRR]],PLANTILLA_ACTUAL[],6,0)</f>
        <v>CALL</v>
      </c>
      <c r="K55" s="59"/>
      <c r="M55" s="5">
        <f>IF(DATA_ENERO_2026[[#This Row],[ASER_]]="","",VLOOKUP(DATA_ENERO_2026[[#This Row],[ASER_]],$B:$G,3,0))</f>
        <v>0.33503067484662574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&gt;0%</v>
      </c>
      <c r="O55" s="58" t="str">
        <f>IFERROR(VLOOKUP(DATA_ENERO_2026[[#This Row],[ASER_]],$B:$G,4,0),"")</f>
        <v>JORGE</v>
      </c>
      <c r="P55" s="6">
        <f>IF(DATA_ENERO_2026[[#This Row],[SUPERVISOR]]="","",VLOOKUP(DATA_ENERO_2026[[#This Row],[ASER_]],$B:$G,6,0))</f>
        <v>10922</v>
      </c>
      <c r="Q55" s="6">
        <f>VLOOKUP(DATA_ENERO_2026[[#This Row],[ASER_]],D1_ENERO_2026[[ASESOR_CRR]:[META]],2,0)</f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G55">
        <v>320</v>
      </c>
      <c r="AH55">
        <v>0</v>
      </c>
      <c r="AI55">
        <v>0</v>
      </c>
      <c r="AJ55">
        <v>3781</v>
      </c>
      <c r="AO55" t="str">
        <f>VLOOKUP($M$3&amp;$N$3&amp;DATA_ENERO_2026[[#This Row],[SUPERVISOR]],TablaMeta[],7,0)</f>
        <v>S0</v>
      </c>
    </row>
    <row r="56" spans="1:41" x14ac:dyDescent="0.25">
      <c r="A56" s="35" t="str">
        <f>IFERROR(VLOOKUP(D1_ENERO_2026[[#This Row],[ASESOR_CRR]],PLANTILLA_ACTUAL[],2,0),"")</f>
        <v>JOHAN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56" s="37">
        <f>IF(D1_ENERO_2026[[#This Row],[RECUPERO]]="","",VLOOKUP($M$3&amp;$N$3&amp;D1_ENERO_2026[[#This Row],[SUPER]],TablaMeta[],6,0))</f>
        <v>24500</v>
      </c>
      <c r="D56" s="36">
        <f>IFERROR(D1_ENERO_2026[[#This Row],[RECUPERO]]/VLOOKUP($M$3&amp;$N$3&amp;D1_ENERO_2026[[#This Row],[SUPER]],TablaMeta[],6,0),"")</f>
        <v>9.7959183673469383E-2</v>
      </c>
      <c r="E56" s="36" t="str">
        <f>IFERROR(VLOOKUP(D1_ENERO_2026[[#This Row],[ASESOR_CRR]],PLANTILLA_ACTUAL[],2,0),"")</f>
        <v>JOHAN</v>
      </c>
      <c r="F56" t="s">
        <v>404</v>
      </c>
      <c r="G56" s="3">
        <v>2400</v>
      </c>
      <c r="H56" t="str">
        <f>VLOOKUP(D1_ENERO_2026[[#This Row],[ASESOR_CRR]],DIM!$C:$E,2,0)</f>
        <v>44883074</v>
      </c>
      <c r="I56" s="59">
        <f>VLOOKUP(D1_ENERO_2026[[#This Row],[ASESOR_CRR]],DIM!$C:$E,3,0)</f>
        <v>46038</v>
      </c>
      <c r="J56" s="59" t="str">
        <f>VLOOKUP(D1_ENERO_2026[[#This Row],[ASESOR_CRR]],PLANTILLA_ACTUAL[],6,0)</f>
        <v>CALL</v>
      </c>
      <c r="K56" s="59"/>
      <c r="M56" s="5">
        <f>IF(DATA_ENERO_2026[[#This Row],[ASER_]]="","",VLOOKUP(DATA_ENERO_2026[[#This Row],[ASER_]],$B:$G,3,0))</f>
        <v>1.5916564417177914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&gt;100%</v>
      </c>
      <c r="O56" s="58" t="str">
        <f>IFERROR(VLOOKUP(DATA_ENERO_2026[[#This Row],[ASER_]],$B:$G,4,0),"")</f>
        <v>JORGE</v>
      </c>
      <c r="P56" s="6">
        <f>IF(DATA_ENERO_2026[[#This Row],[SUPERVISOR]]="","",VLOOKUP(DATA_ENERO_2026[[#This Row],[ASER_]],$B:$G,6,0))</f>
        <v>51888</v>
      </c>
      <c r="Q56" s="6">
        <f>VLOOKUP(DATA_ENERO_2026[[#This Row],[ASER_]],D1_ENERO_2026[[ASESOR_CRR]:[META]],2,0)</f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G56">
        <v>11000</v>
      </c>
      <c r="AH56">
        <v>0</v>
      </c>
      <c r="AI56">
        <v>0</v>
      </c>
      <c r="AJ56">
        <v>400</v>
      </c>
      <c r="AO56" t="str">
        <f>VLOOKUP($M$3&amp;$N$3&amp;DATA_ENERO_2026[[#This Row],[SUPERVISOR]],TablaMeta[],7,0)</f>
        <v>S0</v>
      </c>
    </row>
    <row r="57" spans="1:41" x14ac:dyDescent="0.25">
      <c r="H57"/>
      <c r="M57" s="5">
        <f>IF(DATA_ENERO_2026[[#This Row],[ASER_]]="","",VLOOKUP(DATA_ENERO_2026[[#This Row],[ASER_]],$B:$G,3,0))</f>
        <v>1.0384969325153375</v>
      </c>
      <c r="N57" s="57" t="str" cm="1">
        <f t="array" ref="N57">IF(DATA_ENERO_2026[[#This Row],[ASER_]]="","",IFERROR(_xlfn.IFS(M57&gt;=100%,"&gt;100%",AND(M57&lt;100%,M57&gt;=70%),"&gt;70%",AND(M57&lt;70%,M57&gt;=40%),"&gt;40%",AND(M57&lt;40%,M57&gt;=0%),"&gt;0%"),""))</f>
        <v>&gt;100%</v>
      </c>
      <c r="O57" s="58" t="str">
        <f>IFERROR(VLOOKUP(DATA_ENERO_2026[[#This Row],[ASER_]],$B:$G,4,0),"")</f>
        <v>JORGE</v>
      </c>
      <c r="P57" s="6">
        <f>IF(DATA_ENERO_2026[[#This Row],[SUPERVISOR]]="","",VLOOKUP(DATA_ENERO_2026[[#This Row],[ASER_]],$B:$G,6,0))</f>
        <v>33855</v>
      </c>
      <c r="Q57" s="6">
        <f>VLOOKUP(DATA_ENERO_2026[[#This Row],[ASER_]],D1_ENERO_2026[[ASESOR_CRR]:[META]],2,0)</f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G57">
        <v>300</v>
      </c>
      <c r="AH57">
        <v>250</v>
      </c>
      <c r="AI57">
        <v>0</v>
      </c>
      <c r="AJ57">
        <v>0</v>
      </c>
      <c r="AO57" t="str">
        <f>VLOOKUP($M$3&amp;$N$3&amp;DATA_ENERO_2026[[#This Row],[SUPERVISOR]],TablaMeta[],7,0)</f>
        <v>S0</v>
      </c>
    </row>
    <row r="58" spans="1:41" x14ac:dyDescent="0.25">
      <c r="H58"/>
      <c r="M58" s="5">
        <f>IF(DATA_ENERO_2026[[#This Row],[ASER_]]="","",VLOOKUP(DATA_ENERO_2026[[#This Row],[ASER_]],$B:$G,3,0))</f>
        <v>0.6115644171779141</v>
      </c>
      <c r="N58" s="57" t="str" cm="1">
        <f t="array" ref="N58">IF(DATA_ENERO_2026[[#This Row],[ASER_]]="","",IFERROR(_xlfn.IFS(M58&gt;=100%,"&gt;100%",AND(M58&lt;100%,M58&gt;=70%),"&gt;70%",AND(M58&lt;70%,M58&gt;=40%),"&gt;40%",AND(M58&lt;40%,M58&gt;=0%),"&gt;0%"),""))</f>
        <v>&gt;40%</v>
      </c>
      <c r="O58" s="58" t="str">
        <f>IFERROR(VLOOKUP(DATA_ENERO_2026[[#This Row],[ASER_]],$B:$G,4,0),"")</f>
        <v>JORGE</v>
      </c>
      <c r="P58" s="6">
        <f>IF(DATA_ENERO_2026[[#This Row],[SUPERVISOR]]="","",VLOOKUP(DATA_ENERO_2026[[#This Row],[ASER_]],$B:$G,6,0))</f>
        <v>19937</v>
      </c>
      <c r="Q58" s="6">
        <f>VLOOKUP(DATA_ENERO_2026[[#This Row],[ASER_]],D1_ENERO_2026[[ASESOR_CRR]:[META]],2,0)</f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G58">
        <v>5637</v>
      </c>
      <c r="AH58">
        <v>3000</v>
      </c>
      <c r="AI58">
        <v>0</v>
      </c>
      <c r="AJ58">
        <v>0</v>
      </c>
      <c r="AO58" t="str">
        <f>VLOOKUP($M$3&amp;$N$3&amp;DATA_ENERO_2026[[#This Row],[SUPERVISOR]],TablaMeta[],7,0)</f>
        <v>S0</v>
      </c>
    </row>
    <row r="59" spans="1:41" x14ac:dyDescent="0.25">
      <c r="H59"/>
      <c r="M59" s="5">
        <f>IF(DATA_ENERO_2026[[#This Row],[ASER_]]="","",VLOOKUP(DATA_ENERO_2026[[#This Row],[ASER_]],$B:$G,3,0))</f>
        <v>0.41104294478527609</v>
      </c>
      <c r="N59" s="57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8" t="str">
        <f>IFERROR(VLOOKUP(DATA_ENERO_2026[[#This Row],[ASER_]],$B:$G,4,0),"")</f>
        <v>JORGE</v>
      </c>
      <c r="P59" s="6">
        <f>IF(DATA_ENERO_2026[[#This Row],[SUPERVISOR]]="","",VLOOKUP(DATA_ENERO_2026[[#This Row],[ASER_]],$B:$G,6,0))</f>
        <v>13400</v>
      </c>
      <c r="Q59" s="6">
        <f>VLOOKUP(DATA_ENERO_2026[[#This Row],[ASER_]],D1_ENERO_2026[[ASESOR_CRR]:[META]],2,0)</f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G59">
        <v>0</v>
      </c>
      <c r="AH59">
        <v>200</v>
      </c>
      <c r="AI59">
        <v>0</v>
      </c>
      <c r="AJ59">
        <v>300</v>
      </c>
      <c r="AO59" t="str">
        <f>VLOOKUP($M$3&amp;$N$3&amp;DATA_ENERO_2026[[#This Row],[SUPERVISOR]],TablaMeta[],7,0)</f>
        <v>S0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6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56" workbookViewId="0">
      <selection activeCell="A68" sqref="A2:A105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533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535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534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535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535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535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535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535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535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535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535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535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535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535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535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535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535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535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535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534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535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535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535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535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535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535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535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535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534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535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535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535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535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535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535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535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535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535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535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535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535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535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535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535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535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535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535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535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535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569</v>
      </c>
      <c r="E50" s="60">
        <v>46024</v>
      </c>
      <c r="F50" s="5" t="s">
        <v>535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535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535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570</v>
      </c>
      <c r="E53" s="60">
        <v>46029</v>
      </c>
      <c r="F53" s="5" t="s">
        <v>535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568</v>
      </c>
      <c r="E54" s="60">
        <v>46038</v>
      </c>
      <c r="F54" s="5" t="s">
        <v>535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90" zoomScale="85" zoomScaleNormal="85" workbookViewId="0">
      <selection activeCell="A91" sqref="A9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8538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23810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24035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13400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3434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27955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60707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42303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27960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34003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44921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22773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28648.13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51888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21918.9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27895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74886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36000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55840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85410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16460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2026-01-28T12:34:12Z</dcterms:modified>
</cp:coreProperties>
</file>