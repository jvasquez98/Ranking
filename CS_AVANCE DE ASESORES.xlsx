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FDA22BD4-3460-410A-8072-D3D2C030ADC0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32" l="1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M17" i="32" l="1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O58" i="17"/>
  <c r="P58" i="17" s="1"/>
  <c r="C56" i="17"/>
  <c r="D56" i="17" s="1"/>
  <c r="C55" i="17"/>
  <c r="D55" i="17" s="1"/>
  <c r="C57" i="17"/>
  <c r="D57" i="17" s="1"/>
  <c r="C58" i="17"/>
  <c r="D58" i="17" s="1"/>
  <c r="O57" i="17"/>
  <c r="O56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M59" i="17" s="1"/>
  <c r="N59" i="17" s="1" a="1"/>
  <c r="N59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5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9" i="17" l="1"/>
  <c r="M56" i="17"/>
  <c r="N56" i="17" s="1" a="1"/>
  <c r="N56" i="17" s="1"/>
  <c r="M57" i="17"/>
  <c r="N57" i="17" s="1" a="1"/>
  <c r="N57" i="17" s="1"/>
  <c r="P59" i="17"/>
  <c r="AN59" i="17"/>
  <c r="AN58" i="17"/>
  <c r="Q56" i="17"/>
  <c r="D19" i="17"/>
  <c r="M58" i="17" s="1"/>
  <c r="N58" i="17" s="1" a="1"/>
  <c r="N58" i="17" s="1"/>
  <c r="Q58" i="17"/>
  <c r="Q57" i="17"/>
  <c r="P57" i="17"/>
  <c r="AN57" i="17"/>
  <c r="P56" i="17"/>
  <c r="AN56" i="17"/>
  <c r="D16" i="17"/>
  <c r="M55" i="17" s="1"/>
  <c r="N55" i="17" s="1" a="1"/>
  <c r="N55" i="17" s="1"/>
  <c r="Q55" i="17"/>
  <c r="P55" i="17"/>
  <c r="AN55" i="17"/>
  <c r="AR11" i="17"/>
  <c r="D31" i="29"/>
  <c r="O51" i="17"/>
  <c r="P51" i="17" s="1"/>
  <c r="O50" i="17"/>
  <c r="AN50" i="17" s="1"/>
  <c r="O41" i="17"/>
  <c r="P41" i="17" s="1"/>
  <c r="O14" i="17"/>
  <c r="AN14" i="17" s="1"/>
  <c r="AR13" i="17"/>
  <c r="O46" i="17"/>
  <c r="P46" i="17" s="1"/>
  <c r="O47" i="17"/>
  <c r="AN47" i="17" s="1"/>
  <c r="O31" i="17"/>
  <c r="P31" i="17" s="1"/>
  <c r="O35" i="17"/>
  <c r="P35" i="17" s="1"/>
  <c r="O45" i="17"/>
  <c r="AN45" i="17" s="1"/>
  <c r="O44" i="17"/>
  <c r="AN44" i="17" s="1"/>
  <c r="O34" i="17"/>
  <c r="P34" i="17" s="1"/>
  <c r="O48" i="17"/>
  <c r="AN48" i="17" s="1"/>
  <c r="O52" i="17"/>
  <c r="P52" i="17" s="1"/>
  <c r="O24" i="17"/>
  <c r="AN24" i="17" s="1"/>
  <c r="O16" i="17"/>
  <c r="P16" i="17" s="1"/>
  <c r="D28" i="29"/>
  <c r="D18" i="29"/>
  <c r="O37" i="17"/>
  <c r="AN37" i="17" s="1"/>
  <c r="D2" i="29"/>
  <c r="O42" i="17"/>
  <c r="AN42" i="17" s="1"/>
  <c r="O33" i="17"/>
  <c r="AN33" i="17" s="1"/>
  <c r="O27" i="17"/>
  <c r="AN27" i="17" s="1"/>
  <c r="O9" i="17"/>
  <c r="AN9" i="17" s="1"/>
  <c r="O10" i="17"/>
  <c r="AN10" i="17" s="1"/>
  <c r="O22" i="17"/>
  <c r="P22" i="17" s="1"/>
  <c r="O20" i="17"/>
  <c r="P20" i="17" s="1"/>
  <c r="O19" i="17"/>
  <c r="P19" i="17" s="1"/>
  <c r="O11" i="17"/>
  <c r="AN11" i="17" s="1"/>
  <c r="O23" i="17"/>
  <c r="P23" i="17" s="1"/>
  <c r="D29" i="29"/>
  <c r="D20" i="29"/>
  <c r="O32" i="17"/>
  <c r="AN32" i="17" s="1"/>
  <c r="O26" i="17"/>
  <c r="P26" i="17" s="1"/>
  <c r="D7" i="29"/>
  <c r="D24" i="29"/>
  <c r="O36" i="17"/>
  <c r="AN36" i="17" s="1"/>
  <c r="O30" i="17"/>
  <c r="AN30" i="17" s="1"/>
  <c r="D13" i="29"/>
  <c r="D17" i="29"/>
  <c r="D6" i="29"/>
  <c r="D23" i="29"/>
  <c r="D4" i="29"/>
  <c r="D5" i="29"/>
  <c r="O38" i="17"/>
  <c r="P38" i="17" s="1"/>
  <c r="D22" i="29"/>
  <c r="O25" i="17"/>
  <c r="P25" i="17" s="1"/>
  <c r="D25" i="29"/>
  <c r="D11" i="29"/>
  <c r="D16" i="29"/>
  <c r="O28" i="17"/>
  <c r="AN28" i="17" s="1"/>
  <c r="O54" i="17"/>
  <c r="P54" i="17" s="1"/>
  <c r="O49" i="17"/>
  <c r="P49" i="17" s="1"/>
  <c r="O29" i="17"/>
  <c r="AN29" i="17" s="1"/>
  <c r="O53" i="17"/>
  <c r="AN53" i="17" s="1"/>
  <c r="O17" i="17"/>
  <c r="AN17" i="17" s="1"/>
  <c r="O21" i="17"/>
  <c r="AN21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3" i="17"/>
  <c r="P43" i="17" s="1"/>
  <c r="D8" i="29"/>
  <c r="D21" i="29"/>
  <c r="O12" i="17"/>
  <c r="AN12" i="17" s="1"/>
  <c r="D3" i="29"/>
  <c r="O18" i="17"/>
  <c r="AN18" i="17" s="1"/>
  <c r="O15" i="17"/>
  <c r="P15" i="17" s="1"/>
  <c r="D19" i="29"/>
  <c r="O39" i="17"/>
  <c r="AN39" i="17" s="1"/>
  <c r="O40" i="17"/>
  <c r="P40" i="17" s="1"/>
  <c r="P47" i="17" l="1"/>
  <c r="AN51" i="17"/>
  <c r="P50" i="17"/>
  <c r="AN41" i="17"/>
  <c r="P14" i="17"/>
  <c r="AN46" i="17"/>
  <c r="P44" i="17"/>
  <c r="P48" i="17"/>
  <c r="Q39" i="17"/>
  <c r="M43" i="17"/>
  <c r="N43" i="17" s="1" a="1"/>
  <c r="N43" i="17" s="1"/>
  <c r="AN31" i="17"/>
  <c r="AN34" i="17"/>
  <c r="M42" i="17"/>
  <c r="N42" i="17" s="1" a="1"/>
  <c r="N42" i="17" s="1"/>
  <c r="M44" i="17"/>
  <c r="N44" i="17" s="1" a="1"/>
  <c r="N44" i="17" s="1"/>
  <c r="AN35" i="17"/>
  <c r="P32" i="17"/>
  <c r="P45" i="17"/>
  <c r="M54" i="17"/>
  <c r="N54" i="17" s="1" a="1"/>
  <c r="N54" i="17" s="1"/>
  <c r="AN52" i="17"/>
  <c r="Q34" i="17"/>
  <c r="M36" i="17"/>
  <c r="N36" i="17" s="1" a="1"/>
  <c r="N36" i="17" s="1"/>
  <c r="P24" i="17"/>
  <c r="M34" i="17"/>
  <c r="N34" i="17" s="1" a="1"/>
  <c r="N34" i="17" s="1"/>
  <c r="M30" i="17"/>
  <c r="N30" i="17" s="1" a="1"/>
  <c r="N30" i="17" s="1"/>
  <c r="Q36" i="17"/>
  <c r="Q54" i="17"/>
  <c r="AN16" i="17"/>
  <c r="Q13" i="17"/>
  <c r="Q12" i="17"/>
  <c r="AN38" i="17"/>
  <c r="P42" i="17"/>
  <c r="P37" i="17"/>
  <c r="P33" i="17"/>
  <c r="M45" i="17"/>
  <c r="N45" i="17" s="1" a="1"/>
  <c r="N45" i="17" s="1"/>
  <c r="Q30" i="17"/>
  <c r="M46" i="17"/>
  <c r="N46" i="17" s="1" a="1"/>
  <c r="N46" i="17" s="1"/>
  <c r="Q35" i="17"/>
  <c r="P10" i="17"/>
  <c r="P36" i="17"/>
  <c r="Q50" i="17"/>
  <c r="M18" i="17"/>
  <c r="N18" i="17" s="1" a="1"/>
  <c r="N18" i="17" s="1"/>
  <c r="M50" i="17"/>
  <c r="N50" i="17" s="1" a="1"/>
  <c r="N50" i="17" s="1"/>
  <c r="Q46" i="17"/>
  <c r="Q45" i="17"/>
  <c r="Q44" i="17"/>
  <c r="M29" i="17"/>
  <c r="N29" i="17" s="1" a="1"/>
  <c r="N29" i="17" s="1"/>
  <c r="M35" i="17"/>
  <c r="N35" i="17" s="1" a="1"/>
  <c r="N35" i="17" s="1"/>
  <c r="P27" i="17"/>
  <c r="M39" i="17"/>
  <c r="N39" i="17" s="1" a="1"/>
  <c r="N39" i="17" s="1"/>
  <c r="Q38" i="17"/>
  <c r="Q41" i="17"/>
  <c r="M41" i="17"/>
  <c r="N41" i="17" s="1" a="1"/>
  <c r="N41" i="17" s="1"/>
  <c r="AN19" i="17"/>
  <c r="AN22" i="17"/>
  <c r="M23" i="17"/>
  <c r="N23" i="17" s="1" a="1"/>
  <c r="N23" i="17" s="1"/>
  <c r="P21" i="17"/>
  <c r="P11" i="17"/>
  <c r="Q29" i="17"/>
  <c r="Q21" i="17"/>
  <c r="AN25" i="17"/>
  <c r="P9" i="17"/>
  <c r="M21" i="17"/>
  <c r="N21" i="17" s="1" a="1"/>
  <c r="N21" i="17" s="1"/>
  <c r="Q20" i="17"/>
  <c r="M19" i="17"/>
  <c r="N19" i="17" s="1" a="1"/>
  <c r="N19" i="17" s="1"/>
  <c r="M12" i="17"/>
  <c r="N12" i="17" s="1" a="1"/>
  <c r="N12" i="17" s="1"/>
  <c r="M13" i="17"/>
  <c r="N13" i="17" s="1" a="1"/>
  <c r="N13" i="17" s="1"/>
  <c r="AN23" i="17"/>
  <c r="Q25" i="17"/>
  <c r="AN20" i="17"/>
  <c r="AN26" i="17"/>
  <c r="M20" i="17"/>
  <c r="N20" i="17" s="1" a="1"/>
  <c r="N20" i="17" s="1"/>
  <c r="M25" i="17"/>
  <c r="N25" i="17" s="1" a="1"/>
  <c r="N25" i="17" s="1"/>
  <c r="Q23" i="17"/>
  <c r="Q18" i="17"/>
  <c r="M11" i="17"/>
  <c r="N11" i="17" s="1" a="1"/>
  <c r="N11" i="17" s="1"/>
  <c r="P17" i="17"/>
  <c r="P30" i="17"/>
  <c r="Q11" i="17"/>
  <c r="Q52" i="17"/>
  <c r="Q22" i="17"/>
  <c r="M38" i="17"/>
  <c r="N38" i="17" s="1" a="1"/>
  <c r="N38" i="17" s="1"/>
  <c r="P28" i="17"/>
  <c r="M52" i="17"/>
  <c r="N52" i="17" s="1" a="1"/>
  <c r="N52" i="17" s="1"/>
  <c r="AN54" i="17"/>
  <c r="M37" i="17"/>
  <c r="N37" i="17" s="1" a="1"/>
  <c r="N37" i="17" s="1"/>
  <c r="M47" i="17"/>
  <c r="N47" i="17" s="1" a="1"/>
  <c r="N47" i="17" s="1"/>
  <c r="Q26" i="17"/>
  <c r="Q42" i="17"/>
  <c r="Q40" i="17"/>
  <c r="Q33" i="17"/>
  <c r="Q19" i="17"/>
  <c r="M49" i="17"/>
  <c r="N49" i="17" s="1" a="1"/>
  <c r="N49" i="17" s="1"/>
  <c r="M40" i="17"/>
  <c r="N40" i="17" s="1" a="1"/>
  <c r="N40" i="17" s="1"/>
  <c r="Q37" i="17"/>
  <c r="Q43" i="17"/>
  <c r="Q28" i="17"/>
  <c r="M33" i="17"/>
  <c r="N33" i="17" s="1" a="1"/>
  <c r="N33" i="17" s="1"/>
  <c r="M28" i="17"/>
  <c r="N28" i="17" s="1" a="1"/>
  <c r="N28" i="17" s="1"/>
  <c r="Q47" i="17"/>
  <c r="M48" i="17"/>
  <c r="N48" i="17" s="1" a="1"/>
  <c r="N48" i="17" s="1"/>
  <c r="Q51" i="17"/>
  <c r="P29" i="17"/>
  <c r="Q16" i="17"/>
  <c r="Q53" i="17"/>
  <c r="Q48" i="17"/>
  <c r="AN49" i="17"/>
  <c r="Q32" i="17"/>
  <c r="Q31" i="17"/>
  <c r="Q27" i="17"/>
  <c r="M53" i="17"/>
  <c r="N53" i="17" s="1" a="1"/>
  <c r="N53" i="17" s="1"/>
  <c r="M51" i="17"/>
  <c r="N51" i="17" s="1" a="1"/>
  <c r="N51" i="17" s="1"/>
  <c r="P53" i="17"/>
  <c r="M26" i="17"/>
  <c r="N26" i="17" s="1" a="1"/>
  <c r="N26" i="17" s="1"/>
  <c r="M32" i="17"/>
  <c r="N32" i="17" s="1" a="1"/>
  <c r="N32" i="17" s="1"/>
  <c r="M31" i="17"/>
  <c r="N31" i="17" s="1" a="1"/>
  <c r="N31" i="17" s="1"/>
  <c r="M27" i="17"/>
  <c r="N27" i="17" s="1" a="1"/>
  <c r="N27" i="17" s="1"/>
  <c r="Q49" i="17"/>
  <c r="M16" i="17"/>
  <c r="N16" i="17" s="1" a="1"/>
  <c r="N16" i="17" s="1"/>
  <c r="Q14" i="17"/>
  <c r="Q24" i="17"/>
  <c r="M14" i="17"/>
  <c r="N14" i="17" s="1" a="1"/>
  <c r="N14" i="17" s="1"/>
  <c r="AN13" i="17"/>
  <c r="M24" i="17"/>
  <c r="N24" i="17" s="1" a="1"/>
  <c r="N24" i="17" s="1"/>
  <c r="M22" i="17"/>
  <c r="N22" i="17" s="1" a="1"/>
  <c r="N22" i="17" s="1"/>
  <c r="Q10" i="17"/>
  <c r="Q17" i="17"/>
  <c r="M10" i="17"/>
  <c r="N10" i="17" s="1" a="1"/>
  <c r="N10" i="17" s="1"/>
  <c r="M15" i="17"/>
  <c r="N15" i="17" s="1" a="1"/>
  <c r="N15" i="17" s="1"/>
  <c r="M17" i="17"/>
  <c r="N17" i="17" s="1" a="1"/>
  <c r="N17" i="17" s="1"/>
  <c r="Q15" i="17"/>
  <c r="Q9" i="17"/>
  <c r="M9" i="17"/>
  <c r="N9" i="17" s="1" a="1"/>
  <c r="N9" i="17" s="1"/>
  <c r="AN43" i="17"/>
  <c r="P39" i="17"/>
  <c r="AN40" i="17"/>
  <c r="P18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<sst xmlns="http://schemas.openxmlformats.org/spreadsheetml/2006/main" count="11840" uniqueCount="583">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</sst>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2" dataDxfId="31">
  <autoFilter ref="A1:F60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B4" sqref="B3:B5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D1" zoomScale="70" zoomScaleNormal="70" workbookViewId="0">
      <selection activeCell="L6" sqref="L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KENNETH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8" s="36">
        <f>IF(D1_FEBRERO_2026[[#This Row],[RECUPERO]]="VACACIONES","VACACIONES",IFERROR(D1_FEBRERO_2026[[#This Row],[RECUPERO]]/D1_FEBRERO_2026[[#This Row],[META]],""))</f>
        <v>0.87161111111111111</v>
      </c>
      <c r="E8" s="36" t="str">
        <f>IFERROR(VLOOKUP(D1_FEBRERO_2026[[#This Row],[ASESOR_CRR]],PLANTILLA_ACTUAL[],2,0),"")</f>
        <v>KENNETH</v>
      </c>
      <c r="F8" s="35" t="s">
        <v>35</v>
      </c>
      <c r="G8" s="37">
        <v>78445</v>
      </c>
      <c r="H8" s="35" t="str">
        <f>VLOOKUP(D1_FEBRERO_2026[[#This Row],[ASESOR_CRR]],DIM!$C:$E,2,0)</f>
        <v>10491198</v>
      </c>
      <c r="I8" s="66">
        <f>VLOOKUP(D1_FEBRERO_2026[[#This Row],[ASESOR_CRR]],DIM!$C:$E,3,0)</f>
        <v>44746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KENNETH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9" s="36">
        <f>IF(D1_FEBRERO_2026[[#This Row],[RECUPERO]]="VACACIONES","VACACIONES",IFERROR(D1_FEBRERO_2026[[#This Row],[RECUPERO]]/D1_FEBRERO_2026[[#This Row],[META]],""))</f>
        <v>0.86986111111111108</v>
      </c>
      <c r="E9" s="36" t="str">
        <f>IFERROR(VLOOKUP(D1_FEBRERO_2026[[#This Row],[ASESOR_CRR]],PLANTILLA_ACTUAL[],2,0),"")</f>
        <v>KENNETH</v>
      </c>
      <c r="F9" s="35" t="s">
        <v>37</v>
      </c>
      <c r="G9" s="37">
        <v>78287.5</v>
      </c>
      <c r="H9" s="35" t="str">
        <f>VLOOKUP(D1_FEBRERO_2026[[#This Row],[ASESOR_CRR]],DIM!$C:$E,2,0)</f>
        <v>70988976</v>
      </c>
      <c r="I9" s="66">
        <f>VLOOKUP(D1_FEBRERO_2026[[#This Row],[ASESOR_CRR]],DIM!$C:$E,3,0)</f>
        <v>45112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0.73640000000000005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36820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A9">
        <v>250</v>
      </c>
      <c r="AB9">
        <v>4938</v>
      </c>
      <c r="AC9">
        <v>1957</v>
      </c>
      <c r="AD9">
        <v>1000</v>
      </c>
      <c r="AE9">
        <v>6528</v>
      </c>
      <c r="AF9">
        <v>4050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281599</v>
      </c>
      <c r="AR9" s="17">
        <f>IFERROR(DITE_FEBRERO_2026[[#This Row],[RECUPERO SUPERVISOR]]/DITE_FEBRERO_2026[[#This Row],[META SUPER]],"")</f>
        <v>0.51805185320095004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KENNETH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0" s="36">
        <f>IF(D1_FEBRERO_2026[[#This Row],[RECUPERO]]="VACACIONES","VACACIONES",IFERROR(D1_FEBRERO_2026[[#This Row],[RECUPERO]]/D1_FEBRERO_2026[[#This Row],[META]],""))</f>
        <v>0.86511088888888887</v>
      </c>
      <c r="E10" s="36" t="str">
        <f>IFERROR(VLOOKUP(D1_FEBRERO_2026[[#This Row],[ASESOR_CRR]],PLANTILLA_ACTUAL[],2,0),"")</f>
        <v>KENNETH</v>
      </c>
      <c r="F10" s="35" t="s">
        <v>97</v>
      </c>
      <c r="G10" s="37">
        <v>77859.98</v>
      </c>
      <c r="H10" s="35" t="str">
        <f>VLOOKUP(D1_FEBRERO_2026[[#This Row],[ASESOR_CRR]],DIM!$C:$E,2,0)</f>
        <v>74602206</v>
      </c>
      <c r="I10" s="66">
        <f>VLOOKUP(D1_FEBRERO_2026[[#This Row],[ASESOR_CRR]],DIM!$C:$E,3,0)</f>
        <v>45884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1.18649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59324.5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A10">
        <v>400</v>
      </c>
      <c r="AB10">
        <v>500</v>
      </c>
      <c r="AC10">
        <v>1312.5</v>
      </c>
      <c r="AD10">
        <v>320</v>
      </c>
      <c r="AE10">
        <v>0</v>
      </c>
      <c r="AF10">
        <v>656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368796</v>
      </c>
      <c r="AR10" s="18">
        <f>IFERROR(DITE_FEBRERO_2026[[#This Row],[RECUPERO SUPERVISOR]]/DITE_FEBRERO_2026[[#This Row],[META SUPER]],"")</f>
        <v>0.67846636974242647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KENNETH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1" s="36">
        <f>IF(D1_FEBRERO_2026[[#This Row],[RECUPERO]]="VACACIONES","VACACIONES",IFERROR(D1_FEBRERO_2026[[#This Row],[RECUPERO]]/D1_FEBRERO_2026[[#This Row],[META]],""))</f>
        <v>0.44933333333333331</v>
      </c>
      <c r="E11" s="36" t="str">
        <f>IFERROR(VLOOKUP(D1_FEBRERO_2026[[#This Row],[ASESOR_CRR]],PLANTILLA_ACTUAL[],2,0),"")</f>
        <v>KENNETH</v>
      </c>
      <c r="F11" s="35" t="s">
        <v>78</v>
      </c>
      <c r="G11" s="37">
        <v>40440</v>
      </c>
      <c r="H11" s="35" t="str">
        <f>VLOOKUP(D1_FEBRERO_2026[[#This Row],[ASESOR_CRR]],DIM!$C:$E,2,0)</f>
        <v>10706451</v>
      </c>
      <c r="I11" s="66">
        <f>VLOOKUP(D1_FEBRERO_2026[[#This Row],[ASESOR_CRR]],DIM!$C:$E,3,0)</f>
        <v>44943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1.0710200000000001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53551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A11">
        <v>0</v>
      </c>
      <c r="AB11">
        <v>0</v>
      </c>
      <c r="AC11">
        <v>7800</v>
      </c>
      <c r="AD11">
        <v>1600</v>
      </c>
      <c r="AE11">
        <v>30000</v>
      </c>
      <c r="AF11">
        <v>615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145690.4</v>
      </c>
      <c r="AR11" s="17">
        <f>IFERROR(DITE_FEBRERO_2026[[#This Row],[RECUPERO SUPERVISOR]]/DITE_FEBRERO_2026[[#This Row],[META SUPER]],"")</f>
        <v>0.74727204649087264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KENNETH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2" s="36">
        <f>IF(D1_FEBRERO_2026[[#This Row],[RECUPERO]]="VACACIONES","VACACIONES",IFERROR(D1_FEBRERO_2026[[#This Row],[RECUPERO]]/D1_FEBRERO_2026[[#This Row],[META]],""))</f>
        <v>1.5366415094339623</v>
      </c>
      <c r="E12" s="36" t="str">
        <f>IFERROR(VLOOKUP(D1_FEBRERO_2026[[#This Row],[ASESOR_CRR]],PLANTILLA_ACTUAL[],2,0),"")</f>
        <v>KENNETH</v>
      </c>
      <c r="F12" s="35" t="s">
        <v>19</v>
      </c>
      <c r="G12" s="37">
        <v>40721</v>
      </c>
      <c r="H12" s="35" t="str">
        <f>VLOOKUP(D1_FEBRERO_2026[[#This Row],[ASESOR_CRR]],DIM!$C:$E,2,0)</f>
        <v>76656128</v>
      </c>
      <c r="I12" s="66">
        <f>VLOOKUP(D1_FEBRERO_2026[[#This Row],[ASESOR_CRR]],DIM!$C:$E,3,0)</f>
        <v>44671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0.46100000000000002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&gt;40%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23050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A12">
        <v>0</v>
      </c>
      <c r="AB12">
        <v>0</v>
      </c>
      <c r="AC12">
        <v>0</v>
      </c>
      <c r="AD12">
        <v>0</v>
      </c>
      <c r="AE12">
        <v>2350</v>
      </c>
      <c r="AF12">
        <v>6000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420798.48</v>
      </c>
      <c r="AR12" s="18">
        <f>IFERROR(DITE_FEBRERO_2026[[#This Row],[RECUPERO SUPERVISOR]]/DITE_FEBRERO_2026[[#This Row],[META SUPER]],"")</f>
        <v>0.7791958403235304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KENNETH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3" s="36">
        <f>IF(D1_FEBRERO_2026[[#This Row],[RECUPERO]]="VACACIONES","VACACIONES",IFERROR(D1_FEBRERO_2026[[#This Row],[RECUPERO]]/D1_FEBRERO_2026[[#This Row],[META]],""))</f>
        <v>1.0662264150943397</v>
      </c>
      <c r="E13" s="36" t="str">
        <f>IFERROR(VLOOKUP(D1_FEBRERO_2026[[#This Row],[ASESOR_CRR]],PLANTILLA_ACTUAL[],2,0),"")</f>
        <v>KENNETH</v>
      </c>
      <c r="F13" s="35" t="s">
        <v>81</v>
      </c>
      <c r="G13" s="37">
        <v>28255</v>
      </c>
      <c r="H13" s="35" t="str">
        <f>VLOOKUP(D1_FEBRERO_2026[[#This Row],[ASESOR_CRR]],DIM!$C:$E,2,0)</f>
        <v>72716299</v>
      </c>
      <c r="I13" s="66">
        <f>VLOOKUP(D1_FEBRERO_2026[[#This Row],[ASESOR_CRR]],DIM!$C:$E,3,0)</f>
        <v>45511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0.45679999999999998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22840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A13">
        <v>0</v>
      </c>
      <c r="AB13">
        <v>8000</v>
      </c>
      <c r="AC13">
        <v>3800</v>
      </c>
      <c r="AD13">
        <v>2000</v>
      </c>
      <c r="AE13">
        <v>0</v>
      </c>
      <c r="AF13">
        <v>3890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148354</v>
      </c>
      <c r="AR13" s="17">
        <f>IFERROR(DITE_FEBRERO_2026[[#This Row],[RECUPERO SUPERVISOR]]/DITE_FEBRERO_2026[[#This Row],[META SUPER]],"")</f>
        <v>0.50311833390420835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KENNETH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4" s="36">
        <f>IF(D1_FEBRERO_2026[[#This Row],[RECUPERO]]="VACACIONES","VACACIONES",IFERROR(D1_FEBRERO_2026[[#This Row],[RECUPERO]]/D1_FEBRERO_2026[[#This Row],[META]],""))</f>
        <v>0.91830188679245284</v>
      </c>
      <c r="E14" s="36" t="str">
        <f>IFERROR(VLOOKUP(D1_FEBRERO_2026[[#This Row],[ASESOR_CRR]],PLANTILLA_ACTUAL[],2,0),"")</f>
        <v>KENNETH</v>
      </c>
      <c r="F14" s="35" t="s">
        <v>34</v>
      </c>
      <c r="G14" s="37">
        <v>24335</v>
      </c>
      <c r="H14" s="35" t="str">
        <f>VLOOKUP(D1_FEBRERO_2026[[#This Row],[ASESOR_CRR]],DIM!$C:$E,2,0)</f>
        <v>76824571</v>
      </c>
      <c r="I14" s="66">
        <f>VLOOKUP(D1_FEBRERO_2026[[#This Row],[ASESOR_CRR]],DIM!$C:$E,3,0)</f>
        <v>45173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0.17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8500</v>
      </c>
      <c r="Q14" s="6">
        <f>VLOOKUP(DATA_FEBRERO_2026[[#This Row],[ASER_]],D1_FEBRERO_2026[[ASESOR_CRR]:[META]],2,0)</f>
        <v>50000</v>
      </c>
      <c r="R14" t="s">
        <v>396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A14">
        <v>0</v>
      </c>
      <c r="AB14">
        <v>0</v>
      </c>
      <c r="AC14">
        <v>5500</v>
      </c>
      <c r="AD14">
        <v>500</v>
      </c>
      <c r="AE14">
        <v>0</v>
      </c>
      <c r="AF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0.79203773584905657</v>
      </c>
      <c r="E15" s="36" t="str">
        <f>IFERROR(VLOOKUP(D1_FEBRERO_2026[[#This Row],[ASESOR_CRR]],PLANTILLA_ACTUAL[],2,0),"")</f>
        <v>KENNETH</v>
      </c>
      <c r="F15" s="35" t="s">
        <v>26</v>
      </c>
      <c r="G15" s="37">
        <v>20989</v>
      </c>
      <c r="H15" s="35" t="str">
        <f>VLOOKUP(D1_FEBRERO_2026[[#This Row],[ASESOR_CRR]],DIM!$C:$E,2,0)</f>
        <v>41005089</v>
      </c>
      <c r="I15" s="66">
        <f>VLOOKUP(D1_FEBRERO_2026[[#This Row],[ASESOR_CRR]],DIM!$C:$E,3,0)</f>
        <v>44257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0.14680000000000001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7340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A15">
        <v>6180</v>
      </c>
      <c r="AB15">
        <v>0</v>
      </c>
      <c r="AC15">
        <v>0</v>
      </c>
      <c r="AD15">
        <v>0</v>
      </c>
      <c r="AE15">
        <v>0</v>
      </c>
      <c r="AF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KENNETH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6" s="36">
        <f>IF(D1_FEBRERO_2026[[#This Row],[RECUPERO]]="VACACIONES","VACACIONES",IFERROR(D1_FEBRERO_2026[[#This Row],[RECUPERO]]/D1_FEBRERO_2026[[#This Row],[META]],""))</f>
        <v>0.76169811320754721</v>
      </c>
      <c r="E16" s="36" t="str">
        <f>IFERROR(VLOOKUP(D1_FEBRERO_2026[[#This Row],[ASESOR_CRR]],PLANTILLA_ACTUAL[],2,0),"")</f>
        <v>KENNETH</v>
      </c>
      <c r="F16" s="35" t="s">
        <v>105</v>
      </c>
      <c r="G16" s="37">
        <v>20185</v>
      </c>
      <c r="H16" s="35" t="str">
        <f>VLOOKUP(D1_FEBRERO_2026[[#This Row],[ASESOR_CRR]],DIM!$C:$E,2,0)</f>
        <v>48344037</v>
      </c>
      <c r="I16" s="66">
        <f>VLOOKUP(D1_FEBRERO_2026[[#This Row],[ASESOR_CRR]],DIM!$C:$E,3,0)</f>
        <v>46027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0.73399999999999999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36700</v>
      </c>
      <c r="Q16" s="6">
        <f>VLOOKUP(DATA_FEBRERO_2026[[#This Row],[ASER_]],D1_FEBRERO_2026[[ASESOR_CRR]:[META]],2,0)</f>
        <v>50000</v>
      </c>
      <c r="R16" t="s">
        <v>13</v>
      </c>
      <c r="S16">
        <v>0</v>
      </c>
      <c r="T16">
        <v>0</v>
      </c>
      <c r="U16">
        <v>700</v>
      </c>
      <c r="V16">
        <v>0</v>
      </c>
      <c r="W16">
        <v>4600</v>
      </c>
      <c r="X16">
        <v>4800</v>
      </c>
      <c r="Y16">
        <v>0</v>
      </c>
      <c r="Z16">
        <v>0</v>
      </c>
      <c r="AA16">
        <v>5000</v>
      </c>
      <c r="AB16">
        <v>3300</v>
      </c>
      <c r="AC16">
        <v>1500</v>
      </c>
      <c r="AD16">
        <v>0</v>
      </c>
      <c r="AE16">
        <v>16710</v>
      </c>
      <c r="AF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0.35830188679245284</v>
      </c>
      <c r="E17" s="36" t="str">
        <f>IFERROR(VLOOKUP(D1_FEBRERO_2026[[#This Row],[ASESOR_CRR]],PLANTILLA_ACTUAL[],2,0),"")</f>
        <v>KENNETH</v>
      </c>
      <c r="F17" t="s">
        <v>50</v>
      </c>
      <c r="G17" s="3">
        <v>9495</v>
      </c>
      <c r="H17" t="str">
        <f>VLOOKUP(D1_FEBRERO_2026[[#This Row],[ASESOR_CRR]],DIM!$C:$E,2,0)</f>
        <v>72733809</v>
      </c>
      <c r="I17" s="57">
        <f>VLOOKUP(D1_FEBRERO_2026[[#This Row],[ASESOR_CRR]],DIM!$C:$E,3,0)</f>
        <v>45789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0.43480000000000002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21740</v>
      </c>
      <c r="Q17" s="6">
        <f>VLOOKUP(DATA_FEBRERO_2026[[#This Row],[ASER_]],D1_FEBRERO_2026[[ASESOR_CRR]:[META]],2,0)</f>
        <v>50000</v>
      </c>
      <c r="R17" t="s">
        <v>96</v>
      </c>
      <c r="S17">
        <v>0</v>
      </c>
      <c r="T17">
        <v>1390</v>
      </c>
      <c r="U17">
        <v>8500</v>
      </c>
      <c r="V17">
        <v>0</v>
      </c>
      <c r="W17">
        <v>6800</v>
      </c>
      <c r="X17">
        <v>0</v>
      </c>
      <c r="Y17">
        <v>2000</v>
      </c>
      <c r="Z17">
        <v>0</v>
      </c>
      <c r="AA17">
        <v>0</v>
      </c>
      <c r="AB17">
        <v>0</v>
      </c>
      <c r="AC17">
        <v>2270</v>
      </c>
      <c r="AD17">
        <v>0</v>
      </c>
      <c r="AE17">
        <v>0</v>
      </c>
      <c r="AF17">
        <v>780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6.7396226415094337E-2</v>
      </c>
      <c r="E18" s="36" t="str">
        <f>IFERROR(VLOOKUP(D1_FEBRERO_2026[[#This Row],[ASESOR_CRR]],PLANTILLA_ACTUAL[],2,0),"")</f>
        <v>KENNETH</v>
      </c>
      <c r="F18" t="s">
        <v>80</v>
      </c>
      <c r="G18" s="3">
        <v>1786</v>
      </c>
      <c r="H18" t="str">
        <f>VLOOKUP(D1_FEBRERO_2026[[#This Row],[ASESOR_CRR]],DIM!$C:$E,2,0)</f>
        <v>45084594</v>
      </c>
      <c r="I18" s="57">
        <f>VLOOKUP(D1_FEBRERO_2026[[#This Row],[ASESOR_CRR]],DIM!$C:$E,3,0)</f>
        <v>45281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0.16850000000000001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8425</v>
      </c>
      <c r="Q18" s="6">
        <f>VLOOKUP(DATA_FEBRERO_2026[[#This Row],[ASER_]],D1_FEBRERO_2026[[ASESOR_CRR]:[META]],2,0)</f>
        <v>50000</v>
      </c>
      <c r="R18" t="s">
        <v>208</v>
      </c>
      <c r="S18">
        <v>0</v>
      </c>
      <c r="T18">
        <v>1000</v>
      </c>
      <c r="U18">
        <v>0</v>
      </c>
      <c r="V18">
        <v>950</v>
      </c>
      <c r="W18">
        <v>0</v>
      </c>
      <c r="X18">
        <v>0</v>
      </c>
      <c r="Y18">
        <v>3000</v>
      </c>
      <c r="Z18">
        <v>0</v>
      </c>
      <c r="AA18">
        <v>0</v>
      </c>
      <c r="AB18">
        <v>0</v>
      </c>
      <c r="AC18">
        <v>225</v>
      </c>
      <c r="AD18">
        <v>0</v>
      </c>
      <c r="AE18">
        <v>0</v>
      </c>
      <c r="AF18">
        <v>3250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IF(D1_FEBRERO_2026[[#This Row],[RECUPERO]]="VACACIONES","VACACIONES",IFERROR(D1_FEBRERO_2026[[#This Row],[RECUPERO]]/D1_FEBRERO_2026[[#This Row],[META]],""))</f>
        <v>1.7971428571428572</v>
      </c>
      <c r="E19" s="36" t="str">
        <f>IFERROR(VLOOKUP(D1_FEBRERO_2026[[#This Row],[ASESOR_CRR]],PLANTILLA_ACTUAL[],2,0),"")</f>
        <v>JORGE</v>
      </c>
      <c r="F19" t="s">
        <v>79</v>
      </c>
      <c r="G19" s="3">
        <v>50320</v>
      </c>
      <c r="H19" t="str">
        <f>VLOOKUP(D1_FEBRERO_2026[[#This Row],[ASESOR_CRR]],DIM!$C:$E,2,0)</f>
        <v>71262377</v>
      </c>
      <c r="I19" s="57">
        <f>VLOOKUP(D1_FEBRERO_2026[[#This Row],[ASESOR_CRR]],DIM!$C:$E,3,0)</f>
        <v>45145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1.7490000000000001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87450</v>
      </c>
      <c r="Q19" s="6">
        <f>VLOOKUP(DATA_FEBRERO_2026[[#This Row],[ASER_]],D1_FEBRERO_2026[[ASESOR_CRR]:[META]],2,0)</f>
        <v>50000</v>
      </c>
      <c r="R19" t="s">
        <v>59</v>
      </c>
      <c r="S19">
        <v>0</v>
      </c>
      <c r="T19">
        <v>13000</v>
      </c>
      <c r="U19">
        <v>9000</v>
      </c>
      <c r="V19">
        <v>20300</v>
      </c>
      <c r="W19">
        <v>0</v>
      </c>
      <c r="X19">
        <v>19500</v>
      </c>
      <c r="Y19">
        <v>2800</v>
      </c>
      <c r="Z19">
        <v>2000</v>
      </c>
      <c r="AA19">
        <v>0</v>
      </c>
      <c r="AB19">
        <v>9350</v>
      </c>
      <c r="AC19">
        <v>2500</v>
      </c>
      <c r="AD19">
        <v>1000</v>
      </c>
      <c r="AE19">
        <v>4500</v>
      </c>
      <c r="AF19">
        <v>3500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0.77287499999999998</v>
      </c>
      <c r="E20" s="36" t="str">
        <f>IFERROR(VLOOKUP(D1_FEBRERO_2026[[#This Row],[ASESOR_CRR]],PLANTILLA_ACTUAL[],2,0),"")</f>
        <v>JORGE</v>
      </c>
      <c r="F20" t="s">
        <v>25</v>
      </c>
      <c r="G20" s="3">
        <v>21640.5</v>
      </c>
      <c r="H20" t="str">
        <f>VLOOKUP(D1_FEBRERO_2026[[#This Row],[ASESOR_CRR]],DIM!$C:$E,2,0)</f>
        <v>72373931</v>
      </c>
      <c r="I20" s="57">
        <f>VLOOKUP(D1_FEBRERO_2026[[#This Row],[ASESOR_CRR]],DIM!$C:$E,3,0)</f>
        <v>44818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1.2909600000000001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64548</v>
      </c>
      <c r="Q20" s="6">
        <f>VLOOKUP(DATA_FEBRERO_2026[[#This Row],[ASER_]],D1_FEBRERO_2026[[ASESOR_CRR]:[META]],2,0)</f>
        <v>50000</v>
      </c>
      <c r="R20" t="s">
        <v>60</v>
      </c>
      <c r="S20" s="48">
        <v>0</v>
      </c>
      <c r="T20">
        <v>0</v>
      </c>
      <c r="U20">
        <v>5000</v>
      </c>
      <c r="V20">
        <v>12000</v>
      </c>
      <c r="W20">
        <v>6300</v>
      </c>
      <c r="X20">
        <v>5700</v>
      </c>
      <c r="Y20">
        <v>392</v>
      </c>
      <c r="Z20">
        <v>200</v>
      </c>
      <c r="AA20">
        <v>3000</v>
      </c>
      <c r="AB20">
        <v>15000</v>
      </c>
      <c r="AC20">
        <v>0</v>
      </c>
      <c r="AD20">
        <v>7600</v>
      </c>
      <c r="AE20">
        <v>7000</v>
      </c>
      <c r="AF20">
        <v>2356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0.75835714285714284</v>
      </c>
      <c r="E21" s="36" t="str">
        <f>IFERROR(VLOOKUP(D1_FEBRERO_2026[[#This Row],[ASESOR_CRR]],PLANTILLA_ACTUAL[],2,0),"")</f>
        <v>JORGE</v>
      </c>
      <c r="F21" t="s">
        <v>38</v>
      </c>
      <c r="G21" s="3">
        <v>21234</v>
      </c>
      <c r="H21" t="str">
        <f>VLOOKUP(D1_FEBRERO_2026[[#This Row],[ASESOR_CRR]],DIM!$C:$E,2,0)</f>
        <v>47411966</v>
      </c>
      <c r="I21" s="57">
        <f>VLOOKUP(D1_FEBRERO_2026[[#This Row],[ASESOR_CRR]],DIM!$C:$E,3,0)</f>
        <v>45800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1.0289999999999999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51450</v>
      </c>
      <c r="Q21" s="6">
        <f>VLOOKUP(DATA_FEBRERO_2026[[#This Row],[ASER_]],D1_FEBRERO_2026[[ASESOR_CRR]:[META]],2,0)</f>
        <v>50000</v>
      </c>
      <c r="R21" t="s">
        <v>75</v>
      </c>
      <c r="S21" s="48">
        <v>0</v>
      </c>
      <c r="T21">
        <v>0</v>
      </c>
      <c r="U21">
        <v>4500</v>
      </c>
      <c r="V21">
        <v>1900</v>
      </c>
      <c r="W21">
        <v>6200</v>
      </c>
      <c r="X21">
        <v>0</v>
      </c>
      <c r="Y21">
        <v>1850</v>
      </c>
      <c r="Z21">
        <v>3000</v>
      </c>
      <c r="AA21">
        <v>10500</v>
      </c>
      <c r="AB21">
        <v>1000</v>
      </c>
      <c r="AC21">
        <v>21000</v>
      </c>
      <c r="AD21">
        <v>1500</v>
      </c>
      <c r="AE21">
        <v>0</v>
      </c>
      <c r="AF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0.69767857142857148</v>
      </c>
      <c r="E22" s="36" t="str">
        <f>IFERROR(VLOOKUP(D1_FEBRERO_2026[[#This Row],[ASESOR_CRR]],PLANTILLA_ACTUAL[],2,0),"")</f>
        <v>JORGE</v>
      </c>
      <c r="F22" t="s">
        <v>76</v>
      </c>
      <c r="G22" s="3">
        <v>19535</v>
      </c>
      <c r="H22" t="str">
        <f>VLOOKUP(D1_FEBRERO_2026[[#This Row],[ASESOR_CRR]],DIM!$C:$E,2,0)</f>
        <v>60914051</v>
      </c>
      <c r="I22" s="57">
        <f>VLOOKUP(D1_FEBRERO_2026[[#This Row],[ASESOR_CRR]],DIM!$C:$E,3,0)</f>
        <v>44817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0.32540000000000002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16270</v>
      </c>
      <c r="Q22" s="6">
        <f>VLOOKUP(DATA_FEBRERO_2026[[#This Row],[ASER_]],D1_FEBRERO_2026[[ASESOR_CRR]:[META]],2,0)</f>
        <v>50000</v>
      </c>
      <c r="R22" t="s">
        <v>10</v>
      </c>
      <c r="S22" s="48">
        <v>500</v>
      </c>
      <c r="T22">
        <v>0</v>
      </c>
      <c r="U22">
        <v>3000</v>
      </c>
      <c r="V22">
        <v>1210</v>
      </c>
      <c r="W22">
        <v>0</v>
      </c>
      <c r="X22">
        <v>0</v>
      </c>
      <c r="Y22">
        <v>0</v>
      </c>
      <c r="Z22">
        <v>0</v>
      </c>
      <c r="AA22">
        <v>2000</v>
      </c>
      <c r="AB22">
        <v>0</v>
      </c>
      <c r="AC22">
        <v>3000</v>
      </c>
      <c r="AD22">
        <v>360</v>
      </c>
      <c r="AE22">
        <v>6200</v>
      </c>
      <c r="AF22">
        <v>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0.55574642857142853</v>
      </c>
      <c r="E23" s="36" t="str">
        <f>IFERROR(VLOOKUP(D1_FEBRERO_2026[[#This Row],[ASESOR_CRR]],PLANTILLA_ACTUAL[],2,0),"")</f>
        <v>JORGE</v>
      </c>
      <c r="F23" t="s">
        <v>29</v>
      </c>
      <c r="G23" s="3">
        <v>15560.9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0.60699999999999998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30350</v>
      </c>
      <c r="Q23" s="6">
        <f>VLOOKUP(DATA_FEBRERO_2026[[#This Row],[ASER_]],D1_FEBRERO_2026[[ASESOR_CRR]:[META]],2,0)</f>
        <v>50000</v>
      </c>
      <c r="R23" t="s">
        <v>12</v>
      </c>
      <c r="S23">
        <v>0</v>
      </c>
      <c r="T23">
        <v>400</v>
      </c>
      <c r="U23">
        <v>0</v>
      </c>
      <c r="V23">
        <v>0</v>
      </c>
      <c r="W23">
        <v>0</v>
      </c>
      <c r="X23">
        <v>6000</v>
      </c>
      <c r="Y23">
        <v>5700</v>
      </c>
      <c r="Z23">
        <v>15900</v>
      </c>
      <c r="AA23">
        <v>350</v>
      </c>
      <c r="AB23">
        <v>0</v>
      </c>
      <c r="AC23">
        <v>2000</v>
      </c>
      <c r="AD23">
        <v>0</v>
      </c>
      <c r="AE23">
        <v>0</v>
      </c>
      <c r="AF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0.38357142857142856</v>
      </c>
      <c r="E24" s="36" t="str">
        <f>IFERROR(VLOOKUP(D1_FEBRERO_2026[[#This Row],[ASESOR_CRR]],PLANTILLA_ACTUAL[],2,0),"")</f>
        <v>JORGE</v>
      </c>
      <c r="F24" t="s">
        <v>42</v>
      </c>
      <c r="G24" s="3">
        <v>10740</v>
      </c>
      <c r="H24" t="str">
        <f>VLOOKUP(D1_FEBRERO_2026[[#This Row],[ASESOR_CRR]],DIM!$C:$E,2,0)</f>
        <v>73725129</v>
      </c>
      <c r="I24" s="57">
        <f>VLOOKUP(D1_FEBRERO_2026[[#This Row],[ASESOR_CRR]],DIM!$C:$E,3,0)</f>
        <v>45398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0.55979999999999996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27990</v>
      </c>
      <c r="Q24" s="6">
        <f>VLOOKUP(DATA_FEBRERO_2026[[#This Row],[ASER_]],D1_FEBRERO_2026[[ASESOR_CRR]:[META]],2,0)</f>
        <v>50000</v>
      </c>
      <c r="R24" t="s">
        <v>18</v>
      </c>
      <c r="S24">
        <v>0</v>
      </c>
      <c r="T24">
        <v>4000</v>
      </c>
      <c r="U24">
        <v>2000</v>
      </c>
      <c r="V24">
        <v>0</v>
      </c>
      <c r="W24">
        <v>5350</v>
      </c>
      <c r="X24">
        <v>8340</v>
      </c>
      <c r="Y24">
        <v>0</v>
      </c>
      <c r="Z24">
        <v>0</v>
      </c>
      <c r="AA24">
        <v>600</v>
      </c>
      <c r="AB24">
        <v>1050</v>
      </c>
      <c r="AC24">
        <v>1650</v>
      </c>
      <c r="AD24">
        <v>0</v>
      </c>
      <c r="AE24">
        <v>5000</v>
      </c>
      <c r="AF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IF(D1_FEBRERO_2026[[#This Row],[RECUPERO]]="VACACIONES","VACACIONES",IFERROR(D1_FEBRERO_2026[[#This Row],[RECUPERO]]/D1_FEBRERO_2026[[#This Row],[META]],""))</f>
        <v>0.23785714285714285</v>
      </c>
      <c r="E25" s="36" t="str">
        <f>IFERROR(VLOOKUP(D1_FEBRERO_2026[[#This Row],[ASESOR_CRR]],PLANTILLA_ACTUAL[],2,0),"")</f>
        <v>JORGE</v>
      </c>
      <c r="F25" t="s">
        <v>15</v>
      </c>
      <c r="G25" s="3">
        <v>6660</v>
      </c>
      <c r="H25" t="str">
        <f>VLOOKUP(D1_FEBRERO_2026[[#This Row],[ASESOR_CRR]],DIM!$C:$E,2,0)</f>
        <v>47587400</v>
      </c>
      <c r="I25" s="57">
        <f>VLOOKUP(D1_FEBRERO_2026[[#This Row],[ASESOR_CRR]],DIM!$C:$E,3,0)</f>
        <v>44733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0.50060000000000004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25030</v>
      </c>
      <c r="Q25" s="6">
        <f>VLOOKUP(DATA_FEBRERO_2026[[#This Row],[ASER_]],D1_FEBRERO_2026[[ASESOR_CRR]:[META]],2,0)</f>
        <v>50000</v>
      </c>
      <c r="R25" t="s">
        <v>122</v>
      </c>
      <c r="S25" s="46">
        <v>3500</v>
      </c>
      <c r="T25">
        <v>2630</v>
      </c>
      <c r="U25">
        <v>0</v>
      </c>
      <c r="V25">
        <v>0</v>
      </c>
      <c r="W25">
        <v>10900</v>
      </c>
      <c r="X25">
        <v>8000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GUSTAVO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6" s="36">
        <f>IF(D1_FEBRERO_2026[[#This Row],[RECUPERO]]="VACACIONES","VACACIONES",IFERROR(D1_FEBRERO_2026[[#This Row],[RECUPERO]]/D1_FEBRERO_2026[[#This Row],[META]],""))</f>
        <v>1.1292765957446809</v>
      </c>
      <c r="E26" s="36" t="str">
        <f>IFERROR(VLOOKUP(D1_FEBRERO_2026[[#This Row],[ASESOR_CRR]],PLANTILLA_ACTUAL[],2,0),"")</f>
        <v>GUSTAVO</v>
      </c>
      <c r="F26" t="s">
        <v>174</v>
      </c>
      <c r="G26" s="3">
        <v>26538</v>
      </c>
      <c r="H26" t="str">
        <f>VLOOKUP(D1_FEBRERO_2026[[#This Row],[ASESOR_CRR]],DIM!$C:$E,2,0)</f>
        <v>46994661</v>
      </c>
      <c r="I26" s="57">
        <f>VLOOKUP(D1_FEBRERO_2026[[#This Row],[ASESOR_CRR]],DIM!$C:$E,3,0)</f>
        <v>45992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0.16619999999999999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8310</v>
      </c>
      <c r="Q26" s="6">
        <f>VLOOKUP(DATA_FEBRERO_2026[[#This Row],[ASER_]],D1_FEBRERO_2026[[ASESOR_CRR]:[META]],2,0)</f>
        <v>50000</v>
      </c>
      <c r="R26" t="s">
        <v>207</v>
      </c>
      <c r="S26" s="46">
        <v>0</v>
      </c>
      <c r="T26">
        <v>0</v>
      </c>
      <c r="U26">
        <v>3500</v>
      </c>
      <c r="V26">
        <v>770</v>
      </c>
      <c r="W26">
        <v>0</v>
      </c>
      <c r="X26">
        <v>0</v>
      </c>
      <c r="Y26">
        <v>0</v>
      </c>
      <c r="Z26">
        <v>500</v>
      </c>
      <c r="AA26">
        <v>0</v>
      </c>
      <c r="AB26">
        <v>0</v>
      </c>
      <c r="AC26">
        <v>0</v>
      </c>
      <c r="AD26">
        <v>1090</v>
      </c>
      <c r="AE26">
        <v>0</v>
      </c>
      <c r="AF26">
        <v>2450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GUSTAVO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7" s="36">
        <f>IF(D1_FEBRERO_2026[[#This Row],[RECUPERO]]="VACACIONES","VACACIONES",IFERROR(D1_FEBRERO_2026[[#This Row],[RECUPERO]]/D1_FEBRERO_2026[[#This Row],[META]],""))</f>
        <v>0.84829787234042553</v>
      </c>
      <c r="E27" s="36" t="str">
        <f>IFERROR(VLOOKUP(D1_FEBRERO_2026[[#This Row],[ASESOR_CRR]],PLANTILLA_ACTUAL[],2,0),"")</f>
        <v>GUSTAVO</v>
      </c>
      <c r="F27" t="s">
        <v>58</v>
      </c>
      <c r="G27" s="3">
        <v>19935</v>
      </c>
      <c r="H27" t="str">
        <f>VLOOKUP(D1_FEBRERO_2026[[#This Row],[ASESOR_CRR]],DIM!$C:$E,2,0)</f>
        <v>72519113</v>
      </c>
      <c r="I27" s="57">
        <f>VLOOKUP(D1_FEBRERO_2026[[#This Row],[ASESOR_CRR]],DIM!$C:$E,3,0)</f>
        <v>43119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0.15840000000000001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7920</v>
      </c>
      <c r="Q27" s="6">
        <f>VLOOKUP(DATA_FEBRERO_2026[[#This Row],[ASER_]],D1_FEBRERO_2026[[ASESOR_CRR]:[META]],2,0)</f>
        <v>50000</v>
      </c>
      <c r="R27" t="s">
        <v>109</v>
      </c>
      <c r="S27" s="46">
        <v>0</v>
      </c>
      <c r="T27">
        <v>0</v>
      </c>
      <c r="U27">
        <v>0</v>
      </c>
      <c r="V27">
        <v>1000</v>
      </c>
      <c r="W27">
        <v>4000</v>
      </c>
      <c r="X27">
        <v>0</v>
      </c>
      <c r="Y27">
        <v>0</v>
      </c>
      <c r="Z27">
        <v>0</v>
      </c>
      <c r="AA27">
        <v>0</v>
      </c>
      <c r="AB27">
        <v>1300</v>
      </c>
      <c r="AC27">
        <v>220</v>
      </c>
      <c r="AD27">
        <v>400</v>
      </c>
      <c r="AE27">
        <v>1000</v>
      </c>
      <c r="AF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GUSTAVO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8" s="36">
        <f>IF(D1_FEBRERO_2026[[#This Row],[RECUPERO]]="VACACIONES","VACACIONES",IFERROR(D1_FEBRERO_2026[[#This Row],[RECUPERO]]/D1_FEBRERO_2026[[#This Row],[META]],""))</f>
        <v>0.74127659574468086</v>
      </c>
      <c r="E28" s="36" t="str">
        <f>IFERROR(VLOOKUP(D1_FEBRERO_2026[[#This Row],[ASESOR_CRR]],PLANTILLA_ACTUAL[],2,0),"")</f>
        <v>GUSTAVO</v>
      </c>
      <c r="F28" t="s">
        <v>48</v>
      </c>
      <c r="G28" s="3">
        <v>17420</v>
      </c>
      <c r="H28" t="str">
        <f>VLOOKUP(D1_FEBRERO_2026[[#This Row],[ASESOR_CRR]],DIM!$C:$E,2,0)</f>
        <v>43307898</v>
      </c>
      <c r="I28" s="57">
        <f>VLOOKUP(D1_FEBRERO_2026[[#This Row],[ASESOR_CRR]],DIM!$C:$E,3,0)</f>
        <v>44746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0.36975999999999998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18488</v>
      </c>
      <c r="Q28" s="6">
        <f>VLOOKUP(DATA_FEBRERO_2026[[#This Row],[ASER_]],D1_FEBRERO_2026[[ASESOR_CRR]:[META]],2,0)</f>
        <v>50000</v>
      </c>
      <c r="R28" t="s">
        <v>61</v>
      </c>
      <c r="S28" s="46">
        <v>438</v>
      </c>
      <c r="T28">
        <v>0</v>
      </c>
      <c r="U28">
        <v>9000</v>
      </c>
      <c r="V28">
        <v>2550</v>
      </c>
      <c r="W28">
        <v>0</v>
      </c>
      <c r="X28">
        <v>500</v>
      </c>
      <c r="Y28">
        <v>0</v>
      </c>
      <c r="Z28">
        <v>2000</v>
      </c>
      <c r="AA28">
        <v>0</v>
      </c>
      <c r="AB28">
        <v>1200</v>
      </c>
      <c r="AC28">
        <v>1300</v>
      </c>
      <c r="AD28">
        <v>0</v>
      </c>
      <c r="AE28">
        <v>1500</v>
      </c>
      <c r="AF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0.72280851063829787</v>
      </c>
      <c r="E29" s="36" t="str">
        <f>IFERROR(VLOOKUP(D1_FEBRERO_2026[[#This Row],[ASESOR_CRR]],PLANTILLA_ACTUAL[],2,0),"")</f>
        <v>GUSTAVO</v>
      </c>
      <c r="F29" t="s">
        <v>513</v>
      </c>
      <c r="G29" s="3">
        <v>16986</v>
      </c>
      <c r="H29" t="str">
        <f>VLOOKUP(D1_FEBRERO_2026[[#This Row],[ASESOR_CRR]],DIM!$C:$E,2,0)</f>
        <v>75026229</v>
      </c>
      <c r="I29" s="57">
        <f>VLOOKUP(D1_FEBRERO_2026[[#This Row],[ASESOR_CRR]],DIM!$C:$E,3,0)</f>
        <v>46052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0.16259999999999999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8130</v>
      </c>
      <c r="Q29" s="6">
        <f>VLOOKUP(DATA_FEBRERO_2026[[#This Row],[ASER_]],D1_FEBRERO_2026[[ASESOR_CRR]:[META]],2,0)</f>
        <v>50000</v>
      </c>
      <c r="R29" t="s">
        <v>85</v>
      </c>
      <c r="S29" s="46">
        <v>0</v>
      </c>
      <c r="T29">
        <v>1500</v>
      </c>
      <c r="U29">
        <v>0</v>
      </c>
      <c r="V29">
        <v>0</v>
      </c>
      <c r="W29">
        <v>0</v>
      </c>
      <c r="X29">
        <v>3500</v>
      </c>
      <c r="Y29">
        <v>0</v>
      </c>
      <c r="Z29">
        <v>2100</v>
      </c>
      <c r="AA29">
        <v>300</v>
      </c>
      <c r="AB29">
        <v>0</v>
      </c>
      <c r="AC29">
        <v>200</v>
      </c>
      <c r="AD29">
        <v>0</v>
      </c>
      <c r="AE29">
        <v>0</v>
      </c>
      <c r="AF29">
        <v>530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GUSTAVO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0" s="36">
        <f>IF(D1_FEBRERO_2026[[#This Row],[RECUPERO]]="VACACIONES","VACACIONES",IFERROR(D1_FEBRERO_2026[[#This Row],[RECUPERO]]/D1_FEBRERO_2026[[#This Row],[META]],""))</f>
        <v>0.65502127659574472</v>
      </c>
      <c r="E30" s="36" t="str">
        <f>IFERROR(VLOOKUP(D1_FEBRERO_2026[[#This Row],[ASESOR_CRR]],PLANTILLA_ACTUAL[],2,0),"")</f>
        <v>GUSTAVO</v>
      </c>
      <c r="F30" t="s">
        <v>515</v>
      </c>
      <c r="G30" s="3">
        <v>15393</v>
      </c>
      <c r="H30" t="str">
        <f>VLOOKUP(D1_FEBRERO_2026[[#This Row],[ASESOR_CRR]],DIM!$C:$E,2,0)</f>
        <v>62792399</v>
      </c>
      <c r="I30" s="57">
        <f>VLOOKUP(D1_FEBRERO_2026[[#This Row],[ASESOR_CRR]],DIM!$C:$E,3,0)</f>
        <v>46052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0.84829787234042553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19935</v>
      </c>
      <c r="Q30" s="6">
        <f>VLOOKUP(DATA_FEBRERO_2026[[#This Row],[ASER_]],D1_FEBRERO_2026[[ASESOR_CRR]:[META]],2,0)</f>
        <v>23500</v>
      </c>
      <c r="R30" t="s">
        <v>58</v>
      </c>
      <c r="S30">
        <v>0</v>
      </c>
      <c r="T30">
        <v>0</v>
      </c>
      <c r="U30">
        <v>280</v>
      </c>
      <c r="V30">
        <v>10100</v>
      </c>
      <c r="W30">
        <v>205</v>
      </c>
      <c r="X30">
        <v>0</v>
      </c>
      <c r="Y30">
        <v>7000</v>
      </c>
      <c r="Z30">
        <v>0</v>
      </c>
      <c r="AA30">
        <v>1500</v>
      </c>
      <c r="AB30">
        <v>600</v>
      </c>
      <c r="AC30">
        <v>0</v>
      </c>
      <c r="AD30">
        <v>0</v>
      </c>
      <c r="AE30">
        <v>250</v>
      </c>
      <c r="AF30">
        <v>0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GUSTAVO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1" s="36">
        <f>IF(D1_FEBRERO_2026[[#This Row],[RECUPERO]]="VACACIONES","VACACIONES",IFERROR(D1_FEBRERO_2026[[#This Row],[RECUPERO]]/D1_FEBRERO_2026[[#This Row],[META]],""))</f>
        <v>0.63217021276595742</v>
      </c>
      <c r="E31" s="36" t="str">
        <f>IFERROR(VLOOKUP(D1_FEBRERO_2026[[#This Row],[ASESOR_CRR]],PLANTILLA_ACTUAL[],2,0),"")</f>
        <v>GUSTAVO</v>
      </c>
      <c r="F31" t="s">
        <v>49</v>
      </c>
      <c r="G31" s="3">
        <v>14856</v>
      </c>
      <c r="H31" t="str">
        <f>VLOOKUP(D1_FEBRERO_2026[[#This Row],[ASESOR_CRR]],DIM!$C:$E,2,0)</f>
        <v>40702064</v>
      </c>
      <c r="I31" s="57">
        <f>VLOOKUP(D1_FEBRERO_2026[[#This Row],[ASESOR_CRR]],DIM!$C:$E,3,0)</f>
        <v>43313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0.65502127659574472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15393</v>
      </c>
      <c r="Q31" s="6">
        <f>VLOOKUP(DATA_FEBRERO_2026[[#This Row],[ASER_]],D1_FEBRERO_2026[[ASESOR_CRR]:[META]],2,0)</f>
        <v>23500</v>
      </c>
      <c r="R31" t="s">
        <v>515</v>
      </c>
      <c r="S31">
        <v>1108</v>
      </c>
      <c r="T31">
        <v>750</v>
      </c>
      <c r="U31">
        <v>1800</v>
      </c>
      <c r="V31">
        <v>180</v>
      </c>
      <c r="W31">
        <v>0</v>
      </c>
      <c r="X31">
        <v>275</v>
      </c>
      <c r="Y31">
        <v>115</v>
      </c>
      <c r="Z31">
        <v>790</v>
      </c>
      <c r="AA31">
        <v>2500</v>
      </c>
      <c r="AB31">
        <v>1325</v>
      </c>
      <c r="AC31">
        <v>1050</v>
      </c>
      <c r="AD31">
        <v>0</v>
      </c>
      <c r="AE31">
        <v>0</v>
      </c>
      <c r="AF31">
        <v>5500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GUSTAVO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2" s="36">
        <f>IF(D1_FEBRERO_2026[[#This Row],[RECUPERO]]="VACACIONES","VACACIONES",IFERROR(D1_FEBRERO_2026[[#This Row],[RECUPERO]]/D1_FEBRERO_2026[[#This Row],[META]],""))</f>
        <v>0.55885106382978722</v>
      </c>
      <c r="E32" s="36" t="str">
        <f>IFERROR(VLOOKUP(D1_FEBRERO_2026[[#This Row],[ASESOR_CRR]],PLANTILLA_ACTUAL[],2,0),"")</f>
        <v>GUSTAVO</v>
      </c>
      <c r="F32" t="s">
        <v>51</v>
      </c>
      <c r="G32" s="3">
        <v>13133</v>
      </c>
      <c r="H32" t="str">
        <f>VLOOKUP(D1_FEBRERO_2026[[#This Row],[ASESOR_CRR]],DIM!$C:$E,2,0)</f>
        <v>76089925</v>
      </c>
      <c r="I32" s="57">
        <f>VLOOKUP(D1_FEBRERO_2026[[#This Row],[ASESOR_CRR]],DIM!$C:$E,3,0)</f>
        <v>45678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0.72280851063829787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GUSTAVO</v>
      </c>
      <c r="P32" s="6">
        <f>IF(DATA_FEBRERO_2026[[#This Row],[SUPERVISOR]]="","",VLOOKUP(DATA_FEBRERO_2026[[#This Row],[ASER_]],$B:$G,6,0))</f>
        <v>16986</v>
      </c>
      <c r="Q32" s="6">
        <f>VLOOKUP(DATA_FEBRERO_2026[[#This Row],[ASER_]],D1_FEBRERO_2026[[ASESOR_CRR]:[META]],2,0)</f>
        <v>23500</v>
      </c>
      <c r="R32" t="s">
        <v>513</v>
      </c>
      <c r="S32">
        <v>0</v>
      </c>
      <c r="T32">
        <v>0</v>
      </c>
      <c r="U32">
        <v>0</v>
      </c>
      <c r="V32">
        <v>1436</v>
      </c>
      <c r="W32">
        <v>500</v>
      </c>
      <c r="X32">
        <v>600</v>
      </c>
      <c r="Y32">
        <v>3700</v>
      </c>
      <c r="Z32">
        <v>1250</v>
      </c>
      <c r="AA32">
        <v>0</v>
      </c>
      <c r="AB32">
        <v>3800</v>
      </c>
      <c r="AC32">
        <v>3700</v>
      </c>
      <c r="AD32">
        <v>2000</v>
      </c>
      <c r="AE32">
        <v>0</v>
      </c>
      <c r="AF32">
        <v>0</v>
      </c>
      <c r="AN32" t="str">
        <f>VLOOKUP($M$3&amp;$N$3&amp;DATA_FEBRERO_2026[[#This Row],[SUPERVISOR]],TablaMeta[],7,0)</f>
        <v>S2-3-4</v>
      </c>
    </row>
    <row r="33" spans="1:40" x14ac:dyDescent="0.25">
      <c r="A33" s="35" t="str">
        <f>IFERROR(VLOOKUP(D1_FEBRERO_2026[[#This Row],[ASESOR_CRR]],PLANTILLA_ACTUAL[],2,0),"")</f>
        <v>GUSTAVO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3" s="36">
        <f>IF(D1_FEBRERO_2026[[#This Row],[RECUPERO]]="VACACIONES","VACACIONES",IFERROR(D1_FEBRERO_2026[[#This Row],[RECUPERO]]/D1_FEBRERO_2026[[#This Row],[META]],""))</f>
        <v>0.33829787234042552</v>
      </c>
      <c r="E33" s="36" t="str">
        <f>IFERROR(VLOOKUP(D1_FEBRERO_2026[[#This Row],[ASESOR_CRR]],PLANTILLA_ACTUAL[],2,0),"")</f>
        <v>GUSTAVO</v>
      </c>
      <c r="F33" t="s">
        <v>73</v>
      </c>
      <c r="G33" s="3">
        <v>7950</v>
      </c>
      <c r="H33" t="str">
        <f>VLOOKUP(D1_FEBRERO_2026[[#This Row],[ASESOR_CRR]],DIM!$C:$E,2,0)</f>
        <v>40318129</v>
      </c>
      <c r="I33" s="57">
        <f>VLOOKUP(D1_FEBRERO_2026[[#This Row],[ASESOR_CRR]],DIM!$C:$E,3,0)</f>
        <v>45141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1.1292765957446809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GUSTAVO</v>
      </c>
      <c r="P33" s="6">
        <f>IF(DATA_FEBRERO_2026[[#This Row],[SUPERVISOR]]="","",VLOOKUP(DATA_FEBRERO_2026[[#This Row],[ASER_]],$B:$G,6,0))</f>
        <v>26538</v>
      </c>
      <c r="Q33" s="6">
        <f>VLOOKUP(DATA_FEBRERO_2026[[#This Row],[ASER_]],D1_FEBRERO_2026[[ASESOR_CRR]:[META]],2,0)</f>
        <v>23500</v>
      </c>
      <c r="R33" t="s">
        <v>174</v>
      </c>
      <c r="S33">
        <v>0</v>
      </c>
      <c r="T33">
        <v>0</v>
      </c>
      <c r="U33">
        <v>0</v>
      </c>
      <c r="V33">
        <v>300</v>
      </c>
      <c r="W33">
        <v>0</v>
      </c>
      <c r="X33">
        <v>0</v>
      </c>
      <c r="Y33">
        <v>2830</v>
      </c>
      <c r="Z33">
        <v>2220</v>
      </c>
      <c r="AA33">
        <v>0</v>
      </c>
      <c r="AB33">
        <v>13520</v>
      </c>
      <c r="AC33">
        <v>200</v>
      </c>
      <c r="AD33">
        <v>5168</v>
      </c>
      <c r="AE33">
        <v>0</v>
      </c>
      <c r="AF33">
        <v>2300</v>
      </c>
      <c r="AN33" t="str">
        <f>VLOOKUP($M$3&amp;$N$3&amp;DATA_FEBRERO_2026[[#This Row],[SUPERVISOR]],TablaMeta[],7,0)</f>
        <v>S2-3-4</v>
      </c>
    </row>
    <row r="34" spans="1:40" x14ac:dyDescent="0.25">
      <c r="A34" s="35" t="str">
        <f>IFERROR(VLOOKUP(D1_FEBRERO_2026[[#This Row],[ASESOR_CRR]],PLANTILLA_ACTUAL[],2,0),"")</f>
        <v>GUSTAVO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4" s="36">
        <f>IF(D1_FEBRERO_2026[[#This Row],[RECUPERO]]="VACACIONES","VACACIONES",IFERROR(D1_FEBRERO_2026[[#This Row],[RECUPERO]]/D1_FEBRERO_2026[[#This Row],[META]],""))</f>
        <v>0.32161702127659575</v>
      </c>
      <c r="E34" s="36" t="str">
        <f>IFERROR(VLOOKUP(D1_FEBRERO_2026[[#This Row],[ASESOR_CRR]],PLANTILLA_ACTUAL[],2,0),"")</f>
        <v>GUSTAVO</v>
      </c>
      <c r="F34" t="s">
        <v>77</v>
      </c>
      <c r="G34" s="3">
        <v>7558</v>
      </c>
      <c r="H34" t="str">
        <f>VLOOKUP(D1_FEBRERO_2026[[#This Row],[ASESOR_CRR]],DIM!$C:$E,2,0)</f>
        <v>42251780</v>
      </c>
      <c r="I34" s="57">
        <f>VLOOKUP(D1_FEBRERO_2026[[#This Row],[ASESOR_CRR]],DIM!$C:$E,3,0)</f>
        <v>44838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0.63217021276595742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GUSTAVO</v>
      </c>
      <c r="P34" s="6">
        <f>IF(DATA_FEBRERO_2026[[#This Row],[SUPERVISOR]]="","",VLOOKUP(DATA_FEBRERO_2026[[#This Row],[ASER_]],$B:$G,6,0))</f>
        <v>14856</v>
      </c>
      <c r="Q34" s="6">
        <f>VLOOKUP(DATA_FEBRERO_2026[[#This Row],[ASER_]],D1_FEBRERO_2026[[ASESOR_CRR]:[META]],2,0)</f>
        <v>23500</v>
      </c>
      <c r="R34" t="s">
        <v>49</v>
      </c>
      <c r="S34">
        <v>0</v>
      </c>
      <c r="T34">
        <v>0</v>
      </c>
      <c r="U34">
        <v>500</v>
      </c>
      <c r="V34">
        <v>400</v>
      </c>
      <c r="W34">
        <v>4500</v>
      </c>
      <c r="X34">
        <v>0</v>
      </c>
      <c r="Y34">
        <v>2000</v>
      </c>
      <c r="Z34">
        <v>730</v>
      </c>
      <c r="AA34">
        <v>0</v>
      </c>
      <c r="AB34">
        <v>5620</v>
      </c>
      <c r="AC34">
        <v>600</v>
      </c>
      <c r="AD34">
        <v>0</v>
      </c>
      <c r="AE34">
        <v>506</v>
      </c>
      <c r="AF34">
        <v>0</v>
      </c>
      <c r="AN34" t="str">
        <f>VLOOKUP($M$3&amp;$N$3&amp;DATA_FEBRERO_2026[[#This Row],[SUPERVISOR]],TablaMeta[],7,0)</f>
        <v>S2-3-4</v>
      </c>
    </row>
    <row r="35" spans="1:40" x14ac:dyDescent="0.25">
      <c r="A35" s="35" t="str">
        <f>IFERROR(VLOOKUP(D1_FEBRERO_2026[[#This Row],[ASESOR_CRR]],PLANTILLA_ACTUAL[],2,0),"")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0.16808510638297872</v>
      </c>
      <c r="E35" s="36" t="str">
        <f>IFERROR(VLOOKUP(D1_FEBRERO_2026[[#This Row],[ASESOR_CRR]],PLANTILLA_ACTUAL[],2,0),"")</f>
        <v>GUSTAVO</v>
      </c>
      <c r="F35" t="s">
        <v>568</v>
      </c>
      <c r="G35" s="3">
        <v>3950</v>
      </c>
      <c r="H35" t="str">
        <f>VLOOKUP(D1_FEBRERO_2026[[#This Row],[ASESOR_CRR]],DIM!$C:$E,2,0)</f>
        <v>75197920</v>
      </c>
      <c r="I35" s="57">
        <f>VLOOKUP(D1_FEBRERO_2026[[#This Row],[ASESOR_CRR]],DIM!$C:$E,3,0)</f>
        <v>46055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0.16808510638297872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GUSTAVO</v>
      </c>
      <c r="P35" s="6">
        <f>IF(DATA_FEBRERO_2026[[#This Row],[SUPERVISOR]]="","",VLOOKUP(DATA_FEBRERO_2026[[#This Row],[ASER_]],$B:$G,6,0))</f>
        <v>3950</v>
      </c>
      <c r="Q35" s="6">
        <f>VLOOKUP(DATA_FEBRERO_2026[[#This Row],[ASER_]],D1_FEBRERO_2026[[ASESOR_CRR]:[META]],2,0)</f>
        <v>23500</v>
      </c>
      <c r="R35" t="s">
        <v>568</v>
      </c>
      <c r="S35">
        <v>0</v>
      </c>
      <c r="T35">
        <v>0</v>
      </c>
      <c r="U35">
        <v>0</v>
      </c>
      <c r="V35">
        <v>1000</v>
      </c>
      <c r="W35">
        <v>1100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150</v>
      </c>
      <c r="AD35">
        <v>0</v>
      </c>
      <c r="AE35">
        <v>1000</v>
      </c>
      <c r="AF35">
        <v>0</v>
      </c>
      <c r="AN35" t="str">
        <f>VLOOKUP($M$3&amp;$N$3&amp;DATA_FEBRERO_2026[[#This Row],[SUPERVISOR]],TablaMeta[],7,0)</f>
        <v>S2-3-4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8.9148936170212773E-2</v>
      </c>
      <c r="E36" s="36" t="str">
        <f>IFERROR(VLOOKUP(D1_FEBRERO_2026[[#This Row],[ASESOR_CRR]],PLANTILLA_ACTUAL[],2,0),"")</f>
        <v>GUSTAVO</v>
      </c>
      <c r="F36" t="s">
        <v>55</v>
      </c>
      <c r="G36" s="3">
        <v>2095</v>
      </c>
      <c r="H36" t="str">
        <f>VLOOKUP(D1_FEBRERO_2026[[#This Row],[ASESOR_CRR]],DIM!$C:$E,2,0)</f>
        <v>45119892</v>
      </c>
      <c r="I36" s="57">
        <f>VLOOKUP(D1_FEBRERO_2026[[#This Row],[ASESOR_CRR]],DIM!$C:$E,3,0)</f>
        <v>45813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0.74127659574468086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GUSTAVO</v>
      </c>
      <c r="P36" s="6">
        <f>IF(DATA_FEBRERO_2026[[#This Row],[SUPERVISOR]]="","",VLOOKUP(DATA_FEBRERO_2026[[#This Row],[ASER_]],$B:$G,6,0))</f>
        <v>17420</v>
      </c>
      <c r="Q36" s="6">
        <f>VLOOKUP(DATA_FEBRERO_2026[[#This Row],[ASER_]],D1_FEBRERO_2026[[ASESOR_CRR]:[META]],2,0)</f>
        <v>23500</v>
      </c>
      <c r="R36" t="s">
        <v>48</v>
      </c>
      <c r="S36">
        <v>300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4160</v>
      </c>
      <c r="AA36">
        <v>0</v>
      </c>
      <c r="AB36">
        <v>6000</v>
      </c>
      <c r="AC36">
        <v>2000</v>
      </c>
      <c r="AD36">
        <v>300</v>
      </c>
      <c r="AE36">
        <v>4660</v>
      </c>
      <c r="AF36">
        <v>0</v>
      </c>
      <c r="AN36" t="str">
        <f>VLOOKUP($M$3&amp;$N$3&amp;DATA_FEBRERO_2026[[#This Row],[SUPERVISOR]],TablaMeta[],7,0)</f>
        <v>S2-3-4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IF(D1_FEBRERO_2026[[#This Row],[RECUPERO]]="VACACIONES","VACACIONES",IFERROR(D1_FEBRERO_2026[[#This Row],[RECUPERO]]/D1_FEBRERO_2026[[#This Row],[META]],""))</f>
        <v>1.7872340425531916E-2</v>
      </c>
      <c r="E37" s="36" t="str">
        <f>IFERROR(VLOOKUP(D1_FEBRERO_2026[[#This Row],[ASESOR_CRR]],PLANTILLA_ACTUAL[],2,0),"")</f>
        <v>GUSTAVO</v>
      </c>
      <c r="F37" t="s">
        <v>575</v>
      </c>
      <c r="G37" s="3">
        <v>420</v>
      </c>
      <c r="H37" t="str">
        <f>VLOOKUP(D1_FEBRERO_2026[[#This Row],[ASESOR_CRR]],DIM!$C:$E,2,0)</f>
        <v>73233992 </v>
      </c>
      <c r="I37" s="57">
        <f>VLOOKUP(D1_FEBRERO_2026[[#This Row],[ASESOR_CRR]],DIM!$C:$E,3,0)</f>
        <v>46065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0.55885106382978722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GUSTAVO</v>
      </c>
      <c r="P37" s="6">
        <f>IF(DATA_FEBRERO_2026[[#This Row],[SUPERVISOR]]="","",VLOOKUP(DATA_FEBRERO_2026[[#This Row],[ASER_]],$B:$G,6,0))</f>
        <v>13133</v>
      </c>
      <c r="Q37" s="6">
        <f>VLOOKUP(DATA_FEBRERO_2026[[#This Row],[ASER_]],D1_FEBRERO_2026[[ASESOR_CRR]:[META]],2,0)</f>
        <v>23500</v>
      </c>
      <c r="R37" t="s">
        <v>51</v>
      </c>
      <c r="S37">
        <v>260</v>
      </c>
      <c r="T37">
        <v>0</v>
      </c>
      <c r="U37">
        <v>6000</v>
      </c>
      <c r="V37">
        <v>0</v>
      </c>
      <c r="W37">
        <v>0</v>
      </c>
      <c r="X37">
        <v>6100</v>
      </c>
      <c r="Y37">
        <v>0</v>
      </c>
      <c r="Z37">
        <v>0</v>
      </c>
      <c r="AA37">
        <v>0</v>
      </c>
      <c r="AB37">
        <v>0</v>
      </c>
      <c r="AC37">
        <v>573</v>
      </c>
      <c r="AD37">
        <v>200</v>
      </c>
      <c r="AE37">
        <v>0</v>
      </c>
      <c r="AF37">
        <v>0</v>
      </c>
      <c r="AN37" t="str">
        <f>VLOOKUP($M$3&amp;$N$3&amp;DATA_FEBRERO_2026[[#This Row],[SUPERVISOR]],TablaMeta[],7,0)</f>
        <v>S2-3-4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1.7490000000000001</v>
      </c>
      <c r="E38" s="36" t="str">
        <f>IFERROR(VLOOKUP(D1_FEBRERO_2026[[#This Row],[ASESOR_CRR]],PLANTILLA_ACTUAL[],2,0),"")</f>
        <v>JOHAN</v>
      </c>
      <c r="F38" t="s">
        <v>59</v>
      </c>
      <c r="G38" s="3">
        <v>87450</v>
      </c>
      <c r="H38" t="str">
        <f>VLOOKUP(D1_FEBRERO_2026[[#This Row],[ASESOR_CRR]],DIM!$C:$E,2,0)</f>
        <v>60870839</v>
      </c>
      <c r="I38" s="57">
        <f>VLOOKUP(D1_FEBRERO_2026[[#This Row],[ASESOR_CRR]],DIM!$C:$E,3,0)</f>
        <v>45344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0.32161702127659575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GUSTAVO</v>
      </c>
      <c r="P38" s="6">
        <f>IF(DATA_FEBRERO_2026[[#This Row],[SUPERVISOR]]="","",VLOOKUP(DATA_FEBRERO_2026[[#This Row],[ASER_]],$B:$G,6,0))</f>
        <v>7558</v>
      </c>
      <c r="Q38" s="6">
        <f>VLOOKUP(DATA_FEBRERO_2026[[#This Row],[ASER_]],D1_FEBRERO_2026[[ASESOR_CRR]:[META]],2,0)</f>
        <v>23500</v>
      </c>
      <c r="R38" t="s">
        <v>77</v>
      </c>
      <c r="S38">
        <v>600</v>
      </c>
      <c r="T38">
        <v>0</v>
      </c>
      <c r="U38">
        <v>458</v>
      </c>
      <c r="V38">
        <v>1022</v>
      </c>
      <c r="W38">
        <v>0</v>
      </c>
      <c r="X38">
        <v>0</v>
      </c>
      <c r="Y38">
        <v>0</v>
      </c>
      <c r="Z38">
        <v>377.52</v>
      </c>
      <c r="AA38">
        <v>800</v>
      </c>
      <c r="AB38">
        <v>300</v>
      </c>
      <c r="AC38">
        <v>0</v>
      </c>
      <c r="AD38">
        <v>0</v>
      </c>
      <c r="AE38">
        <v>4000</v>
      </c>
      <c r="AF38">
        <v>0</v>
      </c>
      <c r="AN38" t="str">
        <f>VLOOKUP($M$3&amp;$N$3&amp;DATA_FEBRERO_2026[[#This Row],[SUPERVISOR]],TablaMeta[],7,0)</f>
        <v>S2-3-4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1.2909600000000001</v>
      </c>
      <c r="E39" s="36" t="str">
        <f>IFERROR(VLOOKUP(D1_FEBRERO_2026[[#This Row],[ASESOR_CRR]],PLANTILLA_ACTUAL[],2,0),"")</f>
        <v>JOHAN</v>
      </c>
      <c r="F39" t="s">
        <v>60</v>
      </c>
      <c r="G39" s="3">
        <v>64548</v>
      </c>
      <c r="H39" t="str">
        <f>VLOOKUP(D1_FEBRERO_2026[[#This Row],[ASESOR_CRR]],DIM!$C:$E,2,0)</f>
        <v>72839865</v>
      </c>
      <c r="I39" s="57">
        <f>VLOOKUP(D1_FEBRERO_2026[[#This Row],[ASESOR_CRR]],DIM!$C:$E,3,0)</f>
        <v>45854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0.33829787234042552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GUSTAVO</v>
      </c>
      <c r="P39" s="6">
        <f>IF(DATA_FEBRERO_2026[[#This Row],[SUPERVISOR]]="","",VLOOKUP(DATA_FEBRERO_2026[[#This Row],[ASER_]],$B:$G,6,0))</f>
        <v>7950</v>
      </c>
      <c r="Q39" s="6">
        <f>VLOOKUP(DATA_FEBRERO_2026[[#This Row],[ASER_]],D1_FEBRERO_2026[[ASESOR_CRR]:[META]],2,0)</f>
        <v>23500</v>
      </c>
      <c r="R39" t="s">
        <v>73</v>
      </c>
      <c r="S39" s="46">
        <v>400</v>
      </c>
      <c r="T39">
        <v>0</v>
      </c>
      <c r="U39">
        <v>0</v>
      </c>
      <c r="V39">
        <v>600</v>
      </c>
      <c r="W39">
        <v>750</v>
      </c>
      <c r="X39">
        <v>0</v>
      </c>
      <c r="Y39">
        <v>1500</v>
      </c>
      <c r="Z39">
        <v>0</v>
      </c>
      <c r="AA39">
        <v>1700</v>
      </c>
      <c r="AB39">
        <v>0</v>
      </c>
      <c r="AC39">
        <v>2000</v>
      </c>
      <c r="AD39">
        <v>0</v>
      </c>
      <c r="AE39">
        <v>1000</v>
      </c>
      <c r="AF39">
        <v>0</v>
      </c>
      <c r="AN39" t="str">
        <f>VLOOKUP($M$3&amp;$N$3&amp;DATA_FEBRERO_2026[[#This Row],[SUPERVISOR]],TablaMeta[],7,0)</f>
        <v>S2-3-4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1.0289999999999999</v>
      </c>
      <c r="E40" s="36" t="str">
        <f>IFERROR(VLOOKUP(D1_FEBRERO_2026[[#This Row],[ASESOR_CRR]],PLANTILLA_ACTUAL[],2,0),"")</f>
        <v>JOHAN</v>
      </c>
      <c r="F40" t="s">
        <v>75</v>
      </c>
      <c r="G40" s="3">
        <v>51450</v>
      </c>
      <c r="H40" t="str">
        <f>VLOOKUP(D1_FEBRERO_2026[[#This Row],[ASESOR_CRR]],DIM!$C:$E,2,0)</f>
        <v>71264767</v>
      </c>
      <c r="I40" s="57">
        <f>VLOOKUP(D1_FEBRERO_2026[[#This Row],[ASESOR_CRR]],DIM!$C:$E,3,0)</f>
        <v>44714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8.9148936170212773E-2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GUSTAVO</v>
      </c>
      <c r="P40" s="6">
        <f>IF(DATA_FEBRERO_2026[[#This Row],[SUPERVISOR]]="","",VLOOKUP(DATA_FEBRERO_2026[[#This Row],[ASER_]],$B:$G,6,0))</f>
        <v>2095</v>
      </c>
      <c r="Q40" s="6">
        <f>VLOOKUP(DATA_FEBRERO_2026[[#This Row],[ASER_]],D1_FEBRERO_2026[[ASESOR_CRR]:[META]],2,0)</f>
        <v>23500</v>
      </c>
      <c r="R40" t="s">
        <v>55</v>
      </c>
      <c r="S40" s="46">
        <v>310</v>
      </c>
      <c r="T40">
        <v>0</v>
      </c>
      <c r="U40">
        <v>0</v>
      </c>
      <c r="V40">
        <v>0</v>
      </c>
      <c r="W40">
        <v>0</v>
      </c>
      <c r="X40">
        <v>280</v>
      </c>
      <c r="Y40">
        <v>0</v>
      </c>
      <c r="Z40">
        <v>120</v>
      </c>
      <c r="AA40">
        <v>1385</v>
      </c>
      <c r="AB40">
        <v>0</v>
      </c>
      <c r="AC40">
        <v>0</v>
      </c>
      <c r="AD40">
        <v>0</v>
      </c>
      <c r="AE40">
        <v>0</v>
      </c>
      <c r="AF40">
        <v>0</v>
      </c>
      <c r="AN40" t="str">
        <f>VLOOKUP($M$3&amp;$N$3&amp;DATA_FEBRERO_2026[[#This Row],[SUPERVISOR]],TablaMeta[],7,0)</f>
        <v>S2-3-4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0.60699999999999998</v>
      </c>
      <c r="E41" s="36" t="str">
        <f>IFERROR(VLOOKUP(D1_FEBRERO_2026[[#This Row],[ASESOR_CRR]],PLANTILLA_ACTUAL[],2,0),"")</f>
        <v>JOHAN</v>
      </c>
      <c r="F41" t="s">
        <v>12</v>
      </c>
      <c r="G41" s="3">
        <v>30350</v>
      </c>
      <c r="H41" t="str">
        <f>VLOOKUP(D1_FEBRERO_2026[[#This Row],[ASESOR_CRR]],DIM!$C:$E,2,0)</f>
        <v>45262585</v>
      </c>
      <c r="I41" s="57">
        <f>VLOOKUP(D1_FEBRERO_2026[[#This Row],[ASESOR_CRR]],DIM!$C:$E,3,0)</f>
        <v>44868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1.7872340425531916E-2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GUSTAVO</v>
      </c>
      <c r="P41" s="6">
        <f>IF(DATA_FEBRERO_2026[[#This Row],[SUPERVISOR]]="","",VLOOKUP(DATA_FEBRERO_2026[[#This Row],[ASER_]],$B:$G,6,0))</f>
        <v>420</v>
      </c>
      <c r="Q41" s="6">
        <f>VLOOKUP(DATA_FEBRERO_2026[[#This Row],[ASER_]],D1_FEBRERO_2026[[ASESOR_CRR]:[META]],2,0)</f>
        <v>23500</v>
      </c>
      <c r="R41" t="s">
        <v>575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420</v>
      </c>
      <c r="AE41">
        <v>0</v>
      </c>
      <c r="AF41">
        <v>0</v>
      </c>
      <c r="AN41" t="str">
        <f>VLOOKUP($M$3&amp;$N$3&amp;DATA_FEBRERO_2026[[#This Row],[SUPERVISOR]],TablaMeta[],7,0)</f>
        <v>S2-3-4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0.55979999999999996</v>
      </c>
      <c r="E42" s="36" t="str">
        <f>IFERROR(VLOOKUP(D1_FEBRERO_2026[[#This Row],[ASESOR_CRR]],PLANTILLA_ACTUAL[],2,0),"")</f>
        <v>JOHAN</v>
      </c>
      <c r="F42" t="s">
        <v>18</v>
      </c>
      <c r="G42" s="3">
        <v>27990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0.75835714285714284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&gt;70%</v>
      </c>
      <c r="O42" s="56" t="str">
        <f>IFERROR(VLOOKUP(DATA_FEBRERO_2026[[#This Row],[ASER_]],$B:$G,4,0),"")</f>
        <v>JORGE</v>
      </c>
      <c r="P42" s="6">
        <f>IF(DATA_FEBRERO_2026[[#This Row],[SUPERVISOR]]="","",VLOOKUP(DATA_FEBRERO_2026[[#This Row],[ASER_]],$B:$G,6,0))</f>
        <v>21234</v>
      </c>
      <c r="Q42" s="6">
        <f>VLOOKUP(DATA_FEBRERO_2026[[#This Row],[ASER_]],D1_FEBRERO_2026[[ASESOR_CRR]:[META]],2,0)</f>
        <v>28000</v>
      </c>
      <c r="R42" t="s">
        <v>38</v>
      </c>
      <c r="S42">
        <v>0</v>
      </c>
      <c r="T42">
        <v>320</v>
      </c>
      <c r="U42">
        <v>180</v>
      </c>
      <c r="V42">
        <v>2000</v>
      </c>
      <c r="W42">
        <v>14000</v>
      </c>
      <c r="X42">
        <v>900</v>
      </c>
      <c r="Y42">
        <v>1000</v>
      </c>
      <c r="Z42">
        <v>0</v>
      </c>
      <c r="AA42">
        <v>830</v>
      </c>
      <c r="AB42">
        <v>0</v>
      </c>
      <c r="AC42">
        <v>450</v>
      </c>
      <c r="AD42">
        <v>100</v>
      </c>
      <c r="AE42">
        <v>454</v>
      </c>
      <c r="AF42">
        <v>1000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0.50060000000000004</v>
      </c>
      <c r="E43" s="36" t="str">
        <f>IFERROR(VLOOKUP(D1_FEBRERO_2026[[#This Row],[ASESOR_CRR]],PLANTILLA_ACTUAL[],2,0),"")</f>
        <v>JOHAN</v>
      </c>
      <c r="F43" t="s">
        <v>122</v>
      </c>
      <c r="G43" s="3">
        <v>25030</v>
      </c>
      <c r="H43" t="str">
        <f>VLOOKUP(D1_FEBRERO_2026[[#This Row],[ASESOR_CRR]],DIM!$C:$E,2,0)</f>
        <v>76586998</v>
      </c>
      <c r="I43" s="57">
        <f>VLOOKUP(D1_FEBRERO_2026[[#This Row],[ASESOR_CRR]],DIM!$C:$E,3,0)</f>
        <v>45971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0.55574642857142853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15560.9</v>
      </c>
      <c r="Q43" s="6">
        <f>VLOOKUP(DATA_FEBRERO_2026[[#This Row],[ASER_]],D1_FEBRERO_2026[[ASESOR_CRR]:[META]],2,0)</f>
        <v>28000</v>
      </c>
      <c r="R43" t="s">
        <v>29</v>
      </c>
      <c r="S43">
        <v>1103.4000000000001</v>
      </c>
      <c r="T43">
        <v>0</v>
      </c>
      <c r="U43">
        <v>0</v>
      </c>
      <c r="V43">
        <v>2700</v>
      </c>
      <c r="W43">
        <v>4300</v>
      </c>
      <c r="X43">
        <v>0</v>
      </c>
      <c r="Y43">
        <v>0</v>
      </c>
      <c r="Z43">
        <v>0</v>
      </c>
      <c r="AA43">
        <v>0</v>
      </c>
      <c r="AB43">
        <v>1015</v>
      </c>
      <c r="AC43">
        <v>3222.5</v>
      </c>
      <c r="AD43">
        <v>2250</v>
      </c>
      <c r="AE43">
        <v>810</v>
      </c>
      <c r="AF43">
        <v>160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0.38357142857142856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10740</v>
      </c>
      <c r="Q44" s="6">
        <f>VLOOKUP(DATA_FEBRERO_2026[[#This Row],[ASER_]],D1_FEBRERO_2026[[ASESOR_CRR]:[META]],2,0)</f>
        <v>28000</v>
      </c>
      <c r="R44" t="s">
        <v>42</v>
      </c>
      <c r="S44">
        <v>0</v>
      </c>
      <c r="T44">
        <v>120</v>
      </c>
      <c r="U44">
        <v>0</v>
      </c>
      <c r="V44">
        <v>0</v>
      </c>
      <c r="W44">
        <v>1900</v>
      </c>
      <c r="X44">
        <v>6620</v>
      </c>
      <c r="Y44">
        <v>0</v>
      </c>
      <c r="Z44">
        <v>210</v>
      </c>
      <c r="AA44">
        <v>90</v>
      </c>
      <c r="AB44">
        <v>600</v>
      </c>
      <c r="AC44">
        <v>0</v>
      </c>
      <c r="AD44">
        <v>1200</v>
      </c>
      <c r="AE44">
        <v>0</v>
      </c>
      <c r="AF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0.32540000000000002</v>
      </c>
      <c r="E45" s="36" t="str">
        <f>IFERROR(VLOOKUP(D1_FEBRERO_2026[[#This Row],[ASESOR_CRR]],PLANTILLA_ACTUAL[],2,0),"")</f>
        <v>JOHAN</v>
      </c>
      <c r="F45" t="s">
        <v>10</v>
      </c>
      <c r="G45" s="3">
        <v>16270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0.23785714285714285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6660</v>
      </c>
      <c r="Q45" s="6">
        <f>VLOOKUP(DATA_FEBRERO_2026[[#This Row],[ASER_]],D1_FEBRERO_2026[[ASESOR_CRR]:[META]],2,0)</f>
        <v>28000</v>
      </c>
      <c r="R45" t="s">
        <v>15</v>
      </c>
      <c r="S45">
        <v>0</v>
      </c>
      <c r="T45">
        <v>0</v>
      </c>
      <c r="U45" s="46">
        <v>0</v>
      </c>
      <c r="V45">
        <v>0</v>
      </c>
      <c r="W45">
        <v>0</v>
      </c>
      <c r="X45">
        <v>0</v>
      </c>
      <c r="Y45">
        <v>0</v>
      </c>
      <c r="Z45">
        <v>360</v>
      </c>
      <c r="AA45">
        <v>4000</v>
      </c>
      <c r="AB45">
        <v>0</v>
      </c>
      <c r="AC45">
        <v>0</v>
      </c>
      <c r="AD45">
        <v>2300</v>
      </c>
      <c r="AE45">
        <v>0</v>
      </c>
      <c r="AF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0.16619999999999999</v>
      </c>
      <c r="E46" s="36" t="str">
        <f>IFERROR(VLOOKUP(D1_FEBRERO_2026[[#This Row],[ASESOR_CRR]],PLANTILLA_ACTUAL[],2,0),"")</f>
        <v>JOHAN</v>
      </c>
      <c r="F46" t="s">
        <v>207</v>
      </c>
      <c r="G46" s="3">
        <v>8310</v>
      </c>
      <c r="H46" t="str">
        <f>VLOOKUP(D1_FEBRERO_2026[[#This Row],[ASESOR_CRR]],DIM!$C:$E,2,0)</f>
        <v>47497410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0.77287499999999998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21640.5</v>
      </c>
      <c r="Q46" s="6">
        <f>VLOOKUP(DATA_FEBRERO_2026[[#This Row],[ASER_]],D1_FEBRERO_2026[[ASESOR_CRR]:[META]],2,0)</f>
        <v>28000</v>
      </c>
      <c r="R46" t="s">
        <v>25</v>
      </c>
      <c r="S46">
        <v>0</v>
      </c>
      <c r="T46">
        <v>0</v>
      </c>
      <c r="U46">
        <v>500</v>
      </c>
      <c r="V46">
        <v>0</v>
      </c>
      <c r="W46">
        <v>0</v>
      </c>
      <c r="X46">
        <v>2530</v>
      </c>
      <c r="Y46">
        <v>0</v>
      </c>
      <c r="Z46">
        <v>3450</v>
      </c>
      <c r="AA46">
        <v>0</v>
      </c>
      <c r="AB46">
        <v>10010.5</v>
      </c>
      <c r="AC46">
        <v>5150</v>
      </c>
      <c r="AD46">
        <v>0</v>
      </c>
      <c r="AE46">
        <v>0</v>
      </c>
      <c r="AF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0.16259999999999999</v>
      </c>
      <c r="E47" s="36" t="str">
        <f>IFERROR(VLOOKUP(D1_FEBRERO_2026[[#This Row],[ASESOR_CRR]],PLANTILLA_ACTUAL[],2,0),"")</f>
        <v>JOHAN</v>
      </c>
      <c r="F47" t="s">
        <v>85</v>
      </c>
      <c r="G47" s="3">
        <v>8130</v>
      </c>
      <c r="H47" t="str">
        <f>VLOOKUP(D1_FEBRERO_2026[[#This Row],[ASESOR_CRR]],DIM!$C:$E,2,0)</f>
        <v>70477743</v>
      </c>
      <c r="I47" s="57">
        <f>VLOOKUP(D1_FEBRERO_2026[[#This Row],[ASESOR_CRR]],DIM!$C:$E,3,0)</f>
        <v>46055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0.69767857142857148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&gt;40%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19535</v>
      </c>
      <c r="Q47" s="6">
        <f>VLOOKUP(DATA_FEBRERO_2026[[#This Row],[ASER_]],D1_FEBRERO_2026[[ASESOR_CRR]:[META]],2,0)</f>
        <v>28000</v>
      </c>
      <c r="R47" t="s">
        <v>76</v>
      </c>
      <c r="S47">
        <v>4580</v>
      </c>
      <c r="T47">
        <v>4900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1105</v>
      </c>
      <c r="AD47">
        <v>8000</v>
      </c>
      <c r="AE47">
        <v>0</v>
      </c>
      <c r="AF47">
        <v>950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0.15840000000000001</v>
      </c>
      <c r="E48" s="36" t="str">
        <f>IFERROR(VLOOKUP(D1_FEBRERO_2026[[#This Row],[ASESOR_CRR]],PLANTILLA_ACTUAL[],2,0),"")</f>
        <v>JOHAN</v>
      </c>
      <c r="F48" t="s">
        <v>109</v>
      </c>
      <c r="G48" s="3">
        <v>7920</v>
      </c>
      <c r="H48" t="str">
        <f>VLOOKUP(D1_FEBRERO_2026[[#This Row],[ASESOR_CRR]],DIM!$C:$E,2,0)</f>
        <v>74626735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1.7971428571428572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50320</v>
      </c>
      <c r="Q48" s="6">
        <f>VLOOKUP(DATA_FEBRERO_2026[[#This Row],[ASER_]],D1_FEBRERO_2026[[ASESOR_CRR]:[META]],2,0)</f>
        <v>28000</v>
      </c>
      <c r="R48" t="s">
        <v>79</v>
      </c>
      <c r="S48">
        <v>1520</v>
      </c>
      <c r="T48">
        <v>0</v>
      </c>
      <c r="U48">
        <v>1000</v>
      </c>
      <c r="V48">
        <v>4650</v>
      </c>
      <c r="W48">
        <v>13000</v>
      </c>
      <c r="X48">
        <v>0</v>
      </c>
      <c r="Y48">
        <v>0</v>
      </c>
      <c r="Z48">
        <v>0</v>
      </c>
      <c r="AA48">
        <v>1000</v>
      </c>
      <c r="AB48">
        <v>24000</v>
      </c>
      <c r="AC48">
        <v>4000</v>
      </c>
      <c r="AD48">
        <v>150</v>
      </c>
      <c r="AE48">
        <v>1000</v>
      </c>
      <c r="AF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1.18649</v>
      </c>
      <c r="E49" s="36" t="str">
        <f>IFERROR(VLOOKUP(D1_FEBRERO_2026[[#This Row],[ASESOR_CRR]],PLANTILLA_ACTUAL[],2,0),"")</f>
        <v>SANDY</v>
      </c>
      <c r="F49" t="s">
        <v>17</v>
      </c>
      <c r="G49" s="3">
        <v>59324.5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0.86986111111111108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78287.5</v>
      </c>
      <c r="Q49" s="6">
        <f>VLOOKUP(DATA_FEBRERO_2026[[#This Row],[ASER_]],D1_FEBRERO_2026[[ASESOR_CRR]:[META]],2,0)</f>
        <v>90000</v>
      </c>
      <c r="R49" t="s">
        <v>37</v>
      </c>
      <c r="S49">
        <v>0</v>
      </c>
      <c r="T49">
        <v>9462</v>
      </c>
      <c r="U49">
        <v>325</v>
      </c>
      <c r="V49">
        <v>120</v>
      </c>
      <c r="W49">
        <v>989</v>
      </c>
      <c r="X49">
        <v>9061</v>
      </c>
      <c r="Y49">
        <v>14000</v>
      </c>
      <c r="Z49">
        <v>120</v>
      </c>
      <c r="AA49">
        <v>0</v>
      </c>
      <c r="AB49">
        <v>660.5</v>
      </c>
      <c r="AC49">
        <v>3000</v>
      </c>
      <c r="AD49">
        <v>11350</v>
      </c>
      <c r="AE49">
        <v>14000</v>
      </c>
      <c r="AF49">
        <v>15200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1.0710200000000001</v>
      </c>
      <c r="E50" s="36" t="str">
        <f>IFERROR(VLOOKUP(D1_FEBRERO_2026[[#This Row],[ASESOR_CRR]],PLANTILLA_ACTUAL[],2,0),"")</f>
        <v>SANDY</v>
      </c>
      <c r="F50" t="s">
        <v>32</v>
      </c>
      <c r="G50" s="3">
        <v>53551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0.87161111111111111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78445</v>
      </c>
      <c r="Q50" s="6">
        <f>VLOOKUP(DATA_FEBRERO_2026[[#This Row],[ASER_]],D1_FEBRERO_2026[[ASESOR_CRR]:[META]],2,0)</f>
        <v>90000</v>
      </c>
      <c r="R50" t="s">
        <v>35</v>
      </c>
      <c r="S50">
        <v>0</v>
      </c>
      <c r="T50">
        <v>0</v>
      </c>
      <c r="U50">
        <v>1800</v>
      </c>
      <c r="V50">
        <v>14000</v>
      </c>
      <c r="W50">
        <v>688</v>
      </c>
      <c r="X50">
        <v>10400</v>
      </c>
      <c r="Y50">
        <v>1450</v>
      </c>
      <c r="Z50">
        <v>22200</v>
      </c>
      <c r="AA50">
        <v>1381</v>
      </c>
      <c r="AB50">
        <v>238</v>
      </c>
      <c r="AC50">
        <v>25900</v>
      </c>
      <c r="AD50">
        <v>0</v>
      </c>
      <c r="AE50">
        <v>188</v>
      </c>
      <c r="AF50">
        <v>200</v>
      </c>
      <c r="AN50" t="str">
        <f>VLOOKUP($M$3&amp;$N$3&amp;DATA_FEBRERO_2026[[#This Row],[SUPERVISOR]],TablaMeta[],7,0)</f>
        <v>S0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0.73640000000000005</v>
      </c>
      <c r="E51" s="36" t="str">
        <f>IFERROR(VLOOKUP(D1_FEBRERO_2026[[#This Row],[ASESOR_CRR]],PLANTILLA_ACTUAL[],2,0),"")</f>
        <v>SANDY</v>
      </c>
      <c r="F51" t="s">
        <v>23</v>
      </c>
      <c r="G51" s="3">
        <v>36820</v>
      </c>
      <c r="H51" t="str">
        <f>VLOOKUP(D1_FEBRERO_2026[[#This Row],[ASESOR_CRR]],DIM!$C:$E,2,0)</f>
        <v>72413556</v>
      </c>
      <c r="I51" s="57">
        <f>VLOOKUP(D1_FEBRERO_2026[[#This Row],[ASESOR_CRR]],DIM!$C:$E,3,0)</f>
        <v>44109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0.44933333333333331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IFERROR(VLOOKUP(DATA_FEBRERO_2026[[#This Row],[ASER_]],$B:$G,4,0),"")</f>
        <v>KENNETH</v>
      </c>
      <c r="P51" s="6">
        <f>IF(DATA_FEBRERO_2026[[#This Row],[SUPERVISOR]]="","",VLOOKUP(DATA_FEBRERO_2026[[#This Row],[ASER_]],$B:$G,6,0))</f>
        <v>40440</v>
      </c>
      <c r="Q51" s="6">
        <f>VLOOKUP(DATA_FEBRERO_2026[[#This Row],[ASER_]],D1_FEBRERO_2026[[ASESOR_CRR]:[META]],2,0)</f>
        <v>90000</v>
      </c>
      <c r="R51" t="s">
        <v>78</v>
      </c>
      <c r="S51">
        <v>0</v>
      </c>
      <c r="T51">
        <v>10030</v>
      </c>
      <c r="U51">
        <v>600</v>
      </c>
      <c r="V51">
        <v>1803</v>
      </c>
      <c r="W51">
        <v>5100</v>
      </c>
      <c r="X51">
        <v>460</v>
      </c>
      <c r="Y51">
        <v>1740</v>
      </c>
      <c r="Z51">
        <v>2967</v>
      </c>
      <c r="AA51">
        <v>2220</v>
      </c>
      <c r="AB51">
        <v>7500</v>
      </c>
      <c r="AC51">
        <v>3800</v>
      </c>
      <c r="AD51">
        <v>500</v>
      </c>
      <c r="AE51">
        <v>420</v>
      </c>
      <c r="AF51">
        <v>3300</v>
      </c>
      <c r="AN51" t="str">
        <f>VLOOKUP($M$3&amp;$N$3&amp;DATA_FEBRERO_2026[[#This Row],[SUPERVISOR]],TablaMeta[],7,0)</f>
        <v>S0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0.73399999999999999</v>
      </c>
      <c r="E52" s="36" t="str">
        <f>IFERROR(VLOOKUP(D1_FEBRERO_2026[[#This Row],[ASESOR_CRR]],PLANTILLA_ACTUAL[],2,0),"")</f>
        <v>SANDY</v>
      </c>
      <c r="F52" t="s">
        <v>13</v>
      </c>
      <c r="G52" s="3">
        <v>36700</v>
      </c>
      <c r="H52" t="str">
        <f>VLOOKUP(D1_FEBRERO_2026[[#This Row],[ASESOR_CRR]],DIM!$C:$E,2,0)</f>
        <v>72512391</v>
      </c>
      <c r="I52" s="57">
        <f>VLOOKUP(D1_FEBRERO_2026[[#This Row],[ASESOR_CRR]],DIM!$C:$E,3,0)</f>
        <v>44809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0.86511088888888887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&gt;70%</v>
      </c>
      <c r="O52" s="56" t="str">
        <f>IFERROR(VLOOKUP(DATA_FEBRERO_2026[[#This Row],[ASER_]],$B:$G,4,0),"")</f>
        <v>KENNETH</v>
      </c>
      <c r="P52" s="6">
        <f>IF(DATA_FEBRERO_2026[[#This Row],[SUPERVISOR]]="","",VLOOKUP(DATA_FEBRERO_2026[[#This Row],[ASER_]],$B:$G,6,0))</f>
        <v>77859.98</v>
      </c>
      <c r="Q52" s="6">
        <f>VLOOKUP(DATA_FEBRERO_2026[[#This Row],[ASER_]],D1_FEBRERO_2026[[ASESOR_CRR]:[META]],2,0)</f>
        <v>90000</v>
      </c>
      <c r="R52" t="s">
        <v>97</v>
      </c>
      <c r="S52">
        <v>959</v>
      </c>
      <c r="T52">
        <v>815</v>
      </c>
      <c r="U52">
        <v>920</v>
      </c>
      <c r="V52">
        <v>332.98</v>
      </c>
      <c r="W52">
        <v>0</v>
      </c>
      <c r="X52">
        <v>5700</v>
      </c>
      <c r="Y52">
        <v>15035</v>
      </c>
      <c r="Z52">
        <v>13540</v>
      </c>
      <c r="AA52">
        <v>4968</v>
      </c>
      <c r="AB52">
        <v>12060</v>
      </c>
      <c r="AC52">
        <v>7000</v>
      </c>
      <c r="AD52">
        <v>3700</v>
      </c>
      <c r="AE52">
        <v>3500</v>
      </c>
      <c r="AF52">
        <v>9330</v>
      </c>
      <c r="AN52" t="str">
        <f>VLOOKUP($M$3&amp;$N$3&amp;DATA_FEBRERO_2026[[#This Row],[SUPERVISOR]],TablaMeta[],7,0)</f>
        <v>S0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0.46100000000000002</v>
      </c>
      <c r="E53" s="36" t="str">
        <f>IFERROR(VLOOKUP(D1_FEBRERO_2026[[#This Row],[ASESOR_CRR]],PLANTILLA_ACTUAL[],2,0),"")</f>
        <v>SANDY</v>
      </c>
      <c r="F53" t="s">
        <v>65</v>
      </c>
      <c r="G53" s="3">
        <v>23050</v>
      </c>
      <c r="H53" t="str">
        <f>VLOOKUP(D1_FEBRERO_2026[[#This Row],[ASESOR_CRR]],DIM!$C:$E,2,0)</f>
        <v>47659267</v>
      </c>
      <c r="I53" s="57">
        <f>VLOOKUP(D1_FEBRERO_2026[[#This Row],[ASESOR_CRR]],DIM!$C:$E,3,0)</f>
        <v>45019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0.76169811320754721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IFERROR(VLOOKUP(DATA_FEBRERO_2026[[#This Row],[ASER_]],$B:$G,4,0),"")</f>
        <v>KENNETH</v>
      </c>
      <c r="P53" s="6">
        <f>IF(DATA_FEBRERO_2026[[#This Row],[SUPERVISOR]]="","",VLOOKUP(DATA_FEBRERO_2026[[#This Row],[ASER_]],$B:$G,6,0))</f>
        <v>20185</v>
      </c>
      <c r="Q53" s="6">
        <f>VLOOKUP(DATA_FEBRERO_2026[[#This Row],[ASER_]],D1_FEBRERO_2026[[ASESOR_CRR]:[META]],2,0)</f>
        <v>26500</v>
      </c>
      <c r="R53" t="s">
        <v>105</v>
      </c>
      <c r="S53">
        <v>0</v>
      </c>
      <c r="T53">
        <v>0</v>
      </c>
      <c r="U53">
        <v>650</v>
      </c>
      <c r="V53">
        <v>1000</v>
      </c>
      <c r="W53">
        <v>230</v>
      </c>
      <c r="X53">
        <v>3500</v>
      </c>
      <c r="Y53">
        <v>2200</v>
      </c>
      <c r="Z53">
        <v>0</v>
      </c>
      <c r="AA53">
        <v>12605</v>
      </c>
      <c r="AB53">
        <v>0</v>
      </c>
      <c r="AC53">
        <v>0</v>
      </c>
      <c r="AD53">
        <v>0</v>
      </c>
      <c r="AE53">
        <v>0</v>
      </c>
      <c r="AF53">
        <v>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0.45679999999999998</v>
      </c>
      <c r="E54" s="36" t="str">
        <f>IFERROR(VLOOKUP(D1_FEBRERO_2026[[#This Row],[ASESOR_CRR]],PLANTILLA_ACTUAL[],2,0),"")</f>
        <v>SANDY</v>
      </c>
      <c r="F54" t="s">
        <v>31</v>
      </c>
      <c r="G54" s="3">
        <v>22840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1.0662264150943397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KENNETH</v>
      </c>
      <c r="P54" s="6">
        <f>IF(DATA_FEBRERO_2026[[#This Row],[SUPERVISOR]]="","",VLOOKUP(DATA_FEBRERO_2026[[#This Row],[ASER_]],$B:$G,6,0))</f>
        <v>28255</v>
      </c>
      <c r="Q54" s="6">
        <f>VLOOKUP(DATA_FEBRERO_2026[[#This Row],[ASER_]],D1_FEBRERO_2026[[ASESOR_CRR]:[META]],2,0)</f>
        <v>26500</v>
      </c>
      <c r="R54" t="s">
        <v>81</v>
      </c>
      <c r="S54">
        <v>0</v>
      </c>
      <c r="T54">
        <v>509</v>
      </c>
      <c r="U54">
        <v>0</v>
      </c>
      <c r="V54">
        <v>200</v>
      </c>
      <c r="W54">
        <v>290</v>
      </c>
      <c r="X54">
        <v>5000</v>
      </c>
      <c r="Y54">
        <v>5000</v>
      </c>
      <c r="Z54">
        <v>0</v>
      </c>
      <c r="AA54">
        <v>4005</v>
      </c>
      <c r="AB54">
        <v>0</v>
      </c>
      <c r="AC54">
        <v>5700</v>
      </c>
      <c r="AD54">
        <v>551</v>
      </c>
      <c r="AE54">
        <v>7000</v>
      </c>
      <c r="AF54">
        <v>0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0.43480000000000002</v>
      </c>
      <c r="E55" s="36" t="str">
        <f>IFERROR(VLOOKUP(D1_FEBRERO_2026[[#This Row],[ASESOR_CRR]],PLANTILLA_ACTUAL[],2,0),"")</f>
        <v>SANDY</v>
      </c>
      <c r="F55" t="s">
        <v>96</v>
      </c>
      <c r="G55" s="3">
        <v>21740</v>
      </c>
      <c r="H55" t="str">
        <f>VLOOKUP(D1_FEBRERO_2026[[#This Row],[ASESOR_CRR]],DIM!$C:$E,2,0)</f>
        <v>46793103</v>
      </c>
      <c r="I55" s="57">
        <f>VLOOKUP(D1_FEBRERO_2026[[#This Row],[ASESOR_CRR]],DIM!$C:$E,3,0)</f>
        <v>45882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1.5366415094339623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IF(DATA_FEBRERO_2026[[#This Row],[SUPERVISOR]]="","",VLOOKUP(DATA_FEBRERO_2026[[#This Row],[ASER_]],$B:$G,6,0))</f>
        <v>40721</v>
      </c>
      <c r="Q55" s="6">
        <f>VLOOKUP(DATA_FEBRERO_2026[[#This Row],[ASER_]],D1_FEBRERO_2026[[ASESOR_CRR]:[META]],2,0)</f>
        <v>26500</v>
      </c>
      <c r="R55" t="s">
        <v>19</v>
      </c>
      <c r="S55">
        <v>0</v>
      </c>
      <c r="T55">
        <v>0</v>
      </c>
      <c r="U55">
        <v>100</v>
      </c>
      <c r="V55">
        <v>0</v>
      </c>
      <c r="W55">
        <v>0</v>
      </c>
      <c r="X55">
        <v>1100</v>
      </c>
      <c r="Y55">
        <v>14000</v>
      </c>
      <c r="Z55">
        <v>0</v>
      </c>
      <c r="AA55">
        <v>0</v>
      </c>
      <c r="AB55">
        <v>400</v>
      </c>
      <c r="AC55">
        <v>2400</v>
      </c>
      <c r="AD55">
        <v>2150</v>
      </c>
      <c r="AE55">
        <v>19000</v>
      </c>
      <c r="AF55">
        <v>1571</v>
      </c>
      <c r="AN55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0.17</v>
      </c>
      <c r="E56" s="36" t="str">
        <f>IFERROR(VLOOKUP(D1_FEBRERO_2026[[#This Row],[ASESOR_CRR]],PLANTILLA_ACTUAL[],2,0),"")</f>
        <v>SANDY</v>
      </c>
      <c r="F56" t="s">
        <v>396</v>
      </c>
      <c r="G56" s="3">
        <v>8500</v>
      </c>
      <c r="H56" t="str">
        <f>VLOOKUP(D1_FEBRERO_2026[[#This Row],[ASESOR_CRR]],DIM!$C:$E,2,0)</f>
        <v>44883074</v>
      </c>
      <c r="I56" s="57">
        <f>VLOOKUP(D1_FEBRERO_2026[[#This Row],[ASESOR_CRR]],DIM!$C:$E,3,0)</f>
        <v>46038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0.35830188679245284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KENNETH</v>
      </c>
      <c r="P56" s="6">
        <f>IF(DATA_FEBRERO_2026[[#This Row],[SUPERVISOR]]="","",VLOOKUP(DATA_FEBRERO_2026[[#This Row],[ASER_]],$B:$G,6,0))</f>
        <v>9495</v>
      </c>
      <c r="Q56" s="6">
        <f>VLOOKUP(DATA_FEBRERO_2026[[#This Row],[ASER_]],D1_FEBRERO_2026[[ASESOR_CRR]:[META]],2,0)</f>
        <v>26500</v>
      </c>
      <c r="R56" t="s">
        <v>50</v>
      </c>
      <c r="S56">
        <v>300</v>
      </c>
      <c r="T56">
        <v>0</v>
      </c>
      <c r="U56">
        <v>0</v>
      </c>
      <c r="V56">
        <v>860</v>
      </c>
      <c r="W56">
        <v>0</v>
      </c>
      <c r="X56">
        <v>0</v>
      </c>
      <c r="Y56">
        <v>0</v>
      </c>
      <c r="Z56">
        <v>285</v>
      </c>
      <c r="AA56">
        <v>0</v>
      </c>
      <c r="AB56">
        <v>0</v>
      </c>
      <c r="AC56">
        <v>7500</v>
      </c>
      <c r="AD56">
        <v>0</v>
      </c>
      <c r="AE56">
        <v>550</v>
      </c>
      <c r="AF56">
        <v>0</v>
      </c>
      <c r="AN5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0.16850000000000001</v>
      </c>
      <c r="E57" s="36" t="str">
        <f>IFERROR(VLOOKUP(D1_FEBRERO_2026[[#This Row],[ASESOR_CRR]],PLANTILLA_ACTUAL[],2,0),"")</f>
        <v>SANDY</v>
      </c>
      <c r="F57" t="s">
        <v>208</v>
      </c>
      <c r="G57" s="3">
        <v>8425</v>
      </c>
      <c r="H57" t="str">
        <f>VLOOKUP(D1_FEBRERO_2026[[#This Row],[ASESOR_CRR]],DIM!$C:$E,2,0)</f>
        <v>75069320</v>
      </c>
      <c r="I57" s="57">
        <f>VLOOKUP(D1_FEBRERO_2026[[#This Row],[ASESOR_CRR]],DIM!$C:$E,3,0)</f>
        <v>46029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0.79203773584905657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&gt;70%</v>
      </c>
      <c r="O57" s="56" t="str">
        <f>IFERROR(VLOOKUP(DATA_FEBRERO_2026[[#This Row],[ASER_]],$B:$G,4,0),"")</f>
        <v>KENNETH</v>
      </c>
      <c r="P57" s="6">
        <f>IF(DATA_FEBRERO_2026[[#This Row],[SUPERVISOR]]="","",VLOOKUP(DATA_FEBRERO_2026[[#This Row],[ASER_]],$B:$G,6,0))</f>
        <v>20989</v>
      </c>
      <c r="Q57" s="6">
        <f>VLOOKUP(DATA_FEBRERO_2026[[#This Row],[ASER_]],D1_FEBRERO_2026[[ASESOR_CRR]:[META]],2,0)</f>
        <v>26500</v>
      </c>
      <c r="R57" t="s">
        <v>26</v>
      </c>
      <c r="S57">
        <v>0</v>
      </c>
      <c r="T57">
        <v>320</v>
      </c>
      <c r="U57">
        <v>8000</v>
      </c>
      <c r="V57">
        <v>0</v>
      </c>
      <c r="W57">
        <v>1500</v>
      </c>
      <c r="X57">
        <v>0</v>
      </c>
      <c r="Y57">
        <v>0</v>
      </c>
      <c r="Z57">
        <v>0</v>
      </c>
      <c r="AA57">
        <v>2900</v>
      </c>
      <c r="AB57">
        <v>400</v>
      </c>
      <c r="AC57">
        <v>369</v>
      </c>
      <c r="AD57">
        <v>7500</v>
      </c>
      <c r="AE57">
        <v>0</v>
      </c>
      <c r="AF57">
        <v>0</v>
      </c>
      <c r="AN57" t="str">
        <f>VLOOKUP($M$3&amp;$N$3&amp;DATA_FEBRERO_2026[[#This Row],[SUPERVISOR]],TablaMeta[],7,0)</f>
        <v>S0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0.14680000000000001</v>
      </c>
      <c r="E58" s="36" t="str">
        <f>IFERROR(VLOOKUP(D1_FEBRERO_2026[[#This Row],[ASESOR_CRR]],PLANTILLA_ACTUAL[],2,0),"")</f>
        <v>SANDY</v>
      </c>
      <c r="F58" t="s">
        <v>22</v>
      </c>
      <c r="G58" s="3">
        <v>7340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6.7396226415094337E-2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KENNETH</v>
      </c>
      <c r="P58" s="6">
        <f>IF(DATA_FEBRERO_2026[[#This Row],[SUPERVISOR]]="","",VLOOKUP(DATA_FEBRERO_2026[[#This Row],[ASER_]],$B:$G,6,0))</f>
        <v>1786</v>
      </c>
      <c r="Q58" s="6">
        <f>VLOOKUP(DATA_FEBRERO_2026[[#This Row],[ASER_]],D1_FEBRERO_2026[[ASESOR_CRR]:[META]],2,0)</f>
        <v>26500</v>
      </c>
      <c r="R58" t="s">
        <v>80</v>
      </c>
      <c r="S58">
        <v>0</v>
      </c>
      <c r="T58">
        <v>256</v>
      </c>
      <c r="U58">
        <v>100</v>
      </c>
      <c r="V58">
        <v>0</v>
      </c>
      <c r="W58">
        <v>0</v>
      </c>
      <c r="X58">
        <v>0</v>
      </c>
      <c r="Y58">
        <v>0</v>
      </c>
      <c r="Z58">
        <v>0</v>
      </c>
      <c r="AA58">
        <v>600</v>
      </c>
      <c r="AB58">
        <v>0</v>
      </c>
      <c r="AC58">
        <v>0</v>
      </c>
      <c r="AD58">
        <v>330</v>
      </c>
      <c r="AE58">
        <v>0</v>
      </c>
      <c r="AF58">
        <v>500</v>
      </c>
      <c r="AN58" t="str">
        <f>VLOOKUP($M$3&amp;$N$3&amp;DATA_FEBRERO_2026[[#This Row],[SUPERVISOR]],TablaMeta[],7,0)</f>
        <v>S0</v>
      </c>
    </row>
    <row r="59" spans="1:40" x14ac:dyDescent="0.25">
      <c r="H59"/>
      <c r="M59" s="85">
        <f>IF(DATA_FEBRERO_2026[[#This Row],[ASER_]]="","",VLOOKUP(DATA_FEBRERO_2026[[#This Row],[ASER_]],$B:$G,3,0))</f>
        <v>0.91830188679245284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86" t="str">
        <f>IFERROR(VLOOKUP(DATA_FEBRERO_2026[[#This Row],[ASER_]],$B:$G,4,0),"")</f>
        <v>KENNETH</v>
      </c>
      <c r="P59" s="87">
        <f>IF(DATA_FEBRERO_2026[[#This Row],[SUPERVISOR]]="","",VLOOKUP(DATA_FEBRERO_2026[[#This Row],[ASER_]],$B:$G,6,0))</f>
        <v>24335</v>
      </c>
      <c r="Q59" s="87">
        <f>VLOOKUP(DATA_FEBRERO_2026[[#This Row],[ASER_]],D1_FEBRERO_2026[[ASESOR_CRR]:[META]],2,0)</f>
        <v>26500</v>
      </c>
      <c r="R59" s="88" t="s">
        <v>34</v>
      </c>
      <c r="S59" s="88">
        <v>0</v>
      </c>
      <c r="T59" s="88">
        <v>500</v>
      </c>
      <c r="U59" s="88">
        <v>0</v>
      </c>
      <c r="V59" s="88">
        <v>7550</v>
      </c>
      <c r="W59" s="88">
        <v>3510</v>
      </c>
      <c r="X59" s="88">
        <v>6050</v>
      </c>
      <c r="Y59" s="88">
        <v>0</v>
      </c>
      <c r="Z59" s="88">
        <v>0</v>
      </c>
      <c r="AA59" s="88">
        <v>0</v>
      </c>
      <c r="AB59" s="88">
        <v>3075</v>
      </c>
      <c r="AC59" s="88">
        <v>3000</v>
      </c>
      <c r="AD59" s="88">
        <v>0</v>
      </c>
      <c r="AE59" s="88">
        <v>0</v>
      </c>
      <c r="AF59" s="88">
        <v>650</v>
      </c>
      <c r="AG59" s="88"/>
      <c r="AH59" s="88"/>
      <c r="AI59" s="88"/>
      <c r="AJ59" s="88"/>
      <c r="AK59" s="88"/>
      <c r="AN59" s="88" t="str">
        <f>VLOOKUP($M$3&amp;$N$3&amp;DATA_FEBRERO_2026[[#This Row],[SUPERVISOR]],TablaMeta[],7,0)</f>
        <v>S0</v>
      </c>
    </row>
    <row r="60" spans="1:40" x14ac:dyDescent="0.25">
      <c r="H60"/>
    </row>
    <row r="61" spans="1:40" x14ac:dyDescent="0.25">
      <c r="H61"/>
      <c r="T61" s="5"/>
      <c r="Y61" s="5"/>
      <c r="AD61" s="5"/>
    </row>
    <row r="62" spans="1:40" x14ac:dyDescent="0.25">
      <c r="H62"/>
    </row>
    <row r="63" spans="1:40" x14ac:dyDescent="0.25">
      <c r="H63"/>
      <c r="Y63" s="4"/>
      <c r="Z63" s="4"/>
      <c r="AA63" s="4"/>
      <c r="AB63" s="4"/>
      <c r="AC63" s="4"/>
      <c r="AD63" s="4"/>
      <c r="AE63" s="4"/>
      <c r="AF63" s="4"/>
      <c r="AH63" s="4"/>
      <c r="AI63" s="4"/>
      <c r="AJ63" s="4"/>
      <c r="AK63" s="4"/>
      <c r="AL63" s="4"/>
      <c r="AM63" s="4"/>
      <c r="AN63" s="4"/>
    </row>
    <row r="64" spans="1:40" x14ac:dyDescent="0.25"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P66" s="48"/>
      <c r="R66" s="48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P67" s="48"/>
      <c r="R67" s="48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P68" s="48"/>
      <c r="R68" s="4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11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17420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77859.98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19535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50320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40440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78287.5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27990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64548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22840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23050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59324.5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7558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19935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13133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7950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10740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15560.9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87450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30350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16270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36700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21740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53551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2026-02-20T12:47:11Z</dcterms:modified>
</cp:coreProperties>
</file>