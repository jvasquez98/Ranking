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A9CAFF20-A9DB-447C-8655-97A9A3E91C6A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7" l="1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B58" i="17" a="1"/>
  <c r="B58" i="17"/>
  <c r="A58" i="17" s="1"/>
  <c r="C58" i="17" s="1"/>
  <c r="E58" i="17"/>
  <c r="H58" i="17"/>
  <c r="I58" i="17"/>
  <c r="J58" i="17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7" i="17" l="1"/>
  <c r="C57" i="17" s="1"/>
  <c r="E57" i="17"/>
  <c r="H57" i="17"/>
  <c r="I57" i="17"/>
  <c r="J57" i="17"/>
  <c r="A56" i="17"/>
  <c r="C56" i="17" s="1"/>
  <c r="J56" i="17"/>
  <c r="A55" i="17"/>
  <c r="C55" i="17" s="1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H40" i="17" l="1"/>
  <c r="A11" i="17"/>
  <c r="C11" i="17" s="1"/>
  <c r="J12" i="17"/>
  <c r="A46" i="17"/>
  <c r="C46" i="17" s="1"/>
  <c r="E14" i="17"/>
  <c r="E48" i="17"/>
  <c r="J15" i="17"/>
  <c r="J25" i="17"/>
  <c r="E49" i="17"/>
  <c r="E50" i="17"/>
  <c r="A39" i="17"/>
  <c r="C39" i="17" s="1"/>
  <c r="E51" i="17"/>
  <c r="A53" i="17"/>
  <c r="C53" i="17" s="1"/>
  <c r="J24" i="17"/>
  <c r="A9" i="17"/>
  <c r="C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E53" i="17"/>
  <c r="A14" i="17"/>
  <c r="C14" i="17" s="1"/>
  <c r="A32" i="17"/>
  <c r="C32" i="17" s="1"/>
  <c r="A15" i="17"/>
  <c r="C15" i="17" s="1"/>
  <c r="E32" i="17"/>
  <c r="A25" i="17"/>
  <c r="C25" i="17" s="1"/>
  <c r="A17" i="17"/>
  <c r="C17" i="17" s="1"/>
  <c r="J17" i="17"/>
  <c r="I17" i="17"/>
  <c r="J18" i="17"/>
  <c r="A18" i="17"/>
  <c r="C18" i="17" s="1"/>
  <c r="A5" i="17"/>
  <c r="I5" i="17"/>
  <c r="J5" i="17"/>
  <c r="H5" i="17"/>
  <c r="E9" i="17"/>
  <c r="E40" i="17"/>
  <c r="H9" i="17"/>
  <c r="I9" i="17"/>
  <c r="J9" i="17"/>
  <c r="A24" i="17"/>
  <c r="C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E19" i="17"/>
  <c r="I22" i="17"/>
  <c r="H22" i="17"/>
  <c r="A22" i="17"/>
  <c r="C22" i="17" s="1"/>
  <c r="J22" i="17"/>
  <c r="E22" i="17"/>
  <c r="I10" i="17"/>
  <c r="J10" i="17"/>
  <c r="H10" i="17"/>
  <c r="E10" i="17"/>
  <c r="A10" i="17"/>
  <c r="C10" i="17" s="1"/>
  <c r="J13" i="17"/>
  <c r="I13" i="17"/>
  <c r="H13" i="17"/>
  <c r="E13" i="17"/>
  <c r="A13" i="17"/>
  <c r="C13" i="17" s="1"/>
  <c r="J28" i="17"/>
  <c r="E28" i="17"/>
  <c r="A28" i="17"/>
  <c r="C28" i="17" s="1"/>
  <c r="I28" i="17"/>
  <c r="H28" i="17"/>
  <c r="J31" i="17"/>
  <c r="I31" i="17"/>
  <c r="H31" i="17"/>
  <c r="E31" i="17"/>
  <c r="A31" i="17"/>
  <c r="C31" i="17" s="1"/>
  <c r="A33" i="17"/>
  <c r="C33" i="17" s="1"/>
  <c r="J33" i="17"/>
  <c r="I33" i="17"/>
  <c r="E33" i="17"/>
  <c r="H33" i="17"/>
  <c r="J41" i="17"/>
  <c r="I41" i="17"/>
  <c r="E41" i="17"/>
  <c r="A41" i="17"/>
  <c r="C41" i="17" s="1"/>
  <c r="H41" i="17"/>
  <c r="J49" i="17"/>
  <c r="I49" i="17"/>
  <c r="H49" i="17"/>
  <c r="A49" i="17"/>
  <c r="C49" i="17" s="1"/>
  <c r="E52" i="17"/>
  <c r="J52" i="17"/>
  <c r="I52" i="17"/>
  <c r="A52" i="17"/>
  <c r="C52" i="17" s="1"/>
  <c r="H52" i="17"/>
  <c r="A20" i="17"/>
  <c r="C20" i="17" s="1"/>
  <c r="J20" i="17"/>
  <c r="I20" i="17"/>
  <c r="H20" i="17"/>
  <c r="E20" i="17"/>
  <c r="E23" i="17"/>
  <c r="J23" i="17"/>
  <c r="I23" i="17"/>
  <c r="H23" i="17"/>
  <c r="A23" i="17"/>
  <c r="C23" i="17" s="1"/>
  <c r="A27" i="17"/>
  <c r="C27" i="17" s="1"/>
  <c r="J27" i="17"/>
  <c r="I27" i="17"/>
  <c r="H27" i="17"/>
  <c r="E27" i="17"/>
  <c r="E30" i="17"/>
  <c r="J30" i="17"/>
  <c r="I30" i="17"/>
  <c r="H30" i="17"/>
  <c r="A30" i="17"/>
  <c r="C30" i="17" s="1"/>
  <c r="J35" i="17"/>
  <c r="I35" i="17"/>
  <c r="H35" i="17"/>
  <c r="E35" i="17"/>
  <c r="A35" i="17"/>
  <c r="C35" i="17" s="1"/>
  <c r="J8" i="17"/>
  <c r="I8" i="17"/>
  <c r="H8" i="17"/>
  <c r="E8" i="17"/>
  <c r="A8" i="17"/>
  <c r="C8" i="17" s="1"/>
  <c r="J38" i="17"/>
  <c r="I38" i="17"/>
  <c r="H38" i="17"/>
  <c r="E38" i="17"/>
  <c r="A38" i="17"/>
  <c r="C38" i="17" s="1"/>
  <c r="J43" i="17"/>
  <c r="I43" i="17"/>
  <c r="H43" i="17"/>
  <c r="E43" i="17"/>
  <c r="A43" i="17"/>
  <c r="C43" i="17" s="1"/>
  <c r="H51" i="17"/>
  <c r="J51" i="17"/>
  <c r="I51" i="17"/>
  <c r="A51" i="17"/>
  <c r="C51" i="17" s="1"/>
  <c r="A26" i="17"/>
  <c r="C26" i="17" s="1"/>
  <c r="J26" i="17"/>
  <c r="I26" i="17"/>
  <c r="H26" i="17"/>
  <c r="E26" i="17"/>
  <c r="I29" i="17"/>
  <c r="H29" i="17"/>
  <c r="J29" i="17"/>
  <c r="E29" i="17"/>
  <c r="A29" i="17"/>
  <c r="C29" i="17" s="1"/>
  <c r="A34" i="17"/>
  <c r="C34" i="17" s="1"/>
  <c r="J34" i="17"/>
  <c r="I34" i="17"/>
  <c r="H34" i="17"/>
  <c r="E34" i="17"/>
  <c r="H37" i="17"/>
  <c r="E37" i="17"/>
  <c r="I37" i="17"/>
  <c r="A37" i="17"/>
  <c r="C37" i="17" s="1"/>
  <c r="J37" i="17"/>
  <c r="J42" i="17"/>
  <c r="I42" i="17"/>
  <c r="H42" i="17"/>
  <c r="E42" i="17"/>
  <c r="A42" i="17"/>
  <c r="C42" i="17" s="1"/>
  <c r="J50" i="17"/>
  <c r="I50" i="17"/>
  <c r="H50" i="17"/>
  <c r="A50" i="17"/>
  <c r="C50" i="17" s="1"/>
  <c r="J21" i="17"/>
  <c r="I21" i="17"/>
  <c r="A21" i="17"/>
  <c r="C21" i="17" s="1"/>
  <c r="H21" i="17"/>
  <c r="E21" i="17"/>
  <c r="J45" i="17"/>
  <c r="I45" i="17"/>
  <c r="E45" i="17"/>
  <c r="A45" i="17"/>
  <c r="C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E11" i="17"/>
  <c r="I16" i="17"/>
  <c r="A16" i="17"/>
  <c r="C16" i="17" s="1"/>
  <c r="M59" i="17" s="1"/>
  <c r="N59" i="17" s="1" a="1"/>
  <c r="N59" i="17" s="1"/>
  <c r="E36" i="17"/>
  <c r="I44" i="17"/>
  <c r="A47" i="17"/>
  <c r="C47" i="17" s="1"/>
  <c r="J47" i="17"/>
  <c r="I47" i="17"/>
  <c r="H47" i="17"/>
  <c r="E12" i="17"/>
  <c r="E25" i="17"/>
  <c r="H12" i="17"/>
  <c r="H25" i="17"/>
  <c r="E39" i="17"/>
  <c r="J46" i="17"/>
  <c r="I46" i="17"/>
  <c r="E6" i="17"/>
  <c r="I12" i="17"/>
  <c r="E16" i="17"/>
  <c r="O59" i="17" s="1"/>
  <c r="E24" i="17"/>
  <c r="I25" i="17"/>
  <c r="H39" i="17"/>
  <c r="E47" i="17"/>
  <c r="H6" i="17"/>
  <c r="E15" i="17"/>
  <c r="H16" i="17"/>
  <c r="H24" i="17"/>
  <c r="A54" i="17"/>
  <c r="C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H46" i="17"/>
  <c r="J53" i="17"/>
  <c r="I53" i="17"/>
  <c r="H53" i="17"/>
  <c r="E25" i="29"/>
  <c r="A7" i="17"/>
  <c r="I14" i="17"/>
  <c r="E17" i="17"/>
  <c r="H18" i="17"/>
  <c r="A36" i="17"/>
  <c r="C36" i="17" s="1"/>
  <c r="A44" i="17"/>
  <c r="C44" i="17" s="1"/>
  <c r="A48" i="17"/>
  <c r="C48" i="17" s="1"/>
  <c r="E6" i="29"/>
  <c r="E19" i="29"/>
  <c r="I3" i="17"/>
  <c r="E5" i="17"/>
  <c r="J14" i="17"/>
  <c r="H17" i="17"/>
  <c r="I18" i="17"/>
  <c r="J32" i="17"/>
  <c r="I32" i="17"/>
  <c r="A40" i="17"/>
  <c r="C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9" i="17" l="1"/>
  <c r="P59" i="17"/>
  <c r="AN59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7" i="17"/>
  <c r="AN57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8" i="17"/>
  <c r="P58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7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8" i="17"/>
  <c r="N58" i="17" s="1" a="1"/>
  <c r="N58" i="17" s="1"/>
  <c r="AN55" i="17"/>
  <c r="Q36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8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8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7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7" i="17"/>
  <c r="N57" i="17" s="1" a="1"/>
  <c r="N57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<sst xmlns="http://schemas.openxmlformats.org/spreadsheetml/2006/main" count="10703" uniqueCount="577">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</sst>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6"/>
    </tableStyle>
    <tableStyle name="Estilo de tabla dinámica 2" table="0" count="1" xr9:uid="{9E60CF16-845A-4669-9AA4-E5ACD7B8B1A8}">
      <tableStyleElement type="headerRow" dxfId="825"/>
    </tableStyle>
    <tableStyle name="Estilo de tabla dinámica 3" table="0" count="1" xr9:uid="{A9F08836-5681-4078-A387-711930301837}">
      <tableStyleElement type="headerRow" dxfId="82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2"/>
    <tableColumn id="5" xr3:uid="{42625339-8FE7-49A5-82AC-5EDD10C3C984}" name="ASESOR"/>
    <tableColumn id="6" xr3:uid="{BD1A5411-32FB-4DF7-B264-96C059BE5C56}" name="RECUPERO" dataDxfId="821"/>
    <tableColumn id="8" xr3:uid="{8B3B2929-A591-41D7-9D44-B220287F0F2A}" name="DNI" dataDxfId="820"/>
    <tableColumn id="9" xr3:uid="{AAABF626-1A15-4E7A-A444-7423611F1BB2}" name="FECHA DE INGRESO" dataDxfId="819"/>
    <tableColumn id="10" xr3:uid="{CACFA6D6-8D93-432C-AAD6-E9CBF58F5197}" name="ESTADO" dataDxfId="8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7" headerRowBorderDxfId="816" tableBorderDxfId="8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4">
      <calculatedColumnFormula>DATA_ENERO_2025[[#This Row],[RECUPERO]]/DATA_ENERO_2025[[#This Row],[META]]</calculatedColumnFormula>
    </tableColumn>
    <tableColumn id="3" xr3:uid="{16F39E06-76AE-43AD-903E-9F641E37CB06}" name="CLASIFICACIÓN" dataDxfId="81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2"/>
    <tableColumn id="6" xr3:uid="{087774B2-9699-454D-B0E9-E9D62B239262}" name="RECUPERO" dataDxfId="811">
      <calculatedColumnFormula>SUM(DATA_ENERO_2025[[#This Row],[1]:[31]])</calculatedColumnFormula>
    </tableColumn>
    <tableColumn id="7" xr3:uid="{B938E452-5678-4623-B9AD-47B290EB3B56}" name="META" dataDxfId="810"/>
    <tableColumn id="5" xr3:uid="{A39094CA-883F-4450-A53A-370F0AE54B0C}" name="ASER_" dataDxfId="809"/>
    <tableColumn id="28" xr3:uid="{BA402970-CDDC-479B-AF0C-DE6FB6DEA3A2}" name="1" dataDxfId="8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6" dataDxfId="804" headerRowBorderDxfId="805" tableBorderDxfId="803" totalsRowBorderDxfId="8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1"/>
    <tableColumn id="1" xr3:uid="{5A7C4C9C-3E71-483D-9C6F-3AFA18F0B768}" name="RECUPERO SUPERVISOR" dataDxfId="800">
      <calculatedColumnFormula>MAX(DITE_ENERO_2025[[#This Row],[1]:[31]])</calculatedColumnFormula>
    </tableColumn>
    <tableColumn id="2" xr3:uid="{1DBABE23-BC0D-4016-A3DE-102C34B93437}" name="ALCANCE SUPERVISOR" dataDxfId="799">
      <calculatedColumnFormula>DITE_ENERO_2025[[#This Row],[RECUPERO SUPERVISOR]]/DITE_ENERO_2025[[#This Row],[META SUPER]]</calculatedColumnFormula>
    </tableColumn>
    <tableColumn id="4" xr3:uid="{AAFE5F6A-D443-4B76-896C-3012A63A21B1}" name="SUPER" dataDxfId="798"/>
    <tableColumn id="6" xr3:uid="{CAC1468E-FE7F-46E8-8FA8-2EBFE78F55CF}" name="1" dataDxfId="797"/>
    <tableColumn id="7" xr3:uid="{2C1F1DCC-5615-43E9-8493-73A6B92A7B8C}" name="2" dataDxfId="796"/>
    <tableColumn id="8" xr3:uid="{CB1DD332-E0A5-4BEF-8B71-8820CA4A145B}" name="3" dataDxfId="795"/>
    <tableColumn id="9" xr3:uid="{1BB0DD4F-A73A-4F8E-93FB-252CA932D637}" name="4" dataDxfId="794"/>
    <tableColumn id="10" xr3:uid="{F4A27082-EDDE-411F-B0E7-C50309499B06}" name="5" dataDxfId="793"/>
    <tableColumn id="11" xr3:uid="{DDC3545E-22B2-4DEC-A217-59650C8BAC95}" name="6" dataDxfId="792"/>
    <tableColumn id="12" xr3:uid="{F4B5BD15-E4EF-4A2E-9071-FE5F69E48F1F}" name="7" dataDxfId="7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0"/>
    <tableColumn id="14" xr3:uid="{1DE13FA2-B93D-487E-A105-3A5622C997DE}" name="18" dataDxfId="789"/>
    <tableColumn id="15" xr3:uid="{6273FFBE-FC81-40C7-91CB-E95ECAD8BE5D}" name="19" dataDxfId="788"/>
    <tableColumn id="16" xr3:uid="{35253537-0DA1-45D4-B9A3-D1CBC6E92B8B}" name="20" dataDxfId="787"/>
    <tableColumn id="17" xr3:uid="{4BF3707C-841F-4140-B63C-5B47863B4CA4}" name="21" dataDxfId="786"/>
    <tableColumn id="18" xr3:uid="{1F7B79C3-A22C-49D8-9C1F-629E6C41B955}" name="22" dataDxfId="785"/>
    <tableColumn id="19" xr3:uid="{361B16CF-A887-4C9E-88B3-E8A7F4F314B0}" name="23" dataDxfId="784"/>
    <tableColumn id="20" xr3:uid="{9B3EDA9C-6CB0-4D9F-965A-6EB0593C19D9}" name="24" dataDxfId="783"/>
    <tableColumn id="21" xr3:uid="{B02655DA-D4F9-4926-88A4-5E8B2F4DF911}" name="25" dataDxfId="782"/>
    <tableColumn id="22" xr3:uid="{43854B99-1BF7-4DF3-8A04-A277447DE3B8}" name="26" dataDxfId="781"/>
    <tableColumn id="23" xr3:uid="{CAC2F677-42BD-4EFA-8E99-ABA2036DAF56}" name="27" dataDxfId="780"/>
    <tableColumn id="24" xr3:uid="{20489B5B-5885-4E43-B5F0-4EAAEE4E8EB8}" name="28" dataDxfId="779"/>
    <tableColumn id="25" xr3:uid="{B4D29A08-5206-4DCD-AF4C-9B7ABB8D3CFF}" name="29" dataDxfId="778"/>
    <tableColumn id="26" xr3:uid="{7B49DBDA-317E-4CFB-B7FA-841DFC27E42B}" name="30" dataDxfId="777"/>
    <tableColumn id="27" xr3:uid="{0126152E-7354-43DB-A75E-4841194C453D}" name="31" dataDxfId="776"/>
    <tableColumn id="3" xr3:uid="{93315C06-D400-4502-BDDD-AC5886091EC6}" name="CARTERA" dataDxfId="7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3"/>
    <tableColumn id="5" xr3:uid="{44178C41-B41B-4820-A8E8-222FE453335F}" name="ASESOR" dataDxfId="772"/>
    <tableColumn id="6" xr3:uid="{AC6EB590-A7E8-408F-A892-A1851BCCF0B5}" name="RECUPERO" dataDxfId="771"/>
    <tableColumn id="8" xr3:uid="{9B60B527-D768-46F8-BB97-824B255159D2}" name="DNI" dataDxfId="770"/>
    <tableColumn id="9" xr3:uid="{BDF8C571-22FC-498B-99CF-8D578B086437}" name="FECHA DE INGRESO" dataDxfId="769"/>
    <tableColumn id="10" xr3:uid="{4A0E2A05-69C0-48C2-B0D3-4D952F052DB2}" name="ESTADO" dataDxfId="7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7" headerRowBorderDxfId="766" tableBorderDxfId="7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4">
      <calculatedColumnFormula>DATA_FEBRERO_2025[[#This Row],[RECUPERO]]/DATA_FEBRERO_2025[[#This Row],[META]]</calculatedColumnFormula>
    </tableColumn>
    <tableColumn id="3" xr3:uid="{AE4A1FA5-3083-4CA4-B657-D2D0F2E20004}" name="CLASIFICACIÓN" dataDxfId="7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2"/>
    <tableColumn id="6" xr3:uid="{2DE1A6CE-7493-4B20-83EE-59078393B5AF}" name="RECUPERO" dataDxfId="761">
      <calculatedColumnFormula>SUM(DATA_FEBRERO_2025[[#This Row],[1]:[31]])</calculatedColumnFormula>
    </tableColumn>
    <tableColumn id="7" xr3:uid="{24FB90FB-A888-41AB-9B19-627A74DA2062}" name="META" dataDxfId="760"/>
    <tableColumn id="5" xr3:uid="{E6A5C563-3502-4EF4-8D06-C88816E905A8}" name="ASER_" dataDxfId="7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8"/>
    <tableColumn id="8" xr3:uid="{E99C6359-BA67-4127-80B1-429613DA94CB}" name="31"/>
    <tableColumn id="4" xr3:uid="{1AB4C76D-3918-4961-B05E-216E9D0F2A8C}" name="CARTERA ASESOR" dataDxfId="75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6" dataDxfId="754" headerRowBorderDxfId="755" tableBorderDxfId="753" totalsRowBorderDxfId="7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1"/>
    <tableColumn id="1" xr3:uid="{C46409A5-9201-4E30-A3EB-7B6FC2DAF473}" name="RECUPERO SUPERVISOR" dataDxfId="750">
      <calculatedColumnFormula>MAX(DITE_FEBRERO_2025[[#This Row],[1]:[31]])</calculatedColumnFormula>
    </tableColumn>
    <tableColumn id="2" xr3:uid="{445C2C89-5F44-46FD-8C70-EF4EE30F232E}" name="ALCANCE SUPERVISOR" dataDxfId="749">
      <calculatedColumnFormula>DITE_FEBRERO_2025[[#This Row],[RECUPERO SUPERVISOR]]/DITE_FEBRERO_2025[[#This Row],[META SUPER]]</calculatedColumnFormula>
    </tableColumn>
    <tableColumn id="4" xr3:uid="{55D4E2C7-B609-4C8C-A5DE-AABFFD74BEB8}" name="SUPER" dataDxfId="748"/>
    <tableColumn id="6" xr3:uid="{29925D04-B597-415A-B40B-62A3FBA8B23D}" name="1" dataDxfId="747"/>
    <tableColumn id="7" xr3:uid="{31865A72-E634-4CB8-8660-811FA8147632}" name="2" dataDxfId="746"/>
    <tableColumn id="8" xr3:uid="{C70A98A0-1CB0-425B-975B-D4464009CDD0}" name="3" dataDxfId="745"/>
    <tableColumn id="9" xr3:uid="{F56CF612-0AA5-44CB-878D-FA59D84052AD}" name="4" dataDxfId="7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3"/>
    <tableColumn id="11" xr3:uid="{A6DAF4DF-EAFF-47AB-9A6F-0B2896AE1A18}" name="17" dataDxfId="742"/>
    <tableColumn id="12" xr3:uid="{3DC03FF0-BAC6-4F5D-B5DE-18A95E2C1B97}" name="18" dataDxfId="741"/>
    <tableColumn id="13" xr3:uid="{A90729AA-CC5E-4236-924F-A736B7A4BE93}" name="19" dataDxfId="740"/>
    <tableColumn id="14" xr3:uid="{B48B5FF0-5C49-4DDC-AC33-B45D349AD044}" name="20" dataDxfId="739"/>
    <tableColumn id="15" xr3:uid="{D36E617E-0BBB-4BC1-BBF1-EB24E3C2CE90}" name="21" dataDxfId="738"/>
    <tableColumn id="16" xr3:uid="{BD346F05-FCC2-4EA9-8F0F-B55AB2E68BE0}" name="22" dataDxfId="737"/>
    <tableColumn id="17" xr3:uid="{F5BB9730-A5AE-4489-9CB0-182052BA6557}" name="23" dataDxfId="736"/>
    <tableColumn id="18" xr3:uid="{B3DEF063-7A67-4F08-9D09-8310B4B64F2B}" name="24" dataDxfId="735"/>
    <tableColumn id="19" xr3:uid="{558BE332-1E67-4EF7-9FF1-541A019A7066}" name="25" dataDxfId="734"/>
    <tableColumn id="20" xr3:uid="{073BAAB2-EF92-4A82-B7FE-8339FF3A62EA}" name="26" dataDxfId="733"/>
    <tableColumn id="21" xr3:uid="{6EC9D118-EB0A-4FDC-A694-0A630EB1048E}" name="27" dataDxfId="732"/>
    <tableColumn id="22" xr3:uid="{DFF298CB-C24B-4F90-BD14-F99C28391208}" name="28" dataDxfId="731"/>
    <tableColumn id="23" xr3:uid="{7EF0365B-2B81-4022-84F3-7A3859D35934}" name="29" dataDxfId="730"/>
    <tableColumn id="24" xr3:uid="{D92D6A29-5A30-4405-A019-D7F8F39E4176}" name="30" dataDxfId="729"/>
    <tableColumn id="25" xr3:uid="{9BFA1186-4A61-452A-8EAC-4FE410743029}" name="31" dataDxfId="728"/>
    <tableColumn id="3" xr3:uid="{5EBD9DD4-78E3-4E78-8FD5-A71A2DE2CBE8}" name="CARTERA" dataDxfId="7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5">
      <calculatedColumnFormula>D1_MARZO_2025[[#This Row],[RECUPERO]]/D1_MARZO_2025[[#This Row],[META]]</calculatedColumnFormula>
    </tableColumn>
    <tableColumn id="7" xr3:uid="{7155E541-BC22-41C0-914A-E54D790D436D}" name="SUPER2" dataDxfId="724"/>
    <tableColumn id="5" xr3:uid="{C9BC0167-A73A-4B66-AB0E-BCC22F3CD7BF}" name="ASESOR" dataDxfId="723"/>
    <tableColumn id="6" xr3:uid="{32E44CF1-7B46-45AA-916C-7D5322097EFD}" name="RECUPERO" dataDxfId="722"/>
    <tableColumn id="8" xr3:uid="{5504CD70-2376-413C-9DD9-7E1FC1D78F37}" name="DNI" dataDxfId="721"/>
    <tableColumn id="9" xr3:uid="{27659D49-6FC1-457B-BF33-A19DBF78CDF2}" name="FECHA DE INGRESO" dataDxfId="720"/>
    <tableColumn id="10" xr3:uid="{79E50096-FDE3-4403-8568-FF008447BCC2}" name="ESTADO" dataDxfId="7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8" headerRowBorderDxfId="717" tableBorderDxfId="7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5">
      <calculatedColumnFormula>DATA_MARZO_2025[[#This Row],[RECUPERO]]/DATA_MARZO_2025[[#This Row],[META]]</calculatedColumnFormula>
    </tableColumn>
    <tableColumn id="3" xr3:uid="{6050B278-B3D2-4B4C-8475-D701C9B8AB17}" name="CLASIFICACIÓN" dataDxfId="714"/>
    <tableColumn id="1" xr3:uid="{A94CCC19-556A-4124-8949-24896CDBE45E}" name="SUPERVISOR" dataDxfId="713"/>
    <tableColumn id="6" xr3:uid="{EBBFD24C-8909-45B0-B8CB-4ED73B62F2AB}" name="RECUPERO" dataDxfId="712">
      <calculatedColumnFormula>SUM(DATA_MARZO_2025[[#This Row],[1]:[31]])</calculatedColumnFormula>
    </tableColumn>
    <tableColumn id="7" xr3:uid="{D5702432-6067-40C7-B647-63D5EBDD13C2}" name="META" dataDxfId="711"/>
    <tableColumn id="5" xr3:uid="{40A208DF-2D8B-4D71-B923-6BFFA76CDA11}" name="ASER_" dataDxfId="710"/>
    <tableColumn id="38" xr3:uid="{1F074B40-AB13-4BEE-BC21-9D178D274909}" name="1"/>
    <tableColumn id="41" xr3:uid="{936D83D8-C85E-4C4D-9E8D-BA3D7C54F99A}" name="2" dataDxfId="7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6" dataDxfId="704" headerRowBorderDxfId="705" tableBorderDxfId="703" totalsRowBorderDxfId="7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1"/>
    <tableColumn id="1" xr3:uid="{23B67F77-728E-46C0-B5B1-11CE8E08D862}" name="RECUPERO SUPERVISOR" dataDxfId="700">
      <calculatedColumnFormula>MAX(DITE_MARZO_2025[[#This Row],[1]:[31]])</calculatedColumnFormula>
    </tableColumn>
    <tableColumn id="2" xr3:uid="{0BAE08AE-6A16-447E-9DDD-8800D68BFFA3}" name="ALCANCE SUPERVISOR" dataDxfId="699">
      <calculatedColumnFormula>DITE_MARZO_2025[[#This Row],[RECUPERO SUPERVISOR]]/DITE_MARZO_2025[[#This Row],[META SUPER]]</calculatedColumnFormula>
    </tableColumn>
    <tableColumn id="4" xr3:uid="{663301EA-2B77-4C76-B8E0-713CAAD1AC41}" name="SUPER" dataDxfId="698"/>
    <tableColumn id="6" xr3:uid="{9A6FEB31-48E4-456F-8C1F-14055131E9D6}" name="1" dataDxfId="697"/>
    <tableColumn id="7" xr3:uid="{B8154FAF-39D2-4ED9-8DD7-C179156ECA39}" name="2" dataDxfId="696"/>
    <tableColumn id="8" xr3:uid="{E58A14C1-44D1-46A4-9137-21E70261FA76}" name="3" dataDxfId="695"/>
    <tableColumn id="9" xr3:uid="{EFDA2093-809C-4DA2-80F9-0388CCC5E290}" name="4" dataDxfId="694"/>
    <tableColumn id="10" xr3:uid="{634CF5F0-F36D-4B26-8143-8C3A6FB59216}" name="5" dataDxfId="693"/>
    <tableColumn id="11" xr3:uid="{77A0553B-7BDF-49B7-B459-701A77496BEA}" name="6" dataDxfId="6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1"/>
    <tableColumn id="13" xr3:uid="{C6D91E97-E16B-4E76-BE55-A08C2A1131DD}" name="18" dataDxfId="690"/>
    <tableColumn id="14" xr3:uid="{2A5F1078-A097-4171-BD28-7B9B623471D0}" name="19" dataDxfId="689"/>
    <tableColumn id="15" xr3:uid="{5E883D61-775A-4AD4-A304-156DCFD9F825}" name="20" dataDxfId="688"/>
    <tableColumn id="16" xr3:uid="{BEFB5788-590D-4EFA-8707-20BAAF7026F1}" name="21" dataDxfId="687"/>
    <tableColumn id="17" xr3:uid="{8FC06E69-FAE9-4DBE-9C75-7A6598DE29C6}" name="22" dataDxfId="686"/>
    <tableColumn id="18" xr3:uid="{966EC934-1D25-407E-AE13-8147AC3FF531}" name="23" dataDxfId="685"/>
    <tableColumn id="19" xr3:uid="{5437FF24-6F5D-412D-82EE-8C668C7DC853}" name="24" dataDxfId="684"/>
    <tableColumn id="20" xr3:uid="{204A7CBC-2C07-4027-851F-021033B930C1}" name="25" dataDxfId="683"/>
    <tableColumn id="21" xr3:uid="{DF491418-AC74-4C6A-852F-F0797487D11C}" name="26" dataDxfId="682"/>
    <tableColumn id="22" xr3:uid="{E184F0A4-EF1A-48F5-8166-10085FC40D13}" name="27" dataDxfId="681"/>
    <tableColumn id="23" xr3:uid="{66C12B87-BC6D-46BE-AF31-D0C68A22BC7E}" name="28" dataDxfId="680"/>
    <tableColumn id="24" xr3:uid="{A2DB9C74-4CB6-4BBF-A230-DF50FDE9380D}" name="29" dataDxfId="679"/>
    <tableColumn id="25" xr3:uid="{D54E02BE-AA16-43C7-ABD3-89326740EA63}" name="30" dataDxfId="678"/>
    <tableColumn id="26" xr3:uid="{11172EA7-856A-4297-8329-62917B649E9A}" name="31" dataDxfId="677"/>
    <tableColumn id="3" xr3:uid="{42C6AD34-2DFF-436B-BB22-6DE170226F44}" name="CARTERA" dataDxfId="67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4"/>
    <tableColumn id="5" xr3:uid="{D789E66F-CC8C-4715-A998-7AE532E85E8A}" name="ASESOR" dataDxfId="673"/>
    <tableColumn id="6" xr3:uid="{3455DB8A-5A64-4A8F-8153-2471763CA60D}" name="RECUPERO" dataDxfId="672"/>
    <tableColumn id="8" xr3:uid="{F8575E1F-78C1-4E15-B505-1AECE8857345}" name="DNI" dataDxfId="671"/>
    <tableColumn id="9" xr3:uid="{BE130F2A-9B67-45D5-AA49-051D2F0A515B}" name="FECHA DE INGRESO" dataDxfId="670"/>
    <tableColumn id="10" xr3:uid="{31096FEC-094E-478E-A9F3-0023192798F0}" name="ESTADO" dataDxfId="66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8" headerRowBorderDxfId="667" tableBorderDxfId="66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5">
      <calculatedColumnFormula>DATA_ABRIL_2025[[#This Row],[RECUPERO]]/DATA_ABRIL_2025[[#This Row],[META]]</calculatedColumnFormula>
    </tableColumn>
    <tableColumn id="3" xr3:uid="{1B1E8B7A-D562-46FD-89DE-12ADBC7146F2}" name="CLASIFICACIÓN" dataDxfId="66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3"/>
    <tableColumn id="6" xr3:uid="{9C2D93B7-85A2-4E07-8DD4-3C81F7BF7EBF}" name="RECUPERO" dataDxfId="662">
      <calculatedColumnFormula>SUM(DATA_ABRIL_2025[[#This Row],[1]:[31]])</calculatedColumnFormula>
    </tableColumn>
    <tableColumn id="7" xr3:uid="{8F4173FF-BB8D-4C61-A5E9-1B6F872C619C}" name="META" dataDxfId="661"/>
    <tableColumn id="5" xr3:uid="{64151D2C-B822-41DF-8964-343214960730}" name="ASER_" dataDxfId="66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8" dataDxfId="656" headerRowBorderDxfId="657" tableBorderDxfId="655" totalsRowBorderDxfId="65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3"/>
    <tableColumn id="1" xr3:uid="{56AD13BC-F67F-4EBC-8601-073AD9D41E5D}" name="RECUPERO SUPERVISOR" dataDxfId="652">
      <calculatedColumnFormula>MAX(DITE_ABRIL_2025[[#This Row],[1]:[31]])</calculatedColumnFormula>
    </tableColumn>
    <tableColumn id="2" xr3:uid="{B40C8394-DA7A-4DDD-89EA-AE757C76DD20}" name="ALCANCE SUPERVISOR" dataDxfId="651">
      <calculatedColumnFormula>BA9/DITE_ABRIL_2025[[#This Row],[META SUPER]]</calculatedColumnFormula>
    </tableColumn>
    <tableColumn id="4" xr3:uid="{B71408F8-B985-4B11-8661-52EFC6FA8097}" name="SUPER" dataDxfId="650"/>
    <tableColumn id="6" xr3:uid="{9E37ADBB-A64C-4E4B-9AF4-6087C797FB5E}" name="1" dataDxfId="649"/>
    <tableColumn id="7" xr3:uid="{09E3EE83-45B5-4808-842B-71D4652DE46A}" name="2" dataDxfId="648"/>
    <tableColumn id="8" xr3:uid="{243F9102-2670-48D4-B25D-8432658D89F6}" name="3" dataDxfId="647"/>
    <tableColumn id="9" xr3:uid="{06003E0F-B470-4925-ACE4-1381347B3E87}" name="4" dataDxfId="646"/>
    <tableColumn id="10" xr3:uid="{DF8C4E72-181D-4E2F-A34D-2BB7FD231520}" name="5" dataDxfId="645"/>
    <tableColumn id="11" xr3:uid="{56E37C44-85E9-4431-A560-A54606105B9D}" name="6" dataDxfId="644"/>
    <tableColumn id="12" xr3:uid="{9ADEA573-5E4A-46C0-8569-AFED61AE0141}" name="7" dataDxfId="643"/>
    <tableColumn id="13" xr3:uid="{D44E56ED-D810-4F08-ACAA-0850A2CBA861}" name="8" dataDxfId="642"/>
    <tableColumn id="14" xr3:uid="{4F1A46EB-156C-42BB-A090-307A483EDA59}" name="9" dataDxfId="64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0"/>
    <tableColumn id="16" xr3:uid="{C78E77EC-88A1-4EFD-AD1A-7DF788C46683}" name="22" dataDxfId="639"/>
    <tableColumn id="17" xr3:uid="{D5FD8172-0B95-4406-9239-1ABAD08F1B45}" name="23" dataDxfId="638"/>
    <tableColumn id="18" xr3:uid="{8E9BAC3F-3B04-449B-88EE-DBF57FA626AC}" name="24" dataDxfId="637"/>
    <tableColumn id="19" xr3:uid="{BFA3B7EB-0BC7-4311-8FCE-7C69A9357A03}" name="25" dataDxfId="636"/>
    <tableColumn id="20" xr3:uid="{D2BE25CA-961F-40EE-9EC1-A49EEA4DDB5A}" name="26" dataDxfId="635"/>
    <tableColumn id="21" xr3:uid="{77AAB025-517F-4236-B11B-AEE9B7399348}" name="27" dataDxfId="634"/>
    <tableColumn id="22" xr3:uid="{E35C7392-A09A-482A-9C37-79B0D6711E60}" name="28" dataDxfId="633"/>
    <tableColumn id="23" xr3:uid="{B9F1E360-1FEC-4978-B5DB-3DECA1925AE9}" name="29" dataDxfId="632"/>
    <tableColumn id="24" xr3:uid="{89A20735-1F9D-4A38-9BEB-B3BD56D1FD35}" name="30" dataDxfId="631"/>
    <tableColumn id="25" xr3:uid="{4BE1A809-8A7F-4933-9AB7-B0E4C9CDDD7E}" name="31" dataDxfId="630"/>
    <tableColumn id="3" xr3:uid="{8BAF39B2-F0EB-433E-8F3A-FEAC89C5F9BF}" name="CARTERA" dataDxfId="6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7">
      <calculatedColumnFormula>D1_MAYO_2025[[#This Row],[RECUPERO]]/D1_MAYO_2025[[#This Row],[META]]</calculatedColumnFormula>
    </tableColumn>
    <tableColumn id="7" xr3:uid="{7C5F88F0-9FF3-49CF-BE68-2D455D9DEE81}" name="SUPER2" dataDxfId="626"/>
    <tableColumn id="5" xr3:uid="{5FAC7613-1036-4D50-9A09-AB4F41D88D12}" name="ASESOR" dataDxfId="625"/>
    <tableColumn id="6" xr3:uid="{373B07DA-C176-4486-843D-36C5A3043867}" name="RECUPERO" dataDxfId="624"/>
    <tableColumn id="8" xr3:uid="{CDBFB8A5-E15E-4513-B245-3523278CBBD2}" name="DNI" dataDxfId="623"/>
    <tableColumn id="9" xr3:uid="{64A6BF66-DB3B-4ED3-B1A9-2DF71B8D1ACE}" name="FECHA DE INGRESO" dataDxfId="622"/>
    <tableColumn id="10" xr3:uid="{9DD10A75-AE91-4226-BF53-FBC3A38A3094}" name="ESTADO" dataDxfId="6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0" headerRowBorderDxfId="619" tableBorderDxfId="61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7">
      <calculatedColumnFormula>DATA_MAYO_2025[[#This Row],[RECUPERO]]/DATA_MAYO_2025[[#This Row],[META]]</calculatedColumnFormula>
    </tableColumn>
    <tableColumn id="3" xr3:uid="{8551335D-BE40-494B-A806-42FAA211C207}" name="CLASIFICACIÓN" dataDxfId="61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5"/>
    <tableColumn id="6" xr3:uid="{85DC5B94-4FF7-4224-A993-E56A00A5F6DA}" name="RECUPERO" dataDxfId="614">
      <calculatedColumnFormula>SUM(DATA_MAYO_2025[[#This Row],[1]:[31]])</calculatedColumnFormula>
    </tableColumn>
    <tableColumn id="7" xr3:uid="{E2EB46E1-D5BC-46B2-859F-8C05EBBE26F5}" name="META" dataDxfId="613"/>
    <tableColumn id="5" xr3:uid="{A8ED42EF-7F3D-47A1-A928-02CDC650D596}" name="ASER_" dataDxfId="61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0" dataDxfId="608" headerRowBorderDxfId="609" tableBorderDxfId="607" totalsRowBorderDxfId="60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5"/>
    <tableColumn id="1" xr3:uid="{E8B4D119-C811-4392-9EE6-8F0C79BEE9E9}" name="RECUPERO SUPERVISOR" dataDxfId="604">
      <calculatedColumnFormula>MAX(DITE_MAYO_2025[[#This Row],[1]:[31]])</calculatedColumnFormula>
    </tableColumn>
    <tableColumn id="2" xr3:uid="{B44E621C-D444-4670-8FB8-CA1A1E3293FE}" name="ALCANCE SUPERVISOR" dataDxfId="603">
      <calculatedColumnFormula>DITE_MAYO_2025[[#This Row],[RECUPERO SUPERVISOR]]/DITE_MAYO_2025[[#This Row],[META SUPER]]</calculatedColumnFormula>
    </tableColumn>
    <tableColumn id="4" xr3:uid="{63B60F11-ECE7-4839-BADE-F875CF35D6C8}" name="SUPER" dataDxfId="602"/>
    <tableColumn id="6" xr3:uid="{795F9848-930D-4B49-893D-00DA36A6069C}" name="1" dataDxfId="601"/>
    <tableColumn id="7" xr3:uid="{A0F1B09B-45CD-4449-B0E0-2A746353F5F6}" name="2" dataDxfId="600"/>
    <tableColumn id="8" xr3:uid="{42485F8E-3938-40CB-B75A-E12120AF085D}" name="3" dataDxfId="599"/>
    <tableColumn id="9" xr3:uid="{16CE59CD-D621-412D-8F6E-F5B8FEEFCBB4}" name="4" dataDxfId="598"/>
    <tableColumn id="10" xr3:uid="{D1B5939A-E95A-4BE2-BA16-796CFB62C7BB}" name="5" dataDxfId="597"/>
    <tableColumn id="11" xr3:uid="{42606FA2-25C4-48F7-BC25-B75CFBF93D7E}" name="6" dataDxfId="596"/>
    <tableColumn id="12" xr3:uid="{91DD2662-D657-4CF0-B378-5B3D9B374F80}" name="7" dataDxfId="59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4"/>
    <tableColumn id="14" xr3:uid="{FDAEFC46-2A8B-451E-929D-76EC4BC7CA39}" name="19" dataDxfId="593"/>
    <tableColumn id="15" xr3:uid="{1F944C9F-2359-45A9-8922-617195550B92}" name="20" dataDxfId="592"/>
    <tableColumn id="16" xr3:uid="{D023EA95-922B-4435-8A92-F165E2F3A560}" name="21" dataDxfId="591"/>
    <tableColumn id="17" xr3:uid="{7AC3BA92-E630-483B-B27E-18C40869116B}" name="22" dataDxfId="590"/>
    <tableColumn id="18" xr3:uid="{3609A57C-B1DB-4D87-9574-007183221000}" name="23" dataDxfId="589"/>
    <tableColumn id="19" xr3:uid="{98740490-1047-4343-85C8-834AE6AF935A}" name="24" dataDxfId="588"/>
    <tableColumn id="20" xr3:uid="{CE682DBD-B5A8-49C9-8A73-515C0BB553A8}" name="25" dataDxfId="587"/>
    <tableColumn id="21" xr3:uid="{2C63A6DB-A36B-488F-8D7C-F86E11CED59A}" name="26" dataDxfId="586"/>
    <tableColumn id="22" xr3:uid="{01511E88-F7F3-4FDD-998C-292B28698241}" name="27" dataDxfId="585"/>
    <tableColumn id="23" xr3:uid="{B0CE642E-7F10-4E00-9DD1-FC5CF0499DC2}" name="28" dataDxfId="584"/>
    <tableColumn id="24" xr3:uid="{EE9469B0-D486-4046-8AA2-36629B9D9667}" name="29" dataDxfId="583"/>
    <tableColumn id="25" xr3:uid="{D05B2A45-8E05-43BB-9FFA-CC56C7D8C31E}" name="30" dataDxfId="582"/>
    <tableColumn id="26" xr3:uid="{AE78D865-FDC9-4B75-AADF-A48F19C319DC}" name="31" dataDxfId="581"/>
    <tableColumn id="3" xr3:uid="{0887DE9C-F035-4EEC-B2F4-4C2CEB11922C}" name="CARTERA" dataDxfId="58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8"/>
    <tableColumn id="5" xr3:uid="{1BF578D9-FB1B-48B0-B732-40F721FD7C19}" name="ASESOR" dataDxfId="577"/>
    <tableColumn id="6" xr3:uid="{CA995F17-DCA5-4D19-B2E1-FD9362121A39}" name="RECUPERO"/>
    <tableColumn id="8" xr3:uid="{9BC620F7-3E10-4417-B0EA-F37D1F039447}" name="DNI" dataDxfId="576"/>
    <tableColumn id="9" xr3:uid="{0CBCBA61-9BA1-4E3D-B6CE-38E6C9A1078C}" name="FECHA DE INGRESO" dataDxfId="575"/>
    <tableColumn id="10" xr3:uid="{3A23F58F-8B92-4D7C-82D9-23C8B3B51E6F}" name="ESTADO" dataDxfId="5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3" headerRowBorderDxfId="572" tableBorderDxfId="57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0">
      <calculatedColumnFormula>DATA_JUNIO_2025[[#This Row],[RECUPERO]]/DATA_JUNIO_2025[[#This Row],[META]]</calculatedColumnFormula>
    </tableColumn>
    <tableColumn id="3" xr3:uid="{78E201C6-658E-4437-AC52-3D0E669D8389}" name="CLASIFICACIÓN" dataDxfId="56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8"/>
    <tableColumn id="6" xr3:uid="{3AD4A449-DB0B-4879-AD61-28FA40E45717}" name="RECUPERO" dataDxfId="567">
      <calculatedColumnFormula>SUM(DATA_JUNIO_2025[[#This Row],[1]:[31]])</calculatedColumnFormula>
    </tableColumn>
    <tableColumn id="7" xr3:uid="{2BD9FB92-38FC-44A8-B5F2-890569E48C37}" name="META" dataDxfId="566"/>
    <tableColumn id="5" xr3:uid="{9812F1F1-AB5A-41A6-A84D-86B290FCB7E7}" name="ASER_" dataDxfId="565"/>
    <tableColumn id="37" xr3:uid="{834796BA-53F4-4194-919E-D8B97FEA7F3F}" name="1" dataDxfId="56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2" dataDxfId="560" headerRowBorderDxfId="561" tableBorderDxfId="559" totalsRowBorderDxfId="55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7"/>
    <tableColumn id="1" xr3:uid="{1A75BF93-811F-4AFA-86B4-9AD496200913}" name="RECUPERO SUPERVISOR" dataDxfId="556"/>
    <tableColumn id="2" xr3:uid="{60B107BC-0938-4363-BE59-47C4E7777D14}" name="ALCANCE SUPERVISOR" dataDxfId="555">
      <calculatedColumnFormula>DITE_JUNIO_2025[[#This Row],[RECUPERO SUPERVISOR]]/DITE_JUNIO_2025[[#This Row],[META SUPER]]</calculatedColumnFormula>
    </tableColumn>
    <tableColumn id="4" xr3:uid="{846684E8-1F2C-4021-AB12-AFBE9E56FAA4}" name="SUPER" dataDxfId="554"/>
    <tableColumn id="6" xr3:uid="{A217DEAD-ACD7-4C63-A622-E2E01ECF328C}" name="1" dataDxfId="553"/>
    <tableColumn id="7" xr3:uid="{5CA18C0A-7D47-455B-B153-EFA8D01D32D6}" name="2" dataDxfId="552"/>
    <tableColumn id="8" xr3:uid="{3CBBE086-E28B-4224-AF45-5A4E7A009E3F}" name="3" dataDxfId="551"/>
    <tableColumn id="9" xr3:uid="{4B327145-F7C9-4ABC-A911-6EB2E553C986}" name="4" dataDxfId="550"/>
    <tableColumn id="10" xr3:uid="{C644450F-2149-4D87-8E04-D3DD6B99C066}" name="5" dataDxfId="549"/>
    <tableColumn id="11" xr3:uid="{92D6DA00-2083-479D-96F6-4B48312C9C12}" name="6" dataDxfId="548"/>
    <tableColumn id="12" xr3:uid="{2EC613D6-BDCD-416F-817F-42C8018B90FE}" name="7" dataDxfId="547"/>
    <tableColumn id="13" xr3:uid="{B55C5834-2D46-4D83-8429-14D18D9B95EF}" name="8" dataDxfId="546"/>
    <tableColumn id="14" xr3:uid="{5C6DF4C8-EDC0-4827-AA8B-9C2B7202A4DA}" name="9" dataDxfId="545"/>
    <tableColumn id="15" xr3:uid="{764D7AA1-F3E2-4E06-A4A9-952B47F95E76}" name="10" dataDxfId="544"/>
    <tableColumn id="16" xr3:uid="{6D896E44-118D-4124-BF4A-2E06B8568517}" name="11" dataDxfId="54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2"/>
    <tableColumn id="18" xr3:uid="{E97C32F3-7B30-46E7-B4CD-72B412E48E28}" name="22" dataDxfId="541"/>
    <tableColumn id="19" xr3:uid="{FD784BF8-211E-4275-A9B4-168979C2AFD1}" name="23" dataDxfId="540"/>
    <tableColumn id="20" xr3:uid="{766DA9FA-C407-4AC5-BFFB-BF6A1B6D5B26}" name="24" dataDxfId="539"/>
    <tableColumn id="21" xr3:uid="{CD1B765C-53CF-4C5C-A708-487BC53AF68A}" name="25" dataDxfId="538"/>
    <tableColumn id="22" xr3:uid="{2800A805-A560-4CF0-B47E-4486A92755E4}" name="26" dataDxfId="537"/>
    <tableColumn id="23" xr3:uid="{7067EFFA-F2EA-4FFF-A281-8E3E0E718C87}" name="27" dataDxfId="536"/>
    <tableColumn id="24" xr3:uid="{BB01C4B5-FEB4-44E1-BF58-4C9BF81261B1}" name="28" dataDxfId="535"/>
    <tableColumn id="25" xr3:uid="{2116D7DE-6632-4314-9539-6B4BA9407512}" name="29" dataDxfId="534"/>
    <tableColumn id="37" xr3:uid="{CBFA4429-3DA2-46C7-A9A0-49B669AE33A6}" name="30"/>
    <tableColumn id="26" xr3:uid="{B0D188FD-F41F-4C43-A42F-87048D9F3347}" name="31" dataDxfId="533"/>
    <tableColumn id="3" xr3:uid="{153A774F-FA3D-4DE9-A743-A193E9EC2BE7}" name="CARTERA" dataDxfId="5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1" headerRowBorderDxfId="530" tableBorderDxfId="52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8">
      <calculatedColumnFormula>DATA_JULIO_2025[[#This Row],[RECUPERO]]/DATA_JULIO_2025[[#This Row],[META]]</calculatedColumnFormula>
    </tableColumn>
    <tableColumn id="3" xr3:uid="{1754C817-3C23-490F-BEA3-3ACD2AC34A65}" name="CLASIFICACIÓN" dataDxfId="52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46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0"/>
    <tableColumn id="6" xr3:uid="{40820BC6-7E2D-416A-AC23-B4520FC0957D}" name="RECUPERO" dataDxfId="459">
      <calculatedColumnFormula>SUM(DATA_AGOSTO_2025[[#This Row],[1]:[31]])</calculatedColumnFormula>
    </tableColumn>
    <tableColumn id="7" xr3:uid="{F7BC8835-EC2E-4047-8AE9-C742ABE03445}" name="META" dataDxfId="458"/>
    <tableColumn id="5" xr3:uid="{22298E20-98EB-421A-8978-F019348D2A10}" name="ASER_" dataDxfId="45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5" dataDxfId="453" headerRowBorderDxfId="454" tableBorderDxfId="452" totalsRowBorderDxfId="45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0"/>
    <tableColumn id="1" xr3:uid="{D853C78B-294B-4C5B-87F9-8B837DBCA858}" name="RECUPERO SUPERVISOR" dataDxfId="449">
      <calculatedColumnFormula>MAX(DITE_AGOSTO_2025[[#This Row],[1]:[31]])</calculatedColumnFormula>
    </tableColumn>
    <tableColumn id="2" xr3:uid="{A6B49739-8C7F-42B7-AB2B-2D9B8785D8A7}" name="ALCANCE SUPERVISOR" dataDxfId="448">
      <calculatedColumnFormula>DITE_AGOSTO_2025[[#This Row],[RECUPERO SUPERVISOR]]/DITE_AGOSTO_2025[[#This Row],[META SUPER]]</calculatedColumnFormula>
    </tableColumn>
    <tableColumn id="4" xr3:uid="{96D2A1C2-9EA3-4132-B41A-8B57BBB00DD3}" name="SUPER" dataDxfId="447"/>
    <tableColumn id="6" xr3:uid="{49EEE6CA-AF7B-4615-AE46-CA713F4E9209}" name="1" dataDxfId="446"/>
    <tableColumn id="7" xr3:uid="{61649C96-BFE5-4D18-BCE1-727E2E74D883}" name="2" dataDxfId="445"/>
    <tableColumn id="8" xr3:uid="{3D095B63-6086-4E9E-85B2-511507890CD8}" name="3" dataDxfId="444"/>
    <tableColumn id="9" xr3:uid="{36CD21E6-51F3-49C9-8448-36B269029EF6}" name="4" dataDxfId="443"/>
    <tableColumn id="10" xr3:uid="{D4DBAD01-5AE1-474A-AF64-A98DFD56153A}" name="5" dataDxfId="442"/>
    <tableColumn id="11" xr3:uid="{FDF3CA30-E7DF-4684-9747-03744CC16AAE}" name="6" dataDxfId="44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0"/>
    <tableColumn id="13" xr3:uid="{55EA3D15-E74B-4AB3-B0D5-B387C3EAAB83}" name="19" dataDxfId="439"/>
    <tableColumn id="14" xr3:uid="{507E3CA9-692F-4A2D-BA96-B401D04EEDD0}" name="20" dataDxfId="438"/>
    <tableColumn id="15" xr3:uid="{E5F719C0-0646-408A-976E-C57966E876F4}" name="21" dataDxfId="437"/>
    <tableColumn id="16" xr3:uid="{8AC2AE0D-50EC-4387-A0A4-A1F2DF092A3C}" name="22" dataDxfId="436"/>
    <tableColumn id="17" xr3:uid="{7B1EE470-E258-4B37-BEC3-E798950632D8}" name="23" dataDxfId="435"/>
    <tableColumn id="18" xr3:uid="{F77C3800-E94B-4C32-A796-122D364094EA}" name="24" dataDxfId="434"/>
    <tableColumn id="19" xr3:uid="{0DA4161D-30F3-4E97-BCBB-4C1E891B36FB}" name="25" dataDxfId="433"/>
    <tableColumn id="20" xr3:uid="{94B916D9-415F-4F66-A6C0-0EE398A152E9}" name="26" dataDxfId="432"/>
    <tableColumn id="21" xr3:uid="{D814BC25-89A4-4A6B-B889-6BF06DD3D2EC}" name="27" dataDxfId="431"/>
    <tableColumn id="22" xr3:uid="{7DEFEDE7-498F-4CCF-A7C2-F63ACE1BA092}" name="28" dataDxfId="430"/>
    <tableColumn id="23" xr3:uid="{CA36A7C5-BBBD-47FB-AAB4-1F5CBDA1EE93}" name="29" dataDxfId="429"/>
    <tableColumn id="24" xr3:uid="{958DFD93-9566-47EC-807E-E21861CB1F39}" name="30" dataDxfId="428"/>
    <tableColumn id="25" xr3:uid="{C690FBB6-6A9F-4B4D-AEF8-49C27DFF4FCF}" name="31" dataDxfId="427"/>
    <tableColumn id="3" xr3:uid="{C5283215-E8BB-41D8-B093-AA31F8252394}" name="CARTERA" dataDxfId="4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4" headerRowBorderDxfId="425" tableBorderDxfId="423">
  <autoFilter ref="A2:I80" xr:uid="{111BC5E6-A71D-437E-ABD5-0E09FCDEF3FD}"/>
  <tableColumns count="9">
    <tableColumn id="1" xr3:uid="{EABDBA5F-3C1B-4AC8-8F40-8C9EED5560F3}" name="SUPER" dataDxfId="422"/>
    <tableColumn id="6" xr3:uid="{C37701A2-99CA-45B9-AA89-63D54C88C5B9}" name="ASESOR_CRR" dataDxfId="421"/>
    <tableColumn id="2" xr3:uid="{8360BA59-782B-4699-ABEA-458A3C9299AD}" name="RECUP" dataDxfId="420"/>
    <tableColumn id="3" xr3:uid="{BD5C8833-8CBB-40D9-BC66-F164208CFEC0}" name="ALCANCE" dataDxfId="419"/>
    <tableColumn id="7" xr3:uid="{07FA8551-F17A-4D20-BAC6-4B128B0ECF57}" name="SUPER2" dataDxfId="418"/>
    <tableColumn id="4" xr3:uid="{91470BB1-1A8E-4802-9D93-28E5A1DF6790}" name="ASESOR" dataDxfId="417"/>
    <tableColumn id="5" xr3:uid="{2B49EE5D-87EB-458C-99B1-7F94B8EDDE4B}" name="RECUPERO" dataDxfId="416"/>
    <tableColumn id="8" xr3:uid="{1A69791E-D827-4498-A9B8-C02ED9E8C0C0}" name="DNI" dataDxfId="415"/>
    <tableColumn id="9" xr3:uid="{17EC964E-623C-4526-9375-D1DFD0BBB147}" name="FECHA DE INGRESO" dataDxfId="4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3" headerRowBorderDxfId="412" tableBorderDxfId="411">
  <autoFilter ref="J8:O86" xr:uid="{91775BD2-E36D-479B-95DE-48127C3410BC}"/>
  <tableColumns count="6">
    <tableColumn id="2" xr3:uid="{033A6CF7-EC22-4EEE-8FF0-8C343161421D}" name="AL_AC" dataDxfId="410"/>
    <tableColumn id="3" xr3:uid="{2234E43A-FB04-4BD5-A5FB-BE681630D39D}" name="CLASIFICACIÓN" dataDxfId="409"/>
    <tableColumn id="1" xr3:uid="{E68E03C4-584B-48EC-AA41-D10E171DF6E2}" name="SUPERVISOR" dataDxfId="408"/>
    <tableColumn id="6" xr3:uid="{8FEE60A3-7153-47ED-82A3-25E3E95BD5B9}" name="RECUPERO" dataDxfId="407"/>
    <tableColumn id="5" xr3:uid="{96DEFE26-B796-4F9F-BB26-62A9B1295009}" name="META" dataDxfId="406"/>
    <tableColumn id="4" xr3:uid="{98491906-C3E6-4CCF-96D0-36184A648156}" name="ASER_" dataDxfId="40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4" dataDxfId="402" headerRowBorderDxfId="403" tableBorderDxfId="401" totalsRowBorderDxfId="400">
  <autoFilter ref="Q8:AQ16" xr:uid="{B03330B9-97D2-48C8-8B43-740321917DA5}"/>
  <tableColumns count="27">
    <tableColumn id="5" xr3:uid="{4E3B6BB8-3B21-487C-8667-D21D7F0B0DDF}" name="META SUPER" dataDxfId="399"/>
    <tableColumn id="1" xr3:uid="{C390EAAF-612A-443A-A32B-07A66CB5EF93}" name="RECUPERO SUPERVISOR" dataDxfId="398"/>
    <tableColumn id="2" xr3:uid="{BF66D468-0BA9-433F-A558-DB3EB49638C0}" name="ALCANCE SUPERVISOR" dataDxfId="397"/>
    <tableColumn id="4" xr3:uid="{833C2FF4-09CC-46A1-B127-078899129ED2}" name="SUPER" dataDxfId="396"/>
    <tableColumn id="6" xr3:uid="{7268ABE3-61CC-4084-9F8D-F9F866838337}" name="1-Set" dataDxfId="395"/>
    <tableColumn id="7" xr3:uid="{934984E8-2516-4844-B21B-29330A07EEE9}" name="2-Set" dataDxfId="394"/>
    <tableColumn id="8" xr3:uid="{5F8B97B9-8D43-4455-9D8F-E58FD0EDAC17}" name="3-Set" dataDxfId="393"/>
    <tableColumn id="9" xr3:uid="{85D24C9E-9252-4D30-9E54-18DBF77A6C70}" name="4-Set" dataDxfId="392"/>
    <tableColumn id="10" xr3:uid="{5A78F08C-1794-450A-88A4-F02CE65D2409}" name="5-Set" dataDxfId="391"/>
    <tableColumn id="11" xr3:uid="{C9868C58-D704-4A31-95DB-6D8FBCC63D90}" name="8-Set" dataDxfId="390"/>
    <tableColumn id="12" xr3:uid="{5A69AB6F-1CBE-456F-9AB1-9CFA02551564}" name="9-Set" dataDxfId="389"/>
    <tableColumn id="13" xr3:uid="{2FB09AC7-C3A6-45CD-8892-0B683DF946C3}" name="10-Set" dataDxfId="388"/>
    <tableColumn id="14" xr3:uid="{B8720ED9-AC2B-41EC-BFA3-A12BF9C966CC}" name="11-Set" dataDxfId="387"/>
    <tableColumn id="15" xr3:uid="{31CBBA73-A7BD-468C-BD0B-435687D2ACAD}" name="12-Set" dataDxfId="386"/>
    <tableColumn id="16" xr3:uid="{02C13EA1-381F-4C2D-B917-AF0FF1A9F773}" name="15-Set" dataDxfId="385"/>
    <tableColumn id="17" xr3:uid="{E6B04D90-5126-40CD-BDA1-E2B120BAD73C}" name="16-Set" dataDxfId="384"/>
    <tableColumn id="18" xr3:uid="{7CB5014E-CB0D-4F8A-A9D7-BD9A166A1B37}" name="17-Set" dataDxfId="383"/>
    <tableColumn id="19" xr3:uid="{040ABF10-1BFC-447A-AE21-D052CBC2ED82}" name="18-Set" dataDxfId="382"/>
    <tableColumn id="20" xr3:uid="{44DFBCB9-0C1E-48F5-ACC2-AC0990D1520D}" name="19-Set" dataDxfId="381"/>
    <tableColumn id="21" xr3:uid="{AFFC2ABC-F24F-4F16-B5DD-03747097DBCC}" name="22-Set" dataDxfId="380"/>
    <tableColumn id="22" xr3:uid="{E8A652BF-A601-498B-965E-DF95F032A19E}" name="23-Set" dataDxfId="379"/>
    <tableColumn id="23" xr3:uid="{E1A1F3EC-A932-4B54-BD80-6B3004BAC18C}" name="24-Set" dataDxfId="378"/>
    <tableColumn id="24" xr3:uid="{7F5C1B88-4DF8-4775-AEFB-F5F5D12AD778}" name="25-Set" dataDxfId="377"/>
    <tableColumn id="25" xr3:uid="{B40C371A-A255-4AD7-B43D-47350B1FF421}" name="26-Set" dataDxfId="376"/>
    <tableColumn id="26" xr3:uid="{AFFE8D31-2DD6-4039-8ED5-AD63D5758F88}" name="29-Set" dataDxfId="375"/>
    <tableColumn id="27" xr3:uid="{041693B7-E11C-4B55-8C93-8CFB39922E84}" name="30-Set" dataDxfId="374"/>
    <tableColumn id="3" xr3:uid="{1DAB60E5-FA3D-4422-89D0-AD46643BF45E}" name="CARTERA" dataDxfId="37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2"/>
    <tableColumn id="5" xr3:uid="{2D06A3B4-3271-49A3-9C7C-FFC311CAB0D8}" name="ASESOR"/>
    <tableColumn id="6" xr3:uid="{7C83291E-5126-4377-B991-EBB23328360F}" name="RECUPERO" dataDxfId="371">
      <calculatedColumnFormula>VLOOKUP(D1_OCTUBRE_2025[[#This Row],[ASESOR]],F78:$G$155,2,0)</calculatedColumnFormula>
    </tableColumn>
    <tableColumn id="8" xr3:uid="{7F2D2756-92A6-4522-A15C-2F10A82AAD95}" name="DNI" dataDxfId="370"/>
    <tableColumn id="9" xr3:uid="{B01E98C6-A76C-417B-B7FA-B0F1C8C2C7C6}" name="FECHA DE INGRESO" dataDxfId="369"/>
    <tableColumn id="10" xr3:uid="{DEB6156D-2B0C-4157-8EE4-0EE1578CCF4A}" name="ESTADO" dataDxfId="3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7" tableBorderDxfId="3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5">
      <calculatedColumnFormula>DATA_OCTUBRE_2025[[#This Row],[RECUPERO]]/DATA_OCTUBRE_2025[[#This Row],[META]]</calculatedColumnFormula>
    </tableColumn>
    <tableColumn id="3" xr3:uid="{EE681579-D463-48E9-A57F-B73D04925E37}" name="CLASIFICACIÓN" dataDxfId="3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3"/>
    <tableColumn id="6" xr3:uid="{3B45E8CF-4BCD-492C-B1A3-3E157855AA4E}" name="RECUPERO" dataDxfId="362">
      <calculatedColumnFormula>SUM(DATA_OCTUBRE_2025[[#This Row],[1]:[31]])</calculatedColumnFormula>
    </tableColumn>
    <tableColumn id="7" xr3:uid="{2D762908-0860-493B-A482-9514EAD41E9B}" name="META" dataDxfId="361"/>
    <tableColumn id="4" xr3:uid="{B03F71B4-D73E-47CB-8F19-B1EBCB980D51}" name="ASER_" dataDxfId="360"/>
    <tableColumn id="8" xr3:uid="{DADEF8E1-B4EF-4A54-BDEA-772F65B2659B}" name="1" dataDxfId="359"/>
    <tableColumn id="9" xr3:uid="{09759773-B387-4885-980B-3377FCF2784C}" name="2" dataDxfId="358"/>
    <tableColumn id="10" xr3:uid="{0BEF3C74-7822-4935-9DEF-DBB8EF94B2E8}" name="3" dataDxfId="357"/>
    <tableColumn id="11" xr3:uid="{AB623BA8-8BC3-4899-82B4-0D2F75C64AC1}" name="4" dataDxfId="356"/>
    <tableColumn id="12" xr3:uid="{F3FF380C-FA1C-400D-953D-2426EC1D78FF}" name="5" dataDxfId="355"/>
    <tableColumn id="13" xr3:uid="{513A526B-B8DC-4F0A-BB71-A3C5DCBEE598}" name="6" dataDxfId="354"/>
    <tableColumn id="14" xr3:uid="{FE79AC7F-62E7-4115-BE1B-AAF936521653}" name="7" dataDxfId="353"/>
    <tableColumn id="15" xr3:uid="{68C170E4-F271-468B-91F8-3408D287CC52}" name="8" dataDxfId="352"/>
    <tableColumn id="16" xr3:uid="{AD7DCB27-1227-49CE-B962-67316F312A49}" name="9" dataDxfId="351"/>
    <tableColumn id="17" xr3:uid="{A28A426F-20DF-4E28-817D-D45F6DE67B10}" name="10" dataDxfId="350"/>
    <tableColumn id="18" xr3:uid="{E8A185AF-1E28-4F0F-9855-74F54DBD006B}" name="11" dataDxfId="349"/>
    <tableColumn id="19" xr3:uid="{63732328-29EA-40C6-ACD8-4B4DD4B4CF86}" name="12" dataDxfId="3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7"/>
    <tableColumn id="21" xr3:uid="{C17C4587-18F5-4FBD-868F-EBEC86A07A20}" name="23" dataDxfId="346"/>
    <tableColumn id="22" xr3:uid="{A943FEC5-F867-455B-820F-28C4395DB276}" name="24" dataDxfId="345"/>
    <tableColumn id="23" xr3:uid="{A8FFD2FC-7F1E-4386-AF41-D5EEEF19CDD0}" name="25" dataDxfId="344"/>
    <tableColumn id="24" xr3:uid="{ADF6FE87-D285-4286-AA45-3909EFB078E5}" name="26" dataDxfId="343"/>
    <tableColumn id="25" xr3:uid="{2F0BE83F-F151-4F99-839F-143CA77B5B85}" name="27" dataDxfId="342"/>
    <tableColumn id="26" xr3:uid="{380107E6-E719-4EEB-80BE-3FC920AAB0D8}" name="28" dataDxfId="341"/>
    <tableColumn id="27" xr3:uid="{E4578405-DBB6-4571-976F-D9686E90472D}" name="29" dataDxfId="340"/>
    <tableColumn id="28" xr3:uid="{C03A0B6A-D740-474A-B5C0-16AD1C50D0EF}" name="30" dataDxfId="339"/>
    <tableColumn id="29" xr3:uid="{ABC45238-95B8-44E1-B32D-323E0E09BD1E}" name="31" dataDxfId="338"/>
    <tableColumn id="5" xr3:uid="{DFC53255-43CA-45C9-9269-4215B54AB062}" name="CARTERA ASESOR" dataDxfId="33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6" dataDxfId="334" headerRowBorderDxfId="335" tableBorderDxfId="333" totalsRowBorderDxfId="3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1">
      <calculatedColumnFormula>VLOOKUP($M$3&amp;$N$3&amp;DITE_OCTUBRE_2025[[#This Row],[SUPER]],TablaMeta[],5,0)</calculatedColumnFormula>
    </tableColumn>
    <tableColumn id="1" xr3:uid="{2B34CFC4-0C9F-41CE-999A-2588C7446A9F}" name="RECUPERO SUPERVISOR" dataDxfId="330">
      <calculatedColumnFormula>MAX(DITE_OCTUBRE_2025[[#This Row],[1]:[31]])</calculatedColumnFormula>
    </tableColumn>
    <tableColumn id="2" xr3:uid="{12F44D75-C159-4886-875E-F84E5B64A541}" name="ALCANCE SUPERVISOR" dataDxfId="3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8"/>
    <tableColumn id="6" xr3:uid="{949DC2F4-4585-4646-A396-157D2DF8052D}" name="1" dataDxfId="327"/>
    <tableColumn id="7" xr3:uid="{97391D14-7779-42A7-9DB8-C0989C430B43}" name="2" dataDxfId="326"/>
    <tableColumn id="8" xr3:uid="{6354D769-4310-45AC-8145-E44CED72B4A9}" name="3" dataDxfId="325"/>
    <tableColumn id="9" xr3:uid="{4656D04C-0F05-4626-AF66-C82B40AEFAD8}" name="4" dataDxfId="324"/>
    <tableColumn id="10" xr3:uid="{7D1ED70B-0155-4C0E-8A2F-37B332A6F313}" name="5" dataDxfId="323"/>
    <tableColumn id="11" xr3:uid="{0111FAC8-499F-4CC3-8375-0BF99A4C35FA}" name="6" dataDxfId="322"/>
    <tableColumn id="12" xr3:uid="{C0C00B80-78A4-43E2-93D4-3EE00B3626FF}" name="7" dataDxfId="321"/>
    <tableColumn id="13" xr3:uid="{83880E56-1497-4302-8CA7-1D39E0DC1A97}" name="8" dataDxfId="320"/>
    <tableColumn id="14" xr3:uid="{BE01EA14-2F15-437D-A238-21FF4B75A0DE}" name="9" dataDxfId="319"/>
    <tableColumn id="15" xr3:uid="{EB92F6CE-8ACE-4537-AECA-46B61474948E}" name="10" dataDxfId="318"/>
    <tableColumn id="16" xr3:uid="{6D6490DB-3DEB-438C-AB40-C97EC626F0BE}" name="11" dataDxfId="317"/>
    <tableColumn id="17" xr3:uid="{0392FF10-F85D-41D2-8460-C3A186218696}" name="12" dataDxfId="3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5"/>
    <tableColumn id="19" xr3:uid="{3D252296-5BDD-4576-BACF-EBAA4EDD5204}" name="23" dataDxfId="314"/>
    <tableColumn id="20" xr3:uid="{23EB3C4F-7D5A-4D3B-8B24-D8DE6128BA5F}" name="24" dataDxfId="313"/>
    <tableColumn id="21" xr3:uid="{129CAF30-1851-4238-9880-454B24575BB9}" name="25" dataDxfId="312"/>
    <tableColumn id="22" xr3:uid="{72C02609-42DC-4EDE-B4E1-44D533A24355}" name="26" dataDxfId="311"/>
    <tableColumn id="23" xr3:uid="{9123D15C-9492-4356-8328-1BE17F140523}" name="27" dataDxfId="310"/>
    <tableColumn id="24" xr3:uid="{9D5D7ED1-F248-4C81-8326-BBA9C067C915}" name="28" dataDxfId="309"/>
    <tableColumn id="25" xr3:uid="{AF14494A-3DA5-4A85-BD20-353698E70147}" name="29" dataDxfId="308"/>
    <tableColumn id="26" xr3:uid="{B48EAE26-54B8-4E0C-A4A1-6956DA0D148E}" name="30" dataDxfId="307"/>
    <tableColumn id="27" xr3:uid="{85AC05C5-FE82-41A6-837C-F1F547FD8C2F}" name="31" dataDxfId="306"/>
    <tableColumn id="3" xr3:uid="{1CA2638D-96F9-4A0C-980A-6DAE6545AFFA}" name="CARTERA" dataDxfId="3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4" tableBorderDxfId="30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2">
      <calculatedColumnFormula>DATA_NOVIEMBRE_2025[[#This Row],[RECUPERO]]/DATA_NOVIEMBRE_2025[[#This Row],[META]]</calculatedColumnFormula>
    </tableColumn>
    <tableColumn id="3" xr3:uid="{855F5F44-294A-4871-9840-A24614956994}" name="CLASIFICACIÓN" dataDxfId="30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0"/>
    <tableColumn id="6" xr3:uid="{C0A22187-40B7-435A-ABDA-27944F0D7030}" name="RECUPERO" dataDxfId="299">
      <calculatedColumnFormula>SUM(DATA_NOVIEMBRE_2025[[#This Row],[1]:[31]])</calculatedColumnFormula>
    </tableColumn>
    <tableColumn id="7" xr3:uid="{72E7F13E-9273-4AED-98D2-5508FB4A326C}" name="META" dataDxfId="298"/>
    <tableColumn id="30" xr3:uid="{CFEB99FE-9EED-4763-A696-5BC3DA916AC5}" name="ASER_"/>
    <tableColumn id="8" xr3:uid="{00AE5065-FE4D-45E6-A294-E826836A1E33}" name="1" dataDxfId="297"/>
    <tableColumn id="9" xr3:uid="{EF6C35AD-ACD8-4C7F-8937-91D53147656D}" name="2" dataDxfId="296"/>
    <tableColumn id="10" xr3:uid="{CF32F196-CA95-4750-A946-3E0AC1A85184}" name="3" dataDxfId="295"/>
    <tableColumn id="11" xr3:uid="{9F563EAD-A249-4851-B979-F5575DE957AB}" name="4" dataDxfId="294"/>
    <tableColumn id="12" xr3:uid="{D6A6323F-D160-499D-BD7C-7C323AE07CB0}" name="5" dataDxfId="29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2"/>
    <tableColumn id="14" xr3:uid="{46BCBBD6-EB67-46A1-A356-989FA4845EF7}" name="17" dataDxfId="291"/>
    <tableColumn id="15" xr3:uid="{B50A5F7B-5C7E-48C1-80DA-278B6510B811}" name="18" dataDxfId="290"/>
    <tableColumn id="16" xr3:uid="{05796B28-1DD1-422E-9658-78C2FB73FD83}" name="19" dataDxfId="289"/>
    <tableColumn id="17" xr3:uid="{DB0D6520-FFC2-440C-B97F-9604384ED84D}" name="20" dataDxfId="288"/>
    <tableColumn id="18" xr3:uid="{50423629-1D31-4CC8-B9D0-046394DFED68}" name="21" dataDxfId="287"/>
    <tableColumn id="19" xr3:uid="{80B70DB0-A059-4A28-A799-0529D6BF1263}" name="22" dataDxfId="286"/>
    <tableColumn id="20" xr3:uid="{CE0AE96C-2D78-4B18-ADD7-C86E26CE69AB}" name="23" dataDxfId="285"/>
    <tableColumn id="21" xr3:uid="{D6CA8ADF-F50B-4822-B7AD-A49AC8CD28E8}" name="24" dataDxfId="284"/>
    <tableColumn id="22" xr3:uid="{8D2522DF-F1BC-4031-89AD-8B4B3515396A}" name="25" dataDxfId="283"/>
    <tableColumn id="23" xr3:uid="{293ABA54-17AB-40AD-A5F9-E0308A358390}" name="26" dataDxfId="282"/>
    <tableColumn id="24" xr3:uid="{099B62F0-F67D-4CF2-8C6A-AD383B297F15}" name="27" dataDxfId="281"/>
    <tableColumn id="25" xr3:uid="{104E6C24-1381-41DA-BF76-0DD6D49DF0C1}" name="28" dataDxfId="280"/>
    <tableColumn id="26" xr3:uid="{095F601D-F187-4396-A356-C09936718FF5}" name="29" dataDxfId="279"/>
    <tableColumn id="27" xr3:uid="{4F9FCA77-406D-4319-913A-82D308726F04}" name="30" dataDxfId="278"/>
    <tableColumn id="28" xr3:uid="{5825F9EE-936A-4C38-B210-9DA3DA553F75}" name="31" dataDxfId="277"/>
    <tableColumn id="1" xr3:uid="{D8CEB774-F634-4903-AC1C-0BF18BDD3A03}" name="CARTERA ASESOR" dataDxfId="27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5"/>
    <tableColumn id="2" xr3:uid="{7E004A30-FB94-4ABB-88FD-3005F8FA00C6}" name="ASESOR_CRR" dataDxfId="27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3"/>
    <tableColumn id="7" xr3:uid="{AA9D9715-8EBE-4ECB-8BB4-3F41AF689173}" name="SUPER2" dataDxfId="272"/>
    <tableColumn id="5" xr3:uid="{DDD5C800-04E2-4D8A-8C83-C410D5DF7F70}" name="ASESOR" dataDxfId="271"/>
    <tableColumn id="6" xr3:uid="{88DDFA81-E306-4531-9C28-1EEEFB91AC37}" name="RECUPERO" dataDxfId="270">
      <calculatedColumnFormula>VLOOKUP(D1_NOVIEMBRE_2025[[#This Row],[ASESOR]],$F$70:$G$130,2,0)</calculatedColumnFormula>
    </tableColumn>
    <tableColumn id="9" xr3:uid="{B4E0C179-9219-4DFF-AA71-3C7E15DC0CCB}" name="DNI" dataDxfId="269"/>
    <tableColumn id="10" xr3:uid="{A57DDDED-46A0-4CB6-B58A-B5F5FD8B6714}" name="FECHA DE INGRESO" dataDxfId="268"/>
    <tableColumn id="8" xr3:uid="{6D0B725E-AD90-4FB1-ACD9-0C7E61DBD30D}" name="ESTADO" dataDxfId="26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6" dataDxfId="26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4"/>
    <tableColumn id="2" xr3:uid="{39564DF7-490C-4B42-BA0D-A0C7965369AD}" name="RECUPERO SUPERVISOR" dataDxfId="263">
      <calculatedColumnFormula>MAX(DITE_NOVIEMBRE_2025[[#This Row],[1]:[31]])</calculatedColumnFormula>
    </tableColumn>
    <tableColumn id="3" xr3:uid="{714DADEA-706C-4919-B3C2-F0BF1111E161}" name="ALCANCE SUPERVISOR" dataDxfId="262">
      <calculatedColumnFormula>DITE_NOVIEMBRE_2025[[#This Row],[RECUPERO SUPERVISOR]]/DITE_NOVIEMBRE_2025[[#This Row],[META SUPER]]</calculatedColumnFormula>
    </tableColumn>
    <tableColumn id="1" xr3:uid="{9452BB90-F5DE-4B57-AF8A-BBAB41BDA625}" name="SUPER" dataDxfId="261"/>
    <tableColumn id="6" xr3:uid="{87C598B5-62D4-4EE7-861E-EEAA52C00585}" name="1" dataDxfId="260"/>
    <tableColumn id="7" xr3:uid="{633891A0-1EBF-4F76-A7F4-F66318664C43}" name="2" dataDxfId="259"/>
    <tableColumn id="8" xr3:uid="{0592F328-9F13-4B6C-80C9-E9F1845891CB}" name="3" dataDxfId="258"/>
    <tableColumn id="9" xr3:uid="{AE7882D8-BBFD-45AE-B2CB-28F66322BAEE}" name="4" dataDxfId="257"/>
    <tableColumn id="10" xr3:uid="{05F48497-7C3E-4EF2-8908-E3DDE502B309}" name="5" dataDxfId="256"/>
    <tableColumn id="11" xr3:uid="{BD05847D-8156-476D-9D43-53BF9B333675}" name="6" dataDxfId="255"/>
    <tableColumn id="12" xr3:uid="{407098C8-B89E-46C0-9B9A-DA4AD2929032}" name="7" dataDxfId="254"/>
    <tableColumn id="13" xr3:uid="{91FC56B9-68A8-46E6-AF86-C055E5241ADE}" name="8" dataDxfId="25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2"/>
    <tableColumn id="15" xr3:uid="{6D9CB553-B7A7-4211-8DDF-E67D0F75BD0A}" name="20" dataDxfId="251"/>
    <tableColumn id="16" xr3:uid="{C060B537-6CE4-430B-8A22-7A540BACE464}" name="21" dataDxfId="250"/>
    <tableColumn id="17" xr3:uid="{4C8D59DE-F0E8-4B3F-8552-A394ADA4C013}" name="22" dataDxfId="249"/>
    <tableColumn id="18" xr3:uid="{3AB7DFB9-4558-4621-AB3C-3891ECC67DB4}" name="23" dataDxfId="248"/>
    <tableColumn id="19" xr3:uid="{ECC2D027-50E3-4374-BA37-6384A463E763}" name="24" dataDxfId="247"/>
    <tableColumn id="20" xr3:uid="{03C4446D-2883-4E24-87C6-489668916C57}" name="25" dataDxfId="246"/>
    <tableColumn id="21" xr3:uid="{1D103BD3-6849-47BB-B1AD-9FF31C3432E4}" name="26" dataDxfId="245"/>
    <tableColumn id="22" xr3:uid="{E2A6B954-BE7E-4918-9A92-245143E3726C}" name="27" dataDxfId="244"/>
    <tableColumn id="23" xr3:uid="{3BE5D700-08A4-480A-8651-AFBBD596763A}" name="28" dataDxfId="243"/>
    <tableColumn id="24" xr3:uid="{16A1ECF5-0D22-4B11-B95E-D5BF2A42B1A3}" name="29" dataDxfId="242"/>
    <tableColumn id="25" xr3:uid="{AACA19B9-FD00-4B90-8B58-181F058F24E3}" name="30" dataDxfId="241"/>
    <tableColumn id="26" xr3:uid="{2DE2D547-EE6E-49C4-858B-C4D674245BFC}" name="31" dataDxfId="240"/>
    <tableColumn id="4" xr3:uid="{9AD4619F-F825-4B54-8AE2-92E8B9E9E57F}" name="CARTERA" dataDxfId="23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8" tableBorderDxfId="23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6">
      <calculatedColumnFormula>DATA_DICIEMBRE_2025[[#This Row],[RECUPERO]]/DATA_DICIEMBRE_2025[[#This Row],[META]]</calculatedColumnFormula>
    </tableColumn>
    <tableColumn id="2" xr3:uid="{B5D97F6A-AE7C-4FC3-8428-5737699DFEB1}" name="CLASIFICACIÓN" dataDxfId="23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4"/>
    <tableColumn id="1" xr3:uid="{47FCFB9B-5515-45CC-BFF9-2785144AD854}" name="RECUPERO" dataDxfId="233">
      <calculatedColumnFormula>SUM(DATA_DICIEMBRE_2025[[#This Row],[1]:[31]])</calculatedColumnFormula>
    </tableColumn>
    <tableColumn id="6" xr3:uid="{ED7BE75E-3624-4159-BFE7-645CEA862C3E}" name="META" dataDxfId="232"/>
    <tableColumn id="7" xr3:uid="{AD05A858-B012-4836-80E5-BF630A338442}" name="ASER_" dataDxfId="231"/>
    <tableColumn id="4" xr3:uid="{6792E8BB-5B6A-4E20-BC71-7F342FD1DE33}" name="1" dataDxfId="230"/>
    <tableColumn id="8" xr3:uid="{AFF95CFC-A6A6-4F82-9A47-D8F9735B080F}" name="2" dataDxfId="229"/>
    <tableColumn id="9" xr3:uid="{3EE2031A-4396-4C20-9B21-B423FD7A4983}" name="3" dataDxfId="228"/>
    <tableColumn id="10" xr3:uid="{98A61AE3-7932-414B-AE75-E4B9F37090B7}" name="4" dataDxfId="227"/>
    <tableColumn id="11" xr3:uid="{2B37FA03-0832-40E1-966B-188EC131A687}" name="5" dataDxfId="226"/>
    <tableColumn id="12" xr3:uid="{9A4E011C-C4A7-4F49-AD1B-BB28BEA4BF8C}" name="6" dataDxfId="225"/>
    <tableColumn id="13" xr3:uid="{EFB94F58-F00C-45C8-B4D0-E0C1802DF92E}" name="7" dataDxfId="224"/>
    <tableColumn id="14" xr3:uid="{F8800705-9DF6-4EEA-8D67-8321AE1E80D1}" name="8" dataDxfId="223"/>
    <tableColumn id="15" xr3:uid="{7B6D79FE-5D1B-462C-8037-0CACAB6F3911}" name="9" dataDxfId="222"/>
    <tableColumn id="16" xr3:uid="{E0E24420-1BF8-4BED-A5CC-D5EF1C7DF685}" name="10" dataDxfId="22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0"/>
    <tableColumn id="18" xr3:uid="{388429A9-C1D2-4EE1-BB12-A7C9C48AA9F0}" name="23" dataDxfId="219"/>
    <tableColumn id="19" xr3:uid="{6D1522B5-D820-4F42-ADD5-A6062E68E06A}" name="24" dataDxfId="218"/>
    <tableColumn id="20" xr3:uid="{A78EF6CB-6A5A-488F-8EC5-34C0267191BD}" name="25" dataDxfId="217"/>
    <tableColumn id="21" xr3:uid="{0817989E-B5E4-435D-99FF-C9E1A1D429CD}" name="26" dataDxfId="216"/>
    <tableColumn id="22" xr3:uid="{5AE7BF00-6E17-4434-AFC3-A082971963E9}" name="27" dataDxfId="215"/>
    <tableColumn id="23" xr3:uid="{AC4528BB-516C-4650-8587-2267B9400C8D}" name="28" dataDxfId="214"/>
    <tableColumn id="24" xr3:uid="{AB7921F2-B36A-4ABC-9DBC-BB0EC20ACC62}" name="29" dataDxfId="213"/>
    <tableColumn id="25" xr3:uid="{5D1446EA-3DB7-4807-AE25-EB2149040D6D}" name="30" dataDxfId="212"/>
    <tableColumn id="26" xr3:uid="{B5F2A170-57DC-49D6-9752-24386332D295}" name="31" dataDxfId="211"/>
    <tableColumn id="27" xr3:uid="{D1831881-0F77-44D4-82FA-57779D5E74BA}" name="CARTERA ASESOR" dataDxfId="21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9">
  <autoFilter ref="A2:J53" xr:uid="{0A33CB5E-7EB5-4C86-9959-A823C2BDBBB9}"/>
  <tableColumns count="10">
    <tableColumn id="1" xr3:uid="{51989F96-0689-4D57-8685-B8A3DF492A97}" name="SUPER" dataDxfId="208"/>
    <tableColumn id="2" xr3:uid="{C1D8B208-A530-42D3-A6B3-202247844AC6}" name="ASESOR_CRR" dataDxfId="207"/>
    <tableColumn id="5" xr3:uid="{0E2E2A96-2FDE-425E-A454-24F26F26F817}" name="META" dataDxfId="206">
      <calculatedColumnFormula>VLOOKUP(D1_DICIEMBRE_2025[[#This Row],[SUPER]],DATA_DICIEMBRE_2025[[SUPERVISOR]:[META]],3,0)</calculatedColumnFormula>
    </tableColumn>
    <tableColumn id="6" xr3:uid="{99265ED5-3CFF-4A20-97B4-3560EE99C717}" name="ALCANCE" dataDxfId="205">
      <calculatedColumnFormula>D1_DICIEMBRE_2025[[#This Row],[RECUPERO]]/D1_DICIEMBRE_2025[[#This Row],[META]]</calculatedColumnFormula>
    </tableColumn>
    <tableColumn id="7" xr3:uid="{374D40BE-0CEA-496A-A350-4762CACC979E}" name="SUPER2" dataDxfId="204"/>
    <tableColumn id="3" xr3:uid="{CE2FC99C-C2FA-4CF8-B4D5-38DB34F6C4C0}" name="ASESOR"/>
    <tableColumn id="4" xr3:uid="{1034AC9B-8A72-4332-A474-8471A1B8C391}" name="RECUPERO" dataDxfId="203"/>
    <tableColumn id="8" xr3:uid="{51D1D4C9-F574-4F9F-BB5F-619CFC8367F6}" name="DNI" dataDxfId="202"/>
    <tableColumn id="9" xr3:uid="{1F94989E-BD68-4711-BF6F-AABBC6D00AD3}" name="FECHA DE INGRESO" dataDxfId="201"/>
    <tableColumn id="10" xr3:uid="{26BBC886-44C6-4729-85D8-0B926A843BA1}" name="ESTADO" dataDxfId="20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9" dataDxfId="197" headerRowBorderDxfId="198" tableBorderDxfId="196" totalsRowBorderDxfId="19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4"/>
    <tableColumn id="3" xr3:uid="{DED03312-7BDA-4CEA-9273-AA5DB2237A5F}" name="RECUPERO SUPERVISOR" dataDxfId="193">
      <calculatedColumnFormula>MAX(DITE_DICIEMBRE_2025[[#This Row],[1]:[31]])</calculatedColumnFormula>
    </tableColumn>
    <tableColumn id="4" xr3:uid="{5A956735-F760-4B1F-B874-402D928B71EA}" name="ALCANCE SUPERVISOR" dataDxfId="192">
      <calculatedColumnFormula>DITE_DICIEMBRE_2025[[#This Row],[RECUPERO SUPERVISOR]]/AZ9</calculatedColumnFormula>
    </tableColumn>
    <tableColumn id="1" xr3:uid="{ED2A948C-9442-4C47-9BE9-277A3D6239D3}" name="SUPER" dataDxfId="191"/>
    <tableColumn id="6" xr3:uid="{6E784300-7704-4F45-8E90-F7C2D4F71F66}" name="1" dataDxfId="190"/>
    <tableColumn id="7" xr3:uid="{EA789C05-CA47-4D66-B493-7D6222022389}" name="2" dataDxfId="189"/>
    <tableColumn id="36" xr3:uid="{E83A454A-CB07-409E-B2F9-FEFD108C0456}" name="3" dataDxfId="188"/>
    <tableColumn id="8" xr3:uid="{4ACB3C1D-600B-4503-9368-987BC1B3B0EA}" name="4" dataDxfId="187"/>
    <tableColumn id="9" xr3:uid="{B5C8B277-5A83-47A1-95FD-A620D749E785}" name="5" dataDxfId="186"/>
    <tableColumn id="10" xr3:uid="{FB101921-E892-41E0-B8B7-4141F51A83BB}" name="6" dataDxfId="185"/>
    <tableColumn id="11" xr3:uid="{C777EEA2-F048-439C-9EA1-0C4C731AA6E9}" name="7" dataDxfId="184"/>
    <tableColumn id="12" xr3:uid="{7AA80CD7-0570-4507-8C49-9CF331F01C83}" name="8" dataDxfId="183"/>
    <tableColumn id="13" xr3:uid="{F115F6D4-E69D-46D7-AD4B-F13AFDF74268}" name="9" dataDxfId="182"/>
    <tableColumn id="14" xr3:uid="{393E1035-13E1-4131-B853-53B4CA536CF0}" name="10" dataDxfId="181"/>
    <tableColumn id="15" xr3:uid="{7FF1CB48-1402-460C-BDDE-C67F81F66807}" name="11" dataDxfId="180"/>
    <tableColumn id="32" xr3:uid="{8F13018F-0746-40A8-8063-7F1351A273EA}" name="12" dataDxfId="179"/>
    <tableColumn id="33" xr3:uid="{5FD9BED8-7FEA-4B06-9B27-A0BFD046EB49}" name="13" dataDxfId="178"/>
    <tableColumn id="35" xr3:uid="{8D88E3F7-E581-49D0-B55A-812661F85CB6}" name="14" dataDxfId="177"/>
    <tableColumn id="34" xr3:uid="{98E6CACB-4217-4732-B54A-899D22A2EAF6}" name="15" dataDxfId="176"/>
    <tableColumn id="29" xr3:uid="{7C19F65B-AFA4-4BDB-849B-78B44514C8F1}" name="16" dataDxfId="175"/>
    <tableColumn id="30" xr3:uid="{5B8DAC84-4B56-4ED2-BCA8-C8513518494E}" name="17" dataDxfId="174"/>
    <tableColumn id="31" xr3:uid="{6135134A-5BCC-4221-AD87-B5C8D80AB6D3}" name="18" dataDxfId="173"/>
    <tableColumn id="26" xr3:uid="{2569A07A-57D5-45E4-94CF-9442436AFDAE}" name="19" dataDxfId="172"/>
    <tableColumn id="27" xr3:uid="{828CBD1E-742A-4B46-99B1-A5B0163441D5}" name="20" dataDxfId="171"/>
    <tableColumn id="28" xr3:uid="{773F208D-F15B-4823-A2FA-144A370D1B7A}" name="21" dataDxfId="170"/>
    <tableColumn id="16" xr3:uid="{419173FA-3C44-4167-9CA2-3C07CF180C9B}" name="22" dataDxfId="169"/>
    <tableColumn id="17" xr3:uid="{A8A10E2B-AFD7-46D0-8149-9A05D1EC2C03}" name="23" dataDxfId="168"/>
    <tableColumn id="18" xr3:uid="{CF29209E-568F-4788-AE4E-864CF179A3F5}" name="24" dataDxfId="167"/>
    <tableColumn id="19" xr3:uid="{C33D5154-B635-4235-8170-2F374C119543}" name="25" dataDxfId="166"/>
    <tableColumn id="20" xr3:uid="{70E870EC-47B5-4461-AC8F-7662212D49E0}" name="26" dataDxfId="165"/>
    <tableColumn id="21" xr3:uid="{2215DAF3-2DFC-47A4-940A-DC348054A7EB}" name="27" dataDxfId="164"/>
    <tableColumn id="22" xr3:uid="{BE707551-BD9D-4E46-9F38-1BF8DA272627}" name="28" dataDxfId="163"/>
    <tableColumn id="23" xr3:uid="{BA6108F0-3F12-4B54-8E19-7FF232FA9893}" name="29" dataDxfId="162"/>
    <tableColumn id="24" xr3:uid="{B18366FB-64C7-4779-8DB9-91A30E111223}" name="30" dataDxfId="161"/>
    <tableColumn id="25" xr3:uid="{8BD30A4B-DE19-4C3A-8A9E-7FFE10B8C56B}" name="31" dataDxfId="160"/>
    <tableColumn id="5" xr3:uid="{1A8ADD20-D8A3-4981-B322-7C16CBD19ABB}" name="CARTERA" dataDxfId="15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8"/>
    <tableColumn id="2" xr3:uid="{09FFA9EA-077A-4B1E-BBB0-BEFE3719755F}" name="ASESOR_CRR" dataDxfId="157"/>
    <tableColumn id="3" xr3:uid="{B2B98848-02EC-4CE4-B2C4-CF726670ADA0}" name="META" dataDxfId="156"/>
    <tableColumn id="4" xr3:uid="{843076CD-455D-4677-9B9B-753164881BDC}" name="ALCANCE" dataDxfId="155"/>
    <tableColumn id="5" xr3:uid="{27191708-D634-47D0-B6EF-7903B523F721}" name="SUPER2" dataDxfId="154"/>
    <tableColumn id="6" xr3:uid="{F95ADB27-E512-47F7-962C-D178A524B971}" name="ASESOR"/>
    <tableColumn id="7" xr3:uid="{32C145E4-25CE-4365-A7D9-EB2FB110C794}" name="RECUPERO" dataDxfId="153"/>
    <tableColumn id="8" xr3:uid="{20773954-0FEB-4980-9B49-FA8A9DD97C3C}" name="DNI" dataDxfId="152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4" tableBorderDxfId="103">
  <autoFilter ref="M8:AN59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9" dataDxfId="28">
  <autoFilter ref="A1:F60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2" sqref="F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1.14072</v>
      </c>
      <c r="E8" s="36" t="str">
        <f>IFERROR(VLOOKUP(D1_FEBRERO_2026[[#This Row],[ASESOR_CRR]],PLANTILLA_ACTUAL[],2,0),"")</f>
        <v>SANDY</v>
      </c>
      <c r="F8" s="35" t="s">
        <v>17</v>
      </c>
      <c r="G8" s="37">
        <v>57036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0.4657</v>
      </c>
      <c r="E9" s="36" t="str">
        <f>IFERROR(VLOOKUP(D1_FEBRERO_2026[[#This Row],[ASESOR_CRR]],PLANTILLA_ACTUAL[],2,0),"")</f>
        <v>SANDY</v>
      </c>
      <c r="F9" s="35" t="s">
        <v>23</v>
      </c>
      <c r="G9" s="37">
        <v>23285</v>
      </c>
      <c r="H9" s="35" t="str">
        <f>VLOOKUP(D1_FEBRERO_2026[[#This Row],[ASESOR_CRR]],DIM!$C:$E,2,0)</f>
        <v>72413556</v>
      </c>
      <c r="I9" s="66">
        <f>VLOOKUP(D1_FEBRERO_2026[[#This Row],[ASESOR_CRR]],DIM!$C:$E,3,0)</f>
        <v>44109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0.38597222222222222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KENNETH</v>
      </c>
      <c r="P9" s="6">
        <f>IF(DATA_FEBRERO_2026[[#This Row],[SUPERVISOR]]="","",VLOOKUP(DATA_FEBRERO_2026[[#This Row],[ASER_]],$B:$G,6,0))</f>
        <v>34737.5</v>
      </c>
      <c r="Q9" s="6">
        <f>VLOOKUP(DATA_FEBRERO_2026[[#This Row],[ASER_]],D1_FEBRERO_2026[[ASESOR_CRR]:[META]],2,0)</f>
        <v>90000</v>
      </c>
      <c r="R9" t="s">
        <v>37</v>
      </c>
      <c r="S9">
        <v>0</v>
      </c>
      <c r="T9">
        <v>9462</v>
      </c>
      <c r="U9">
        <v>325</v>
      </c>
      <c r="V9">
        <v>120</v>
      </c>
      <c r="W9">
        <v>989</v>
      </c>
      <c r="X9">
        <v>9061</v>
      </c>
      <c r="Y9">
        <v>14000</v>
      </c>
      <c r="Z9">
        <v>120</v>
      </c>
      <c r="AA9">
        <v>0</v>
      </c>
      <c r="AB9">
        <v>660.5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176895</v>
      </c>
      <c r="AR9" s="17">
        <f>IFERROR(DITE_FEBRERO_2026[[#This Row],[RECUPERO SUPERVISOR]]/DITE_FEBRERO_2026[[#This Row],[META SUPER]],"")</f>
        <v>0.32543007103001803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0.37380000000000002</v>
      </c>
      <c r="E10" s="36" t="str">
        <f>IFERROR(VLOOKUP(D1_FEBRERO_2026[[#This Row],[ASESOR_CRR]],PLANTILLA_ACTUAL[],2,0),"")</f>
        <v>SANDY</v>
      </c>
      <c r="F10" s="35" t="s">
        <v>96</v>
      </c>
      <c r="G10" s="37">
        <v>18690</v>
      </c>
      <c r="H10" s="35" t="str">
        <f>VLOOKUP(D1_FEBRERO_2026[[#This Row],[ASESOR_CRR]],DIM!$C:$E,2,0)</f>
        <v>46793103</v>
      </c>
      <c r="I10" s="66">
        <f>VLOOKUP(D1_FEBRERO_2026[[#This Row],[ASESOR_CRR]],DIM!$C:$E,3,0)</f>
        <v>45882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0.57952222222222227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KENNETH</v>
      </c>
      <c r="P10" s="6">
        <f>IF(DATA_FEBRERO_2026[[#This Row],[SUPERVISOR]]="","",VLOOKUP(DATA_FEBRERO_2026[[#This Row],[ASER_]],$B:$G,6,0))</f>
        <v>52157</v>
      </c>
      <c r="Q10" s="6">
        <f>VLOOKUP(DATA_FEBRERO_2026[[#This Row],[ASER_]],D1_FEBRERO_2026[[ASESOR_CRR]:[META]],2,0)</f>
        <v>90000</v>
      </c>
      <c r="R10" t="s">
        <v>35</v>
      </c>
      <c r="S10">
        <v>0</v>
      </c>
      <c r="T10">
        <v>0</v>
      </c>
      <c r="U10">
        <v>1800</v>
      </c>
      <c r="V10">
        <v>14000</v>
      </c>
      <c r="W10">
        <v>688</v>
      </c>
      <c r="X10">
        <v>10400</v>
      </c>
      <c r="Y10">
        <v>1450</v>
      </c>
      <c r="Z10">
        <v>22200</v>
      </c>
      <c r="AA10">
        <v>1381</v>
      </c>
      <c r="AB10">
        <v>238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290940</v>
      </c>
      <c r="AR10" s="18">
        <f>IFERROR(DITE_FEBRERO_2026[[#This Row],[RECUPERO SUPERVISOR]]/DITE_FEBRERO_2026[[#This Row],[META SUPER]],"")</f>
        <v>0.53523629760860092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0.36799999999999999</v>
      </c>
      <c r="E11" s="36" t="str">
        <f>IFERROR(VLOOKUP(D1_FEBRERO_2026[[#This Row],[ASESOR_CRR]],PLANTILLA_ACTUAL[],2,0),"")</f>
        <v>SANDY</v>
      </c>
      <c r="F11" s="35" t="s">
        <v>13</v>
      </c>
      <c r="G11" s="37">
        <v>18400</v>
      </c>
      <c r="H11" s="35" t="str">
        <f>VLOOKUP(D1_FEBRERO_2026[[#This Row],[ASESOR_CRR]],DIM!$C:$E,2,0)</f>
        <v>72512391</v>
      </c>
      <c r="I11" s="66">
        <f>VLOOKUP(D1_FEBRERO_2026[[#This Row],[ASESOR_CRR]],DIM!$C:$E,3,0)</f>
        <v>44809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0.36022222222222222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KENNETH</v>
      </c>
      <c r="P11" s="6">
        <f>IF(DATA_FEBRERO_2026[[#This Row],[SUPERVISOR]]="","",VLOOKUP(DATA_FEBRERO_2026[[#This Row],[ASER_]],$B:$G,6,0))</f>
        <v>32420</v>
      </c>
      <c r="Q11" s="6">
        <f>VLOOKUP(DATA_FEBRERO_2026[[#This Row],[ASER_]],D1_FEBRERO_2026[[ASESOR_CRR]:[META]],2,0)</f>
        <v>90000</v>
      </c>
      <c r="R11" t="s">
        <v>78</v>
      </c>
      <c r="S11">
        <v>0</v>
      </c>
      <c r="T11">
        <v>10030</v>
      </c>
      <c r="U11">
        <v>600</v>
      </c>
      <c r="V11">
        <v>1803</v>
      </c>
      <c r="W11">
        <v>5100</v>
      </c>
      <c r="X11">
        <v>460</v>
      </c>
      <c r="Y11">
        <v>1740</v>
      </c>
      <c r="Z11">
        <v>2967</v>
      </c>
      <c r="AA11">
        <v>2220</v>
      </c>
      <c r="AB11">
        <v>7500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113128.4</v>
      </c>
      <c r="AR11" s="17">
        <f>IFERROR(DITE_FEBRERO_2026[[#This Row],[RECUPERO SUPERVISOR]]/DITE_FEBRERO_2026[[#This Row],[META SUPER]],"")</f>
        <v>0.5802557408328759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0.29399999999999998</v>
      </c>
      <c r="E12" s="36" t="str">
        <f>IFERROR(VLOOKUP(D1_FEBRERO_2026[[#This Row],[ASESOR_CRR]],PLANTILLA_ACTUAL[],2,0),"")</f>
        <v>SANDY</v>
      </c>
      <c r="F12" s="35" t="s">
        <v>65</v>
      </c>
      <c r="G12" s="37">
        <v>14700</v>
      </c>
      <c r="H12" s="35" t="str">
        <f>VLOOKUP(D1_FEBRERO_2026[[#This Row],[ASESOR_CRR]],DIM!$C:$E,2,0)</f>
        <v>47659267</v>
      </c>
      <c r="I12" s="66">
        <f>VLOOKUP(D1_FEBRERO_2026[[#This Row],[ASESOR_CRR]],DIM!$C:$E,3,0)</f>
        <v>45019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0.60366644444444451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&gt;40%</v>
      </c>
      <c r="O12" s="56" t="str">
        <f>IFERROR(VLOOKUP(DATA_FEBRERO_2026[[#This Row],[ASER_]],$B:$G,4,0),"")</f>
        <v>KENNETH</v>
      </c>
      <c r="P12" s="6">
        <f>IF(DATA_FEBRERO_2026[[#This Row],[SUPERVISOR]]="","",VLOOKUP(DATA_FEBRERO_2026[[#This Row],[ASER_]],$B:$G,6,0))</f>
        <v>54329.98</v>
      </c>
      <c r="Q12" s="6">
        <f>VLOOKUP(DATA_FEBRERO_2026[[#This Row],[ASER_]],D1_FEBRERO_2026[[ASESOR_CRR]:[META]],2,0)</f>
        <v>90000</v>
      </c>
      <c r="R12" t="s">
        <v>97</v>
      </c>
      <c r="S12">
        <v>959</v>
      </c>
      <c r="T12">
        <v>815</v>
      </c>
      <c r="U12">
        <v>920</v>
      </c>
      <c r="V12">
        <v>332.98</v>
      </c>
      <c r="W12">
        <v>0</v>
      </c>
      <c r="X12">
        <v>5700</v>
      </c>
      <c r="Y12">
        <v>15035</v>
      </c>
      <c r="Z12">
        <v>13540</v>
      </c>
      <c r="AA12">
        <v>4968</v>
      </c>
      <c r="AB12">
        <v>12060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260639.48</v>
      </c>
      <c r="AR12" s="18">
        <f>IFERROR(DITE_FEBRERO_2026[[#This Row],[RECUPERO SUPERVISOR]]/DITE_FEBRERO_2026[[#This Row],[META SUPER]],"")</f>
        <v>0.48262816595746261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0.27072000000000002</v>
      </c>
      <c r="E13" s="36" t="str">
        <f>IFERROR(VLOOKUP(D1_FEBRERO_2026[[#This Row],[ASESOR_CRR]],PLANTILLA_ACTUAL[],2,0),"")</f>
        <v>SANDY</v>
      </c>
      <c r="F13" s="35" t="s">
        <v>32</v>
      </c>
      <c r="G13" s="37">
        <v>13536</v>
      </c>
      <c r="H13" s="35" t="str">
        <f>VLOOKUP(D1_FEBRERO_2026[[#This Row],[ASESOR_CRR]],DIM!$C:$E,2,0)</f>
        <v>48584670</v>
      </c>
      <c r="I13" s="66">
        <f>VLOOKUP(D1_FEBRERO_2026[[#This Row],[ASESOR_CRR]],DIM!$C:$E,3,0)</f>
        <v>45526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0.76169811320754721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KENNETH</v>
      </c>
      <c r="P13" s="6">
        <f>IF(DATA_FEBRERO_2026[[#This Row],[SUPERVISOR]]="","",VLOOKUP(DATA_FEBRERO_2026[[#This Row],[ASER_]],$B:$G,6,0))</f>
        <v>20185</v>
      </c>
      <c r="Q13" s="6">
        <f>VLOOKUP(DATA_FEBRERO_2026[[#This Row],[ASER_]],D1_FEBRERO_2026[[ASESOR_CRR]:[META]],2,0)</f>
        <v>26500</v>
      </c>
      <c r="R13" t="s">
        <v>105</v>
      </c>
      <c r="S13">
        <v>0</v>
      </c>
      <c r="T13">
        <v>0</v>
      </c>
      <c r="U13">
        <v>650</v>
      </c>
      <c r="V13">
        <v>1000</v>
      </c>
      <c r="W13">
        <v>230</v>
      </c>
      <c r="X13">
        <v>3500</v>
      </c>
      <c r="Y13">
        <v>2200</v>
      </c>
      <c r="Z13">
        <v>0</v>
      </c>
      <c r="AA13">
        <v>12605</v>
      </c>
      <c r="AB13">
        <v>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110077</v>
      </c>
      <c r="AR13" s="17">
        <f>IFERROR(DITE_FEBRERO_2026[[#This Row],[RECUPERO SUPERVISOR]]/DITE_FEBRERO_2026[[#This Row],[META SUPER]],"")</f>
        <v>0.37330814700765425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0.26300000000000001</v>
      </c>
      <c r="E14" s="36" t="str">
        <f>IFERROR(VLOOKUP(D1_FEBRERO_2026[[#This Row],[ASESOR_CRR]],PLANTILLA_ACTUAL[],2,0),"")</f>
        <v>SANDY</v>
      </c>
      <c r="F14" s="35" t="s">
        <v>31</v>
      </c>
      <c r="G14" s="37">
        <v>13150</v>
      </c>
      <c r="H14" s="35" t="str">
        <f>VLOOKUP(D1_FEBRERO_2026[[#This Row],[ASESOR_CRR]],DIM!$C:$E,2,0)</f>
        <v>75882265</v>
      </c>
      <c r="I14" s="66">
        <f>VLOOKUP(D1_FEBRERO_2026[[#This Row],[ASESOR_CRR]],DIM!$C:$E,3,0)</f>
        <v>45334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0.56618867924528304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KENNETH</v>
      </c>
      <c r="P14" s="6">
        <f>IF(DATA_FEBRERO_2026[[#This Row],[SUPERVISOR]]="","",VLOOKUP(DATA_FEBRERO_2026[[#This Row],[ASER_]],$B:$G,6,0))</f>
        <v>15004</v>
      </c>
      <c r="Q14" s="6">
        <f>VLOOKUP(DATA_FEBRERO_2026[[#This Row],[ASER_]],D1_FEBRERO_2026[[ASESOR_CRR]:[META]],2,0)</f>
        <v>26500</v>
      </c>
      <c r="R14" t="s">
        <v>81</v>
      </c>
      <c r="S14">
        <v>0</v>
      </c>
      <c r="T14">
        <v>509</v>
      </c>
      <c r="U14">
        <v>0</v>
      </c>
      <c r="V14">
        <v>200</v>
      </c>
      <c r="W14">
        <v>290</v>
      </c>
      <c r="X14">
        <v>5000</v>
      </c>
      <c r="Y14">
        <v>5000</v>
      </c>
      <c r="Z14">
        <v>0</v>
      </c>
      <c r="AA14">
        <v>4005</v>
      </c>
      <c r="AB14">
        <v>0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0.14680000000000001</v>
      </c>
      <c r="E15" s="36" t="str">
        <f>IFERROR(VLOOKUP(D1_FEBRERO_2026[[#This Row],[ASESOR_CRR]],PLANTILLA_ACTUAL[],2,0),"")</f>
        <v>SANDY</v>
      </c>
      <c r="F15" s="35" t="s">
        <v>22</v>
      </c>
      <c r="G15" s="37">
        <v>7340</v>
      </c>
      <c r="H15" s="35" t="str">
        <f>VLOOKUP(D1_FEBRERO_2026[[#This Row],[ASESOR_CRR]],DIM!$C:$E,2,0)</f>
        <v>70551168</v>
      </c>
      <c r="I15" s="66">
        <f>VLOOKUP(D1_FEBRERO_2026[[#This Row],[ASESOR_CRR]],DIM!$C:$E,3,0)</f>
        <v>45295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0.58867924528301885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KENNETH</v>
      </c>
      <c r="P15" s="6">
        <f>IF(DATA_FEBRERO_2026[[#This Row],[SUPERVISOR]]="","",VLOOKUP(DATA_FEBRERO_2026[[#This Row],[ASER_]],$B:$G,6,0))</f>
        <v>15600</v>
      </c>
      <c r="Q15" s="6">
        <f>VLOOKUP(DATA_FEBRERO_2026[[#This Row],[ASER_]],D1_FEBRERO_2026[[ASESOR_CRR]:[META]],2,0)</f>
        <v>26500</v>
      </c>
      <c r="R15" t="s">
        <v>19</v>
      </c>
      <c r="S15">
        <v>0</v>
      </c>
      <c r="T15">
        <v>0</v>
      </c>
      <c r="U15">
        <v>100</v>
      </c>
      <c r="V15">
        <v>0</v>
      </c>
      <c r="W15">
        <v>0</v>
      </c>
      <c r="X15">
        <v>1100</v>
      </c>
      <c r="Y15">
        <v>14000</v>
      </c>
      <c r="Z15">
        <v>0</v>
      </c>
      <c r="AA15">
        <v>0</v>
      </c>
      <c r="AB15">
        <v>400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9.9000000000000005E-2</v>
      </c>
      <c r="E16" s="36" t="str">
        <f>IFERROR(VLOOKUP(D1_FEBRERO_2026[[#This Row],[ASESOR_CRR]],PLANTILLA_ACTUAL[],2,0),"")</f>
        <v>SANDY</v>
      </c>
      <c r="F16" s="35" t="s">
        <v>208</v>
      </c>
      <c r="G16" s="37">
        <v>4950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5.4528301886792453E-2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KENNETH</v>
      </c>
      <c r="P16" s="6">
        <f>IF(DATA_FEBRERO_2026[[#This Row],[SUPERVISOR]]="","",VLOOKUP(DATA_FEBRERO_2026[[#This Row],[ASER_]],$B:$G,6,0))</f>
        <v>1445</v>
      </c>
      <c r="Q16" s="6">
        <f>VLOOKUP(DATA_FEBRERO_2026[[#This Row],[ASER_]],D1_FEBRERO_2026[[ASESOR_CRR]:[META]],2,0)</f>
        <v>26500</v>
      </c>
      <c r="R16" t="s">
        <v>50</v>
      </c>
      <c r="S16">
        <v>300</v>
      </c>
      <c r="T16">
        <v>0</v>
      </c>
      <c r="U16">
        <v>0</v>
      </c>
      <c r="V16">
        <v>860</v>
      </c>
      <c r="W16">
        <v>0</v>
      </c>
      <c r="X16">
        <v>0</v>
      </c>
      <c r="Y16">
        <v>0</v>
      </c>
      <c r="Z16">
        <v>285</v>
      </c>
      <c r="AA16">
        <v>0</v>
      </c>
      <c r="AB16">
        <v>0</v>
      </c>
      <c r="AN16" t="str">
        <f>VLOOKUP($M$3&amp;$N$3&amp;DATA_FEBRERO_2026[[#This Row],[SUPERVISOR]],TablaMeta[],7,0)</f>
        <v>S0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0.05</v>
      </c>
      <c r="E17" s="36" t="str">
        <f>IFERROR(VLOOKUP(D1_FEBRERO_2026[[#This Row],[ASESOR_CRR]],PLANTILLA_ACTUAL[],2,0),"")</f>
        <v>SANDY</v>
      </c>
      <c r="F17" t="s">
        <v>396</v>
      </c>
      <c r="G17" s="3">
        <v>2500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0.49509433962264149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KENNETH</v>
      </c>
      <c r="P17" s="6">
        <f>IF(DATA_FEBRERO_2026[[#This Row],[SUPERVISOR]]="","",VLOOKUP(DATA_FEBRERO_2026[[#This Row],[ASER_]],$B:$G,6,0))</f>
        <v>13120</v>
      </c>
      <c r="Q17" s="6">
        <f>VLOOKUP(DATA_FEBRERO_2026[[#This Row],[ASER_]],D1_FEBRERO_2026[[ASESOR_CRR]:[META]],2,0)</f>
        <v>26500</v>
      </c>
      <c r="R17" t="s">
        <v>26</v>
      </c>
      <c r="S17">
        <v>0</v>
      </c>
      <c r="T17">
        <v>320</v>
      </c>
      <c r="U17">
        <v>8000</v>
      </c>
      <c r="V17">
        <v>0</v>
      </c>
      <c r="W17">
        <v>1500</v>
      </c>
      <c r="X17">
        <v>0</v>
      </c>
      <c r="Y17">
        <v>0</v>
      </c>
      <c r="Z17">
        <v>0</v>
      </c>
      <c r="AA17">
        <v>2900</v>
      </c>
      <c r="AB17">
        <v>400</v>
      </c>
      <c r="AN17" t="str">
        <f>VLOOKUP($M$3&amp;$N$3&amp;DATA_FEBRERO_2026[[#This Row],[SUPERVISOR]],TablaMeta[],7,0)</f>
        <v>S0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IF(D1_FEBRERO_2026[[#This Row],[RECUPERO]]="VACACIONES","VACACIONES",IFERROR(D1_FEBRERO_2026[[#This Row],[RECUPERO]]/D1_FEBRERO_2026[[#This Row],[META]],""))</f>
        <v>1.6132142857142857</v>
      </c>
      <c r="E18" s="36" t="str">
        <f>IFERROR(VLOOKUP(D1_FEBRERO_2026[[#This Row],[ASESOR_CRR]],PLANTILLA_ACTUAL[],2,0),"")</f>
        <v>JORGE</v>
      </c>
      <c r="F18" t="s">
        <v>79</v>
      </c>
      <c r="G18" s="3">
        <v>45170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3.6075471698113211E-2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IF(DATA_FEBRERO_2026[[#This Row],[SUPERVISOR]]="","",VLOOKUP(DATA_FEBRERO_2026[[#This Row],[ASER_]],$B:$G,6,0))</f>
        <v>956</v>
      </c>
      <c r="Q18" s="6">
        <f>VLOOKUP(DATA_FEBRERO_2026[[#This Row],[ASER_]],D1_FEBRERO_2026[[ASESOR_CRR]:[META]],2,0)</f>
        <v>26500</v>
      </c>
      <c r="R18" t="s">
        <v>80</v>
      </c>
      <c r="S18">
        <v>0</v>
      </c>
      <c r="T18">
        <v>256</v>
      </c>
      <c r="U18">
        <v>100</v>
      </c>
      <c r="V18">
        <v>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N18" t="str">
        <f>VLOOKUP($M$3&amp;$N$3&amp;DATA_FEBRERO_2026[[#This Row],[SUPERVISOR]],TablaMeta[],7,0)</f>
        <v>S0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IF(D1_FEBRERO_2026[[#This Row],[RECUPERO]]="VACACIONES","VACACIONES",IFERROR(D1_FEBRERO_2026[[#This Row],[RECUPERO]]/D1_FEBRERO_2026[[#This Row],[META]],""))</f>
        <v>0.68678571428571433</v>
      </c>
      <c r="E19" s="36" t="str">
        <f>IFERROR(VLOOKUP(D1_FEBRERO_2026[[#This Row],[ASESOR_CRR]],PLANTILLA_ACTUAL[],2,0),"")</f>
        <v>JORGE</v>
      </c>
      <c r="F19" t="s">
        <v>38</v>
      </c>
      <c r="G19" s="3">
        <v>19230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0.78056603773584909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&gt;70%</v>
      </c>
      <c r="O19" s="56" t="str">
        <f>IFERROR(VLOOKUP(DATA_FEBRERO_2026[[#This Row],[ASER_]],$B:$G,4,0),"")</f>
        <v>KENNETH</v>
      </c>
      <c r="P19" s="6">
        <f>IF(DATA_FEBRERO_2026[[#This Row],[SUPERVISOR]]="","",VLOOKUP(DATA_FEBRERO_2026[[#This Row],[ASER_]],$B:$G,6,0))</f>
        <v>20685</v>
      </c>
      <c r="Q19" s="6">
        <f>VLOOKUP(DATA_FEBRERO_2026[[#This Row],[ASER_]],D1_FEBRERO_2026[[ASESOR_CRR]:[META]],2,0)</f>
        <v>26500</v>
      </c>
      <c r="R19" t="s">
        <v>34</v>
      </c>
      <c r="S19">
        <v>0</v>
      </c>
      <c r="T19">
        <v>500</v>
      </c>
      <c r="U19">
        <v>0</v>
      </c>
      <c r="V19">
        <v>7550</v>
      </c>
      <c r="W19">
        <v>3510</v>
      </c>
      <c r="X19">
        <v>6050</v>
      </c>
      <c r="Y19">
        <v>0</v>
      </c>
      <c r="Z19">
        <v>0</v>
      </c>
      <c r="AA19">
        <v>0</v>
      </c>
      <c r="AB19">
        <v>3075</v>
      </c>
      <c r="AN19" t="str">
        <f>VLOOKUP($M$3&amp;$N$3&amp;DATA_FEBRERO_2026[[#This Row],[SUPERVISOR]],TablaMeta[],7,0)</f>
        <v>S0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0.57964285714285713</v>
      </c>
      <c r="E20" s="36" t="str">
        <f>IFERROR(VLOOKUP(D1_FEBRERO_2026[[#This Row],[ASESOR_CRR]],PLANTILLA_ACTUAL[],2,0),"")</f>
        <v>JORGE</v>
      </c>
      <c r="F20" t="s">
        <v>25</v>
      </c>
      <c r="G20" s="3">
        <v>16230</v>
      </c>
      <c r="H20" t="str">
        <f>VLOOKUP(D1_FEBRERO_2026[[#This Row],[ASESOR_CRR]],DIM!$C:$E,2,0)</f>
        <v>72373931</v>
      </c>
      <c r="I20" s="57">
        <f>VLOOKUP(D1_FEBRERO_2026[[#This Row],[ASESOR_CRR]],DIM!$C:$E,3,0)</f>
        <v>44818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1.5189999999999999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75950</v>
      </c>
      <c r="Q20" s="6">
        <f>VLOOKUP(DATA_FEBRERO_2026[[#This Row],[ASER_]],D1_FEBRERO_2026[[ASESOR_CRR]:[META]],2,0)</f>
        <v>50000</v>
      </c>
      <c r="R20" t="s">
        <v>59</v>
      </c>
      <c r="S20">
        <v>0</v>
      </c>
      <c r="T20">
        <v>13000</v>
      </c>
      <c r="U20">
        <v>9000</v>
      </c>
      <c r="V20">
        <v>20300</v>
      </c>
      <c r="W20">
        <v>0</v>
      </c>
      <c r="X20">
        <v>19500</v>
      </c>
      <c r="Y20">
        <v>2800</v>
      </c>
      <c r="Z20">
        <v>2000</v>
      </c>
      <c r="AA20">
        <v>0</v>
      </c>
      <c r="AB20">
        <v>9350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0.95184000000000002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&gt;70%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47592</v>
      </c>
      <c r="Q21" s="6">
        <f>VLOOKUP(DATA_FEBRERO_2026[[#This Row],[ASER_]],D1_FEBRERO_2026[[ASESOR_CRR]:[META]],2,0)</f>
        <v>50000</v>
      </c>
      <c r="R21" t="s">
        <v>60</v>
      </c>
      <c r="S21">
        <v>0</v>
      </c>
      <c r="T21">
        <v>0</v>
      </c>
      <c r="U21">
        <v>5000</v>
      </c>
      <c r="V21">
        <v>12000</v>
      </c>
      <c r="W21">
        <v>6300</v>
      </c>
      <c r="X21">
        <v>5700</v>
      </c>
      <c r="Y21">
        <v>392</v>
      </c>
      <c r="Z21">
        <v>200</v>
      </c>
      <c r="AA21">
        <v>3000</v>
      </c>
      <c r="AB21">
        <v>15000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0.34071428571428569</v>
      </c>
      <c r="E22" s="36" t="str">
        <f>IFERROR(VLOOKUP(D1_FEBRERO_2026[[#This Row],[ASESOR_CRR]],PLANTILLA_ACTUAL[],2,0),"")</f>
        <v>JORGE</v>
      </c>
      <c r="F22" t="s">
        <v>42</v>
      </c>
      <c r="G22" s="3">
        <v>9540</v>
      </c>
      <c r="H22" t="str">
        <f>VLOOKUP(D1_FEBRERO_2026[[#This Row],[ASESOR_CRR]],DIM!$C:$E,2,0)</f>
        <v>73725129</v>
      </c>
      <c r="I22" s="57">
        <f>VLOOKUP(D1_FEBRERO_2026[[#This Row],[ASESOR_CRR]],DIM!$C:$E,3,0)</f>
        <v>45398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0.57899999999999996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28950</v>
      </c>
      <c r="Q22" s="6">
        <f>VLOOKUP(DATA_FEBRERO_2026[[#This Row],[ASER_]],D1_FEBRERO_2026[[ASESOR_CRR]:[META]],2,0)</f>
        <v>50000</v>
      </c>
      <c r="R22" t="s">
        <v>75</v>
      </c>
      <c r="S22" s="48">
        <v>0</v>
      </c>
      <c r="T22">
        <v>0</v>
      </c>
      <c r="U22">
        <v>4500</v>
      </c>
      <c r="V22">
        <v>1900</v>
      </c>
      <c r="W22">
        <v>6200</v>
      </c>
      <c r="X22">
        <v>0</v>
      </c>
      <c r="Y22">
        <v>1850</v>
      </c>
      <c r="Z22">
        <v>3000</v>
      </c>
      <c r="AA22">
        <v>10500</v>
      </c>
      <c r="AB22">
        <v>1000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0.32565714285714287</v>
      </c>
      <c r="E23" s="36" t="str">
        <f>IFERROR(VLOOKUP(D1_FEBRERO_2026[[#This Row],[ASESOR_CRR]],PLANTILLA_ACTUAL[],2,0),"")</f>
        <v>JORGE</v>
      </c>
      <c r="F23" t="s">
        <v>29</v>
      </c>
      <c r="G23" s="3">
        <v>9118.4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0.13420000000000001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6710</v>
      </c>
      <c r="Q23" s="6">
        <f>VLOOKUP(DATA_FEBRERO_2026[[#This Row],[ASER_]],D1_FEBRERO_2026[[ASESOR_CRR]:[META]],2,0)</f>
        <v>50000</v>
      </c>
      <c r="R23" t="s">
        <v>10</v>
      </c>
      <c r="S23" s="48">
        <v>500</v>
      </c>
      <c r="T23">
        <v>0</v>
      </c>
      <c r="U23">
        <v>3000</v>
      </c>
      <c r="V23">
        <v>1210</v>
      </c>
      <c r="W23">
        <v>0</v>
      </c>
      <c r="X23">
        <v>0</v>
      </c>
      <c r="Y23">
        <v>0</v>
      </c>
      <c r="Z23">
        <v>0</v>
      </c>
      <c r="AA23">
        <v>2000</v>
      </c>
      <c r="AB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0.15571428571428572</v>
      </c>
      <c r="E24" s="36" t="str">
        <f>IFERROR(VLOOKUP(D1_FEBRERO_2026[[#This Row],[ASESOR_CRR]],PLANTILLA_ACTUAL[],2,0),"")</f>
        <v>JORGE</v>
      </c>
      <c r="F24" t="s">
        <v>15</v>
      </c>
      <c r="G24" s="3">
        <v>4360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0.56699999999999995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28350</v>
      </c>
      <c r="Q24" s="6">
        <f>VLOOKUP(DATA_FEBRERO_2026[[#This Row],[ASER_]],D1_FEBRERO_2026[[ASESOR_CRR]:[META]],2,0)</f>
        <v>50000</v>
      </c>
      <c r="R24" t="s">
        <v>12</v>
      </c>
      <c r="S24" s="48">
        <v>0</v>
      </c>
      <c r="T24">
        <v>400</v>
      </c>
      <c r="U24">
        <v>0</v>
      </c>
      <c r="V24">
        <v>0</v>
      </c>
      <c r="W24">
        <v>0</v>
      </c>
      <c r="X24">
        <v>6000</v>
      </c>
      <c r="Y24">
        <v>5700</v>
      </c>
      <c r="Z24">
        <v>15900</v>
      </c>
      <c r="AA24">
        <v>350</v>
      </c>
      <c r="AB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0.83765957446808514</v>
      </c>
      <c r="E25" s="36" t="str">
        <f>IFERROR(VLOOKUP(D1_FEBRERO_2026[[#This Row],[ASESOR_CRR]],PLANTILLA_ACTUAL[],2,0),"")</f>
        <v>GUSTAVO</v>
      </c>
      <c r="F25" t="s">
        <v>58</v>
      </c>
      <c r="G25" s="3">
        <v>19685</v>
      </c>
      <c r="H25" t="str">
        <f>VLOOKUP(D1_FEBRERO_2026[[#This Row],[ASESOR_CRR]],DIM!$C:$E,2,0)</f>
        <v>72519113</v>
      </c>
      <c r="I25" s="57">
        <f>VLOOKUP(D1_FEBRERO_2026[[#This Row],[ASESOR_CRR]],DIM!$C:$E,3,0)</f>
        <v>43119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0.42680000000000001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21340</v>
      </c>
      <c r="Q25" s="6">
        <f>VLOOKUP(DATA_FEBRERO_2026[[#This Row],[ASER_]],D1_FEBRERO_2026[[ASESOR_CRR]:[META]],2,0)</f>
        <v>50000</v>
      </c>
      <c r="R25" t="s">
        <v>18</v>
      </c>
      <c r="S25">
        <v>0</v>
      </c>
      <c r="T25">
        <v>4000</v>
      </c>
      <c r="U25">
        <v>2000</v>
      </c>
      <c r="V25">
        <v>0</v>
      </c>
      <c r="W25">
        <v>5350</v>
      </c>
      <c r="X25">
        <v>8340</v>
      </c>
      <c r="Y25">
        <v>0</v>
      </c>
      <c r="Z25">
        <v>0</v>
      </c>
      <c r="AA25">
        <v>600</v>
      </c>
      <c r="AB25">
        <v>1050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GUSTAVO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6" s="36">
        <f>IF(D1_FEBRERO_2026[[#This Row],[RECUPERO]]="VACACIONES","VACACIONES",IFERROR(D1_FEBRERO_2026[[#This Row],[RECUPERO]]/D1_FEBRERO_2026[[#This Row],[META]],""))</f>
        <v>0.80297872340425536</v>
      </c>
      <c r="E26" s="36" t="str">
        <f>IFERROR(VLOOKUP(D1_FEBRERO_2026[[#This Row],[ASESOR_CRR]],PLANTILLA_ACTUAL[],2,0),"")</f>
        <v>GUSTAVO</v>
      </c>
      <c r="F26" t="s">
        <v>174</v>
      </c>
      <c r="G26" s="3">
        <v>18870</v>
      </c>
      <c r="H26" t="str">
        <f>VLOOKUP(D1_FEBRERO_2026[[#This Row],[ASESOR_CRR]],DIM!$C:$E,2,0)</f>
        <v>46994661</v>
      </c>
      <c r="I26" s="57">
        <f>VLOOKUP(D1_FEBRERO_2026[[#This Row],[ASESOR_CRR]],DIM!$C:$E,3,0)</f>
        <v>45992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0.50060000000000004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25030</v>
      </c>
      <c r="Q26" s="6">
        <f>VLOOKUP(DATA_FEBRERO_2026[[#This Row],[ASER_]],D1_FEBRERO_2026[[ASESOR_CRR]:[META]],2,0)</f>
        <v>50000</v>
      </c>
      <c r="R26" t="s">
        <v>122</v>
      </c>
      <c r="S26">
        <v>3500</v>
      </c>
      <c r="T26">
        <v>2630</v>
      </c>
      <c r="U26">
        <v>0</v>
      </c>
      <c r="V26">
        <v>0</v>
      </c>
      <c r="W26">
        <v>10900</v>
      </c>
      <c r="X26">
        <v>8000</v>
      </c>
      <c r="Y26">
        <v>0</v>
      </c>
      <c r="Z26">
        <v>0</v>
      </c>
      <c r="AA26">
        <v>0</v>
      </c>
      <c r="AB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GUSTAVO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7" s="36">
        <f>IF(D1_FEBRERO_2026[[#This Row],[RECUPERO]]="VACACIONES","VACACIONES",IFERROR(D1_FEBRERO_2026[[#This Row],[RECUPERO]]/D1_FEBRERO_2026[[#This Row],[META]],""))</f>
        <v>0.58510638297872342</v>
      </c>
      <c r="E27" s="36" t="str">
        <f>IFERROR(VLOOKUP(D1_FEBRERO_2026[[#This Row],[ASESOR_CRR]],PLANTILLA_ACTUAL[],2,0),"")</f>
        <v>GUSTAVO</v>
      </c>
      <c r="F27" t="s">
        <v>49</v>
      </c>
      <c r="G27" s="3">
        <v>13750</v>
      </c>
      <c r="H27" t="str">
        <f>VLOOKUP(D1_FEBRERO_2026[[#This Row],[ASESOR_CRR]],DIM!$C:$E,2,0)</f>
        <v>40702064</v>
      </c>
      <c r="I27" s="57">
        <f>VLOOKUP(D1_FEBRERO_2026[[#This Row],[ASESOR_CRR]],DIM!$C:$E,3,0)</f>
        <v>43313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9.5399999999999999E-2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4770</v>
      </c>
      <c r="Q27" s="6">
        <f>VLOOKUP(DATA_FEBRERO_2026[[#This Row],[ASER_]],D1_FEBRERO_2026[[ASESOR_CRR]:[META]],2,0)</f>
        <v>50000</v>
      </c>
      <c r="R27" t="s">
        <v>207</v>
      </c>
      <c r="S27" s="46">
        <v>0</v>
      </c>
      <c r="T27">
        <v>0</v>
      </c>
      <c r="U27">
        <v>3500</v>
      </c>
      <c r="V27">
        <v>770</v>
      </c>
      <c r="W27">
        <v>0</v>
      </c>
      <c r="X27">
        <v>0</v>
      </c>
      <c r="Y27">
        <v>0</v>
      </c>
      <c r="Z27">
        <v>500</v>
      </c>
      <c r="AA27">
        <v>0</v>
      </c>
      <c r="AB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GUSTAVO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8" s="36">
        <f>IF(D1_FEBRERO_2026[[#This Row],[RECUPERO]]="VACACIONES","VACACIONES",IFERROR(D1_FEBRERO_2026[[#This Row],[RECUPERO]]/D1_FEBRERO_2026[[#This Row],[META]],""))</f>
        <v>0.52595744680851064</v>
      </c>
      <c r="E28" s="36" t="str">
        <f>IFERROR(VLOOKUP(D1_FEBRERO_2026[[#This Row],[ASESOR_CRR]],PLANTILLA_ACTUAL[],2,0),"")</f>
        <v>GUSTAVO</v>
      </c>
      <c r="F28" t="s">
        <v>51</v>
      </c>
      <c r="G28" s="3">
        <v>12360</v>
      </c>
      <c r="H28" t="str">
        <f>VLOOKUP(D1_FEBRERO_2026[[#This Row],[ASESOR_CRR]],DIM!$C:$E,2,0)</f>
        <v>76089925</v>
      </c>
      <c r="I28" s="57">
        <f>VLOOKUP(D1_FEBRERO_2026[[#This Row],[ASESOR_CRR]],DIM!$C:$E,3,0)</f>
        <v>45678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0.126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6300</v>
      </c>
      <c r="Q28" s="6">
        <f>VLOOKUP(DATA_FEBRERO_2026[[#This Row],[ASER_]],D1_FEBRERO_2026[[ASESOR_CRR]:[META]],2,0)</f>
        <v>50000</v>
      </c>
      <c r="R28" t="s">
        <v>109</v>
      </c>
      <c r="S28" s="46">
        <v>0</v>
      </c>
      <c r="T28">
        <v>0</v>
      </c>
      <c r="U28">
        <v>0</v>
      </c>
      <c r="V28">
        <v>1000</v>
      </c>
      <c r="W28">
        <v>4000</v>
      </c>
      <c r="X28">
        <v>0</v>
      </c>
      <c r="Y28">
        <v>0</v>
      </c>
      <c r="Z28">
        <v>0</v>
      </c>
      <c r="AA28">
        <v>0</v>
      </c>
      <c r="AB28">
        <v>1300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0.48025531914893616</v>
      </c>
      <c r="E29" s="36" t="str">
        <f>IFERROR(VLOOKUP(D1_FEBRERO_2026[[#This Row],[ASESOR_CRR]],PLANTILLA_ACTUAL[],2,0),"")</f>
        <v>GUSTAVO</v>
      </c>
      <c r="F29" t="s">
        <v>513</v>
      </c>
      <c r="G29" s="3">
        <v>11286</v>
      </c>
      <c r="H29" t="str">
        <f>VLOOKUP(D1_FEBRERO_2026[[#This Row],[ASESOR_CRR]],DIM!$C:$E,2,0)</f>
        <v>75026229</v>
      </c>
      <c r="I29" s="57">
        <f>VLOOKUP(D1_FEBRERO_2026[[#This Row],[ASESOR_CRR]],DIM!$C:$E,3,0)</f>
        <v>46052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0.31375999999999998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15688</v>
      </c>
      <c r="Q29" s="6">
        <f>VLOOKUP(DATA_FEBRERO_2026[[#This Row],[ASER_]],D1_FEBRERO_2026[[ASESOR_CRR]:[META]],2,0)</f>
        <v>50000</v>
      </c>
      <c r="R29" t="s">
        <v>61</v>
      </c>
      <c r="S29" s="46">
        <v>438</v>
      </c>
      <c r="T29">
        <v>0</v>
      </c>
      <c r="U29">
        <v>9000</v>
      </c>
      <c r="V29">
        <v>2550</v>
      </c>
      <c r="W29">
        <v>0</v>
      </c>
      <c r="X29">
        <v>500</v>
      </c>
      <c r="Y29">
        <v>0</v>
      </c>
      <c r="Z29">
        <v>2000</v>
      </c>
      <c r="AA29">
        <v>0</v>
      </c>
      <c r="AB29">
        <v>1200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GUSTAVO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0" s="36">
        <f>IF(D1_FEBRERO_2026[[#This Row],[RECUPERO]]="VACACIONES","VACACIONES",IFERROR(D1_FEBRERO_2026[[#This Row],[RECUPERO]]/D1_FEBRERO_2026[[#This Row],[META]],""))</f>
        <v>0.4451063829787234</v>
      </c>
      <c r="E30" s="36" t="str">
        <f>IFERROR(VLOOKUP(D1_FEBRERO_2026[[#This Row],[ASESOR_CRR]],PLANTILLA_ACTUAL[],2,0),"")</f>
        <v>GUSTAVO</v>
      </c>
      <c r="F30" t="s">
        <v>48</v>
      </c>
      <c r="G30" s="3">
        <v>10460</v>
      </c>
      <c r="H30" t="str">
        <f>VLOOKUP(D1_FEBRERO_2026[[#This Row],[ASESOR_CRR]],DIM!$C:$E,2,0)</f>
        <v>43307898</v>
      </c>
      <c r="I30" s="57">
        <f>VLOOKUP(D1_FEBRERO_2026[[#This Row],[ASESOR_CRR]],DIM!$C:$E,3,0)</f>
        <v>44746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0.14799999999999999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7400</v>
      </c>
      <c r="Q30" s="6">
        <f>VLOOKUP(DATA_FEBRERO_2026[[#This Row],[ASER_]],D1_FEBRERO_2026[[ASESOR_CRR]:[META]],2,0)</f>
        <v>50000</v>
      </c>
      <c r="R30" t="s">
        <v>85</v>
      </c>
      <c r="S30" s="46">
        <v>0</v>
      </c>
      <c r="T30">
        <v>1500</v>
      </c>
      <c r="U30">
        <v>0</v>
      </c>
      <c r="V30">
        <v>0</v>
      </c>
      <c r="W30">
        <v>0</v>
      </c>
      <c r="X30">
        <v>3500</v>
      </c>
      <c r="Y30">
        <v>0</v>
      </c>
      <c r="Z30">
        <v>2100</v>
      </c>
      <c r="AA30">
        <v>300</v>
      </c>
      <c r="AB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GUSTAVO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1" s="36">
        <f>IF(D1_FEBRERO_2026[[#This Row],[RECUPERO]]="VACACIONES","VACACIONES",IFERROR(D1_FEBRERO_2026[[#This Row],[RECUPERO]]/D1_FEBRERO_2026[[#This Row],[META]],""))</f>
        <v>0.37629787234042555</v>
      </c>
      <c r="E31" s="36" t="str">
        <f>IFERROR(VLOOKUP(D1_FEBRERO_2026[[#This Row],[ASESOR_CRR]],PLANTILLA_ACTUAL[],2,0),"")</f>
        <v>GUSTAVO</v>
      </c>
      <c r="F31" t="s">
        <v>515</v>
      </c>
      <c r="G31" s="3">
        <v>8843</v>
      </c>
      <c r="H31" t="str">
        <f>VLOOKUP(D1_FEBRERO_2026[[#This Row],[ASESOR_CRR]],DIM!$C:$E,2,0)</f>
        <v>62792399</v>
      </c>
      <c r="I31" s="57">
        <f>VLOOKUP(D1_FEBRERO_2026[[#This Row],[ASESOR_CRR]],DIM!$C:$E,3,0)</f>
        <v>46052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0.83765957446808514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19685</v>
      </c>
      <c r="Q31" s="6">
        <f>VLOOKUP(DATA_FEBRERO_2026[[#This Row],[ASER_]],D1_FEBRERO_2026[[ASESOR_CRR]:[META]],2,0)</f>
        <v>23500</v>
      </c>
      <c r="R31" t="s">
        <v>58</v>
      </c>
      <c r="S31" s="46">
        <v>0</v>
      </c>
      <c r="T31">
        <v>0</v>
      </c>
      <c r="U31">
        <v>280</v>
      </c>
      <c r="V31">
        <v>10100</v>
      </c>
      <c r="W31">
        <v>205</v>
      </c>
      <c r="X31">
        <v>0</v>
      </c>
      <c r="Y31">
        <v>7000</v>
      </c>
      <c r="Z31">
        <v>0</v>
      </c>
      <c r="AA31">
        <v>1500</v>
      </c>
      <c r="AB31">
        <v>600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GUSTAVO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2" s="36">
        <f>IF(D1_FEBRERO_2026[[#This Row],[RECUPERO]]="VACACIONES","VACACIONES",IFERROR(D1_FEBRERO_2026[[#This Row],[RECUPERO]]/D1_FEBRERO_2026[[#This Row],[META]],""))</f>
        <v>0.21063829787234042</v>
      </c>
      <c r="E32" s="36" t="str">
        <f>IFERROR(VLOOKUP(D1_FEBRERO_2026[[#This Row],[ASESOR_CRR]],PLANTILLA_ACTUAL[],2,0),"")</f>
        <v>GUSTAVO</v>
      </c>
      <c r="F32" t="s">
        <v>73</v>
      </c>
      <c r="G32" s="3">
        <v>4950</v>
      </c>
      <c r="H32" t="str">
        <f>VLOOKUP(D1_FEBRERO_2026[[#This Row],[ASESOR_CRR]],DIM!$C:$E,2,0)</f>
        <v>40318129</v>
      </c>
      <c r="I32" s="57">
        <f>VLOOKUP(D1_FEBRERO_2026[[#This Row],[ASESOR_CRR]],DIM!$C:$E,3,0)</f>
        <v>45141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0.37629787234042555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GUSTAVO</v>
      </c>
      <c r="P32" s="6">
        <f>IF(DATA_FEBRERO_2026[[#This Row],[SUPERVISOR]]="","",VLOOKUP(DATA_FEBRERO_2026[[#This Row],[ASER_]],$B:$G,6,0))</f>
        <v>8843</v>
      </c>
      <c r="Q32" s="6">
        <f>VLOOKUP(DATA_FEBRERO_2026[[#This Row],[ASER_]],D1_FEBRERO_2026[[ASESOR_CRR]:[META]],2,0)</f>
        <v>23500</v>
      </c>
      <c r="R32" t="s">
        <v>515</v>
      </c>
      <c r="S32">
        <v>1108</v>
      </c>
      <c r="T32">
        <v>750</v>
      </c>
      <c r="U32">
        <v>1800</v>
      </c>
      <c r="V32">
        <v>180</v>
      </c>
      <c r="W32">
        <v>0</v>
      </c>
      <c r="X32">
        <v>275</v>
      </c>
      <c r="Y32">
        <v>115</v>
      </c>
      <c r="Z32">
        <v>790</v>
      </c>
      <c r="AA32">
        <v>2500</v>
      </c>
      <c r="AB32">
        <v>1325</v>
      </c>
      <c r="AN32" t="str">
        <f>VLOOKUP($M$3&amp;$N$3&amp;DATA_FEBRERO_2026[[#This Row],[SUPERVISOR]],TablaMeta[],7,0)</f>
        <v>S2-3-4</v>
      </c>
    </row>
    <row r="33" spans="1:40" x14ac:dyDescent="0.25">
      <c r="A33" s="35" t="str">
        <f>IFERROR(VLOOKUP(D1_FEBRERO_2026[[#This Row],[ASESOR_CRR]],PLANTILLA_ACTUAL[],2,0),"")</f>
        <v>GUSTAVO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3" s="36">
        <f>IF(D1_FEBRERO_2026[[#This Row],[RECUPERO]]="VACACIONES","VACACIONES",IFERROR(D1_FEBRERO_2026[[#This Row],[RECUPERO]]/D1_FEBRERO_2026[[#This Row],[META]],""))</f>
        <v>0.15140425531914894</v>
      </c>
      <c r="E33" s="36" t="str">
        <f>IFERROR(VLOOKUP(D1_FEBRERO_2026[[#This Row],[ASESOR_CRR]],PLANTILLA_ACTUAL[],2,0),"")</f>
        <v>GUSTAVO</v>
      </c>
      <c r="F33" t="s">
        <v>77</v>
      </c>
      <c r="G33" s="3">
        <v>3558</v>
      </c>
      <c r="H33" t="str">
        <f>VLOOKUP(D1_FEBRERO_2026[[#This Row],[ASESOR_CRR]],DIM!$C:$E,2,0)</f>
        <v>42251780</v>
      </c>
      <c r="I33" s="57">
        <f>VLOOKUP(D1_FEBRERO_2026[[#This Row],[ASESOR_CRR]],DIM!$C:$E,3,0)</f>
        <v>44838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0.48025531914893616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GUSTAVO</v>
      </c>
      <c r="P33" s="6">
        <f>IF(DATA_FEBRERO_2026[[#This Row],[SUPERVISOR]]="","",VLOOKUP(DATA_FEBRERO_2026[[#This Row],[ASER_]],$B:$G,6,0))</f>
        <v>11286</v>
      </c>
      <c r="Q33" s="6">
        <f>VLOOKUP(DATA_FEBRERO_2026[[#This Row],[ASER_]],D1_FEBRERO_2026[[ASESOR_CRR]:[META]],2,0)</f>
        <v>23500</v>
      </c>
      <c r="R33" t="s">
        <v>513</v>
      </c>
      <c r="S33">
        <v>0</v>
      </c>
      <c r="T33">
        <v>0</v>
      </c>
      <c r="U33">
        <v>0</v>
      </c>
      <c r="V33">
        <v>1436</v>
      </c>
      <c r="W33">
        <v>500</v>
      </c>
      <c r="X33">
        <v>600</v>
      </c>
      <c r="Y33">
        <v>3700</v>
      </c>
      <c r="Z33">
        <v>1250</v>
      </c>
      <c r="AA33">
        <v>0</v>
      </c>
      <c r="AB33">
        <v>3800</v>
      </c>
      <c r="AN33" t="str">
        <f>VLOOKUP($M$3&amp;$N$3&amp;DATA_FEBRERO_2026[[#This Row],[SUPERVISOR]],TablaMeta[],7,0)</f>
        <v>S2-3-4</v>
      </c>
    </row>
    <row r="34" spans="1:40" x14ac:dyDescent="0.25">
      <c r="A34" s="35" t="str">
        <f>IFERROR(VLOOKUP(D1_FEBRERO_2026[[#This Row],[ASESOR_CRR]],PLANTILLA_ACTUAL[],2,0),"")</f>
        <v>GUSTAVO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4" s="36">
        <f>IF(D1_FEBRERO_2026[[#This Row],[RECUPERO]]="VACACIONES","VACACIONES",IFERROR(D1_FEBRERO_2026[[#This Row],[RECUPERO]]/D1_FEBRERO_2026[[#This Row],[META]],""))</f>
        <v>0.11914893617021277</v>
      </c>
      <c r="E34" s="36" t="str">
        <f>IFERROR(VLOOKUP(D1_FEBRERO_2026[[#This Row],[ASESOR_CRR]],PLANTILLA_ACTUAL[],2,0),"")</f>
        <v>GUSTAVO</v>
      </c>
      <c r="F34" t="s">
        <v>568</v>
      </c>
      <c r="G34" s="3">
        <v>2800</v>
      </c>
      <c r="H34" t="str">
        <f>VLOOKUP(D1_FEBRERO_2026[[#This Row],[ASESOR_CRR]],DIM!$C:$E,2,0)</f>
        <v>75197920</v>
      </c>
      <c r="I34" s="57">
        <f>VLOOKUP(D1_FEBRERO_2026[[#This Row],[ASESOR_CRR]],DIM!$C:$E,3,0)</f>
        <v>46055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0.80297872340425536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GUSTAVO</v>
      </c>
      <c r="P34" s="6">
        <f>IF(DATA_FEBRERO_2026[[#This Row],[SUPERVISOR]]="","",VLOOKUP(DATA_FEBRERO_2026[[#This Row],[ASER_]],$B:$G,6,0))</f>
        <v>18870</v>
      </c>
      <c r="Q34" s="6">
        <f>VLOOKUP(DATA_FEBRERO_2026[[#This Row],[ASER_]],D1_FEBRERO_2026[[ASESOR_CRR]:[META]],2,0)</f>
        <v>23500</v>
      </c>
      <c r="R34" t="s">
        <v>174</v>
      </c>
      <c r="S34">
        <v>0</v>
      </c>
      <c r="T34">
        <v>0</v>
      </c>
      <c r="U34">
        <v>0</v>
      </c>
      <c r="V34">
        <v>300</v>
      </c>
      <c r="W34">
        <v>0</v>
      </c>
      <c r="X34">
        <v>0</v>
      </c>
      <c r="Y34">
        <v>2830</v>
      </c>
      <c r="Z34">
        <v>2220</v>
      </c>
      <c r="AA34">
        <v>0</v>
      </c>
      <c r="AB34">
        <v>13520</v>
      </c>
      <c r="AN34" t="str">
        <f>VLOOKUP($M$3&amp;$N$3&amp;DATA_FEBRERO_2026[[#This Row],[SUPERVISOR]],TablaMeta[],7,0)</f>
        <v>S2-3-4</v>
      </c>
    </row>
    <row r="35" spans="1:40" x14ac:dyDescent="0.25">
      <c r="A35" s="35" t="str">
        <f>IFERROR(VLOOKUP(D1_FEBRERO_2026[[#This Row],[ASESOR_CRR]],PLANTILLA_ACTUAL[],2,0),"")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8.9148936170212773E-2</v>
      </c>
      <c r="E35" s="36" t="str">
        <f>IFERROR(VLOOKUP(D1_FEBRERO_2026[[#This Row],[ASESOR_CRR]],PLANTILLA_ACTUAL[],2,0),"")</f>
        <v>GUSTAVO</v>
      </c>
      <c r="F35" t="s">
        <v>55</v>
      </c>
      <c r="G35" s="3">
        <v>2095</v>
      </c>
      <c r="H35" t="str">
        <f>VLOOKUP(D1_FEBRERO_2026[[#This Row],[ASESOR_CRR]],DIM!$C:$E,2,0)</f>
        <v>45119892</v>
      </c>
      <c r="I35" s="57">
        <f>VLOOKUP(D1_FEBRERO_2026[[#This Row],[ASESOR_CRR]],DIM!$C:$E,3,0)</f>
        <v>45813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0.58510638297872342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GUSTAVO</v>
      </c>
      <c r="P35" s="6">
        <f>IF(DATA_FEBRERO_2026[[#This Row],[SUPERVISOR]]="","",VLOOKUP(DATA_FEBRERO_2026[[#This Row],[ASER_]],$B:$G,6,0))</f>
        <v>13750</v>
      </c>
      <c r="Q35" s="6">
        <f>VLOOKUP(DATA_FEBRERO_2026[[#This Row],[ASER_]],D1_FEBRERO_2026[[ASESOR_CRR]:[META]],2,0)</f>
        <v>23500</v>
      </c>
      <c r="R35" t="s">
        <v>49</v>
      </c>
      <c r="S35">
        <v>0</v>
      </c>
      <c r="T35">
        <v>0</v>
      </c>
      <c r="U35">
        <v>500</v>
      </c>
      <c r="V35">
        <v>400</v>
      </c>
      <c r="W35">
        <v>4500</v>
      </c>
      <c r="X35">
        <v>0</v>
      </c>
      <c r="Y35">
        <v>2000</v>
      </c>
      <c r="Z35">
        <v>730</v>
      </c>
      <c r="AA35">
        <v>0</v>
      </c>
      <c r="AB35">
        <v>5620</v>
      </c>
      <c r="AN35" t="str">
        <f>VLOOKUP($M$3&amp;$N$3&amp;DATA_FEBRERO_2026[[#This Row],[SUPERVISOR]],TablaMeta[],7,0)</f>
        <v>S2-3-4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0</v>
      </c>
      <c r="E36" s="36" t="str">
        <f>IFERROR(VLOOKUP(D1_FEBRERO_2026[[#This Row],[ASESOR_CRR]],PLANTILLA_ACTUAL[],2,0),"")</f>
        <v>GUSTAVO</v>
      </c>
      <c r="F36" t="s">
        <v>575</v>
      </c>
      <c r="G36" s="3">
        <v>0</v>
      </c>
      <c r="H36" t="str">
        <f>VLOOKUP(D1_FEBRERO_2026[[#This Row],[ASESOR_CRR]],DIM!$C:$E,2,0)</f>
        <v>73233992 </v>
      </c>
      <c r="I36" s="57">
        <f>VLOOKUP(D1_FEBRERO_2026[[#This Row],[ASESOR_CRR]],DIM!$C:$E,3,0)</f>
        <v>46065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0.11914893617021277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IF(DATA_FEBRERO_2026[[#This Row],[SUPERVISOR]]="","",VLOOKUP(DATA_FEBRERO_2026[[#This Row],[ASER_]],$B:$G,6,0))</f>
        <v>2800</v>
      </c>
      <c r="Q36" s="6">
        <f>VLOOKUP(DATA_FEBRERO_2026[[#This Row],[ASER_]],D1_FEBRERO_2026[[ASESOR_CRR]:[META]],2,0)</f>
        <v>23500</v>
      </c>
      <c r="R36" t="s">
        <v>568</v>
      </c>
      <c r="S36">
        <v>0</v>
      </c>
      <c r="T36">
        <v>0</v>
      </c>
      <c r="U36">
        <v>0</v>
      </c>
      <c r="V36">
        <v>1000</v>
      </c>
      <c r="W36">
        <v>1100</v>
      </c>
      <c r="X36">
        <v>0</v>
      </c>
      <c r="Y36">
        <v>700</v>
      </c>
      <c r="Z36">
        <v>0</v>
      </c>
      <c r="AA36">
        <v>0</v>
      </c>
      <c r="AB36">
        <v>0</v>
      </c>
      <c r="AN36" t="str">
        <f>VLOOKUP($M$3&amp;$N$3&amp;DATA_FEBRERO_2026[[#This Row],[SUPERVISOR]],TablaMeta[],7,0)</f>
        <v>S2-3-4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1.5189999999999999</v>
      </c>
      <c r="E37" s="36" t="str">
        <f>IFERROR(VLOOKUP(D1_FEBRERO_2026[[#This Row],[ASESOR_CRR]],PLANTILLA_ACTUAL[],2,0),"")</f>
        <v>JOHAN</v>
      </c>
      <c r="F37" t="s">
        <v>59</v>
      </c>
      <c r="G37" s="3">
        <v>75950</v>
      </c>
      <c r="H37" t="str">
        <f>VLOOKUP(D1_FEBRERO_2026[[#This Row],[ASESOR_CRR]],DIM!$C:$E,2,0)</f>
        <v>60870839</v>
      </c>
      <c r="I37" s="57">
        <f>VLOOKUP(D1_FEBRERO_2026[[#This Row],[ASESOR_CRR]],DIM!$C:$E,3,0)</f>
        <v>45344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0.4451063829787234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GUSTAVO</v>
      </c>
      <c r="P37" s="6">
        <f>IF(DATA_FEBRERO_2026[[#This Row],[SUPERVISOR]]="","",VLOOKUP(DATA_FEBRERO_2026[[#This Row],[ASER_]],$B:$G,6,0))</f>
        <v>10460</v>
      </c>
      <c r="Q37" s="6">
        <f>VLOOKUP(DATA_FEBRERO_2026[[#This Row],[ASER_]],D1_FEBRERO_2026[[ASESOR_CRR]:[META]],2,0)</f>
        <v>23500</v>
      </c>
      <c r="R37" t="s">
        <v>48</v>
      </c>
      <c r="S37">
        <v>300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4160</v>
      </c>
      <c r="AA37">
        <v>0</v>
      </c>
      <c r="AB37">
        <v>6000</v>
      </c>
      <c r="AN37" t="str">
        <f>VLOOKUP($M$3&amp;$N$3&amp;DATA_FEBRERO_2026[[#This Row],[SUPERVISOR]],TablaMeta[],7,0)</f>
        <v>S2-3-4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0.95184000000000002</v>
      </c>
      <c r="E38" s="36" t="str">
        <f>IFERROR(VLOOKUP(D1_FEBRERO_2026[[#This Row],[ASESOR_CRR]],PLANTILLA_ACTUAL[],2,0),"")</f>
        <v>JOHAN</v>
      </c>
      <c r="F38" t="s">
        <v>60</v>
      </c>
      <c r="G38" s="3">
        <v>47592</v>
      </c>
      <c r="H38" t="str">
        <f>VLOOKUP(D1_FEBRERO_2026[[#This Row],[ASESOR_CRR]],DIM!$C:$E,2,0)</f>
        <v>72839865</v>
      </c>
      <c r="I38" s="57">
        <f>VLOOKUP(D1_FEBRERO_2026[[#This Row],[ASESOR_CRR]],DIM!$C:$E,3,0)</f>
        <v>45854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0.52595744680851064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GUSTAVO</v>
      </c>
      <c r="P38" s="6">
        <f>IF(DATA_FEBRERO_2026[[#This Row],[SUPERVISOR]]="","",VLOOKUP(DATA_FEBRERO_2026[[#This Row],[ASER_]],$B:$G,6,0))</f>
        <v>12360</v>
      </c>
      <c r="Q38" s="6">
        <f>VLOOKUP(DATA_FEBRERO_2026[[#This Row],[ASER_]],D1_FEBRERO_2026[[ASESOR_CRR]:[META]],2,0)</f>
        <v>23500</v>
      </c>
      <c r="R38" t="s">
        <v>51</v>
      </c>
      <c r="S38">
        <v>260</v>
      </c>
      <c r="T38">
        <v>0</v>
      </c>
      <c r="U38">
        <v>6000</v>
      </c>
      <c r="V38">
        <v>0</v>
      </c>
      <c r="W38">
        <v>0</v>
      </c>
      <c r="X38">
        <v>6100</v>
      </c>
      <c r="Y38">
        <v>0</v>
      </c>
      <c r="Z38">
        <v>0</v>
      </c>
      <c r="AA38">
        <v>0</v>
      </c>
      <c r="AB38">
        <v>0</v>
      </c>
      <c r="AN38" t="str">
        <f>VLOOKUP($M$3&amp;$N$3&amp;DATA_FEBRERO_2026[[#This Row],[SUPERVISOR]],TablaMeta[],7,0)</f>
        <v>S2-3-4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0.57899999999999996</v>
      </c>
      <c r="E39" s="36" t="str">
        <f>IFERROR(VLOOKUP(D1_FEBRERO_2026[[#This Row],[ASESOR_CRR]],PLANTILLA_ACTUAL[],2,0),"")</f>
        <v>JOHAN</v>
      </c>
      <c r="F39" t="s">
        <v>75</v>
      </c>
      <c r="G39" s="3">
        <v>28950</v>
      </c>
      <c r="H39" t="str">
        <f>VLOOKUP(D1_FEBRERO_2026[[#This Row],[ASESOR_CRR]],DIM!$C:$E,2,0)</f>
        <v>71264767</v>
      </c>
      <c r="I39" s="57">
        <f>VLOOKUP(D1_FEBRERO_2026[[#This Row],[ASESOR_CRR]],DIM!$C:$E,3,0)</f>
        <v>44714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0.15140425531914894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GUSTAVO</v>
      </c>
      <c r="P39" s="6">
        <f>IF(DATA_FEBRERO_2026[[#This Row],[SUPERVISOR]]="","",VLOOKUP(DATA_FEBRERO_2026[[#This Row],[ASER_]],$B:$G,6,0))</f>
        <v>3558</v>
      </c>
      <c r="Q39" s="6">
        <f>VLOOKUP(DATA_FEBRERO_2026[[#This Row],[ASER_]],D1_FEBRERO_2026[[ASESOR_CRR]:[META]],2,0)</f>
        <v>23500</v>
      </c>
      <c r="R39" t="s">
        <v>77</v>
      </c>
      <c r="S39">
        <v>600</v>
      </c>
      <c r="T39">
        <v>0</v>
      </c>
      <c r="U39">
        <v>458</v>
      </c>
      <c r="V39">
        <v>1022</v>
      </c>
      <c r="W39">
        <v>0</v>
      </c>
      <c r="X39">
        <v>0</v>
      </c>
      <c r="Y39">
        <v>0</v>
      </c>
      <c r="Z39">
        <v>377.52</v>
      </c>
      <c r="AA39">
        <v>800</v>
      </c>
      <c r="AB39">
        <v>300</v>
      </c>
      <c r="AN39" t="str">
        <f>VLOOKUP($M$3&amp;$N$3&amp;DATA_FEBRERO_2026[[#This Row],[SUPERVISOR]],TablaMeta[],7,0)</f>
        <v>S2-3-4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0.56699999999999995</v>
      </c>
      <c r="E40" s="36" t="str">
        <f>IFERROR(VLOOKUP(D1_FEBRERO_2026[[#This Row],[ASESOR_CRR]],PLANTILLA_ACTUAL[],2,0),"")</f>
        <v>JOHAN</v>
      </c>
      <c r="F40" t="s">
        <v>12</v>
      </c>
      <c r="G40" s="3">
        <v>28350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0.21063829787234042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GUSTAVO</v>
      </c>
      <c r="P40" s="6">
        <f>IF(DATA_FEBRERO_2026[[#This Row],[SUPERVISOR]]="","",VLOOKUP(DATA_FEBRERO_2026[[#This Row],[ASER_]],$B:$G,6,0))</f>
        <v>4950</v>
      </c>
      <c r="Q40" s="6">
        <f>VLOOKUP(DATA_FEBRERO_2026[[#This Row],[ASER_]],D1_FEBRERO_2026[[ASESOR_CRR]:[META]],2,0)</f>
        <v>23500</v>
      </c>
      <c r="R40" t="s">
        <v>73</v>
      </c>
      <c r="S40">
        <v>400</v>
      </c>
      <c r="T40">
        <v>0</v>
      </c>
      <c r="U40">
        <v>0</v>
      </c>
      <c r="V40">
        <v>600</v>
      </c>
      <c r="W40">
        <v>750</v>
      </c>
      <c r="X40">
        <v>0</v>
      </c>
      <c r="Y40">
        <v>1500</v>
      </c>
      <c r="Z40">
        <v>0</v>
      </c>
      <c r="AA40">
        <v>1700</v>
      </c>
      <c r="AB40">
        <v>0</v>
      </c>
      <c r="AN40" t="str">
        <f>VLOOKUP($M$3&amp;$N$3&amp;DATA_FEBRERO_2026[[#This Row],[SUPERVISOR]],TablaMeta[],7,0)</f>
        <v>S2-3-4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0.50060000000000004</v>
      </c>
      <c r="E41" s="36" t="str">
        <f>IFERROR(VLOOKUP(D1_FEBRERO_2026[[#This Row],[ASESOR_CRR]],PLANTILLA_ACTUAL[],2,0),"")</f>
        <v>JOHAN</v>
      </c>
      <c r="F41" t="s">
        <v>122</v>
      </c>
      <c r="G41" s="3">
        <v>25030</v>
      </c>
      <c r="H41" t="str">
        <f>VLOOKUP(D1_FEBRERO_2026[[#This Row],[ASESOR_CRR]],DIM!$C:$E,2,0)</f>
        <v>76586998</v>
      </c>
      <c r="I41" s="57">
        <f>VLOOKUP(D1_FEBRERO_2026[[#This Row],[ASESOR_CRR]],DIM!$C:$E,3,0)</f>
        <v>45971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8.9148936170212773E-2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GUSTAVO</v>
      </c>
      <c r="P41" s="6">
        <f>IF(DATA_FEBRERO_2026[[#This Row],[SUPERVISOR]]="","",VLOOKUP(DATA_FEBRERO_2026[[#This Row],[ASER_]],$B:$G,6,0))</f>
        <v>2095</v>
      </c>
      <c r="Q41" s="6">
        <f>VLOOKUP(DATA_FEBRERO_2026[[#This Row],[ASER_]],D1_FEBRERO_2026[[ASESOR_CRR]:[META]],2,0)</f>
        <v>23500</v>
      </c>
      <c r="R41" t="s">
        <v>55</v>
      </c>
      <c r="S41" s="46">
        <v>310</v>
      </c>
      <c r="T41">
        <v>0</v>
      </c>
      <c r="U41">
        <v>0</v>
      </c>
      <c r="V41">
        <v>0</v>
      </c>
      <c r="W41">
        <v>0</v>
      </c>
      <c r="X41">
        <v>280</v>
      </c>
      <c r="Y41">
        <v>0</v>
      </c>
      <c r="Z41">
        <v>120</v>
      </c>
      <c r="AA41">
        <v>1385</v>
      </c>
      <c r="AB41">
        <v>0</v>
      </c>
      <c r="AN41" t="str">
        <f>VLOOKUP($M$3&amp;$N$3&amp;DATA_FEBRERO_2026[[#This Row],[SUPERVISOR]],TablaMeta[],7,0)</f>
        <v>S2-3-4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0.42680000000000001</v>
      </c>
      <c r="E42" s="36" t="str">
        <f>IFERROR(VLOOKUP(D1_FEBRERO_2026[[#This Row],[ASESOR_CRR]],PLANTILLA_ACTUAL[],2,0),"")</f>
        <v>JOHAN</v>
      </c>
      <c r="F42" t="s">
        <v>18</v>
      </c>
      <c r="G42" s="3">
        <v>21340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GUSTAVO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23500</v>
      </c>
      <c r="R42" t="s">
        <v>575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N42" t="str">
        <f>VLOOKUP($M$3&amp;$N$3&amp;DATA_FEBRERO_2026[[#This Row],[SUPERVISOR]],TablaMeta[],7,0)</f>
        <v>S2-3-4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0.31375999999999998</v>
      </c>
      <c r="E43" s="36" t="str">
        <f>IFERROR(VLOOKUP(D1_FEBRERO_2026[[#This Row],[ASESOR_CRR]],PLANTILLA_ACTUAL[],2,0),"")</f>
        <v>JOHAN</v>
      </c>
      <c r="F43" t="s">
        <v>61</v>
      </c>
      <c r="G43" s="3">
        <v>15688</v>
      </c>
      <c r="H43" t="str">
        <f>VLOOKUP(D1_FEBRERO_2026[[#This Row],[ASESOR_CRR]],DIM!$C:$E,2,0)</f>
        <v>44001162</v>
      </c>
      <c r="I43" s="57">
        <f>VLOOKUP(D1_FEBRERO_2026[[#This Row],[ASESOR_CRR]],DIM!$C:$E,3,0)</f>
        <v>44907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0.68678571428571433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19230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B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0.14799999999999999</v>
      </c>
      <c r="E44" s="36" t="str">
        <f>IFERROR(VLOOKUP(D1_FEBRERO_2026[[#This Row],[ASESOR_CRR]],PLANTILLA_ACTUAL[],2,0),"")</f>
        <v>JOHAN</v>
      </c>
      <c r="F44" t="s">
        <v>85</v>
      </c>
      <c r="G44" s="3">
        <v>7400</v>
      </c>
      <c r="H44" t="str">
        <f>VLOOKUP(D1_FEBRERO_2026[[#This Row],[ASESOR_CRR]],DIM!$C:$E,2,0)</f>
        <v>70477743</v>
      </c>
      <c r="I44" s="57">
        <f>VLOOKUP(D1_FEBRERO_2026[[#This Row],[ASESOR_CRR]],DIM!$C:$E,3,0)</f>
        <v>46055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0.32565714285714287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9118.4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B44">
        <v>1015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0.13420000000000001</v>
      </c>
      <c r="E45" s="36" t="str">
        <f>IFERROR(VLOOKUP(D1_FEBRERO_2026[[#This Row],[ASESOR_CRR]],PLANTILLA_ACTUAL[],2,0),"")</f>
        <v>JOHAN</v>
      </c>
      <c r="F45" t="s">
        <v>10</v>
      </c>
      <c r="G45" s="3">
        <v>6710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0.34071428571428569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9540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B45">
        <v>600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0.126</v>
      </c>
      <c r="E46" s="36" t="str">
        <f>IFERROR(VLOOKUP(D1_FEBRERO_2026[[#This Row],[ASESOR_CRR]],PLANTILLA_ACTUAL[],2,0),"")</f>
        <v>JOHAN</v>
      </c>
      <c r="F46" t="s">
        <v>109</v>
      </c>
      <c r="G46" s="3">
        <v>6300</v>
      </c>
      <c r="H46" t="str">
        <f>VLOOKUP(D1_FEBRERO_2026[[#This Row],[ASESOR_CRR]],DIM!$C:$E,2,0)</f>
        <v>74626735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0.15571428571428572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4360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B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9.5399999999999999E-2</v>
      </c>
      <c r="E47" s="36" t="str">
        <f>IFERROR(VLOOKUP(D1_FEBRERO_2026[[#This Row],[ASESOR_CRR]],PLANTILLA_ACTUAL[],2,0),"")</f>
        <v>JOHAN</v>
      </c>
      <c r="F47" t="s">
        <v>207</v>
      </c>
      <c r="G47" s="3">
        <v>4770</v>
      </c>
      <c r="H47" t="str">
        <f>VLOOKUP(D1_FEBRERO_2026[[#This Row],[ASESOR_CRR]],DIM!$C:$E,2,0)</f>
        <v>47497410</v>
      </c>
      <c r="I47" s="57">
        <f>VLOOKUP(D1_FEBRERO_2026[[#This Row],[ASESOR_CRR]],DIM!$C:$E,3,0)</f>
        <v>46024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0.57964285714285713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&gt;40%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16230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 s="46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B47">
        <v>9750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8" s="36">
        <f>IF(D1_FEBRERO_2026[[#This Row],[RECUPERO]]="VACACIONES","VACACIONES",IFERROR(D1_FEBRERO_2026[[#This Row],[RECUPERO]]/D1_FEBRERO_2026[[#This Row],[META]],""))</f>
        <v>0.60366644444444451</v>
      </c>
      <c r="E48" s="36" t="str">
        <f>IFERROR(VLOOKUP(D1_FEBRERO_2026[[#This Row],[ASESOR_CRR]],PLANTILLA_ACTUAL[],2,0),"")</f>
        <v>KENNETH</v>
      </c>
      <c r="F48" t="s">
        <v>97</v>
      </c>
      <c r="G48" s="3">
        <v>54329.98</v>
      </c>
      <c r="H48" t="str">
        <f>VLOOKUP(D1_FEBRERO_2026[[#This Row],[ASESOR_CRR]],DIM!$C:$E,2,0)</f>
        <v>74602206</v>
      </c>
      <c r="I48" s="57">
        <f>VLOOKUP(D1_FEBRERO_2026[[#This Row],[ASESOR_CRR]],DIM!$C:$E,3,0)</f>
        <v>45884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0.33857142857142858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9480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9" s="36">
        <f>IF(D1_FEBRERO_2026[[#This Row],[RECUPERO]]="VACACIONES","VACACIONES",IFERROR(D1_FEBRERO_2026[[#This Row],[RECUPERO]]/D1_FEBRERO_2026[[#This Row],[META]],""))</f>
        <v>0.57952222222222227</v>
      </c>
      <c r="E49" s="36" t="str">
        <f>IFERROR(VLOOKUP(D1_FEBRERO_2026[[#This Row],[ASESOR_CRR]],PLANTILLA_ACTUAL[],2,0),"")</f>
        <v>KENNETH</v>
      </c>
      <c r="F49" t="s">
        <v>35</v>
      </c>
      <c r="G49" s="3">
        <v>52157</v>
      </c>
      <c r="H49" t="str">
        <f>VLOOKUP(D1_FEBRERO_2026[[#This Row],[ASESOR_CRR]],DIM!$C:$E,2,0)</f>
        <v>10491198</v>
      </c>
      <c r="I49" s="57">
        <f>VLOOKUP(D1_FEBRERO_2026[[#This Row],[ASESOR_CRR]],DIM!$C:$E,3,0)</f>
        <v>44746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1.6132142857142857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45170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B49">
        <v>24000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KENNETH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0" s="36">
        <f>IF(D1_FEBRERO_2026[[#This Row],[RECUPERO]]="VACACIONES","VACACIONES",IFERROR(D1_FEBRERO_2026[[#This Row],[RECUPERO]]/D1_FEBRERO_2026[[#This Row],[META]],""))</f>
        <v>0.38597222222222222</v>
      </c>
      <c r="E50" s="36" t="str">
        <f>IFERROR(VLOOKUP(D1_FEBRERO_2026[[#This Row],[ASESOR_CRR]],PLANTILLA_ACTUAL[],2,0),"")</f>
        <v>KENNETH</v>
      </c>
      <c r="F50" t="s">
        <v>37</v>
      </c>
      <c r="G50" s="3">
        <v>34737.5</v>
      </c>
      <c r="H50" t="str">
        <f>VLOOKUP(D1_FEBRERO_2026[[#This Row],[ASESOR_CRR]],DIM!$C:$E,2,0)</f>
        <v>70988976</v>
      </c>
      <c r="I50" s="57">
        <f>VLOOKUP(D1_FEBRERO_2026[[#This Row],[ASESOR_CRR]],DIM!$C:$E,3,0)</f>
        <v>45112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0.4657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&gt;40%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23285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0.36022222222222222</v>
      </c>
      <c r="E51" s="36" t="str">
        <f>IFERROR(VLOOKUP(D1_FEBRERO_2026[[#This Row],[ASESOR_CRR]],PLANTILLA_ACTUAL[],2,0),"")</f>
        <v>KENNETH</v>
      </c>
      <c r="F51" t="s">
        <v>78</v>
      </c>
      <c r="G51" s="3">
        <v>32420</v>
      </c>
      <c r="H51" t="str">
        <f>VLOOKUP(D1_FEBRERO_2026[[#This Row],[ASESOR_CRR]],DIM!$C:$E,2,0)</f>
        <v>10706451</v>
      </c>
      <c r="I51" s="57">
        <f>VLOOKUP(D1_FEBRERO_2026[[#This Row],[ASESOR_CRR]],DIM!$C:$E,3,0)</f>
        <v>44943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1.14072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57036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KENNETH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2" s="36">
        <f>IF(D1_FEBRERO_2026[[#This Row],[RECUPERO]]="VACACIONES","VACACIONES",IFERROR(D1_FEBRERO_2026[[#This Row],[RECUPERO]]/D1_FEBRERO_2026[[#This Row],[META]],""))</f>
        <v>0.78056603773584909</v>
      </c>
      <c r="E52" s="36" t="str">
        <f>IFERROR(VLOOKUP(D1_FEBRERO_2026[[#This Row],[ASESOR_CRR]],PLANTILLA_ACTUAL[],2,0),"")</f>
        <v>KENNETH</v>
      </c>
      <c r="F52" t="s">
        <v>34</v>
      </c>
      <c r="G52" s="3">
        <v>20685</v>
      </c>
      <c r="H52" t="str">
        <f>VLOOKUP(D1_FEBRERO_2026[[#This Row],[ASESOR_CRR]],DIM!$C:$E,2,0)</f>
        <v>76824571</v>
      </c>
      <c r="I52" s="57">
        <f>VLOOKUP(D1_FEBRERO_2026[[#This Row],[ASESOR_CRR]],DIM!$C:$E,3,0)</f>
        <v>45173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0.27072000000000002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13536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KENNETH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3" s="36">
        <f>IF(D1_FEBRERO_2026[[#This Row],[RECUPERO]]="VACACIONES","VACACIONES",IFERROR(D1_FEBRERO_2026[[#This Row],[RECUPERO]]/D1_FEBRERO_2026[[#This Row],[META]],""))</f>
        <v>0.76169811320754721</v>
      </c>
      <c r="E53" s="36" t="str">
        <f>IFERROR(VLOOKUP(D1_FEBRERO_2026[[#This Row],[ASESOR_CRR]],PLANTILLA_ACTUAL[],2,0),"")</f>
        <v>KENNETH</v>
      </c>
      <c r="F53" t="s">
        <v>105</v>
      </c>
      <c r="G53" s="3">
        <v>20185</v>
      </c>
      <c r="H53" t="str">
        <f>VLOOKUP(D1_FEBRERO_2026[[#This Row],[ASESOR_CRR]],DIM!$C:$E,2,0)</f>
        <v>48344037</v>
      </c>
      <c r="I53" s="57">
        <f>VLOOKUP(D1_FEBRERO_2026[[#This Row],[ASESOR_CRR]],DIM!$C:$E,3,0)</f>
        <v>46027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0.58867924528301885</v>
      </c>
      <c r="E54" s="36" t="str">
        <f>IFERROR(VLOOKUP(D1_FEBRERO_2026[[#This Row],[ASESOR_CRR]],PLANTILLA_ACTUAL[],2,0),"")</f>
        <v>KENNETH</v>
      </c>
      <c r="F54" t="s">
        <v>19</v>
      </c>
      <c r="G54" s="3">
        <v>15600</v>
      </c>
      <c r="H54" t="str">
        <f>VLOOKUP(D1_FEBRERO_2026[[#This Row],[ASESOR_CRR]],DIM!$C:$E,2,0)</f>
        <v>76656128</v>
      </c>
      <c r="I54" s="57">
        <f>VLOOKUP(D1_FEBRERO_2026[[#This Row],[ASESOR_CRR]],DIM!$C:$E,3,0)</f>
        <v>44671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0.26300000000000001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13150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5" s="36">
        <f>IF(D1_FEBRERO_2026[[#This Row],[RECUPERO]]="VACACIONES","VACACIONES",IFERROR(D1_FEBRERO_2026[[#This Row],[RECUPERO]]/D1_FEBRERO_2026[[#This Row],[META]],""))</f>
        <v>0.56618867924528304</v>
      </c>
      <c r="E55" s="36" t="str">
        <f>IFERROR(VLOOKUP(D1_FEBRERO_2026[[#This Row],[ASESOR_CRR]],PLANTILLA_ACTUAL[],2,0),"")</f>
        <v>KENNETH</v>
      </c>
      <c r="F55" t="s">
        <v>81</v>
      </c>
      <c r="G55" s="3">
        <v>15004</v>
      </c>
      <c r="H55" t="str">
        <f>VLOOKUP(D1_FEBRERO_2026[[#This Row],[ASESOR_CRR]],DIM!$C:$E,2,0)</f>
        <v>72716299</v>
      </c>
      <c r="I55" s="57">
        <f>VLOOKUP(D1_FEBRERO_2026[[#This Row],[ASESOR_CRR]],DIM!$C:$E,3,0)</f>
        <v>45511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0.05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2500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B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KENNETH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6" s="36">
        <f>IF(D1_FEBRERO_2026[[#This Row],[RECUPERO]]="VACACIONES","VACACIONES",IFERROR(D1_FEBRERO_2026[[#This Row],[RECUPERO]]/D1_FEBRERO_2026[[#This Row],[META]],""))</f>
        <v>0.49509433962264149</v>
      </c>
      <c r="E56" s="36" t="str">
        <f>IFERROR(VLOOKUP(D1_FEBRERO_2026[[#This Row],[ASESOR_CRR]],PLANTILLA_ACTUAL[],2,0),"")</f>
        <v>KENNETH</v>
      </c>
      <c r="F56" t="s">
        <v>26</v>
      </c>
      <c r="G56" s="3">
        <v>13120</v>
      </c>
      <c r="H56" t="str">
        <f>VLOOKUP(D1_FEBRERO_2026[[#This Row],[ASESOR_CRR]],DIM!$C:$E,2,0)</f>
        <v>41005089</v>
      </c>
      <c r="I56" s="57">
        <f>VLOOKUP(D1_FEBRERO_2026[[#This Row],[ASESOR_CRR]],DIM!$C:$E,3,0)</f>
        <v>44257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KENNETH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57" s="37">
        <f>IF(D1_FEBRERO_2026[[#This Row],[RECUPERO]]="","",VLOOKUP($M$3&amp;$N$3&amp;D1_FEBRERO_2026[[#This Row],[SUPER]],TablaMeta[],6,0))</f>
        <v>26500</v>
      </c>
      <c r="D57" s="36">
        <f>IF(D1_FEBRERO_2026[[#This Row],[RECUPERO]]="VACACIONES","VACACIONES",IFERROR(D1_FEBRERO_2026[[#This Row],[RECUPERO]]/D1_FEBRERO_2026[[#This Row],[META]],""))</f>
        <v>5.4528301886792453E-2</v>
      </c>
      <c r="E57" s="36" t="str">
        <f>IFERROR(VLOOKUP(D1_FEBRERO_2026[[#This Row],[ASESOR_CRR]],PLANTILLA_ACTUAL[],2,0),"")</f>
        <v>KENNETH</v>
      </c>
      <c r="F57" t="s">
        <v>50</v>
      </c>
      <c r="G57" s="3">
        <v>1445</v>
      </c>
      <c r="H57" t="str">
        <f>VLOOKUP(D1_FEBRERO_2026[[#This Row],[ASESOR_CRR]],DIM!$C:$E,2,0)</f>
        <v>72733809</v>
      </c>
      <c r="I57" s="57">
        <f>VLOOKUP(D1_FEBRERO_2026[[#This Row],[ASESOR_CRR]],DIM!$C:$E,3,0)</f>
        <v>45789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0.36799999999999999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18400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>
        <v>4800</v>
      </c>
      <c r="Y57">
        <v>0</v>
      </c>
      <c r="Z57">
        <v>0</v>
      </c>
      <c r="AA57">
        <v>5000</v>
      </c>
      <c r="AB57">
        <v>3300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KENNETH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58" s="37">
        <f>IF(D1_FEBRERO_2026[[#This Row],[RECUPERO]]="","",VLOOKUP($M$3&amp;$N$3&amp;D1_FEBRERO_2026[[#This Row],[SUPER]],TablaMeta[],6,0))</f>
        <v>26500</v>
      </c>
      <c r="D58" s="36">
        <f>IF(D1_FEBRERO_2026[[#This Row],[RECUPERO]]="VACACIONES","VACACIONES",IFERROR(D1_FEBRERO_2026[[#This Row],[RECUPERO]]/D1_FEBRERO_2026[[#This Row],[META]],""))</f>
        <v>3.6075471698113211E-2</v>
      </c>
      <c r="E58" s="36" t="str">
        <f>IFERROR(VLOOKUP(D1_FEBRERO_2026[[#This Row],[ASESOR_CRR]],PLANTILLA_ACTUAL[],2,0),"")</f>
        <v>KENNETH</v>
      </c>
      <c r="F58" t="s">
        <v>80</v>
      </c>
      <c r="G58" s="3">
        <v>956</v>
      </c>
      <c r="H58" t="str">
        <f>VLOOKUP(D1_FEBRERO_2026[[#This Row],[ASESOR_CRR]],DIM!$C:$E,2,0)</f>
        <v>45084594</v>
      </c>
      <c r="I58" s="57">
        <f>VLOOKUP(D1_FEBRERO_2026[[#This Row],[ASESOR_CRR]],DIM!$C:$E,3,0)</f>
        <v>45281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0.37380000000000002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18690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>
        <v>0</v>
      </c>
      <c r="Y58">
        <v>2000</v>
      </c>
      <c r="Z58">
        <v>0</v>
      </c>
      <c r="AA58">
        <v>0</v>
      </c>
      <c r="AB58">
        <v>0</v>
      </c>
      <c r="AN58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9.9000000000000005E-2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4950</v>
      </c>
      <c r="Q59" s="6">
        <f>VLOOKUP(DATA_FEBRERO_2026[[#This Row],[ASER_]],D1_FEBRERO_2026[[ASESOR_CRR]:[META]],2,0)</f>
        <v>50000</v>
      </c>
      <c r="R59" t="s">
        <v>208</v>
      </c>
      <c r="S59">
        <v>0</v>
      </c>
      <c r="T59">
        <v>1000</v>
      </c>
      <c r="U59">
        <v>0</v>
      </c>
      <c r="V59">
        <v>950</v>
      </c>
      <c r="W59">
        <v>0</v>
      </c>
      <c r="X59">
        <v>0</v>
      </c>
      <c r="Y59">
        <v>3000</v>
      </c>
      <c r="Z59">
        <v>0</v>
      </c>
      <c r="AA59">
        <v>0</v>
      </c>
      <c r="AB59">
        <v>0</v>
      </c>
      <c r="AN59" t="str">
        <f>VLOOKUP($M$3&amp;$N$3&amp;DATA_FEBRERO_2026[[#This Row],[SUPERVISOR]],TablaMeta[],7,0)</f>
        <v>S1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  <c r="T65" s="5"/>
      <c r="Y65" s="5"/>
      <c r="AD65" s="5"/>
    </row>
    <row r="66" spans="6:41" x14ac:dyDescent="0.25">
      <c r="H66"/>
    </row>
    <row r="67" spans="6:41" x14ac:dyDescent="0.25">
      <c r="H67"/>
      <c r="Y67" s="4"/>
      <c r="Z67" s="4"/>
      <c r="AA67" s="4"/>
      <c r="AB67" s="4"/>
      <c r="AC67" s="4"/>
      <c r="AD67" s="4"/>
      <c r="AE67" s="4"/>
      <c r="AF67" s="4"/>
      <c r="AH67" s="4"/>
      <c r="AI67" s="4"/>
      <c r="AJ67" s="4"/>
      <c r="AK67" s="4"/>
      <c r="AL67" s="4"/>
      <c r="AM67" s="4"/>
      <c r="AN67" s="4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P70" s="48"/>
      <c r="R70" s="48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10460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54329.98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45170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32420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34737.5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21340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47592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13150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57036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19685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9540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16230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9118.4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75950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6710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18400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2026-02-16T19:36:38Z</dcterms:modified>
</cp:coreProperties>
</file>