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9FF8A34-4FAA-4F09-8335-3519BE2483ED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6" i="17" l="1"/>
  <c r="P56" i="17"/>
  <c r="M56" i="17" s="1"/>
  <c r="N56" i="17" s="1" a="1"/>
  <c r="N56" i="17" s="1"/>
  <c r="Q56" i="17"/>
  <c r="AN56" i="17" a="1"/>
  <c r="AN56" i="17" s="1"/>
  <c r="B57" i="17" a="1"/>
  <c r="B57" i="17" s="1"/>
  <c r="B7" i="17" a="1"/>
  <c r="B7" i="17" s="1"/>
  <c r="A6" i="30"/>
  <c r="B43" i="17" a="1"/>
  <c r="B43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K52" i="17" s="1" a="1"/>
  <c r="K52" i="17" s="1"/>
  <c r="B53" i="17" a="1"/>
  <c r="B53" i="17" s="1"/>
  <c r="B54" i="17" a="1"/>
  <c r="B54" i="17" s="1"/>
  <c r="B55" i="17" a="1"/>
  <c r="B55" i="17" s="1"/>
  <c r="B56" i="17" a="1"/>
  <c r="B56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H57" i="17" a="1"/>
  <c r="H57" i="17" s="1"/>
  <c r="I57" i="17" a="1"/>
  <c r="I57" i="17" s="1"/>
  <c r="J57" i="17" a="1"/>
  <c r="J57" i="17" s="1"/>
  <c r="A57" i="17" a="1"/>
  <c r="A57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3" i="17" a="1"/>
  <c r="J43" i="17" s="1"/>
  <c r="A43" i="17" a="1"/>
  <c r="A43" i="17" s="1"/>
  <c r="K43" i="17" a="1"/>
  <c r="K43" i="17" s="1"/>
  <c r="I43" i="17" a="1"/>
  <c r="I43" i="17" s="1"/>
  <c r="H43" i="17" a="1"/>
  <c r="H43" i="17" s="1"/>
  <c r="P55" i="17"/>
  <c r="K56" i="17" a="1"/>
  <c r="K56" i="17" s="1"/>
  <c r="J56" i="17" a="1"/>
  <c r="J56" i="17" s="1"/>
  <c r="I56" i="17" a="1"/>
  <c r="I56" i="17" s="1"/>
  <c r="H56" i="17" a="1"/>
  <c r="H56" i="17" s="1"/>
  <c r="A56" i="17" a="1"/>
  <c r="A56" i="17" s="1"/>
  <c r="E56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A54" i="17" a="1"/>
  <c r="A54" i="17" s="1"/>
  <c r="J54" i="17" a="1"/>
  <c r="J54" i="17" s="1"/>
  <c r="K54" i="17" a="1"/>
  <c r="K54" i="17" s="1"/>
  <c r="H54" i="17" a="1"/>
  <c r="H54" i="17" s="1"/>
  <c r="I54" i="17" a="1"/>
  <c r="I54" i="17" s="1"/>
  <c r="K53" i="17" a="1"/>
  <c r="K53" i="17" s="1"/>
  <c r="H53" i="17" a="1"/>
  <c r="H53" i="17" s="1"/>
  <c r="J53" i="17" a="1"/>
  <c r="J53" i="17" s="1"/>
  <c r="I53" i="17" a="1"/>
  <c r="I53" i="17" s="1"/>
  <c r="A53" i="17" a="1"/>
  <c r="A53" i="17" s="1"/>
  <c r="A52" i="17" a="1"/>
  <c r="A52" i="17" s="1"/>
  <c r="J52" i="17" a="1"/>
  <c r="J52" i="17" s="1"/>
  <c r="I52" i="17" a="1"/>
  <c r="I52" i="17" s="1"/>
  <c r="H52" i="17" a="1"/>
  <c r="H52" i="17" s="1"/>
  <c r="K51" i="17" a="1"/>
  <c r="K51" i="17" s="1"/>
  <c r="A51" i="17" a="1"/>
  <c r="A51" i="17" s="1"/>
  <c r="H51" i="17" a="1"/>
  <c r="H51" i="17" s="1"/>
  <c r="I51" i="17" a="1"/>
  <c r="I51" i="17" s="1"/>
  <c r="J51" i="17" a="1"/>
  <c r="J51" i="17" s="1"/>
  <c r="E57" i="17" l="1"/>
  <c r="C57" i="17" a="1"/>
  <c r="C57" i="17" s="1"/>
  <c r="D57" i="17" s="1"/>
  <c r="E7" i="17"/>
  <c r="C7" i="17" a="1"/>
  <c r="C7" i="17" s="1"/>
  <c r="D7" i="17" s="1"/>
  <c r="E43" i="17"/>
  <c r="C43" i="17" a="1"/>
  <c r="C43" i="17" s="1"/>
  <c r="D43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5" i="17"/>
  <c r="E54" i="17"/>
  <c r="E53" i="17"/>
  <c r="E52" i="17"/>
  <c r="E51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0" i="17" l="1" a="1"/>
  <c r="A50" i="17" s="1"/>
  <c r="E50" i="17" s="1"/>
  <c r="H50" i="17" a="1"/>
  <c r="H50" i="17" s="1"/>
  <c r="I50" i="17" a="1"/>
  <c r="I50" i="17" s="1"/>
  <c r="J50" i="17" a="1"/>
  <c r="J50" i="17" s="1"/>
  <c r="K50" i="17" a="1"/>
  <c r="K50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2" i="17" a="1"/>
  <c r="K42" i="17" s="1"/>
  <c r="J42" i="17" a="1"/>
  <c r="J42" i="17" s="1"/>
  <c r="H42" i="17" a="1"/>
  <c r="H42" i="17" s="1"/>
  <c r="I42" i="17" a="1"/>
  <c r="I42" i="17" s="1"/>
  <c r="K41" i="17" a="1"/>
  <c r="K41" i="17" s="1"/>
  <c r="H41" i="17" a="1"/>
  <c r="H41" i="17" s="1"/>
  <c r="I41" i="17" a="1"/>
  <c r="I41" i="17" s="1"/>
  <c r="J41" i="17" a="1"/>
  <c r="J41" i="17" s="1"/>
  <c r="J38" i="17" a="1"/>
  <c r="J38" i="17" s="1"/>
  <c r="I38" i="17" a="1"/>
  <c r="I38" i="17" s="1"/>
  <c r="K38" i="17" a="1"/>
  <c r="K38" i="17" s="1"/>
  <c r="H38" i="17" a="1"/>
  <c r="H38" i="17" s="1"/>
  <c r="K37" i="17" a="1"/>
  <c r="K37" i="17" s="1"/>
  <c r="J37" i="17" a="1"/>
  <c r="J37" i="17" s="1"/>
  <c r="H37" i="17" a="1"/>
  <c r="H37" i="17" s="1"/>
  <c r="I37" i="17" a="1"/>
  <c r="I37" i="17" s="1"/>
  <c r="H36" i="17" a="1"/>
  <c r="H36" i="17" s="1"/>
  <c r="I36" i="17" a="1"/>
  <c r="I36" i="17" s="1"/>
  <c r="J36" i="17" a="1"/>
  <c r="J36" i="17" s="1"/>
  <c r="K36" i="17" a="1"/>
  <c r="K36" i="17" s="1"/>
  <c r="H35" i="17" a="1"/>
  <c r="H35" i="17" s="1"/>
  <c r="I35" i="17" a="1"/>
  <c r="I35" i="17" s="1"/>
  <c r="J35" i="17" a="1"/>
  <c r="J35" i="17" s="1"/>
  <c r="K35" i="17" a="1"/>
  <c r="K35" i="17" s="1"/>
  <c r="P34" i="17"/>
  <c r="P38" i="17"/>
  <c r="P37" i="17"/>
  <c r="P39" i="17"/>
  <c r="P40" i="17"/>
  <c r="P35" i="17"/>
  <c r="P41" i="17"/>
  <c r="P36" i="17"/>
  <c r="H40" i="17" a="1"/>
  <c r="H40" i="17" s="1"/>
  <c r="I40" i="17" a="1"/>
  <c r="I40" i="17" s="1"/>
  <c r="J40" i="17" a="1"/>
  <c r="J40" i="17" s="1"/>
  <c r="K40" i="17" a="1"/>
  <c r="K40" i="17" s="1"/>
  <c r="H39" i="17" a="1"/>
  <c r="H39" i="17" s="1"/>
  <c r="I39" i="17" a="1"/>
  <c r="I39" i="17" s="1"/>
  <c r="J39" i="17" a="1"/>
  <c r="J39" i="17" s="1"/>
  <c r="K39" i="17" a="1"/>
  <c r="K39" i="17" s="1"/>
  <c r="P52" i="17"/>
  <c r="P51" i="17"/>
  <c r="P50" i="17"/>
  <c r="P49" i="17"/>
  <c r="A49" i="17" a="1"/>
  <c r="A49" i="17" s="1"/>
  <c r="J49" i="17" a="1"/>
  <c r="J49" i="17" s="1"/>
  <c r="H49" i="17" a="1"/>
  <c r="H49" i="17" s="1"/>
  <c r="I49" i="17" a="1"/>
  <c r="I49" i="17" s="1"/>
  <c r="K49" i="17" a="1"/>
  <c r="K49" i="17" s="1"/>
  <c r="H48" i="17" a="1"/>
  <c r="H48" i="17" s="1"/>
  <c r="P48" i="17"/>
  <c r="K48" i="17" a="1"/>
  <c r="K48" i="17" s="1"/>
  <c r="J48" i="17" a="1"/>
  <c r="J48" i="17" s="1"/>
  <c r="A48" i="17" a="1"/>
  <c r="A48" i="17" s="1"/>
  <c r="I48" i="17" a="1"/>
  <c r="I48" i="17" s="1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P47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P46" i="17"/>
  <c r="P45" i="17"/>
  <c r="A45" i="17" a="1"/>
  <c r="A45" i="17" s="1"/>
  <c r="E45" i="17" s="1"/>
  <c r="H45" i="17" a="1"/>
  <c r="H45" i="17" s="1"/>
  <c r="I45" i="17" a="1"/>
  <c r="I45" i="17" s="1"/>
  <c r="K45" i="17" a="1"/>
  <c r="K45" i="17" s="1"/>
  <c r="J45" i="17" a="1"/>
  <c r="J45" i="17" s="1"/>
  <c r="A44" i="17" a="1"/>
  <c r="A44" i="17" s="1"/>
  <c r="E44" i="17" s="1"/>
  <c r="H44" i="17" a="1"/>
  <c r="H44" i="17" s="1"/>
  <c r="I44" i="17" a="1"/>
  <c r="I44" i="17" s="1"/>
  <c r="P44" i="17"/>
  <c r="K44" i="17" a="1"/>
  <c r="K44" i="17" s="1"/>
  <c r="J44" i="17" a="1"/>
  <c r="J44" i="17" s="1"/>
  <c r="P43" i="17"/>
  <c r="A42" i="17" a="1"/>
  <c r="A42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9" i="17" a="1"/>
  <c r="A39" i="17" s="1"/>
  <c r="H31" i="17" a="1"/>
  <c r="H31" i="17" s="1"/>
  <c r="K31" i="17" a="1"/>
  <c r="K31" i="17" s="1"/>
  <c r="A31" i="17" a="1"/>
  <c r="A31" i="17" s="1"/>
  <c r="I31" i="17" a="1"/>
  <c r="I31" i="17" s="1"/>
  <c r="J31" i="17" a="1"/>
  <c r="J31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8" i="17" a="1"/>
  <c r="A38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7" i="17" a="1"/>
  <c r="A37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30" i="17" a="1"/>
  <c r="K30" i="17" s="1"/>
  <c r="J30" i="17" a="1"/>
  <c r="J30" i="17" s="1"/>
  <c r="H30" i="17" a="1"/>
  <c r="H30" i="17" s="1"/>
  <c r="A30" i="17" a="1"/>
  <c r="A30" i="17" s="1"/>
  <c r="I30" i="17" a="1"/>
  <c r="I30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6" i="17" a="1"/>
  <c r="A36" i="17" s="1"/>
  <c r="K29" i="17" a="1"/>
  <c r="K29" i="17" s="1"/>
  <c r="H29" i="17" a="1"/>
  <c r="H29" i="17" s="1"/>
  <c r="J29" i="17" a="1"/>
  <c r="J29" i="17" s="1"/>
  <c r="A29" i="17" a="1"/>
  <c r="A29" i="17" s="1"/>
  <c r="I29" i="17" a="1"/>
  <c r="I29" i="17" s="1"/>
  <c r="A35" i="17" a="1"/>
  <c r="A35" i="17" s="1"/>
  <c r="H28" i="17" a="1"/>
  <c r="H28" i="17" s="1"/>
  <c r="I28" i="17" a="1"/>
  <c r="I28" i="17" s="1"/>
  <c r="K28" i="17" a="1"/>
  <c r="K28" i="17" s="1"/>
  <c r="J28" i="17" a="1"/>
  <c r="J28" i="17" s="1"/>
  <c r="A28" i="17" a="1"/>
  <c r="A28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1" i="17" a="1"/>
  <c r="A41" i="17" s="1"/>
  <c r="A34" i="17" a="1"/>
  <c r="A34" i="17" s="1"/>
  <c r="J34" i="17" a="1"/>
  <c r="J34" i="17" s="1"/>
  <c r="K34" i="17" a="1"/>
  <c r="K34" i="17" s="1"/>
  <c r="I34" i="17" a="1"/>
  <c r="I34" i="17" s="1"/>
  <c r="H34" i="17" a="1"/>
  <c r="H34" i="17" s="1"/>
  <c r="A25" i="17" a="1"/>
  <c r="A25" i="17" s="1"/>
  <c r="J25" i="17" a="1"/>
  <c r="J25" i="17" s="1"/>
  <c r="I25" i="17" a="1"/>
  <c r="I25" i="17" s="1"/>
  <c r="K25" i="17" a="1"/>
  <c r="K25" i="17" s="1"/>
  <c r="H25" i="17" a="1"/>
  <c r="H25" i="17" s="1"/>
  <c r="A40" i="17" a="1"/>
  <c r="A40" i="17" s="1"/>
  <c r="A33" i="17" a="1"/>
  <c r="A33" i="17" s="1"/>
  <c r="K33" i="17" a="1"/>
  <c r="K33" i="17" s="1"/>
  <c r="J33" i="17" a="1"/>
  <c r="J33" i="17" s="1"/>
  <c r="I33" i="17" a="1"/>
  <c r="I33" i="17" s="1"/>
  <c r="H33" i="17" a="1"/>
  <c r="H33" i="17" s="1"/>
  <c r="A24" i="17" a="1"/>
  <c r="A24" i="17" s="1"/>
  <c r="K24" i="17" a="1"/>
  <c r="K24" i="17" s="1"/>
  <c r="I24" i="17" a="1"/>
  <c r="I24" i="17" s="1"/>
  <c r="H24" i="17" a="1"/>
  <c r="H24" i="17" s="1"/>
  <c r="J24" i="17" a="1"/>
  <c r="J24" i="17" s="1"/>
  <c r="K32" i="17" a="1"/>
  <c r="K32" i="17" s="1"/>
  <c r="A32" i="17" a="1"/>
  <c r="A32" i="17" s="1"/>
  <c r="H32" i="17" a="1"/>
  <c r="H32" i="17" s="1"/>
  <c r="I32" i="17" a="1"/>
  <c r="I32" i="17" s="1"/>
  <c r="J32" i="17" a="1"/>
  <c r="J32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9" i="17" l="1"/>
  <c r="E48" i="17"/>
  <c r="E46" i="17"/>
  <c r="E18" i="17"/>
  <c r="E42" i="17"/>
  <c r="E17" i="17"/>
  <c r="E19" i="17"/>
  <c r="E38" i="17"/>
  <c r="E39" i="17"/>
  <c r="E41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6" i="17" l="1" a="1"/>
  <c r="C56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2" i="17" a="1"/>
  <c r="C42" i="17" s="1"/>
  <c r="D42" i="17" s="1"/>
  <c r="C46" i="17" a="1"/>
  <c r="C46" i="17" s="1"/>
  <c r="D46" i="17" s="1"/>
  <c r="C48" i="17" a="1"/>
  <c r="C48" i="17" s="1"/>
  <c r="D48" i="17" s="1"/>
  <c r="C47" i="17" a="1"/>
  <c r="C47" i="17" s="1"/>
  <c r="D47" i="17" s="1"/>
  <c r="C49" i="17" a="1"/>
  <c r="C49" i="17" s="1"/>
  <c r="D49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2" i="17" a="1"/>
  <c r="C52" i="17" s="1"/>
  <c r="D52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5" i="17" a="1"/>
  <c r="C55" i="17" s="1"/>
  <c r="D55" i="17" s="1"/>
  <c r="C54" i="17" a="1"/>
  <c r="C54" i="17" s="1"/>
  <c r="D54" i="17" s="1"/>
  <c r="C51" i="17" a="1"/>
  <c r="C51" i="17" s="1"/>
  <c r="D51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3" i="17" a="1"/>
  <c r="C53" i="17" s="1"/>
  <c r="D53" i="17" s="1"/>
  <c r="C51" i="36" a="1"/>
  <c r="C51" i="36" s="1"/>
  <c r="C48" i="36" a="1"/>
  <c r="C48" i="36" s="1"/>
  <c r="C50" i="17" a="1"/>
  <c r="C50" i="17" s="1"/>
  <c r="D50" i="17" s="1"/>
  <c r="C36" i="17" a="1"/>
  <c r="C36" i="17" s="1"/>
  <c r="C24" i="17" a="1"/>
  <c r="C24" i="17" s="1"/>
  <c r="C25" i="17" a="1"/>
  <c r="C25" i="17" s="1"/>
  <c r="C12" i="17" a="1"/>
  <c r="C12" i="17" s="1"/>
  <c r="C31" i="17" a="1"/>
  <c r="C31" i="17" s="1"/>
  <c r="C5" i="17" a="1"/>
  <c r="C5" i="17" s="1"/>
  <c r="C4" i="17" a="1"/>
  <c r="C4" i="17" s="1"/>
  <c r="C23" i="17" a="1"/>
  <c r="C23" i="17" s="1"/>
  <c r="C19" i="17" a="1"/>
  <c r="C19" i="17" s="1"/>
  <c r="C3" i="17" a="1"/>
  <c r="C3" i="17" s="1"/>
  <c r="C10" i="17" a="1"/>
  <c r="C10" i="17" s="1"/>
  <c r="C30" i="17" a="1"/>
  <c r="C30" i="17" s="1"/>
  <c r="C11" i="17" a="1"/>
  <c r="C11" i="17" s="1"/>
  <c r="C38" i="17" a="1"/>
  <c r="C38" i="17" s="1"/>
  <c r="D38" i="17" s="1"/>
  <c r="C44" i="17" a="1"/>
  <c r="C44" i="17" s="1"/>
  <c r="D44" i="17" s="1"/>
  <c r="C8" i="17" a="1"/>
  <c r="C8" i="17" s="1"/>
  <c r="C13" i="17" a="1"/>
  <c r="C13" i="17" s="1"/>
  <c r="C18" i="17" a="1"/>
  <c r="C18" i="17" s="1"/>
  <c r="C34" i="17" a="1"/>
  <c r="C34" i="17" s="1"/>
  <c r="C28" i="17" a="1"/>
  <c r="C28" i="17" s="1"/>
  <c r="C14" i="17" a="1"/>
  <c r="C14" i="17" s="1"/>
  <c r="C26" i="17" a="1"/>
  <c r="C26" i="17" s="1"/>
  <c r="C41" i="17" a="1"/>
  <c r="C41" i="17" s="1"/>
  <c r="D41" i="17" s="1"/>
  <c r="C35" i="17" a="1"/>
  <c r="C35" i="17" s="1"/>
  <c r="D35" i="17" s="1"/>
  <c r="C40" i="17" a="1"/>
  <c r="C40" i="17" s="1"/>
  <c r="C17" i="17" a="1"/>
  <c r="C17" i="17" s="1"/>
  <c r="D17" i="17" s="1"/>
  <c r="C32" i="17" a="1"/>
  <c r="C32" i="17" s="1"/>
  <c r="C20" i="17" a="1"/>
  <c r="C20" i="17" s="1"/>
  <c r="C29" i="17" a="1"/>
  <c r="C29" i="17" s="1"/>
  <c r="C27" i="17" a="1"/>
  <c r="C27" i="17" s="1"/>
  <c r="C37" i="17" a="1"/>
  <c r="C37" i="17" s="1"/>
  <c r="D37" i="17" s="1"/>
  <c r="C21" i="17" a="1"/>
  <c r="C21" i="17" s="1"/>
  <c r="C9" i="17" a="1"/>
  <c r="C9" i="17" s="1"/>
  <c r="C15" i="17" a="1"/>
  <c r="C15" i="17" s="1"/>
  <c r="C16" i="17" a="1"/>
  <c r="C16" i="17" s="1"/>
  <c r="C33" i="17" a="1"/>
  <c r="C33" i="17" s="1"/>
  <c r="C22" i="17" a="1"/>
  <c r="C22" i="17" s="1"/>
  <c r="AP11" i="17"/>
  <c r="AP12" i="17"/>
  <c r="AP13" i="17"/>
  <c r="AP9" i="17"/>
  <c r="AP10" i="17"/>
  <c r="C39" i="17" a="1"/>
  <c r="C39" i="17" s="1"/>
  <c r="C6" i="17" a="1"/>
  <c r="C6" i="17" s="1"/>
  <c r="C45" i="17" a="1"/>
  <c r="C45" i="17" s="1"/>
  <c r="D45" i="17" s="1"/>
  <c r="E37" i="17"/>
  <c r="E35" i="17"/>
  <c r="E36" i="17"/>
  <c r="O55" i="17" s="1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4" i="17"/>
  <c r="E8" i="17"/>
  <c r="E33" i="17"/>
  <c r="E32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6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9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D18" i="17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9" i="17"/>
  <c r="Q47" i="17"/>
  <c r="M47" i="17" s="1"/>
  <c r="N47" i="17" s="1" a="1"/>
  <c r="N47" i="17" s="1"/>
  <c r="Q45" i="17"/>
  <c r="M45" i="17" s="1"/>
  <c r="N45" i="17" s="1" a="1"/>
  <c r="N45" i="17" s="1"/>
  <c r="D40" i="17"/>
  <c r="D36" i="17"/>
  <c r="Q43" i="17"/>
  <c r="M43" i="17" s="1"/>
  <c r="N43" i="17" s="1" a="1"/>
  <c r="N43" i="17" s="1"/>
  <c r="E31" i="17"/>
  <c r="D31" i="17"/>
  <c r="E16" i="17"/>
  <c r="D16" i="17"/>
  <c r="E26" i="17"/>
  <c r="O49" i="17" s="1"/>
  <c r="D26" i="17"/>
  <c r="E21" i="17"/>
  <c r="D21" i="17"/>
  <c r="E30" i="17"/>
  <c r="D30" i="17"/>
  <c r="E28" i="17"/>
  <c r="D28" i="17"/>
  <c r="E20" i="17"/>
  <c r="D20" i="17"/>
  <c r="E27" i="17"/>
  <c r="D27" i="17"/>
  <c r="E23" i="17"/>
  <c r="E22" i="17"/>
  <c r="D22" i="17"/>
  <c r="E29" i="17"/>
  <c r="D29" i="17"/>
  <c r="E14" i="17"/>
  <c r="D14" i="17"/>
  <c r="E24" i="17"/>
  <c r="D24" i="17"/>
  <c r="E15" i="17"/>
  <c r="D15" i="17"/>
  <c r="E11" i="17"/>
  <c r="D11" i="17"/>
  <c r="E13" i="17"/>
  <c r="D13" i="17"/>
  <c r="E12" i="17"/>
  <c r="D12" i="17"/>
  <c r="E25" i="17"/>
  <c r="D25" i="17"/>
  <c r="D8" i="17"/>
  <c r="D10" i="17"/>
  <c r="D9" i="17"/>
  <c r="D34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38" i="17" l="1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3" i="17"/>
  <c r="D32" i="17"/>
  <c r="D33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<sst xmlns="http://schemas.openxmlformats.org/spreadsheetml/2006/main" count="16156" uniqueCount="638">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</sst>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8" dataDxfId="17">
  <autoFilter ref="CK8:CO15" xr:uid="{BCDF1B0E-B565-40AD-B13D-954F56FEF342}"/>
  <tableColumns count="5">
    <tableColumn id="1" xr3:uid="{56A1DC4D-61B8-4DE5-8EBA-E8B6AF7E3173}" name="VISTA" dataDxfId="16"/>
    <tableColumn id="2" xr3:uid="{61FB4102-E339-41D7-BB34-D69D937B8B44}" name="1" dataDxfId="15"/>
    <tableColumn id="3" xr3:uid="{04DCF14E-F9BC-460D-B838-0AB55D9CDC21}" name="2" dataDxfId="14"/>
    <tableColumn id="4" xr3:uid="{ADD5C1AF-2CF8-4EB7-AC07-FF2C676A2BED}" name="3" dataDxfId="13"/>
    <tableColumn id="14" xr3:uid="{85D71B1A-9AFC-40D3-83DD-5F2A02A038A3}" name="4" dataDxfId="1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8" tableBorderDxfId="119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96">
      <calculatedColumnFormula>DATA_DICIEMBRE_2024[[#This Row],[RECUPERO]]/DATA_DICIEMBRE_2024[[#This Row],[META]]</calculatedColumnFormula>
    </tableColumn>
    <tableColumn id="2" xr3:uid="{AE497F25-36CD-42FB-B18F-59D419263CBC}" name="CLASIFICACIÓN" dataDxfId="1195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94"/>
    <tableColumn id="1" xr3:uid="{ACC31C15-573E-4606-A6FB-ECDC2B30F8A4}" name="RECUPERO" dataDxfId="1193">
      <calculatedColumnFormula>SUM(DATA_DICIEMBRE_2024[[#This Row],[1]:[31]])</calculatedColumnFormula>
    </tableColumn>
    <tableColumn id="6" xr3:uid="{0A0FD23F-3FE0-43BD-93B2-D5A21E0A8419}" name="META" dataDxfId="1192"/>
    <tableColumn id="7" xr3:uid="{BAAC5683-E69F-4D8D-9823-6A62CD920015}" name="ASER_" dataDxfId="1191"/>
    <tableColumn id="4" xr3:uid="{E80ABAB5-F841-47AC-9407-E06974270343}" name="1" dataDxfId="1190"/>
    <tableColumn id="8" xr3:uid="{38214265-844B-4AAB-9AAF-66AE68E1B01F}" name="2" dataDxfId="1189"/>
    <tableColumn id="9" xr3:uid="{9DE83FFA-F0EB-48A8-9B9B-94D3A5F4EA89}" name="3" dataDxfId="1188"/>
    <tableColumn id="10" xr3:uid="{F01FCEA0-C6B5-45DC-BF35-2E20D08D1987}" name="4" dataDxfId="1187"/>
    <tableColumn id="11" xr3:uid="{486A6BCD-590A-4F51-95FC-FF8E80EED672}" name="5" dataDxfId="1186"/>
    <tableColumn id="12" xr3:uid="{6A13993E-4132-4D1F-8103-9B935139982B}" name="6" dataDxfId="1185"/>
    <tableColumn id="13" xr3:uid="{24798E59-2FD3-45E0-9839-56EDF52F39D9}" name="7" dataDxfId="1184"/>
    <tableColumn id="14" xr3:uid="{0A505D6A-B620-43DD-BE95-5375CFEB2C9E}" name="8" dataDxfId="1183"/>
    <tableColumn id="15" xr3:uid="{B4A01763-2933-4990-84AC-2EE6364157A1}" name="9" dataDxfId="1182"/>
    <tableColumn id="16" xr3:uid="{BF1956FE-127F-474F-B12A-D74A62785650}" name="10" dataDxfId="118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80"/>
    <tableColumn id="18" xr3:uid="{43369C00-795D-4124-B5FB-CE33A1429479}" name="23" dataDxfId="1179"/>
    <tableColumn id="19" xr3:uid="{34A49AC6-3FC3-4ACE-8C81-C9AB9CD6BF1C}" name="24" dataDxfId="1178"/>
    <tableColumn id="20" xr3:uid="{62E7E367-E664-47D4-A998-F69A442883A3}" name="25" dataDxfId="1177"/>
    <tableColumn id="21" xr3:uid="{38ED713F-D0AE-4A42-8586-07C0CFE7FD0D}" name="26" dataDxfId="1176"/>
    <tableColumn id="22" xr3:uid="{777A8FFE-C36F-4CC0-9736-E3B5572BB43B}" name="27" dataDxfId="1175"/>
    <tableColumn id="23" xr3:uid="{9793EF6D-52A7-486F-9DA0-5EC6B4742B0D}" name="28" dataDxfId="1174"/>
    <tableColumn id="24" xr3:uid="{8675AF28-0AC8-42A2-9C9D-B652E1F578AA}" name="29" dataDxfId="1173"/>
    <tableColumn id="25" xr3:uid="{69A4324E-C083-46F7-9045-4F5A0A8A7029}" name="30" dataDxfId="1172"/>
    <tableColumn id="26" xr3:uid="{DBC5694B-2026-414C-ACC6-93144006A162}" name="31" dataDxfId="1171"/>
    <tableColumn id="27" xr3:uid="{823ED1C1-B820-4301-889D-715B402B64AE}" name="CARTERA ASESOR" dataDxfId="117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9">
  <autoFilter ref="A2:K76" xr:uid="{F6E10C3A-51B0-46B0-AC7A-178487A186FC}"/>
  <tableColumns count="11">
    <tableColumn id="1" xr3:uid="{27AC9715-D9AF-4425-8467-97D5ACDF32DB}" name="SUPER" dataDxfId="1168"/>
    <tableColumn id="2" xr3:uid="{60BCBFC1-6517-433B-923C-CCB32F89496C}" name="ASESOR_CRR" dataDxfId="1167">
      <calculatedColumnFormula>D1_DICIEMBRE_2024[[#This Row],[ASESOR]]</calculatedColumnFormula>
    </tableColumn>
    <tableColumn id="5" xr3:uid="{FE528A67-2FD9-481D-A3BD-D0593BF1728D}" name="META" dataDxfId="1166">
      <calculatedColumnFormula>VLOOKUP(D1_DICIEMBRE_2024[[#This Row],[SUPER]],DATA_DICIEMBRE_2024[[SUPERVISOR]:[META]],3,0)</calculatedColumnFormula>
    </tableColumn>
    <tableColumn id="6" xr3:uid="{9F920DCF-74DA-4A35-AEB6-9874EC115540}" name="ALCANCE" dataDxfId="1165">
      <calculatedColumnFormula>D1_DICIEMBRE_2024[[#This Row],[RECUPERO]]/D1_DICIEMBRE_2024[[#This Row],[META]]</calculatedColumnFormula>
    </tableColumn>
    <tableColumn id="7" xr3:uid="{A0A51D41-B7D6-4CCC-ACCB-42E0C653AD2F}" name="SUPER2" dataDxfId="116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63"/>
    <tableColumn id="8" xr3:uid="{894A3BEA-774F-4F80-88D8-1B289CA5BA86}" name="DNI" dataDxfId="1162"/>
    <tableColumn id="9" xr3:uid="{803AE20B-2CCD-451D-A530-6F128D73F913}" name="FECHA DE INICIO" dataDxfId="1161"/>
    <tableColumn id="10" xr3:uid="{49EAA54F-6677-4846-BCD1-109279DB3A73}" name="ESTADO" dataDxfId="116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9" dataDxfId="1157" headerRowBorderDxfId="1158" tableBorderDxfId="1156" totalsRowBorderDxfId="115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54"/>
    <tableColumn id="3" xr3:uid="{ABE326D8-B04B-4CEC-9F6E-FE25C0EE8AA0}" name="RECUPERO SUPERVISOR" dataDxfId="1153">
      <calculatedColumnFormula>MAX(DITE_DICIEMBRE_2024[[#This Row],[1]:[31]])</calculatedColumnFormula>
    </tableColumn>
    <tableColumn id="4" xr3:uid="{9E55702C-7024-420F-8940-D2C1A0A3CA1D}" name="ALCANCE SUPERVISOR" dataDxfId="1152">
      <calculatedColumnFormula>DITE_DICIEMBRE_2024[[#This Row],[RECUPERO SUPERVISOR]]/AZ9</calculatedColumnFormula>
    </tableColumn>
    <tableColumn id="1" xr3:uid="{5009DC4C-3EA4-45D5-A15D-072373F4AE20}" name="SUPER" dataDxfId="1151"/>
    <tableColumn id="6" xr3:uid="{D0AF21FC-B7C0-49FB-B06D-CEE18869F451}" name="1" dataDxfId="1150"/>
    <tableColumn id="7" xr3:uid="{13740F97-8E6D-486C-956C-27845E43364F}" name="2" dataDxfId="1149"/>
    <tableColumn id="36" xr3:uid="{D8D06FB7-6376-4BDE-8C73-E14742A693D2}" name="3" dataDxfId="1148"/>
    <tableColumn id="8" xr3:uid="{6A7AE4CF-8204-4E27-89B3-519888750343}" name="4" dataDxfId="1147"/>
    <tableColumn id="9" xr3:uid="{E68D0942-B003-4636-896B-C7F7CC5DF30B}" name="5" dataDxfId="1146"/>
    <tableColumn id="10" xr3:uid="{A130D834-D24E-4226-8974-EAEEC5239084}" name="6" dataDxfId="1145"/>
    <tableColumn id="11" xr3:uid="{B74AC268-8591-43DA-A0A0-8EED3A99A7E6}" name="7" dataDxfId="1144"/>
    <tableColumn id="12" xr3:uid="{3E5A00D6-9077-4087-98FC-A1F995D9E85D}" name="8" dataDxfId="1143"/>
    <tableColumn id="13" xr3:uid="{1C1866E7-047F-4D10-9606-401FEC40FA49}" name="9" dataDxfId="1142"/>
    <tableColumn id="14" xr3:uid="{1A856C2F-9F0A-48E6-A1F8-02744BF96124}" name="10" dataDxfId="1141"/>
    <tableColumn id="15" xr3:uid="{4AF6AE1F-C32E-4098-A90E-906C45E577A6}" name="11" dataDxfId="1140"/>
    <tableColumn id="32" xr3:uid="{22F83872-EA87-4B20-AC9C-A5E2ACD10B99}" name="12" dataDxfId="1139"/>
    <tableColumn id="33" xr3:uid="{98BD9E2A-AADA-4033-A5CA-E179FF24557D}" name="13" dataDxfId="1138"/>
    <tableColumn id="35" xr3:uid="{700503A6-DBA0-45CB-A088-D89AE0558CCF}" name="14" dataDxfId="1137"/>
    <tableColumn id="34" xr3:uid="{C5A60DDC-0D8C-41E0-A0F0-FBB45535E86A}" name="15" dataDxfId="1136"/>
    <tableColumn id="29" xr3:uid="{D5EC2BDA-E6C3-4A4D-A6AD-950B2D0490AB}" name="16" dataDxfId="1135"/>
    <tableColumn id="30" xr3:uid="{349CB117-97C5-4862-848C-38A5D8F531C9}" name="17" dataDxfId="1134"/>
    <tableColumn id="31" xr3:uid="{C11D4844-CCFA-4F14-88FA-CE5B9B605A6F}" name="18" dataDxfId="1133"/>
    <tableColumn id="26" xr3:uid="{F17C536A-13C6-44BF-A1D0-9E0F529A2288}" name="19" dataDxfId="1132"/>
    <tableColumn id="27" xr3:uid="{784AEED1-4141-49AA-B4F6-24141E5B4FA4}" name="20" dataDxfId="1131"/>
    <tableColumn id="28" xr3:uid="{5FA3E61C-F996-45DB-8D68-7A355B9D9345}" name="21" dataDxfId="1130"/>
    <tableColumn id="16" xr3:uid="{3CDD7303-1AA0-4E13-B85B-07CCE6B3675D}" name="22" dataDxfId="1129"/>
    <tableColumn id="17" xr3:uid="{81F4684D-1734-49FB-8F57-68B80EB1FD1D}" name="23" dataDxfId="1128"/>
    <tableColumn id="18" xr3:uid="{9DA7B90E-288E-45A3-BD0A-31904382DB50}" name="24" dataDxfId="1127"/>
    <tableColumn id="19" xr3:uid="{A0AC125C-0C19-47E9-B7BD-9F657DD56BC2}" name="25" dataDxfId="1126"/>
    <tableColumn id="20" xr3:uid="{E1B67347-A852-4F21-A3C3-D6E44F51E9FF}" name="26" dataDxfId="1125"/>
    <tableColumn id="21" xr3:uid="{992748FE-9359-4D4E-B06A-59F7A48309B5}" name="27" dataDxfId="1124"/>
    <tableColumn id="22" xr3:uid="{3732AEA5-9CC9-4EE6-A93B-386050E291B1}" name="28" dataDxfId="1123"/>
    <tableColumn id="23" xr3:uid="{20A4F952-B20F-4E0E-95CC-77C648A54699}" name="29" dataDxfId="1122"/>
    <tableColumn id="24" xr3:uid="{26953009-23ED-4318-9CEE-07B704B9665A}" name="30" dataDxfId="1121"/>
    <tableColumn id="25" xr3:uid="{267CBC9B-29BE-4672-94C3-393B627CB1FD}" name="31" dataDxfId="1120"/>
    <tableColumn id="5" xr3:uid="{EE07FFF3-9A6D-4F12-ACF6-244205791333}" name="CARTERA" dataDxfId="111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25" dataDxfId="24">
  <autoFilter ref="CK8:CO15" xr:uid="{9AD021D7-7D86-458A-9ED4-B4154908A926}"/>
  <tableColumns count="5">
    <tableColumn id="1" xr3:uid="{EF280B0C-5AA9-4C98-8348-08142AD9CF12}" name="VISTA" dataDxfId="23"/>
    <tableColumn id="2" xr3:uid="{852E579E-9FD0-46ED-9AF6-6DDE965B926B}" name="1" dataDxfId="22"/>
    <tableColumn id="3" xr3:uid="{E6FD03E6-BDD9-4D85-95AE-4F26472C7EC7}" name="2" dataDxfId="21"/>
    <tableColumn id="4" xr3:uid="{8654C69D-8F4B-4D69-9CDD-6E64ECCA9D09}" name="3" dataDxfId="20"/>
    <tableColumn id="14" xr3:uid="{C3EC5E64-D5EB-407B-80F2-85558E14B19B}" name="4" dataDxfId="1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18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17"/>
    <tableColumn id="5" xr3:uid="{42625339-8FE7-49A5-82AC-5EDD10C3C984}" name="ASESOR"/>
    <tableColumn id="6" xr3:uid="{BD1A5411-32FB-4DF7-B264-96C059BE5C56}" name="RECUPERO" dataDxfId="1116"/>
    <tableColumn id="8" xr3:uid="{8B3B2929-A591-41D7-9D44-B220287F0F2A}" name="DNI" dataDxfId="1115"/>
    <tableColumn id="9" xr3:uid="{AAABF626-1A15-4E7A-A444-7423611F1BB2}" name="FECHA DE INICIO" dataDxfId="1114"/>
    <tableColumn id="10" xr3:uid="{CACFA6D6-8D93-432C-AAD6-E9CBF58F5197}" name="ESTADO" dataDxfId="1113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112" headerRowBorderDxfId="1111" tableBorderDxfId="1110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109">
      <calculatedColumnFormula>DATA_ENERO_2025[[#This Row],[RECUPERO]]/DATA_ENERO_2025[[#This Row],[META]]</calculatedColumnFormula>
    </tableColumn>
    <tableColumn id="3" xr3:uid="{16F39E06-76AE-43AD-903E-9F641E37CB06}" name="CLASIFICACIÓN" dataDxfId="1108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107"/>
    <tableColumn id="6" xr3:uid="{087774B2-9699-454D-B0E9-E9D62B239262}" name="RECUPERO" dataDxfId="1106">
      <calculatedColumnFormula>SUM(DATA_ENERO_2025[[#This Row],[1]:[31]])</calculatedColumnFormula>
    </tableColumn>
    <tableColumn id="7" xr3:uid="{B938E452-5678-4623-B9AD-47B290EB3B56}" name="META" dataDxfId="1105"/>
    <tableColumn id="5" xr3:uid="{A39094CA-883F-4450-A53A-370F0AE54B0C}" name="ASER_" dataDxfId="1104"/>
    <tableColumn id="28" xr3:uid="{BA402970-CDDC-479B-AF0C-DE6FB6DEA3A2}" name="1" dataDxfId="1103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102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101" dataDxfId="1099" headerRowBorderDxfId="1100" tableBorderDxfId="1098" totalsRowBorderDxfId="1097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96"/>
    <tableColumn id="1" xr3:uid="{5A7C4C9C-3E71-483D-9C6F-3AFA18F0B768}" name="RECUPERO SUPERVISOR" dataDxfId="1095">
      <calculatedColumnFormula>MAX(DITE_ENERO_2025[[#This Row],[1]:[31]])</calculatedColumnFormula>
    </tableColumn>
    <tableColumn id="2" xr3:uid="{1DBABE23-BC0D-4016-A3DE-102C34B93437}" name="ALCANCE SUPERVISOR" dataDxfId="1094">
      <calculatedColumnFormula>DITE_ENERO_2025[[#This Row],[RECUPERO SUPERVISOR]]/DITE_ENERO_2025[[#This Row],[META SUPER]]</calculatedColumnFormula>
    </tableColumn>
    <tableColumn id="4" xr3:uid="{AAFE5F6A-D443-4B76-896C-3012A63A21B1}" name="SUPER" dataDxfId="1093"/>
    <tableColumn id="6" xr3:uid="{CAC1468E-FE7F-46E8-8FA8-2EBFE78F55CF}" name="1" dataDxfId="1092"/>
    <tableColumn id="7" xr3:uid="{2C1F1DCC-5615-43E9-8493-73A6B92A7B8C}" name="2" dataDxfId="1091"/>
    <tableColumn id="8" xr3:uid="{CB1DD332-E0A5-4BEF-8B71-8820CA4A145B}" name="3" dataDxfId="1090"/>
    <tableColumn id="9" xr3:uid="{1BB0DD4F-A73A-4F8E-93FB-252CA932D637}" name="4" dataDxfId="1089"/>
    <tableColumn id="10" xr3:uid="{F4A27082-EDDE-411F-B0E7-C50309499B06}" name="5" dataDxfId="1088"/>
    <tableColumn id="11" xr3:uid="{DDC3545E-22B2-4DEC-A217-59650C8BAC95}" name="6" dataDxfId="1087"/>
    <tableColumn id="12" xr3:uid="{F4B5BD15-E4EF-4A2E-9071-FE5F69E48F1F}" name="7" dataDxfId="1086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85"/>
    <tableColumn id="14" xr3:uid="{1DE13FA2-B93D-487E-A105-3A5622C997DE}" name="18" dataDxfId="1084"/>
    <tableColumn id="15" xr3:uid="{6273FFBE-FC81-40C7-91CB-E95ECAD8BE5D}" name="19" dataDxfId="1083"/>
    <tableColumn id="16" xr3:uid="{35253537-0DA1-45D4-B9A3-D1CBC6E92B8B}" name="20" dataDxfId="1082"/>
    <tableColumn id="17" xr3:uid="{4BF3707C-841F-4140-B63C-5B47863B4CA4}" name="21" dataDxfId="1081"/>
    <tableColumn id="18" xr3:uid="{1F7B79C3-A22C-49D8-9C1F-629E6C41B955}" name="22" dataDxfId="1080"/>
    <tableColumn id="19" xr3:uid="{361B16CF-A887-4C9E-88B3-E8A7F4F314B0}" name="23" dataDxfId="1079"/>
    <tableColumn id="20" xr3:uid="{9B3EDA9C-6CB0-4D9F-965A-6EB0593C19D9}" name="24" dataDxfId="1078"/>
    <tableColumn id="21" xr3:uid="{B02655DA-D4F9-4926-88A4-5E8B2F4DF911}" name="25" dataDxfId="1077"/>
    <tableColumn id="22" xr3:uid="{43854B99-1BF7-4DF3-8A04-A277447DE3B8}" name="26" dataDxfId="1076"/>
    <tableColumn id="23" xr3:uid="{CAC2F677-42BD-4EFA-8E99-ABA2036DAF56}" name="27" dataDxfId="1075"/>
    <tableColumn id="24" xr3:uid="{20489B5B-5885-4E43-B5F0-4EAAEE4E8EB8}" name="28" dataDxfId="1074"/>
    <tableColumn id="25" xr3:uid="{B4D29A08-5206-4DCD-AF4C-9B7ABB8D3CFF}" name="29" dataDxfId="1073"/>
    <tableColumn id="26" xr3:uid="{7B49DBDA-317E-4CFB-B7FA-841DFC27E42B}" name="30" dataDxfId="1072"/>
    <tableColumn id="27" xr3:uid="{0126152E-7354-43DB-A75E-4841194C453D}" name="31" dataDxfId="1071"/>
    <tableColumn id="3" xr3:uid="{93315C06-D400-4502-BDDD-AC5886091EC6}" name="CARTERA" dataDxfId="107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32" dataDxfId="31">
  <autoFilter ref="CK8:CO15" xr:uid="{628F3242-7DD0-4B7D-BBF4-24BB03052117}"/>
  <tableColumns count="5">
    <tableColumn id="1" xr3:uid="{AF9FE221-25FE-4ADA-80D0-7A04339E9BB1}" name="VISTA" dataDxfId="30"/>
    <tableColumn id="2" xr3:uid="{B488B423-9458-4683-AA20-4A08180A5ACB}" name="1" dataDxfId="29"/>
    <tableColumn id="3" xr3:uid="{4D9F7DD4-D75E-4BFC-873B-7FA8E13A86DE}" name="2" dataDxfId="28"/>
    <tableColumn id="4" xr3:uid="{F6DB5598-2EF2-4C43-BD3D-FDED84C73969}" name="3" dataDxfId="27"/>
    <tableColumn id="14" xr3:uid="{5A508F25-785E-4D54-9BD9-8B48775B6160}" name="4" dataDxfId="2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69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68"/>
    <tableColumn id="5" xr3:uid="{44178C41-B41B-4820-A8E8-222FE453335F}" name="ASESOR" dataDxfId="1067"/>
    <tableColumn id="6" xr3:uid="{AC6EB590-A7E8-408F-A892-A1851BCCF0B5}" name="RECUPERO" dataDxfId="1066"/>
    <tableColumn id="8" xr3:uid="{9B60B527-D768-46F8-BB97-824B255159D2}" name="DNI" dataDxfId="1065"/>
    <tableColumn id="9" xr3:uid="{BDF8C571-22FC-498B-99CF-8D578B086437}" name="FECHA DE INICIO" dataDxfId="1064"/>
    <tableColumn id="10" xr3:uid="{4A0E2A05-69C0-48C2-B0D3-4D952F052DB2}" name="ESTADO" dataDxfId="1063"/>
    <tableColumn id="11" xr3:uid="{3D228EA7-2109-464D-B55C-85DBBA7EB19F}" name="SEGMENTO" dataDxfId="106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61" headerRowBorderDxfId="1060" tableBorderDxfId="1059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58">
      <calculatedColumnFormula>DATA_FEBRERO_2025[[#This Row],[RECUPERO]]/DATA_FEBRERO_2025[[#This Row],[META]]</calculatedColumnFormula>
    </tableColumn>
    <tableColumn id="3" xr3:uid="{AE4A1FA5-3083-4CA4-B657-D2D0F2E20004}" name="CLASIFICACIÓN" dataDxfId="1057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56"/>
    <tableColumn id="6" xr3:uid="{2DE1A6CE-7493-4B20-83EE-59078393B5AF}" name="RECUPERO" dataDxfId="1055">
      <calculatedColumnFormula>SUM(DATA_FEBRERO_2025[[#This Row],[1]:[31]])</calculatedColumnFormula>
    </tableColumn>
    <tableColumn id="7" xr3:uid="{24FB90FB-A888-41AB-9B19-627A74DA2062}" name="META" dataDxfId="1054"/>
    <tableColumn id="5" xr3:uid="{E6A5C563-3502-4EF4-8D06-C88816E905A8}" name="ASER_" dataDxfId="1053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52"/>
    <tableColumn id="8" xr3:uid="{E99C6359-BA67-4127-80B1-429613DA94CB}" name="31"/>
    <tableColumn id="4" xr3:uid="{1AB4C76D-3918-4961-B05E-216E9D0F2A8C}" name="CARTERA ASESOR" dataDxfId="105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50" dataDxfId="1048" headerRowBorderDxfId="1049" tableBorderDxfId="1047" totalsRowBorderDxfId="1046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45"/>
    <tableColumn id="1" xr3:uid="{C46409A5-9201-4E30-A3EB-7B6FC2DAF473}" name="RECUPERO SUPERVISOR" dataDxfId="1044">
      <calculatedColumnFormula>MAX(DITE_FEBRERO_2025[[#This Row],[1]:[31]])</calculatedColumnFormula>
    </tableColumn>
    <tableColumn id="2" xr3:uid="{445C2C89-5F44-46FD-8C70-EF4EE30F232E}" name="ALCANCE SUPERVISOR" dataDxfId="1043">
      <calculatedColumnFormula>DITE_FEBRERO_2025[[#This Row],[RECUPERO SUPERVISOR]]/DITE_FEBRERO_2025[[#This Row],[META SUPER]]</calculatedColumnFormula>
    </tableColumn>
    <tableColumn id="4" xr3:uid="{55D4E2C7-B609-4C8C-A5DE-AABFFD74BEB8}" name="SUPER" dataDxfId="1042"/>
    <tableColumn id="6" xr3:uid="{29925D04-B597-415A-B40B-62A3FBA8B23D}" name="1" dataDxfId="1041"/>
    <tableColumn id="7" xr3:uid="{31865A72-E634-4CB8-8660-811FA8147632}" name="2" dataDxfId="1040"/>
    <tableColumn id="8" xr3:uid="{C70A98A0-1CB0-425B-975B-D4464009CDD0}" name="3" dataDxfId="1039"/>
    <tableColumn id="9" xr3:uid="{F56CF612-0AA5-44CB-878D-FA59D84052AD}" name="4" dataDxfId="1038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37"/>
    <tableColumn id="11" xr3:uid="{A6DAF4DF-EAFF-47AB-9A6F-0B2896AE1A18}" name="17" dataDxfId="1036"/>
    <tableColumn id="12" xr3:uid="{3DC03FF0-BAC6-4F5D-B5DE-18A95E2C1B97}" name="18" dataDxfId="1035"/>
    <tableColumn id="13" xr3:uid="{A90729AA-CC5E-4236-924F-A736B7A4BE93}" name="19" dataDxfId="1034"/>
    <tableColumn id="14" xr3:uid="{B48B5FF0-5C49-4DDC-AC33-B45D349AD044}" name="20" dataDxfId="1033"/>
    <tableColumn id="15" xr3:uid="{D36E617E-0BBB-4BC1-BBF1-EB24E3C2CE90}" name="21" dataDxfId="1032"/>
    <tableColumn id="16" xr3:uid="{BD346F05-FCC2-4EA9-8F0F-B55AB2E68BE0}" name="22" dataDxfId="1031"/>
    <tableColumn id="17" xr3:uid="{F5BB9730-A5AE-4489-9CB0-182052BA6557}" name="23" dataDxfId="1030"/>
    <tableColumn id="18" xr3:uid="{B3DEF063-7A67-4F08-9D09-8310B4B64F2B}" name="24" dataDxfId="1029"/>
    <tableColumn id="19" xr3:uid="{558BE332-1E67-4EF7-9FF1-541A019A7066}" name="25" dataDxfId="1028"/>
    <tableColumn id="20" xr3:uid="{073BAAB2-EF92-4A82-B7FE-8339FF3A62EA}" name="26" dataDxfId="1027"/>
    <tableColumn id="21" xr3:uid="{6EC9D118-EB0A-4FDC-A694-0A630EB1048E}" name="27" dataDxfId="1026"/>
    <tableColumn id="22" xr3:uid="{DFF298CB-C24B-4F90-BD14-F99C28391208}" name="28" dataDxfId="1025"/>
    <tableColumn id="23" xr3:uid="{7EF0365B-2B81-4022-84F3-7A3859D35934}" name="29" dataDxfId="1024"/>
    <tableColumn id="24" xr3:uid="{D92D6A29-5A30-4405-A019-D7F8F39E4176}" name="30" dataDxfId="1023"/>
    <tableColumn id="25" xr3:uid="{9BFA1186-4A61-452A-8EAC-4FE410743029}" name="31" dataDxfId="1022"/>
    <tableColumn id="3" xr3:uid="{5EBD9DD4-78E3-4E78-8FD5-A71A2DE2CBE8}" name="CARTERA" dataDxfId="102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39" dataDxfId="38">
  <autoFilter ref="CK8:CO15" xr:uid="{CD951E0C-6BAC-4E04-975A-04769F8000A5}"/>
  <tableColumns count="5">
    <tableColumn id="1" xr3:uid="{47C2FEF6-5357-4549-8005-DD8EC3539863}" name="VISTA" dataDxfId="37"/>
    <tableColumn id="2" xr3:uid="{CCD006F3-5A71-4D0D-9DFD-11B037CD91D8}" name="1" dataDxfId="36"/>
    <tableColumn id="3" xr3:uid="{98E7E65E-122C-4175-82F1-624865A7A2D3}" name="2" dataDxfId="35"/>
    <tableColumn id="4" xr3:uid="{A4BE2A42-080D-4657-9FCF-3468BE3AF8C2}" name="3" dataDxfId="34"/>
    <tableColumn id="14" xr3:uid="{D44E4FEF-5EE4-46FB-BEEE-A11B8A1BE670}" name="4" dataDxfId="3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020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019">
      <calculatedColumnFormula>D1_MARZO_2025[[#This Row],[RECUPERO]]/D1_MARZO_2025[[#This Row],[META]]</calculatedColumnFormula>
    </tableColumn>
    <tableColumn id="7" xr3:uid="{7155E541-BC22-41C0-914A-E54D790D436D}" name="SUPER2" dataDxfId="1018"/>
    <tableColumn id="5" xr3:uid="{C9BC0167-A73A-4B66-AB0E-BCC22F3CD7BF}" name="ASESOR" dataDxfId="1017"/>
    <tableColumn id="6" xr3:uid="{32E44CF1-7B46-45AA-916C-7D5322097EFD}" name="RECUPERO" dataDxfId="1016"/>
    <tableColumn id="8" xr3:uid="{5504CD70-2376-413C-9DD9-7E1FC1D78F37}" name="DNI" dataDxfId="1015"/>
    <tableColumn id="9" xr3:uid="{27659D49-6FC1-457B-BF33-A19DBF78CDF2}" name="FECHA DE INICIO" dataDxfId="1014"/>
    <tableColumn id="10" xr3:uid="{79E50096-FDE3-4403-8568-FF008447BCC2}" name="ESTADO" dataDxfId="1013"/>
    <tableColumn id="11" xr3:uid="{0DDDAC11-10AB-4791-8916-A8A4E78A7D35}" name="SEGMENTO" dataDxfId="101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011" headerRowBorderDxfId="1010" tableBorderDxfId="100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008">
      <calculatedColumnFormula>DATA_MARZO_2025[[#This Row],[RECUPERO]]/DATA_MARZO_2025[[#This Row],[META]]</calculatedColumnFormula>
    </tableColumn>
    <tableColumn id="3" xr3:uid="{6050B278-B3D2-4B4C-8475-D701C9B8AB17}" name="CLASIFICACIÓN" dataDxfId="1007"/>
    <tableColumn id="1" xr3:uid="{A94CCC19-556A-4124-8949-24896CDBE45E}" name="SUPERVISOR" dataDxfId="1006"/>
    <tableColumn id="6" xr3:uid="{EBBFD24C-8909-45B0-B8CB-4ED73B62F2AB}" name="RECUPERO" dataDxfId="1005">
      <calculatedColumnFormula>SUM(DATA_MARZO_2025[[#This Row],[1]:[31]])</calculatedColumnFormula>
    </tableColumn>
    <tableColumn id="7" xr3:uid="{D5702432-6067-40C7-B647-63D5EBDD13C2}" name="META" dataDxfId="1004"/>
    <tableColumn id="5" xr3:uid="{40A208DF-2D8B-4D71-B923-6BFFA76CDA11}" name="ASER_" dataDxfId="1003"/>
    <tableColumn id="38" xr3:uid="{1F074B40-AB13-4BEE-BC21-9D178D274909}" name="1"/>
    <tableColumn id="41" xr3:uid="{936D83D8-C85E-4C4D-9E8D-BA3D7C54F99A}" name="2" dataDxfId="100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0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0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99" dataDxfId="997" headerRowBorderDxfId="998" tableBorderDxfId="996" totalsRowBorderDxfId="99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94"/>
    <tableColumn id="1" xr3:uid="{23B67F77-728E-46C0-B5B1-11CE8E08D862}" name="RECUPERO SUPERVISOR" dataDxfId="993">
      <calculatedColumnFormula>MAX(DITE_MARZO_2025[[#This Row],[1]:[31]])</calculatedColumnFormula>
    </tableColumn>
    <tableColumn id="2" xr3:uid="{0BAE08AE-6A16-447E-9DDD-8800D68BFFA3}" name="ALCANCE SUPERVISOR" dataDxfId="992">
      <calculatedColumnFormula>DITE_MARZO_2025[[#This Row],[RECUPERO SUPERVISOR]]/DITE_MARZO_2025[[#This Row],[META SUPER]]</calculatedColumnFormula>
    </tableColumn>
    <tableColumn id="4" xr3:uid="{663301EA-2B77-4C76-B8E0-713CAAD1AC41}" name="SUPER" dataDxfId="991"/>
    <tableColumn id="6" xr3:uid="{9A6FEB31-48E4-456F-8C1F-14055131E9D6}" name="1" dataDxfId="990"/>
    <tableColumn id="7" xr3:uid="{B8154FAF-39D2-4ED9-8DD7-C179156ECA39}" name="2" dataDxfId="989"/>
    <tableColumn id="8" xr3:uid="{E58A14C1-44D1-46A4-9137-21E70261FA76}" name="3" dataDxfId="988"/>
    <tableColumn id="9" xr3:uid="{EFDA2093-809C-4DA2-80F9-0388CCC5E290}" name="4" dataDxfId="987"/>
    <tableColumn id="10" xr3:uid="{634CF5F0-F36D-4B26-8143-8C3A6FB59216}" name="5" dataDxfId="986"/>
    <tableColumn id="11" xr3:uid="{77A0553B-7BDF-49B7-B459-701A77496BEA}" name="6" dataDxfId="98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84"/>
    <tableColumn id="13" xr3:uid="{C6D91E97-E16B-4E76-BE55-A08C2A1131DD}" name="18" dataDxfId="983"/>
    <tableColumn id="14" xr3:uid="{2A5F1078-A097-4171-BD28-7B9B623471D0}" name="19" dataDxfId="982"/>
    <tableColumn id="15" xr3:uid="{5E883D61-775A-4AD4-A304-156DCFD9F825}" name="20" dataDxfId="981"/>
    <tableColumn id="16" xr3:uid="{BEFB5788-590D-4EFA-8707-20BAAF7026F1}" name="21" dataDxfId="980"/>
    <tableColumn id="17" xr3:uid="{8FC06E69-FAE9-4DBE-9C75-7A6598DE29C6}" name="22" dataDxfId="979"/>
    <tableColumn id="18" xr3:uid="{966EC934-1D25-407E-AE13-8147AC3FF531}" name="23" dataDxfId="978"/>
    <tableColumn id="19" xr3:uid="{5437FF24-6F5D-412D-82EE-8C668C7DC853}" name="24" dataDxfId="977"/>
    <tableColumn id="20" xr3:uid="{204A7CBC-2C07-4027-851F-021033B930C1}" name="25" dataDxfId="976"/>
    <tableColumn id="21" xr3:uid="{DF491418-AC74-4C6A-852F-F0797487D11C}" name="26" dataDxfId="975"/>
    <tableColumn id="22" xr3:uid="{E184F0A4-EF1A-48F5-8166-10085FC40D13}" name="27" dataDxfId="974"/>
    <tableColumn id="23" xr3:uid="{66C12B87-BC6D-46BE-AF31-D0C68A22BC7E}" name="28" dataDxfId="973"/>
    <tableColumn id="24" xr3:uid="{A2DB9C74-4CB6-4BBF-A230-DF50FDE9380D}" name="29" dataDxfId="972"/>
    <tableColumn id="25" xr3:uid="{D54E02BE-AA16-43C7-ABD3-89326740EA63}" name="30" dataDxfId="971"/>
    <tableColumn id="26" xr3:uid="{11172EA7-856A-4297-8329-62917B649E9A}" name="31" dataDxfId="970"/>
    <tableColumn id="3" xr3:uid="{42C6AD34-2DFF-436B-BB22-6DE170226F44}" name="CARTERA" dataDxfId="969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46" dataDxfId="45">
  <autoFilter ref="CK8:CO15" xr:uid="{5CC39DC1-38AA-4FD7-8618-9D1757C063BF}"/>
  <tableColumns count="5">
    <tableColumn id="1" xr3:uid="{199AD204-98F5-4357-9EC8-563E6CC4C321}" name="VISTA" dataDxfId="44"/>
    <tableColumn id="2" xr3:uid="{BFF1F734-4111-4DDD-8CA0-5198DC585DA1}" name="1" dataDxfId="43"/>
    <tableColumn id="3" xr3:uid="{E52B6FFD-0DE7-46BA-A600-8E50FF6CEDED}" name="2" dataDxfId="42"/>
    <tableColumn id="4" xr3:uid="{5F9675DE-09FF-4EA0-A369-BBECA620B87D}" name="3" dataDxfId="41"/>
    <tableColumn id="14" xr3:uid="{DA0EFF7B-8E6A-466A-B17D-365D82C21948}" name="4" dataDxfId="40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6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67"/>
    <tableColumn id="5" xr3:uid="{D789E66F-CC8C-4715-A998-7AE532E85E8A}" name="ASESOR" dataDxfId="966"/>
    <tableColumn id="6" xr3:uid="{3455DB8A-5A64-4A8F-8153-2471763CA60D}" name="RECUPERO" dataDxfId="965"/>
    <tableColumn id="8" xr3:uid="{F8575E1F-78C1-4E15-B505-1AECE8857345}" name="DNI" dataDxfId="964"/>
    <tableColumn id="9" xr3:uid="{BE130F2A-9B67-45D5-AA49-051D2F0A515B}" name="FECHA DE INICIO" dataDxfId="963"/>
    <tableColumn id="10" xr3:uid="{31096FEC-094E-478E-A9F3-0023192798F0}" name="ESTADO" dataDxfId="962"/>
    <tableColumn id="11" xr3:uid="{CD53B1C2-5C16-4E04-B510-37D1EE2D9C67}" name="SEGMENTO" dataDxfId="96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60" headerRowBorderDxfId="959" tableBorderDxfId="958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57">
      <calculatedColumnFormula>DATA_ABRIL_2025[[#This Row],[RECUPERO]]/DATA_ABRIL_2025[[#This Row],[META]]</calculatedColumnFormula>
    </tableColumn>
    <tableColumn id="3" xr3:uid="{1B1E8B7A-D562-46FD-89DE-12ADBC7146F2}" name="CLASIFICACIÓN" dataDxfId="956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55"/>
    <tableColumn id="6" xr3:uid="{9C2D93B7-85A2-4E07-8DD4-3C81F7BF7EBF}" name="RECUPERO" dataDxfId="954">
      <calculatedColumnFormula>SUM(DATA_ABRIL_2025[[#This Row],[1]:[31]])</calculatedColumnFormula>
    </tableColumn>
    <tableColumn id="7" xr3:uid="{8F4173FF-BB8D-4C61-A5E9-1B6F872C619C}" name="META" dataDxfId="953"/>
    <tableColumn id="5" xr3:uid="{64151D2C-B822-41DF-8964-343214960730}" name="ASER_" dataDxfId="952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51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50" dataDxfId="948" headerRowBorderDxfId="949" tableBorderDxfId="947" totalsRowBorderDxfId="946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45"/>
    <tableColumn id="1" xr3:uid="{56AD13BC-F67F-4EBC-8601-073AD9D41E5D}" name="RECUPERO SUPERVISOR" dataDxfId="944">
      <calculatedColumnFormula>MAX(DITE_ABRIL_2025[[#This Row],[1]:[31]])</calculatedColumnFormula>
    </tableColumn>
    <tableColumn id="2" xr3:uid="{B40C8394-DA7A-4DDD-89EA-AE757C76DD20}" name="ALCANCE SUPERVISOR" dataDxfId="943">
      <calculatedColumnFormula>BA9/DITE_ABRIL_2025[[#This Row],[META SUPER]]</calculatedColumnFormula>
    </tableColumn>
    <tableColumn id="4" xr3:uid="{B71408F8-B985-4B11-8661-52EFC6FA8097}" name="SUPER" dataDxfId="942"/>
    <tableColumn id="6" xr3:uid="{9E37ADBB-A64C-4E4B-9AF4-6087C797FB5E}" name="1" dataDxfId="941"/>
    <tableColumn id="7" xr3:uid="{09E3EE83-45B5-4808-842B-71D4652DE46A}" name="2" dataDxfId="940"/>
    <tableColumn id="8" xr3:uid="{243F9102-2670-48D4-B25D-8432658D89F6}" name="3" dataDxfId="939"/>
    <tableColumn id="9" xr3:uid="{06003E0F-B470-4925-ACE4-1381347B3E87}" name="4" dataDxfId="938"/>
    <tableColumn id="10" xr3:uid="{DF8C4E72-181D-4E2F-A34D-2BB7FD231520}" name="5" dataDxfId="937"/>
    <tableColumn id="11" xr3:uid="{56E37C44-85E9-4431-A560-A54606105B9D}" name="6" dataDxfId="936"/>
    <tableColumn id="12" xr3:uid="{9ADEA573-5E4A-46C0-8569-AFED61AE0141}" name="7" dataDxfId="935"/>
    <tableColumn id="13" xr3:uid="{D44E56ED-D810-4F08-ACAA-0850A2CBA861}" name="8" dataDxfId="934"/>
    <tableColumn id="14" xr3:uid="{4F1A46EB-156C-42BB-A090-307A483EDA59}" name="9" dataDxfId="933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932"/>
    <tableColumn id="16" xr3:uid="{C78E77EC-88A1-4EFD-AD1A-7DF788C46683}" name="22" dataDxfId="931"/>
    <tableColumn id="17" xr3:uid="{D5FD8172-0B95-4406-9239-1ABAD08F1B45}" name="23" dataDxfId="930"/>
    <tableColumn id="18" xr3:uid="{8E9BAC3F-3B04-449B-88EE-DBF57FA626AC}" name="24" dataDxfId="929"/>
    <tableColumn id="19" xr3:uid="{BFA3B7EB-0BC7-4311-8FCE-7C69A9357A03}" name="25" dataDxfId="928"/>
    <tableColumn id="20" xr3:uid="{D2BE25CA-961F-40EE-9EC1-A49EEA4DDB5A}" name="26" dataDxfId="927"/>
    <tableColumn id="21" xr3:uid="{77AAB025-517F-4236-B11B-AEE9B7399348}" name="27" dataDxfId="926"/>
    <tableColumn id="22" xr3:uid="{E35C7392-A09A-482A-9C37-79B0D6711E60}" name="28" dataDxfId="925"/>
    <tableColumn id="23" xr3:uid="{B9F1E360-1FEC-4978-B5DB-3DECA1925AE9}" name="29" dataDxfId="924"/>
    <tableColumn id="24" xr3:uid="{89A20735-1F9D-4A38-9BEB-B3BD56D1FD35}" name="30" dataDxfId="923"/>
    <tableColumn id="25" xr3:uid="{4BE1A809-8A7F-4933-9AB7-B0E4C9CDDD7E}" name="31" dataDxfId="922"/>
    <tableColumn id="3" xr3:uid="{8BAF39B2-F0EB-433E-8F3A-FEAC89C5F9BF}" name="CARTERA" dataDxfId="921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53" dataDxfId="52">
  <autoFilter ref="CK8:CO16" xr:uid="{A098A3B8-3C17-4FC2-BD2A-EA8EA6D3503A}"/>
  <tableColumns count="5">
    <tableColumn id="1" xr3:uid="{EEB56793-AB81-4365-A4E5-C06A780CA295}" name="VISTA" dataDxfId="51"/>
    <tableColumn id="2" xr3:uid="{54EC6886-D858-4D08-95BC-9CB64C69785F}" name="1" dataDxfId="50"/>
    <tableColumn id="3" xr3:uid="{29622426-510D-41D8-BAAB-33B75A3032DA}" name="2" dataDxfId="49"/>
    <tableColumn id="4" xr3:uid="{10D8188B-45F2-4371-9D53-44980E950C48}" name="3" dataDxfId="48"/>
    <tableColumn id="14" xr3:uid="{88B5AB80-A8EA-41B5-BA7B-E57AF885CB41}" name="4" dataDxfId="4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920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919">
      <calculatedColumnFormula>D1_MAYO_2025[[#This Row],[RECUPERO]]/D1_MAYO_2025[[#This Row],[META]]</calculatedColumnFormula>
    </tableColumn>
    <tableColumn id="7" xr3:uid="{7C5F88F0-9FF3-49CF-BE68-2D455D9DEE81}" name="SUPER2" dataDxfId="918"/>
    <tableColumn id="5" xr3:uid="{5FAC7613-1036-4D50-9A09-AB4F41D88D12}" name="ASESOR" dataDxfId="917"/>
    <tableColumn id="6" xr3:uid="{373B07DA-C176-4486-843D-36C5A3043867}" name="RECUPERO" dataDxfId="916"/>
    <tableColumn id="8" xr3:uid="{CDBFB8A5-E15E-4513-B245-3523278CBBD2}" name="DNI" dataDxfId="915"/>
    <tableColumn id="9" xr3:uid="{64A6BF66-DB3B-4ED3-B1A9-2DF71B8D1ACE}" name="FECHA DE INICIO" dataDxfId="914"/>
    <tableColumn id="10" xr3:uid="{9DD10A75-AE91-4226-BF53-FBC3A38A3094}" name="ESTADO" dataDxfId="913"/>
    <tableColumn id="11" xr3:uid="{E457A2EF-C26E-43DE-BDB2-64E1BFF451C1}" name="SEGMENTO" dataDxfId="9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11" headerRowBorderDxfId="910" tableBorderDxfId="90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08">
      <calculatedColumnFormula>DATA_MAYO_2025[[#This Row],[RECUPERO]]/DATA_MAYO_2025[[#This Row],[META]]</calculatedColumnFormula>
    </tableColumn>
    <tableColumn id="3" xr3:uid="{8551335D-BE40-494B-A806-42FAA211C207}" name="CLASIFICACIÓN" dataDxfId="90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06"/>
    <tableColumn id="6" xr3:uid="{85DC5B94-4FF7-4224-A993-E56A00A5F6DA}" name="RECUPERO" dataDxfId="905">
      <calculatedColumnFormula>SUM(DATA_MAYO_2025[[#This Row],[1]:[31]])</calculatedColumnFormula>
    </tableColumn>
    <tableColumn id="7" xr3:uid="{E2EB46E1-D5BC-46B2-859F-8C05EBBE26F5}" name="META" dataDxfId="904"/>
    <tableColumn id="5" xr3:uid="{A8ED42EF-7F3D-47A1-A928-02CDC650D596}" name="ASER_" dataDxfId="90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02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01" dataDxfId="899" headerRowBorderDxfId="900" tableBorderDxfId="898" totalsRowBorderDxfId="89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96"/>
    <tableColumn id="1" xr3:uid="{E8B4D119-C811-4392-9EE6-8F0C79BEE9E9}" name="RECUPERO SUPERVISOR" dataDxfId="895">
      <calculatedColumnFormula>MAX(DITE_MAYO_2025[[#This Row],[1]:[31]])</calculatedColumnFormula>
    </tableColumn>
    <tableColumn id="2" xr3:uid="{B44E621C-D444-4670-8FB8-CA1A1E3293FE}" name="ALCANCE SUPERVISOR" dataDxfId="894">
      <calculatedColumnFormula>DITE_MAYO_2025[[#This Row],[RECUPERO SUPERVISOR]]/DITE_MAYO_2025[[#This Row],[META SUPER]]</calculatedColumnFormula>
    </tableColumn>
    <tableColumn id="4" xr3:uid="{63B60F11-ECE7-4839-BADE-F875CF35D6C8}" name="SUPER" dataDxfId="893"/>
    <tableColumn id="6" xr3:uid="{795F9848-930D-4B49-893D-00DA36A6069C}" name="1" dataDxfId="892"/>
    <tableColumn id="7" xr3:uid="{A0F1B09B-45CD-4449-B0E0-2A746353F5F6}" name="2" dataDxfId="891"/>
    <tableColumn id="8" xr3:uid="{42485F8E-3938-40CB-B75A-E12120AF085D}" name="3" dataDxfId="890"/>
    <tableColumn id="9" xr3:uid="{16CE59CD-D621-412D-8F6E-F5B8FEEFCBB4}" name="4" dataDxfId="889"/>
    <tableColumn id="10" xr3:uid="{D1B5939A-E95A-4BE2-BA16-796CFB62C7BB}" name="5" dataDxfId="888"/>
    <tableColumn id="11" xr3:uid="{42606FA2-25C4-48F7-BC25-B75CFBF93D7E}" name="6" dataDxfId="887"/>
    <tableColumn id="12" xr3:uid="{91DD2662-D657-4CF0-B378-5B3D9B374F80}" name="7" dataDxfId="88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85"/>
    <tableColumn id="14" xr3:uid="{FDAEFC46-2A8B-451E-929D-76EC4BC7CA39}" name="19" dataDxfId="884"/>
    <tableColumn id="15" xr3:uid="{1F944C9F-2359-45A9-8922-617195550B92}" name="20" dataDxfId="883"/>
    <tableColumn id="16" xr3:uid="{D023EA95-922B-4435-8A92-F165E2F3A560}" name="21" dataDxfId="882"/>
    <tableColumn id="17" xr3:uid="{7AC3BA92-E630-483B-B27E-18C40869116B}" name="22" dataDxfId="881"/>
    <tableColumn id="18" xr3:uid="{3609A57C-B1DB-4D87-9574-007183221000}" name="23" dataDxfId="880"/>
    <tableColumn id="19" xr3:uid="{98740490-1047-4343-85C8-834AE6AF935A}" name="24" dataDxfId="879"/>
    <tableColumn id="20" xr3:uid="{CE682DBD-B5A8-49C9-8A73-515C0BB553A8}" name="25" dataDxfId="878"/>
    <tableColumn id="21" xr3:uid="{2C63A6DB-A36B-488F-8D7C-F86E11CED59A}" name="26" dataDxfId="877"/>
    <tableColumn id="22" xr3:uid="{01511E88-F7F3-4FDD-998C-292B28698241}" name="27" dataDxfId="876"/>
    <tableColumn id="23" xr3:uid="{B0CE642E-7F10-4E00-9DD1-FC5CF0499DC2}" name="28" dataDxfId="875"/>
    <tableColumn id="24" xr3:uid="{EE9469B0-D486-4046-8AA2-36629B9D9667}" name="29" dataDxfId="874"/>
    <tableColumn id="25" xr3:uid="{D05B2A45-8E05-43BB-9FFA-CC56C7D8C31E}" name="30" dataDxfId="873"/>
    <tableColumn id="26" xr3:uid="{AE78D865-FDC9-4B75-AADF-A48F19C319DC}" name="31" dataDxfId="872"/>
    <tableColumn id="3" xr3:uid="{0887DE9C-F035-4EEC-B2F4-4C2CEB11922C}" name="CARTERA" dataDxfId="87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60" dataDxfId="59">
  <autoFilter ref="CK8:CO16" xr:uid="{2E1714BA-AA31-40C3-A8A8-8F7AF2BE18D3}"/>
  <tableColumns count="5">
    <tableColumn id="1" xr3:uid="{FD8B1FFA-2501-4004-A802-184E80D06B91}" name="VISTA" dataDxfId="58"/>
    <tableColumn id="2" xr3:uid="{429A3B8D-50F1-4374-8637-AB41E24A51D7}" name="1" dataDxfId="57"/>
    <tableColumn id="3" xr3:uid="{DF889198-ABC0-4D54-8703-0B6A785ACBEB}" name="2" dataDxfId="56"/>
    <tableColumn id="4" xr3:uid="{441DAF2A-F2AF-4DE9-A31B-DB40B0EF364E}" name="3" dataDxfId="55"/>
    <tableColumn id="14" xr3:uid="{13BCF5FE-8355-4BAE-9E87-9F83B0CDD4C1}" name="4" dataDxfId="54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7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69"/>
    <tableColumn id="5" xr3:uid="{1BF578D9-FB1B-48B0-B732-40F721FD7C19}" name="ASESOR" dataDxfId="868"/>
    <tableColumn id="6" xr3:uid="{CA995F17-DCA5-4D19-B2E1-FD9362121A39}" name="RECUPERO"/>
    <tableColumn id="8" xr3:uid="{9BC620F7-3E10-4417-B0EA-F37D1F039447}" name="DNI" dataDxfId="867"/>
    <tableColumn id="9" xr3:uid="{0CBCBA61-9BA1-4E3D-B6CE-38E6C9A1078C}" name="FECHA DE INICIO" dataDxfId="866"/>
    <tableColumn id="10" xr3:uid="{3A23F58F-8B92-4D7C-82D9-23C8B3B51E6F}" name="ESTADO" dataDxfId="865"/>
    <tableColumn id="11" xr3:uid="{2E50347E-4858-4527-938D-F94ED2AB3BED}" name="SEGMENTO" dataDxfId="86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63" headerRowBorderDxfId="862" tableBorderDxfId="86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60">
      <calculatedColumnFormula>DATA_JUNIO_2025[[#This Row],[RECUPERO]]/DATA_JUNIO_2025[[#This Row],[META]]</calculatedColumnFormula>
    </tableColumn>
    <tableColumn id="3" xr3:uid="{78E201C6-658E-4437-AC52-3D0E669D8389}" name="CLASIFICACIÓN" dataDxfId="85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58"/>
    <tableColumn id="6" xr3:uid="{3AD4A449-DB0B-4879-AD61-28FA40E45717}" name="RECUPERO" dataDxfId="857">
      <calculatedColumnFormula>SUM(DATA_JUNIO_2025[[#This Row],[1]:[31]])</calculatedColumnFormula>
    </tableColumn>
    <tableColumn id="7" xr3:uid="{2BD9FB92-38FC-44A8-B5F2-890569E48C37}" name="META" dataDxfId="856"/>
    <tableColumn id="5" xr3:uid="{9812F1F1-AB5A-41A6-A84D-86B290FCB7E7}" name="ASER_" dataDxfId="855"/>
    <tableColumn id="37" xr3:uid="{834796BA-53F4-4194-919E-D8B97FEA7F3F}" name="1" dataDxfId="85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53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52" dataDxfId="850" headerRowBorderDxfId="851" tableBorderDxfId="849" totalsRowBorderDxfId="84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847"/>
    <tableColumn id="1" xr3:uid="{1A75BF93-811F-4AFA-86B4-9AD496200913}" name="RECUPERO SUPERVISOR" dataDxfId="846"/>
    <tableColumn id="2" xr3:uid="{60B107BC-0938-4363-BE59-47C4E7777D14}" name="ALCANCE SUPERVISOR" dataDxfId="845">
      <calculatedColumnFormula>DITE_JUNIO_2025[[#This Row],[RECUPERO SUPERVISOR]]/DITE_JUNIO_2025[[#This Row],[META SUPER]]</calculatedColumnFormula>
    </tableColumn>
    <tableColumn id="4" xr3:uid="{846684E8-1F2C-4021-AB12-AFBE9E56FAA4}" name="SUPER" dataDxfId="844"/>
    <tableColumn id="6" xr3:uid="{A217DEAD-ACD7-4C63-A622-E2E01ECF328C}" name="1" dataDxfId="843"/>
    <tableColumn id="7" xr3:uid="{5CA18C0A-7D47-455B-B153-EFA8D01D32D6}" name="2" dataDxfId="842"/>
    <tableColumn id="8" xr3:uid="{3CBBE086-E28B-4224-AF45-5A4E7A009E3F}" name="3" dataDxfId="841"/>
    <tableColumn id="9" xr3:uid="{4B327145-F7C9-4ABC-A911-6EB2E553C986}" name="4" dataDxfId="840"/>
    <tableColumn id="10" xr3:uid="{C644450F-2149-4D87-8E04-D3DD6B99C066}" name="5" dataDxfId="839"/>
    <tableColumn id="11" xr3:uid="{92D6DA00-2083-479D-96F6-4B48312C9C12}" name="6" dataDxfId="838"/>
    <tableColumn id="12" xr3:uid="{2EC613D6-BDCD-416F-817F-42C8018B90FE}" name="7" dataDxfId="837"/>
    <tableColumn id="13" xr3:uid="{B55C5834-2D46-4D83-8429-14D18D9B95EF}" name="8" dataDxfId="836"/>
    <tableColumn id="14" xr3:uid="{5C6DF4C8-EDC0-4827-AA8B-9C2B7202A4DA}" name="9" dataDxfId="835"/>
    <tableColumn id="15" xr3:uid="{764D7AA1-F3E2-4E06-A4A9-952B47F95E76}" name="10" dataDxfId="834"/>
    <tableColumn id="16" xr3:uid="{6D896E44-118D-4124-BF4A-2E06B8568517}" name="11" dataDxfId="83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832"/>
    <tableColumn id="18" xr3:uid="{E97C32F3-7B30-46E7-B4CD-72B412E48E28}" name="22" dataDxfId="831"/>
    <tableColumn id="19" xr3:uid="{FD784BF8-211E-4275-A9B4-168979C2AFD1}" name="23" dataDxfId="830"/>
    <tableColumn id="20" xr3:uid="{766DA9FA-C407-4AC5-BFFB-BF6A1B6D5B26}" name="24" dataDxfId="829"/>
    <tableColumn id="21" xr3:uid="{CD1B765C-53CF-4C5C-A708-487BC53AF68A}" name="25" dataDxfId="828"/>
    <tableColumn id="22" xr3:uid="{2800A805-A560-4CF0-B47E-4486A92755E4}" name="26" dataDxfId="827"/>
    <tableColumn id="23" xr3:uid="{7067EFFA-F2EA-4FFF-A281-8E3E0E718C87}" name="27" dataDxfId="826"/>
    <tableColumn id="24" xr3:uid="{BB01C4B5-FEB4-44E1-BF58-4C9BF81261B1}" name="28" dataDxfId="825"/>
    <tableColumn id="25" xr3:uid="{2116D7DE-6632-4314-9539-6B4BA9407512}" name="29" dataDxfId="824"/>
    <tableColumn id="37" xr3:uid="{CBFA4429-3DA2-46C7-A9A0-49B669AE33A6}" name="30"/>
    <tableColumn id="26" xr3:uid="{B0D188FD-F41F-4C43-A42F-87048D9F3347}" name="31" dataDxfId="823"/>
    <tableColumn id="3" xr3:uid="{153A774F-FA3D-4DE9-A743-A193E9EC2BE7}" name="CARTERA" dataDxfId="8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21" dataDxfId="820">
  <autoFilter ref="CK8:CO16" xr:uid="{D9FB21D9-7D2B-4B44-80D1-3C8656081B59}"/>
  <tableColumns count="5">
    <tableColumn id="1" xr3:uid="{55CC47EE-B5EB-4C22-912A-314A0C4A22CD}" name="VISTA" dataDxfId="819"/>
    <tableColumn id="2" xr3:uid="{68D27FF1-F05E-4881-A0C1-4566D81A7430}" name="1" dataDxfId="818"/>
    <tableColumn id="3" xr3:uid="{E7DA3F7B-A434-4EEC-A6F7-AC22B5F4CAE6}" name="2" dataDxfId="817"/>
    <tableColumn id="4" xr3:uid="{B8418D52-AA16-49C2-A8AA-75631794246B}" name="3" dataDxfId="816"/>
    <tableColumn id="14" xr3:uid="{5C3F1E9C-C0C1-4E39-B365-91CF22966878}" name="4" dataDxfId="81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14" headerRowBorderDxfId="813" tableBorderDxfId="81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11">
      <calculatedColumnFormula>DATA_JULIO_2025[[#This Row],[RECUPERO]]/DATA_JULIO_2025[[#This Row],[META]]</calculatedColumnFormula>
    </tableColumn>
    <tableColumn id="3" xr3:uid="{1754C817-3C23-490F-BEA3-3ACD2AC34A65}" name="CLASIFICACIÓN" dataDxfId="81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09"/>
    <tableColumn id="6" xr3:uid="{BCDF5A35-E274-481A-8FAA-7585E0413D78}" name="RECUPERO" dataDxfId="808">
      <calculatedColumnFormula>SUM(DATA_JULIO_2025[[#This Row],[1]:[31]])</calculatedColumnFormula>
    </tableColumn>
    <tableColumn id="7" xr3:uid="{8DE1FEE0-51D3-4EA8-A46E-89BEBA12056E}" name="META" dataDxfId="807"/>
    <tableColumn id="1" xr3:uid="{3C41F150-757E-4673-8594-D891B2820E33}" name="ASER_" dataDxfId="80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0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03" headerRowBorderDxfId="804" tableBorderDxfId="802">
  <autoFilter ref="A2:K85" xr:uid="{F460AB3C-55A7-4610-B74D-44400B82E396}"/>
  <tableColumns count="11">
    <tableColumn id="1" xr3:uid="{174E92CC-5FBB-42E6-ABBA-A2148115201A}" name="SUPER" dataDxfId="801">
      <calculatedColumnFormula>D1_JULIO_2025[[#This Row],[SUPER2]]</calculatedColumnFormula>
    </tableColumn>
    <tableColumn id="6" xr3:uid="{D87E1435-21B2-485D-8BCD-1C27FC523EEA}" name="ASESOR_CRR" dataDxfId="800"/>
    <tableColumn id="2" xr3:uid="{FC570054-965C-4F29-B04A-C58608AEAECA}" name="META" dataDxfId="799">
      <calculatedColumnFormula>VLOOKUP(D1_JULIO_2025[[#This Row],[SUPER]],DATA_JULIO_2025[[SUPERVISOR]:[META]],3,0)</calculatedColumnFormula>
    </tableColumn>
    <tableColumn id="3" xr3:uid="{CF023A93-4AFB-4349-9235-179A60BC2249}" name="ALCANCE" dataDxfId="798">
      <calculatedColumnFormula>D1_JULIO_2025[[#This Row],[RECUPERO]]/C3</calculatedColumnFormula>
    </tableColumn>
    <tableColumn id="7" xr3:uid="{59576C9E-00A8-419A-8EFC-86D74D6B4B3F}" name="SUPER2" dataDxfId="797"/>
    <tableColumn id="4" xr3:uid="{6F567985-92B6-498E-BDE9-81AA438ECD22}" name="ASESOR" dataDxfId="796"/>
    <tableColumn id="5" xr3:uid="{2DFC340F-6B74-4E64-B475-782D4A5F8B3E}" name="RECUPERO" dataDxfId="795"/>
    <tableColumn id="8" xr3:uid="{D42D0BDD-24C5-4390-9867-D5F3D45952CE}" name="DNI" dataDxfId="794"/>
    <tableColumn id="9" xr3:uid="{A9555617-B6CF-4123-9AD8-5E9DB6528E74}" name="FECHA DE INICIO" dataDxfId="793"/>
    <tableColumn id="10" xr3:uid="{1C792B0A-E0F3-406D-8123-75E932FC95A1}" name="ESTADO" dataDxfId="792"/>
    <tableColumn id="11" xr3:uid="{9C7DD975-8CE5-47A7-9055-3D889431846F}" name="SEGMENTO" dataDxfId="79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90" dataDxfId="788" headerRowBorderDxfId="789" tableBorderDxfId="787" totalsRowBorderDxfId="78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85"/>
    <tableColumn id="1" xr3:uid="{4CE2BFB4-C324-4ECE-B3B7-77A433373BEC}" name="RECUPERO SUPERVISOR" dataDxfId="784"/>
    <tableColumn id="2" xr3:uid="{76C6BCA1-6820-46A6-B790-01B3E88F6266}" name="ALCANCE SUPERVISOR" dataDxfId="783">
      <calculatedColumnFormula>BA9/DITE_JULIO_2025[[#This Row],[META SUPER]]</calculatedColumnFormula>
    </tableColumn>
    <tableColumn id="4" xr3:uid="{FE9C5289-6F21-4D71-92B6-F36B6C9748E7}" name="SUPER" dataDxfId="782"/>
    <tableColumn id="6" xr3:uid="{A5188244-D142-4196-92CC-15B237C3E734}" name="1" dataDxfId="781"/>
    <tableColumn id="7" xr3:uid="{9754BD88-AFD1-4BCB-AF69-DA7B55E3A053}" name="2" dataDxfId="780"/>
    <tableColumn id="8" xr3:uid="{851C8CA8-D257-4BFB-B6BE-D82354200CA7}" name="3" dataDxfId="779"/>
    <tableColumn id="9" xr3:uid="{AE769B63-903F-46E5-A3F0-8DA27C689974}" name="4" dataDxfId="778"/>
    <tableColumn id="10" xr3:uid="{D09A5961-EE10-491A-BFFE-C5ABD80598A8}" name="5" dataDxfId="777"/>
    <tableColumn id="11" xr3:uid="{EC4AF483-303E-4488-AFA2-DD9A058F071A}" name="6" dataDxfId="77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75"/>
    <tableColumn id="13" xr3:uid="{377D024A-00DD-4A77-A549-5C6BEBE894D0}" name="19" dataDxfId="774"/>
    <tableColumn id="14" xr3:uid="{8FABF999-C8BA-4B7D-980A-2659F766178B}" name="20" dataDxfId="773"/>
    <tableColumn id="15" xr3:uid="{06AC6AD7-A191-47DD-AE3F-9A0525AF8DD6}" name="21" dataDxfId="772"/>
    <tableColumn id="16" xr3:uid="{BB465107-63D7-443B-8989-EF197F62D322}" name="22" dataDxfId="771"/>
    <tableColumn id="17" xr3:uid="{3DFE5CBD-1315-4CBA-A14E-1763583D7BEC}" name="23" dataDxfId="770"/>
    <tableColumn id="18" xr3:uid="{5DB3135E-36A1-4F0D-890E-50AC461B96C4}" name="24" dataDxfId="769"/>
    <tableColumn id="19" xr3:uid="{57CA79FE-F6A3-4697-8926-36322AD1BC6C}" name="25" dataDxfId="768"/>
    <tableColumn id="20" xr3:uid="{A99C4302-A806-4344-ABAF-AF753E7EF30D}" name="26" dataDxfId="767"/>
    <tableColumn id="21" xr3:uid="{D1C3F20A-0988-4CC4-8D06-ED3EE15A7AB1}" name="27" dataDxfId="766"/>
    <tableColumn id="22" xr3:uid="{ECEC5739-F3E4-44C4-9408-4DAA6DE5069C}" name="28" dataDxfId="765"/>
    <tableColumn id="23" xr3:uid="{CD77FB96-6C17-47A0-82BA-2ABEA1725A41}" name="29" dataDxfId="764"/>
    <tableColumn id="24" xr3:uid="{87D0EFA1-B9FB-444F-B737-EE4C1B838FBC}" name="30" dataDxfId="763"/>
    <tableColumn id="25" xr3:uid="{BF0F5A29-80D1-482F-9C53-48E4478A5F1D}" name="31" dataDxfId="762"/>
    <tableColumn id="3" xr3:uid="{51B2E01F-098B-4EAB-AB37-99A7A456DDF6}" name="CARTERA" dataDxfId="761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60" dataDxfId="759">
  <autoFilter ref="CK8:CO16" xr:uid="{48E2B3F9-662F-43E3-B2D7-EF047720147C}"/>
  <tableColumns count="5">
    <tableColumn id="1" xr3:uid="{31EE75DE-2574-4FED-AE5C-102BACD54839}" name="VISTA" dataDxfId="758"/>
    <tableColumn id="2" xr3:uid="{5D48C081-2B85-4A2C-B334-4EFE9F1D31D4}" name="1" dataDxfId="757"/>
    <tableColumn id="3" xr3:uid="{48F2F8E6-86C2-4EB7-B42C-6C436443A10C}" name="2" dataDxfId="756"/>
    <tableColumn id="4" xr3:uid="{F2194CAB-7275-4416-B293-5EB972058E9D}" name="3" dataDxfId="755"/>
    <tableColumn id="14" xr3:uid="{00A2B7A6-F441-48AC-9C48-2016F4FEC44D}" name="4" dataDxfId="754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52" headerRowBorderDxfId="753" tableBorderDxfId="751">
  <autoFilter ref="A2:K91" xr:uid="{816CEBCE-101B-42C2-A45C-8113A647428A}"/>
  <tableColumns count="11">
    <tableColumn id="1" xr3:uid="{596664E6-24CF-4AF3-A84D-121AC4745B4C}" name="SUPER" dataDxfId="750"/>
    <tableColumn id="6" xr3:uid="{CA4B13E9-2CAB-42E2-A028-4DFB844CF726}" name="ASESOR_CRR" dataDxfId="749"/>
    <tableColumn id="2" xr3:uid="{B3C2F90C-6F59-4998-9F82-960596BF09D8}" name="META" dataDxfId="748">
      <calculatedColumnFormula>VLOOKUP(D1_AGOSTO_2025[[#This Row],[SUPER]],DATA_AGOSTO_2025[[SUPERVISOR]:[META]],3,0)</calculatedColumnFormula>
    </tableColumn>
    <tableColumn id="3" xr3:uid="{6CE379C4-19C8-4C90-81DB-EA83E873B03A}" name="ALCANCE" dataDxfId="747"/>
    <tableColumn id="7" xr3:uid="{28AC502F-3113-4B59-AA88-4F9E0E7D938B}" name="SUPER2" dataDxfId="746"/>
    <tableColumn id="4" xr3:uid="{9AE19661-0B03-4D03-9661-4B81FCE456D3}" name="ASESOR" dataDxfId="745"/>
    <tableColumn id="5" xr3:uid="{9CCAC285-FD2E-415B-BE6E-AD7E20CECF29}" name="RECUPERO" dataDxfId="744">
      <calculatedColumnFormula>VLOOKUP(D1_AGOSTO_2025[[#This Row],[ASESOR]],$E$95:$F$176,2,0)</calculatedColumnFormula>
    </tableColumn>
    <tableColumn id="8" xr3:uid="{043E81D5-B688-480A-9A28-C451E6CC8ACE}" name="DNI" dataDxfId="743"/>
    <tableColumn id="9" xr3:uid="{1F9CE105-EFA8-4FFE-9C5C-0AB581B961DE}" name="FECHA DE INICIO" dataDxfId="742"/>
    <tableColumn id="10" xr3:uid="{6CA7DA08-8CCF-441D-AE86-422E2259780A}" name="ESTADO" dataDxfId="741"/>
    <tableColumn id="11" xr3:uid="{9109CC4D-CC03-42BB-8F60-09A0400B4073}" name="SEGMENTO" dataDxfId="74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739" headerRowBorderDxfId="738" tableBorderDxfId="737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736">
      <calculatedColumnFormula>DATA_AGOSTO_2025[[#This Row],[RECUPERO]]/DATA_AGOSTO_2025[[#This Row],[META]]</calculatedColumnFormula>
    </tableColumn>
    <tableColumn id="3" xr3:uid="{88C3CECE-F881-4C05-BA2B-95B253894A39}" name="CLASIFICACIÓN" dataDxfId="735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734"/>
    <tableColumn id="6" xr3:uid="{40820BC6-7E2D-416A-AC23-B4520FC0957D}" name="RECUPERO" dataDxfId="733">
      <calculatedColumnFormula>SUM(DATA_AGOSTO_2025[[#This Row],[1]:[31]])</calculatedColumnFormula>
    </tableColumn>
    <tableColumn id="7" xr3:uid="{F7BC8835-EC2E-4047-8AE9-C742ABE03445}" name="META" dataDxfId="732"/>
    <tableColumn id="5" xr3:uid="{22298E20-98EB-421A-8978-F019348D2A10}" name="ASER_" dataDxfId="731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30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29" dataDxfId="727" headerRowBorderDxfId="728" tableBorderDxfId="726" totalsRowBorderDxfId="725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24"/>
    <tableColumn id="1" xr3:uid="{D853C78B-294B-4C5B-87F9-8B837DBCA858}" name="RECUPERO SUPERVISOR" dataDxfId="723">
      <calculatedColumnFormula>MAX(DITE_AGOSTO_2025[[#This Row],[1]:[31]])</calculatedColumnFormula>
    </tableColumn>
    <tableColumn id="2" xr3:uid="{A6B49739-8C7F-42B7-AB2B-2D9B8785D8A7}" name="ALCANCE SUPERVISOR" dataDxfId="722">
      <calculatedColumnFormula>DITE_AGOSTO_2025[[#This Row],[RECUPERO SUPERVISOR]]/DITE_AGOSTO_2025[[#This Row],[META SUPER]]</calculatedColumnFormula>
    </tableColumn>
    <tableColumn id="4" xr3:uid="{96D2A1C2-9EA3-4132-B41A-8B57BBB00DD3}" name="SUPER" dataDxfId="721"/>
    <tableColumn id="6" xr3:uid="{49EEE6CA-AF7B-4615-AE46-CA713F4E9209}" name="1" dataDxfId="720"/>
    <tableColumn id="7" xr3:uid="{61649C96-BFE5-4D18-BCE1-727E2E74D883}" name="2" dataDxfId="719"/>
    <tableColumn id="8" xr3:uid="{3D095B63-6086-4E9E-85B2-511507890CD8}" name="3" dataDxfId="718"/>
    <tableColumn id="9" xr3:uid="{36CD21E6-51F3-49C9-8448-36B269029EF6}" name="4" dataDxfId="717"/>
    <tableColumn id="10" xr3:uid="{D4DBAD01-5AE1-474A-AF64-A98DFD56153A}" name="5" dataDxfId="716"/>
    <tableColumn id="11" xr3:uid="{FDF3CA30-E7DF-4684-9747-03744CC16AAE}" name="6" dataDxfId="715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14"/>
    <tableColumn id="13" xr3:uid="{55EA3D15-E74B-4AB3-B0D5-B387C3EAAB83}" name="19" dataDxfId="713"/>
    <tableColumn id="14" xr3:uid="{507E3CA9-692F-4A2D-BA96-B401D04EEDD0}" name="20" dataDxfId="712"/>
    <tableColumn id="15" xr3:uid="{E5F719C0-0646-408A-976E-C57966E876F4}" name="21" dataDxfId="711"/>
    <tableColumn id="16" xr3:uid="{8AC2AE0D-50EC-4387-A0A4-A1F2DF092A3C}" name="22" dataDxfId="710"/>
    <tableColumn id="17" xr3:uid="{7B1EE470-E258-4B37-BEC3-E798950632D8}" name="23" dataDxfId="709"/>
    <tableColumn id="18" xr3:uid="{F77C3800-E94B-4C32-A796-122D364094EA}" name="24" dataDxfId="708"/>
    <tableColumn id="19" xr3:uid="{0DA4161D-30F3-4E97-BCBB-4C1E891B36FB}" name="25" dataDxfId="707"/>
    <tableColumn id="20" xr3:uid="{94B916D9-415F-4F66-A6C0-0EE398A152E9}" name="26" dataDxfId="706"/>
    <tableColumn id="21" xr3:uid="{D814BC25-89A4-4A6B-B889-6BF06DD3D2EC}" name="27" dataDxfId="705"/>
    <tableColumn id="22" xr3:uid="{7DEFEDE7-498F-4CCF-A7C2-F63ACE1BA092}" name="28" dataDxfId="704"/>
    <tableColumn id="23" xr3:uid="{CA36A7C5-BBBD-47FB-AAB4-1F5CBDA1EE93}" name="29" dataDxfId="703"/>
    <tableColumn id="24" xr3:uid="{958DFD93-9566-47EC-807E-E21861CB1F39}" name="30" dataDxfId="702"/>
    <tableColumn id="25" xr3:uid="{C690FBB6-6A9F-4B4D-AEF8-49C27DFF4FCF}" name="31" dataDxfId="701"/>
    <tableColumn id="3" xr3:uid="{C5283215-E8BB-41D8-B093-AA31F8252394}" name="CARTERA" dataDxfId="70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99" dataDxfId="698">
  <autoFilter ref="CK8:CO16" xr:uid="{F87BB197-1AE0-4BDF-9FA2-D3F0B9DD04D0}"/>
  <tableColumns count="5">
    <tableColumn id="1" xr3:uid="{AA5ECB22-5212-4662-845A-8A24E801A51F}" name="VISTA" dataDxfId="697"/>
    <tableColumn id="2" xr3:uid="{78D9D13B-EF75-45F0-93B7-BAA08E0B7ABC}" name="1" dataDxfId="696"/>
    <tableColumn id="3" xr3:uid="{3CE791BD-7328-44DB-9BFA-5D8BF570A949}" name="2" dataDxfId="695"/>
    <tableColumn id="4" xr3:uid="{49E31886-56A4-42DE-B2AE-EAB0409A548C}" name="3" dataDxfId="694"/>
    <tableColumn id="14" xr3:uid="{F061C5EE-AFA6-4BE4-B2E0-EA41297C9692}" name="4" dataDxfId="69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91" headerRowBorderDxfId="692" tableBorderDxfId="690">
  <autoFilter ref="A2:I80" xr:uid="{111BC5E6-A71D-437E-ABD5-0E09FCDEF3FD}"/>
  <tableColumns count="9">
    <tableColumn id="1" xr3:uid="{EABDBA5F-3C1B-4AC8-8F40-8C9EED5560F3}" name="SUPER" dataDxfId="689"/>
    <tableColumn id="6" xr3:uid="{C37701A2-99CA-45B9-AA89-63D54C88C5B9}" name="ASESOR_CRR" dataDxfId="688"/>
    <tableColumn id="2" xr3:uid="{8360BA59-782B-4699-ABEA-458A3C9299AD}" name="RECUP" dataDxfId="687"/>
    <tableColumn id="3" xr3:uid="{BD5C8833-8CBB-40D9-BC66-F164208CFEC0}" name="ALCANCE" dataDxfId="686"/>
    <tableColumn id="7" xr3:uid="{07FA8551-F17A-4D20-BAC6-4B128B0ECF57}" name="SUPER2" dataDxfId="685"/>
    <tableColumn id="4" xr3:uid="{91470BB1-1A8E-4802-9D93-28E5A1DF6790}" name="ASESOR" dataDxfId="684"/>
    <tableColumn id="5" xr3:uid="{2B49EE5D-87EB-458C-99B1-7F94B8EDDE4B}" name="RECUPERO" dataDxfId="683"/>
    <tableColumn id="8" xr3:uid="{1A69791E-D827-4498-A9B8-C02ED9E8C0C0}" name="DNI" dataDxfId="682"/>
    <tableColumn id="9" xr3:uid="{17EC964E-623C-4526-9375-D1DFD0BBB147}" name="FECHA DE INGRESO" dataDxfId="681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80" headerRowBorderDxfId="679" tableBorderDxfId="678">
  <autoFilter ref="J8:O86" xr:uid="{91775BD2-E36D-479B-95DE-48127C3410BC}"/>
  <tableColumns count="6">
    <tableColumn id="2" xr3:uid="{033A6CF7-EC22-4EEE-8FF0-8C343161421D}" name="AL_AC" dataDxfId="677"/>
    <tableColumn id="3" xr3:uid="{2234E43A-FB04-4BD5-A5FB-BE681630D39D}" name="CLASIFICACIÓN" dataDxfId="676"/>
    <tableColumn id="1" xr3:uid="{E68E03C4-584B-48EC-AA41-D10E171DF6E2}" name="SUPERVISOR" dataDxfId="675"/>
    <tableColumn id="6" xr3:uid="{8FEE60A3-7153-47ED-82A3-25E3E95BD5B9}" name="RECUPERO" dataDxfId="674"/>
    <tableColumn id="5" xr3:uid="{96DEFE26-B796-4F9F-BB26-62A9B1295009}" name="META" dataDxfId="673"/>
    <tableColumn id="4" xr3:uid="{98491906-C3E6-4CCF-96D0-36184A648156}" name="ASER_" dataDxfId="67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71" dataDxfId="669" headerRowBorderDxfId="670" tableBorderDxfId="668" totalsRowBorderDxfId="667">
  <autoFilter ref="Q8:AQ16" xr:uid="{B03330B9-97D2-48C8-8B43-740321917DA5}"/>
  <tableColumns count="27">
    <tableColumn id="5" xr3:uid="{4E3B6BB8-3B21-487C-8667-D21D7F0B0DDF}" name="META SUPER" dataDxfId="666"/>
    <tableColumn id="1" xr3:uid="{C390EAAF-612A-443A-A32B-07A66CB5EF93}" name="RECUPERO SUPERVISOR" dataDxfId="665"/>
    <tableColumn id="2" xr3:uid="{BF66D468-0BA9-433F-A558-DB3EB49638C0}" name="ALCANCE SUPERVISOR" dataDxfId="664"/>
    <tableColumn id="4" xr3:uid="{833C2FF4-09CC-46A1-B127-078899129ED2}" name="SUPER" dataDxfId="663"/>
    <tableColumn id="6" xr3:uid="{7268ABE3-61CC-4084-9F8D-F9F866838337}" name="1-Set" dataDxfId="662"/>
    <tableColumn id="7" xr3:uid="{934984E8-2516-4844-B21B-29330A07EEE9}" name="2-Set" dataDxfId="661"/>
    <tableColumn id="8" xr3:uid="{5F8B97B9-8D43-4455-9D8F-E58FD0EDAC17}" name="3-Set" dataDxfId="660"/>
    <tableColumn id="9" xr3:uid="{85D24C9E-9252-4D30-9E54-18DBF77A6C70}" name="4-Set" dataDxfId="659"/>
    <tableColumn id="10" xr3:uid="{5A78F08C-1794-450A-88A4-F02CE65D2409}" name="5-Set" dataDxfId="658"/>
    <tableColumn id="11" xr3:uid="{C9868C58-D704-4A31-95DB-6D8FBCC63D90}" name="8-Set" dataDxfId="657"/>
    <tableColumn id="12" xr3:uid="{5A69AB6F-1CBE-456F-9AB1-9CFA02551564}" name="9-Set" dataDxfId="656"/>
    <tableColumn id="13" xr3:uid="{2FB09AC7-C3A6-45CD-8892-0B683DF946C3}" name="10-Set" dataDxfId="655"/>
    <tableColumn id="14" xr3:uid="{B8720ED9-AC2B-41EC-BFA3-A12BF9C966CC}" name="11-Set" dataDxfId="654"/>
    <tableColumn id="15" xr3:uid="{31CBBA73-A7BD-468C-BD0B-435687D2ACAD}" name="12-Set" dataDxfId="653"/>
    <tableColumn id="16" xr3:uid="{02C13EA1-381F-4C2D-B917-AF0FF1A9F773}" name="15-Set" dataDxfId="652"/>
    <tableColumn id="17" xr3:uid="{E6B04D90-5126-40CD-BDA1-E2B120BAD73C}" name="16-Set" dataDxfId="651"/>
    <tableColumn id="18" xr3:uid="{7CB5014E-CB0D-4F8A-A9D7-BD9A166A1B37}" name="17-Set" dataDxfId="650"/>
    <tableColumn id="19" xr3:uid="{040ABF10-1BFC-447A-AE21-D052CBC2ED82}" name="18-Set" dataDxfId="649"/>
    <tableColumn id="20" xr3:uid="{44DFBCB9-0C1E-48F5-ACC2-AC0990D1520D}" name="19-Set" dataDxfId="648"/>
    <tableColumn id="21" xr3:uid="{AFFC2ABC-F24F-4F16-B5DD-03747097DBCC}" name="22-Set" dataDxfId="647"/>
    <tableColumn id="22" xr3:uid="{E8A652BF-A601-498B-965E-DF95F032A19E}" name="23-Set" dataDxfId="646"/>
    <tableColumn id="23" xr3:uid="{E1A1F3EC-A932-4B54-BD80-6B3004BAC18C}" name="24-Set" dataDxfId="645"/>
    <tableColumn id="24" xr3:uid="{7F5C1B88-4DF8-4775-AEFB-F5F5D12AD778}" name="25-Set" dataDxfId="644"/>
    <tableColumn id="25" xr3:uid="{B40C371A-A255-4AD7-B43D-47350B1FF421}" name="26-Set" dataDxfId="643"/>
    <tableColumn id="26" xr3:uid="{AFFE8D31-2DD6-4039-8ED5-AD63D5758F88}" name="29-Set" dataDxfId="642"/>
    <tableColumn id="27" xr3:uid="{041693B7-E11C-4B55-8C93-8CFB39922E84}" name="30-Set" dataDxfId="641"/>
    <tableColumn id="3" xr3:uid="{1DAB60E5-FA3D-4422-89D0-AD46643BF45E}" name="CARTERA" dataDxfId="640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639"/>
    <tableColumn id="5" xr3:uid="{2D06A3B4-3271-49A3-9C7C-FFC311CAB0D8}" name="ASESOR"/>
    <tableColumn id="6" xr3:uid="{7C83291E-5126-4377-B991-EBB23328360F}" name="RECUPERO" dataDxfId="638">
      <calculatedColumnFormula>VLOOKUP(D1_OCTUBRE_2025[[#This Row],[ASESOR]],F78:$G$155,2,0)</calculatedColumnFormula>
    </tableColumn>
    <tableColumn id="8" xr3:uid="{7F2D2756-92A6-4522-A15C-2F10A82AAD95}" name="DNI" dataDxfId="637"/>
    <tableColumn id="9" xr3:uid="{B01E98C6-A76C-417B-B7FA-B0F1C8C2C7C6}" name="FECHA DE INICIO" dataDxfId="636"/>
    <tableColumn id="10" xr3:uid="{DEB6156D-2B0C-4157-8EE4-0EE1578CCF4A}" name="ESTADO" dataDxfId="635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634" tableBorderDxfId="63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632">
      <calculatedColumnFormula>DATA_OCTUBRE_2025[[#This Row],[RECUPERO]]/DATA_OCTUBRE_2025[[#This Row],[META]]</calculatedColumnFormula>
    </tableColumn>
    <tableColumn id="3" xr3:uid="{EE681579-D463-48E9-A57F-B73D04925E37}" name="CLASIFICACIÓN" dataDxfId="631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30"/>
    <tableColumn id="6" xr3:uid="{3B45E8CF-4BCD-492C-B1A3-3E157855AA4E}" name="RECUPERO" dataDxfId="629">
      <calculatedColumnFormula>SUM(DATA_OCTUBRE_2025[[#This Row],[1]:[31]])</calculatedColumnFormula>
    </tableColumn>
    <tableColumn id="7" xr3:uid="{2D762908-0860-493B-A482-9514EAD41E9B}" name="META" dataDxfId="628"/>
    <tableColumn id="4" xr3:uid="{B03F71B4-D73E-47CB-8F19-B1EBCB980D51}" name="ASER_" dataDxfId="627"/>
    <tableColumn id="8" xr3:uid="{DADEF8E1-B4EF-4A54-BDEA-772F65B2659B}" name="1" dataDxfId="626"/>
    <tableColumn id="9" xr3:uid="{09759773-B387-4885-980B-3377FCF2784C}" name="2" dataDxfId="625"/>
    <tableColumn id="10" xr3:uid="{0BEF3C74-7822-4935-9DEF-DBB8EF94B2E8}" name="3" dataDxfId="624"/>
    <tableColumn id="11" xr3:uid="{AB623BA8-8BC3-4899-82B4-0D2F75C64AC1}" name="4" dataDxfId="623"/>
    <tableColumn id="12" xr3:uid="{F3FF380C-FA1C-400D-953D-2426EC1D78FF}" name="5" dataDxfId="622"/>
    <tableColumn id="13" xr3:uid="{513A526B-B8DC-4F0A-BB71-A3C5DCBEE598}" name="6" dataDxfId="621"/>
    <tableColumn id="14" xr3:uid="{FE79AC7F-62E7-4115-BE1B-AAF936521653}" name="7" dataDxfId="620"/>
    <tableColumn id="15" xr3:uid="{68C170E4-F271-468B-91F8-3408D287CC52}" name="8" dataDxfId="619"/>
    <tableColumn id="16" xr3:uid="{AD7DCB27-1227-49CE-B962-67316F312A49}" name="9" dataDxfId="618"/>
    <tableColumn id="17" xr3:uid="{A28A426F-20DF-4E28-817D-D45F6DE67B10}" name="10" dataDxfId="617"/>
    <tableColumn id="18" xr3:uid="{E8A185AF-1E28-4F0F-9855-74F54DBD006B}" name="11" dataDxfId="616"/>
    <tableColumn id="19" xr3:uid="{63732328-29EA-40C6-ACD8-4B4DD4B4CF86}" name="12" dataDxfId="61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14"/>
    <tableColumn id="21" xr3:uid="{C17C4587-18F5-4FBD-868F-EBEC86A07A20}" name="23" dataDxfId="613"/>
    <tableColumn id="22" xr3:uid="{A943FEC5-F867-455B-820F-28C4395DB276}" name="24" dataDxfId="612"/>
    <tableColumn id="23" xr3:uid="{A8FFD2FC-7F1E-4386-AF41-D5EEEF19CDD0}" name="25" dataDxfId="611"/>
    <tableColumn id="24" xr3:uid="{ADF6FE87-D285-4286-AA45-3909EFB078E5}" name="26" dataDxfId="610"/>
    <tableColumn id="25" xr3:uid="{2F0BE83F-F151-4F99-839F-143CA77B5B85}" name="27" dataDxfId="609"/>
    <tableColumn id="26" xr3:uid="{380107E6-E719-4EEB-80BE-3FC920AAB0D8}" name="28" dataDxfId="608"/>
    <tableColumn id="27" xr3:uid="{E4578405-DBB6-4571-976F-D9686E90472D}" name="29" dataDxfId="607"/>
    <tableColumn id="28" xr3:uid="{C03A0B6A-D740-474A-B5C0-16AD1C50D0EF}" name="30" dataDxfId="606"/>
    <tableColumn id="29" xr3:uid="{ABC45238-95B8-44E1-B32D-323E0E09BD1E}" name="31" dataDxfId="605"/>
    <tableColumn id="5" xr3:uid="{DFC53255-43CA-45C9-9269-4215B54AB062}" name="CARTERA ASESOR" dataDxfId="60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03" dataDxfId="601" headerRowBorderDxfId="602" tableBorderDxfId="600" totalsRowBorderDxfId="59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98">
      <calculatedColumnFormula>VLOOKUP($M$3&amp;$N$3&amp;DITE_OCTUBRE_2025[[#This Row],[SUPER]],TablaMeta[],5,0)</calculatedColumnFormula>
    </tableColumn>
    <tableColumn id="1" xr3:uid="{2B34CFC4-0C9F-41CE-999A-2588C7446A9F}" name="RECUPERO SUPERVISOR" dataDxfId="597">
      <calculatedColumnFormula>MAX(DITE_OCTUBRE_2025[[#This Row],[1]:[31]])</calculatedColumnFormula>
    </tableColumn>
    <tableColumn id="2" xr3:uid="{12F44D75-C159-4886-875E-F84E5B64A541}" name="ALCANCE SUPERVISOR" dataDxfId="59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95"/>
    <tableColumn id="6" xr3:uid="{949DC2F4-4585-4646-A396-157D2DF8052D}" name="1" dataDxfId="594"/>
    <tableColumn id="7" xr3:uid="{97391D14-7779-42A7-9DB8-C0989C430B43}" name="2" dataDxfId="593"/>
    <tableColumn id="8" xr3:uid="{6354D769-4310-45AC-8145-E44CED72B4A9}" name="3" dataDxfId="592"/>
    <tableColumn id="9" xr3:uid="{4656D04C-0F05-4626-AF66-C82B40AEFAD8}" name="4" dataDxfId="591"/>
    <tableColumn id="10" xr3:uid="{7D1ED70B-0155-4C0E-8A2F-37B332A6F313}" name="5" dataDxfId="590"/>
    <tableColumn id="11" xr3:uid="{0111FAC8-499F-4CC3-8375-0BF99A4C35FA}" name="6" dataDxfId="589"/>
    <tableColumn id="12" xr3:uid="{C0C00B80-78A4-43E2-93D4-3EE00B3626FF}" name="7" dataDxfId="588"/>
    <tableColumn id="13" xr3:uid="{83880E56-1497-4302-8CA7-1D39E0DC1A97}" name="8" dataDxfId="587"/>
    <tableColumn id="14" xr3:uid="{BE01EA14-2F15-437D-A238-21FF4B75A0DE}" name="9" dataDxfId="586"/>
    <tableColumn id="15" xr3:uid="{EB92F6CE-8ACE-4537-AECA-46B61474948E}" name="10" dataDxfId="585"/>
    <tableColumn id="16" xr3:uid="{6D6490DB-3DEB-438C-AB40-C97EC626F0BE}" name="11" dataDxfId="584"/>
    <tableColumn id="17" xr3:uid="{0392FF10-F85D-41D2-8460-C3A186218696}" name="12" dataDxfId="58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82"/>
    <tableColumn id="19" xr3:uid="{3D252296-5BDD-4576-BACF-EBAA4EDD5204}" name="23" dataDxfId="581"/>
    <tableColumn id="20" xr3:uid="{23EB3C4F-7D5A-4D3B-8B24-D8DE6128BA5F}" name="24" dataDxfId="580"/>
    <tableColumn id="21" xr3:uid="{129CAF30-1851-4238-9880-454B24575BB9}" name="25" dataDxfId="579"/>
    <tableColumn id="22" xr3:uid="{72C02609-42DC-4EDE-B4E1-44D533A24355}" name="26" dataDxfId="578"/>
    <tableColumn id="23" xr3:uid="{9123D15C-9492-4356-8328-1BE17F140523}" name="27" dataDxfId="577"/>
    <tableColumn id="24" xr3:uid="{9D5D7ED1-F248-4C81-8326-BBA9C067C915}" name="28" dataDxfId="576"/>
    <tableColumn id="25" xr3:uid="{AF14494A-3DA5-4A85-BD20-353698E70147}" name="29" dataDxfId="575"/>
    <tableColumn id="26" xr3:uid="{B48EAE26-54B8-4E0C-A4A1-6956DA0D148E}" name="30" dataDxfId="574"/>
    <tableColumn id="27" xr3:uid="{85AC05C5-FE82-41A6-837C-F1F547FD8C2F}" name="31" dataDxfId="573"/>
    <tableColumn id="3" xr3:uid="{1CA2638D-96F9-4A0C-980A-6DAE6545AFFA}" name="CARTERA" dataDxfId="57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71" dataDxfId="570">
  <autoFilter ref="CK8:CO16" xr:uid="{9211B4A0-902C-4BD4-A5DB-E687501CE08A}"/>
  <tableColumns count="5">
    <tableColumn id="1" xr3:uid="{111A7011-E44E-4F30-B98C-C0F34C3642DB}" name="VISTA" dataDxfId="569"/>
    <tableColumn id="2" xr3:uid="{F44EAF0F-2208-4452-BDDF-B94BD519A138}" name="1" dataDxfId="568"/>
    <tableColumn id="3" xr3:uid="{7EA4C9C8-2C33-470C-B984-F87BB3B73DF4}" name="2" dataDxfId="567"/>
    <tableColumn id="4" xr3:uid="{41503B16-3616-416B-B675-DF94EA59F0E4}" name="3" dataDxfId="566"/>
    <tableColumn id="14" xr3:uid="{93119638-8316-4F94-859F-6035DCD3F8B8}" name="4" dataDxfId="565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64" tableBorderDxfId="56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62">
      <calculatedColumnFormula>DATA_NOVIEMBRE_2025[[#This Row],[RECUPERO]]/DATA_NOVIEMBRE_2025[[#This Row],[META]]</calculatedColumnFormula>
    </tableColumn>
    <tableColumn id="3" xr3:uid="{855F5F44-294A-4871-9840-A24614956994}" name="CLASIFICACIÓN" dataDxfId="56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60"/>
    <tableColumn id="6" xr3:uid="{C0A22187-40B7-435A-ABDA-27944F0D7030}" name="RECUPERO" dataDxfId="559">
      <calculatedColumnFormula>SUM(DATA_NOVIEMBRE_2025[[#This Row],[1]:[31]])</calculatedColumnFormula>
    </tableColumn>
    <tableColumn id="7" xr3:uid="{72E7F13E-9273-4AED-98D2-5508FB4A326C}" name="META" dataDxfId="558"/>
    <tableColumn id="30" xr3:uid="{CFEB99FE-9EED-4763-A696-5BC3DA916AC5}" name="ASER_"/>
    <tableColumn id="8" xr3:uid="{00AE5065-FE4D-45E6-A294-E826836A1E33}" name="1" dataDxfId="557"/>
    <tableColumn id="9" xr3:uid="{EF6C35AD-ACD8-4C7F-8937-91D53147656D}" name="2" dataDxfId="556"/>
    <tableColumn id="10" xr3:uid="{CF32F196-CA95-4750-A946-3E0AC1A85184}" name="3" dataDxfId="555"/>
    <tableColumn id="11" xr3:uid="{9F563EAD-A249-4851-B979-F5575DE957AB}" name="4" dataDxfId="554"/>
    <tableColumn id="12" xr3:uid="{D6A6323F-D160-499D-BD7C-7C323AE07CB0}" name="5" dataDxfId="55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52"/>
    <tableColumn id="14" xr3:uid="{46BCBBD6-EB67-46A1-A356-989FA4845EF7}" name="17" dataDxfId="551"/>
    <tableColumn id="15" xr3:uid="{B50A5F7B-5C7E-48C1-80DA-278B6510B811}" name="18" dataDxfId="550"/>
    <tableColumn id="16" xr3:uid="{05796B28-1DD1-422E-9658-78C2FB73FD83}" name="19" dataDxfId="549"/>
    <tableColumn id="17" xr3:uid="{DB0D6520-FFC2-440C-B97F-9604384ED84D}" name="20" dataDxfId="548"/>
    <tableColumn id="18" xr3:uid="{50423629-1D31-4CC8-B9D0-046394DFED68}" name="21" dataDxfId="547"/>
    <tableColumn id="19" xr3:uid="{80B70DB0-A059-4A28-A799-0529D6BF1263}" name="22" dataDxfId="546"/>
    <tableColumn id="20" xr3:uid="{CE0AE96C-2D78-4B18-ADD7-C86E26CE69AB}" name="23" dataDxfId="545"/>
    <tableColumn id="21" xr3:uid="{D6CA8ADF-F50B-4822-B7AD-A49AC8CD28E8}" name="24" dataDxfId="544"/>
    <tableColumn id="22" xr3:uid="{8D2522DF-F1BC-4031-89AD-8B4B3515396A}" name="25" dataDxfId="543"/>
    <tableColumn id="23" xr3:uid="{293ABA54-17AB-40AD-A5F9-E0308A358390}" name="26" dataDxfId="542"/>
    <tableColumn id="24" xr3:uid="{099B62F0-F67D-4CF2-8C6A-AD383B297F15}" name="27" dataDxfId="541"/>
    <tableColumn id="25" xr3:uid="{104E6C24-1381-41DA-BF76-0DD6D49DF0C1}" name="28" dataDxfId="540"/>
    <tableColumn id="26" xr3:uid="{095F601D-F187-4396-A356-C09936718FF5}" name="29" dataDxfId="539"/>
    <tableColumn id="27" xr3:uid="{4F9FCA77-406D-4319-913A-82D308726F04}" name="30" dataDxfId="538"/>
    <tableColumn id="28" xr3:uid="{5825F9EE-936A-4C38-B210-9DA3DA553F75}" name="31" dataDxfId="537"/>
    <tableColumn id="1" xr3:uid="{D8CEB774-F634-4903-AC1C-0BF18BDD3A03}" name="CARTERA ASESOR" dataDxfId="536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535"/>
    <tableColumn id="2" xr3:uid="{7E004A30-FB94-4ABB-88FD-3005F8FA00C6}" name="ASESOR_CRR" dataDxfId="53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533"/>
    <tableColumn id="7" xr3:uid="{AA9D9715-8EBE-4ECB-8BB4-3F41AF689173}" name="SUPER2" dataDxfId="532"/>
    <tableColumn id="5" xr3:uid="{DDD5C800-04E2-4D8A-8C83-C410D5DF7F70}" name="ASESOR" dataDxfId="531"/>
    <tableColumn id="6" xr3:uid="{88DDFA81-E306-4531-9C28-1EEEFB91AC37}" name="RECUPERO" dataDxfId="530">
      <calculatedColumnFormula>VLOOKUP(D1_NOVIEMBRE_2025[[#This Row],[ASESOR]],$F$70:$G$130,2,0)</calculatedColumnFormula>
    </tableColumn>
    <tableColumn id="9" xr3:uid="{B4E0C179-9219-4DFF-AA71-3C7E15DC0CCB}" name="DNI" dataDxfId="529"/>
    <tableColumn id="10" xr3:uid="{A57DDDED-46A0-4CB6-B58A-B5F5FD8B6714}" name="FECHA DE INICIO" dataDxfId="528"/>
    <tableColumn id="8" xr3:uid="{6D0B725E-AD90-4FB1-ACD9-0C7E61DBD30D}" name="ESTADO" dataDxfId="527"/>
    <tableColumn id="11" xr3:uid="{14A41DD1-83BC-4380-9872-12E024A570EF}" name="SEGMENTO" dataDxfId="52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25" dataDxfId="52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23"/>
    <tableColumn id="2" xr3:uid="{39564DF7-490C-4B42-BA0D-A0C7965369AD}" name="RECUPERO SUPERVISOR" dataDxfId="522">
      <calculatedColumnFormula>MAX(DITE_NOVIEMBRE_2025[[#This Row],[1]:[31]])</calculatedColumnFormula>
    </tableColumn>
    <tableColumn id="3" xr3:uid="{714DADEA-706C-4919-B3C2-F0BF1111E161}" name="ALCANCE SUPERVISOR" dataDxfId="521">
      <calculatedColumnFormula>DITE_NOVIEMBRE_2025[[#This Row],[RECUPERO SUPERVISOR]]/DITE_NOVIEMBRE_2025[[#This Row],[META SUPER]]</calculatedColumnFormula>
    </tableColumn>
    <tableColumn id="1" xr3:uid="{9452BB90-F5DE-4B57-AF8A-BBAB41BDA625}" name="SUPER" dataDxfId="520"/>
    <tableColumn id="6" xr3:uid="{87C598B5-62D4-4EE7-861E-EEAA52C00585}" name="1" dataDxfId="519"/>
    <tableColumn id="7" xr3:uid="{633891A0-1EBF-4F76-A7F4-F66318664C43}" name="2" dataDxfId="518"/>
    <tableColumn id="8" xr3:uid="{0592F328-9F13-4B6C-80C9-E9F1845891CB}" name="3" dataDxfId="517"/>
    <tableColumn id="9" xr3:uid="{AE7882D8-BBFD-45AE-B2CB-28F66322BAEE}" name="4" dataDxfId="516"/>
    <tableColumn id="10" xr3:uid="{05F48497-7C3E-4EF2-8908-E3DDE502B309}" name="5" dataDxfId="515"/>
    <tableColumn id="11" xr3:uid="{BD05847D-8156-476D-9D43-53BF9B333675}" name="6" dataDxfId="514"/>
    <tableColumn id="12" xr3:uid="{407098C8-B89E-46C0-9B9A-DA4AD2929032}" name="7" dataDxfId="513"/>
    <tableColumn id="13" xr3:uid="{91FC56B9-68A8-46E6-AF86-C055E5241ADE}" name="8" dataDxfId="51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11"/>
    <tableColumn id="15" xr3:uid="{6D9CB553-B7A7-4211-8DDF-E67D0F75BD0A}" name="20" dataDxfId="510"/>
    <tableColumn id="16" xr3:uid="{C060B537-6CE4-430B-8A22-7A540BACE464}" name="21" dataDxfId="509"/>
    <tableColumn id="17" xr3:uid="{4C8D59DE-F0E8-4B3F-8552-A394ADA4C013}" name="22" dataDxfId="508"/>
    <tableColumn id="18" xr3:uid="{3AB7DFB9-4558-4621-AB3C-3891ECC67DB4}" name="23" dataDxfId="507"/>
    <tableColumn id="19" xr3:uid="{ECC2D027-50E3-4374-BA37-6384A463E763}" name="24" dataDxfId="506"/>
    <tableColumn id="20" xr3:uid="{03C4446D-2883-4E24-87C6-489668916C57}" name="25" dataDxfId="505"/>
    <tableColumn id="21" xr3:uid="{1D103BD3-6849-47BB-B1AD-9FF31C3432E4}" name="26" dataDxfId="504"/>
    <tableColumn id="22" xr3:uid="{E2A6B954-BE7E-4918-9A92-245143E3726C}" name="27" dataDxfId="503"/>
    <tableColumn id="23" xr3:uid="{3BE5D700-08A4-480A-8651-AFBBD596763A}" name="28" dataDxfId="502"/>
    <tableColumn id="24" xr3:uid="{16A1ECF5-0D22-4B11-B95E-D5BF2A42B1A3}" name="29" dataDxfId="501"/>
    <tableColumn id="25" xr3:uid="{AACA19B9-FD00-4B90-8B58-181F058F24E3}" name="30" dataDxfId="500"/>
    <tableColumn id="26" xr3:uid="{2DE2D547-EE6E-49C4-858B-C4D674245BFC}" name="31" dataDxfId="499"/>
    <tableColumn id="4" xr3:uid="{9AD4619F-F825-4B54-8AE2-92E8B9E9E57F}" name="CARTERA" dataDxfId="498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97" dataDxfId="496">
  <autoFilter ref="CK8:CO14" xr:uid="{96E83772-E4B6-4FD1-9ECE-DCCBF28CF7CD}"/>
  <tableColumns count="5">
    <tableColumn id="1" xr3:uid="{2855C0CD-CB2A-4ACC-B370-173F5DBABB01}" name="VISTA" dataDxfId="495"/>
    <tableColumn id="2" xr3:uid="{228AFD6E-187A-4EBB-BF34-D7779E779363}" name="1" dataDxfId="494"/>
    <tableColumn id="3" xr3:uid="{148FC5F6-DAD8-45B9-935B-3B693689C46F}" name="2" dataDxfId="493"/>
    <tableColumn id="4" xr3:uid="{721DA333-5229-49B4-BF78-EF0709817BC7}" name="3" dataDxfId="492"/>
    <tableColumn id="14" xr3:uid="{0D6C8DF6-EA57-41A5-9990-B6483171A71F}" name="4" dataDxfId="491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90" tableBorderDxfId="489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88">
      <calculatedColumnFormula>DATA_DICIEMBRE_2025[[#This Row],[RECUPERO]]/DATA_DICIEMBRE_2025[[#This Row],[META]]</calculatedColumnFormula>
    </tableColumn>
    <tableColumn id="2" xr3:uid="{B5D97F6A-AE7C-4FC3-8428-5737699DFEB1}" name="CLASIFICACIÓN" dataDxfId="487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86"/>
    <tableColumn id="1" xr3:uid="{47FCFB9B-5515-45CC-BFF9-2785144AD854}" name="RECUPERO" dataDxfId="485">
      <calculatedColumnFormula>SUM(DATA_DICIEMBRE_2025[[#This Row],[1]:[31]])</calculatedColumnFormula>
    </tableColumn>
    <tableColumn id="6" xr3:uid="{ED7BE75E-3624-4159-BFE7-645CEA862C3E}" name="META" dataDxfId="484"/>
    <tableColumn id="7" xr3:uid="{AD05A858-B012-4836-80E5-BF630A338442}" name="ASER_" dataDxfId="483"/>
    <tableColumn id="4" xr3:uid="{6792E8BB-5B6A-4E20-BC71-7F342FD1DE33}" name="1" dataDxfId="482"/>
    <tableColumn id="8" xr3:uid="{AFF95CFC-A6A6-4F82-9A47-D8F9735B080F}" name="2" dataDxfId="481"/>
    <tableColumn id="9" xr3:uid="{3EE2031A-4396-4C20-9B21-B423FD7A4983}" name="3" dataDxfId="480"/>
    <tableColumn id="10" xr3:uid="{98A61AE3-7932-414B-AE75-E4B9F37090B7}" name="4" dataDxfId="479"/>
    <tableColumn id="11" xr3:uid="{2B37FA03-0832-40E1-966B-188EC131A687}" name="5" dataDxfId="478"/>
    <tableColumn id="12" xr3:uid="{9A4E011C-C4A7-4F49-AD1B-BB28BEA4BF8C}" name="6" dataDxfId="477"/>
    <tableColumn id="13" xr3:uid="{EFB94F58-F00C-45C8-B4D0-E0C1802DF92E}" name="7" dataDxfId="476"/>
    <tableColumn id="14" xr3:uid="{F8800705-9DF6-4EEA-8D67-8321AE1E80D1}" name="8" dataDxfId="475"/>
    <tableColumn id="15" xr3:uid="{7B6D79FE-5D1B-462C-8037-0CACAB6F3911}" name="9" dataDxfId="474"/>
    <tableColumn id="16" xr3:uid="{E0E24420-1BF8-4BED-A5CC-D5EF1C7DF685}" name="10" dataDxfId="473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72"/>
    <tableColumn id="18" xr3:uid="{388429A9-C1D2-4EE1-BB12-A7C9C48AA9F0}" name="23" dataDxfId="471"/>
    <tableColumn id="19" xr3:uid="{6D1522B5-D820-4F42-ADD5-A6062E68E06A}" name="24" dataDxfId="470"/>
    <tableColumn id="20" xr3:uid="{A78EF6CB-6A5A-488F-8EC5-34C0267191BD}" name="25" dataDxfId="469"/>
    <tableColumn id="21" xr3:uid="{0817989E-B5E4-435D-99FF-C9E1A1D429CD}" name="26" dataDxfId="468"/>
    <tableColumn id="22" xr3:uid="{5AE7BF00-6E17-4434-AFC3-A082971963E9}" name="27" dataDxfId="467"/>
    <tableColumn id="23" xr3:uid="{AC4528BB-516C-4650-8587-2267B9400C8D}" name="28" dataDxfId="466"/>
    <tableColumn id="24" xr3:uid="{AB7921F2-B36A-4ABC-9DBC-BB0EC20ACC62}" name="29" dataDxfId="465"/>
    <tableColumn id="25" xr3:uid="{5D1446EA-3DB7-4807-AE25-EB2149040D6D}" name="30" dataDxfId="464"/>
    <tableColumn id="26" xr3:uid="{B5F2A170-57DC-49D6-9752-24386332D295}" name="31" dataDxfId="463"/>
    <tableColumn id="27" xr3:uid="{D1831881-0F77-44D4-82FA-57779D5E74BA}" name="CARTERA ASESOR" dataDxfId="462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61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60"/>
    <tableColumn id="2" xr3:uid="{C1D8B208-A530-42D3-A6B3-202247844AC6}" name="ASESOR_CRR" dataDxfId="459"/>
    <tableColumn id="5" xr3:uid="{0E2E2A96-2FDE-425E-A454-24F26F26F817}" name="META" dataDxfId="458">
      <calculatedColumnFormula>VLOOKUP(D1_DICIEMBRE_2025[[#This Row],[SUPER]],DATA_DICIEMBRE_2025[[SUPERVISOR]:[META]],3,0)</calculatedColumnFormula>
    </tableColumn>
    <tableColumn id="6" xr3:uid="{99265ED5-3CFF-4A20-97B4-3560EE99C717}" name="ALCANCE" dataDxfId="457">
      <calculatedColumnFormula>D1_DICIEMBRE_2025[[#This Row],[RECUPERO]]/D1_DICIEMBRE_2025[[#This Row],[META]]</calculatedColumnFormula>
    </tableColumn>
    <tableColumn id="7" xr3:uid="{374D40BE-0CEA-496A-A350-4762CACC979E}" name="SUPER2" dataDxfId="456"/>
    <tableColumn id="3" xr3:uid="{CE2FC99C-C2FA-4CF8-B4D5-38DB34F6C4C0}" name="ASESOR"/>
    <tableColumn id="4" xr3:uid="{1034AC9B-8A72-4332-A474-8471A1B8C391}" name="RECUPERO" dataDxfId="455"/>
    <tableColumn id="8" xr3:uid="{51D1D4C9-F574-4F9F-BB5F-619CFC8367F6}" name="DNI" dataDxfId="454"/>
    <tableColumn id="9" xr3:uid="{1F94989E-BD68-4711-BF6F-AABBC6D00AD3}" name="FECHA DE INICIO" dataDxfId="453"/>
    <tableColumn id="10" xr3:uid="{26BBC886-44C6-4729-85D8-0B926A843BA1}" name="ESTADO" dataDxfId="452"/>
    <tableColumn id="11" xr3:uid="{B8649A5B-760E-4178-AFFE-25BA3537578F}" name="SEGMENTO" dataDxfId="451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50" dataDxfId="448" headerRowBorderDxfId="449" tableBorderDxfId="447" totalsRowBorderDxfId="44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445"/>
    <tableColumn id="3" xr3:uid="{DED03312-7BDA-4CEA-9273-AA5DB2237A5F}" name="RECUPERO SUPERVISOR" dataDxfId="444">
      <calculatedColumnFormula>MAX(DITE_DICIEMBRE_2025[[#This Row],[1]:[31]])</calculatedColumnFormula>
    </tableColumn>
    <tableColumn id="4" xr3:uid="{5A956735-F760-4B1F-B874-402D928B71EA}" name="ALCANCE SUPERVISOR" dataDxfId="443">
      <calculatedColumnFormula>DITE_DICIEMBRE_2025[[#This Row],[RECUPERO SUPERVISOR]]/AZ9</calculatedColumnFormula>
    </tableColumn>
    <tableColumn id="1" xr3:uid="{ED2A948C-9442-4C47-9BE9-277A3D6239D3}" name="SUPER" dataDxfId="442"/>
    <tableColumn id="6" xr3:uid="{6E784300-7704-4F45-8E90-F7C2D4F71F66}" name="1" dataDxfId="441"/>
    <tableColumn id="7" xr3:uid="{EA789C05-CA47-4D66-B493-7D6222022389}" name="2" dataDxfId="440"/>
    <tableColumn id="36" xr3:uid="{E83A454A-CB07-409E-B2F9-FEFD108C0456}" name="3" dataDxfId="439"/>
    <tableColumn id="8" xr3:uid="{4ACB3C1D-600B-4503-9368-987BC1B3B0EA}" name="4" dataDxfId="438"/>
    <tableColumn id="9" xr3:uid="{B5C8B277-5A83-47A1-95FD-A620D749E785}" name="5" dataDxfId="437"/>
    <tableColumn id="10" xr3:uid="{FB101921-E892-41E0-B8B7-4141F51A83BB}" name="6" dataDxfId="436"/>
    <tableColumn id="11" xr3:uid="{C777EEA2-F048-439C-9EA1-0C4C731AA6E9}" name="7" dataDxfId="435"/>
    <tableColumn id="12" xr3:uid="{7AA80CD7-0570-4507-8C49-9CF331F01C83}" name="8" dataDxfId="434"/>
    <tableColumn id="13" xr3:uid="{F115F6D4-E69D-46D7-AD4B-F13AFDF74268}" name="9" dataDxfId="433"/>
    <tableColumn id="14" xr3:uid="{393E1035-13E1-4131-B853-53B4CA536CF0}" name="10" dataDxfId="432"/>
    <tableColumn id="15" xr3:uid="{7FF1CB48-1402-460C-BDDE-C67F81F66807}" name="11" dataDxfId="431"/>
    <tableColumn id="32" xr3:uid="{8F13018F-0746-40A8-8063-7F1351A273EA}" name="12" dataDxfId="430"/>
    <tableColumn id="33" xr3:uid="{5FD9BED8-7FEA-4B06-9B27-A0BFD046EB49}" name="13" dataDxfId="429"/>
    <tableColumn id="35" xr3:uid="{8D88E3F7-E581-49D0-B55A-812661F85CB6}" name="14" dataDxfId="428"/>
    <tableColumn id="34" xr3:uid="{98E6CACB-4217-4732-B54A-899D22A2EAF6}" name="15" dataDxfId="427"/>
    <tableColumn id="29" xr3:uid="{7C19F65B-AFA4-4BDB-849B-78B44514C8F1}" name="16" dataDxfId="426"/>
    <tableColumn id="30" xr3:uid="{5B8DAC84-4B56-4ED2-BCA8-C8513518494E}" name="17" dataDxfId="425"/>
    <tableColumn id="31" xr3:uid="{6135134A-5BCC-4221-AD87-B5C8D80AB6D3}" name="18" dataDxfId="424"/>
    <tableColumn id="26" xr3:uid="{2569A07A-57D5-45E4-94CF-9442436AFDAE}" name="19" dataDxfId="423"/>
    <tableColumn id="27" xr3:uid="{828CBD1E-742A-4B46-99B1-A5B0163441D5}" name="20" dataDxfId="422"/>
    <tableColumn id="28" xr3:uid="{773F208D-F15B-4823-A2FA-144A370D1B7A}" name="21" dataDxfId="421"/>
    <tableColumn id="16" xr3:uid="{419173FA-3C44-4167-9CA2-3C07CF180C9B}" name="22" dataDxfId="420"/>
    <tableColumn id="17" xr3:uid="{A8A10E2B-AFD7-46D0-8149-9A05D1EC2C03}" name="23" dataDxfId="419"/>
    <tableColumn id="18" xr3:uid="{CF29209E-568F-4788-AE4E-864CF179A3F5}" name="24" dataDxfId="418"/>
    <tableColumn id="19" xr3:uid="{C33D5154-B635-4235-8170-2F374C119543}" name="25" dataDxfId="417"/>
    <tableColumn id="20" xr3:uid="{70E870EC-47B5-4461-AC8F-7662212D49E0}" name="26" dataDxfId="416"/>
    <tableColumn id="21" xr3:uid="{2215DAF3-2DFC-47A4-940A-DC348054A7EB}" name="27" dataDxfId="415"/>
    <tableColumn id="22" xr3:uid="{BE707551-BD9D-4E46-9F38-1BF8DA272627}" name="28" dataDxfId="414"/>
    <tableColumn id="23" xr3:uid="{BA6108F0-3F12-4B54-8E19-7FF232FA9893}" name="29" dataDxfId="413"/>
    <tableColumn id="24" xr3:uid="{B18366FB-64C7-4779-8DB9-91A30E111223}" name="30" dataDxfId="412"/>
    <tableColumn id="25" xr3:uid="{8BD30A4B-DE19-4C3A-8A9E-7FFE10B8C56B}" name="31" dataDxfId="411"/>
    <tableColumn id="5" xr3:uid="{1A8ADD20-D8A3-4981-B322-7C16CBD19ABB}" name="CARTERA" dataDxfId="410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09" dataDxfId="408">
  <autoFilter ref="CK8:CO13" xr:uid="{1A214D59-F384-46CE-88F8-40557144A34E}"/>
  <tableColumns count="5">
    <tableColumn id="1" xr3:uid="{D3CB4ECD-F878-4B0D-8FCB-43BA8EF1DB82}" name="VISTA" dataDxfId="407"/>
    <tableColumn id="2" xr3:uid="{2659E221-4103-45DB-BB56-1145F59010E9}" name="1" dataDxfId="406"/>
    <tableColumn id="3" xr3:uid="{D56A80FA-EF8F-4611-92E7-3C97B2F91FF9}" name="2" dataDxfId="405"/>
    <tableColumn id="4" xr3:uid="{F2943E7B-95D9-4CE4-87FE-A4FC2FF8FD11}" name="3" dataDxfId="404"/>
    <tableColumn id="14" xr3:uid="{35C66B64-4DC0-4EE5-9B07-32721DCA6429}" name="4" dataDxfId="403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02"/>
    <tableColumn id="2" xr3:uid="{09FFA9EA-077A-4B1E-BBB0-BEFE3719755F}" name="ASESOR_CRR" dataDxfId="401"/>
    <tableColumn id="3" xr3:uid="{B2B98848-02EC-4CE4-B2C4-CF726670ADA0}" name="META" dataDxfId="400"/>
    <tableColumn id="4" xr3:uid="{843076CD-455D-4677-9B9B-753164881BDC}" name="ALCANCE" dataDxfId="399"/>
    <tableColumn id="5" xr3:uid="{27191708-D634-47D0-B6EF-7903B523F721}" name="SUPER2" dataDxfId="398"/>
    <tableColumn id="6" xr3:uid="{F95ADB27-E512-47F7-962C-D178A524B971}" name="ASESOR"/>
    <tableColumn id="7" xr3:uid="{32C145E4-25CE-4365-A7D9-EB2FB110C794}" name="RECUPERO" dataDxfId="397"/>
    <tableColumn id="8" xr3:uid="{20773954-0FEB-4980-9B49-FA8A9DD97C3C}" name="DNI" dataDxfId="396"/>
    <tableColumn id="9" xr3:uid="{0ACD1DB4-5167-41A6-9528-D0663730532D}" name="FECHA DE INICIO" dataDxfId="395"/>
    <tableColumn id="10" xr3:uid="{4C5570D8-15F0-4535-849A-56408975F639}" name="ESTADO" dataDxfId="394"/>
    <tableColumn id="11" xr3:uid="{2AF8D525-4A26-4F67-9B32-FE9919E49C0C}" name="SEGMENTO" dataDxfId="393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92" headerRowBorderDxfId="39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90">
      <calculatedColumnFormula>DATA_ENERO_2026[[#This Row],[RECUPERO]]/DATA_ENERO_2026[[#This Row],[META]]</calculatedColumnFormula>
    </tableColumn>
    <tableColumn id="2" xr3:uid="{7E513578-A5D7-4721-8AB2-4CF3CDD2FC39}" name="CLASIFICACIÓN" dataDxfId="38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88"/>
    <tableColumn id="4" xr3:uid="{41268A33-B17E-413A-B074-C6D8798C61CA}" name="RECUPERO" dataDxfId="387">
      <calculatedColumnFormula>SUM(DATA_ENERO_2026[[#This Row],[1]:[31]])</calculatedColumnFormula>
    </tableColumn>
    <tableColumn id="5" xr3:uid="{62F2A8A0-46E7-4D7F-AB57-24AB0CDE4B51}" name="META" dataDxfId="38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85" headerRowBorderDxfId="38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83"/>
    <tableColumn id="2" xr3:uid="{15ACA161-61F0-4530-82A1-17E6DBF20240}" name="RECUPERO SUPERVISOR" dataDxfId="382">
      <calculatedColumnFormula>MAX(DITE_ENERO_2026[[#This Row],[1]:[31]])</calculatedColumnFormula>
    </tableColumn>
    <tableColumn id="3" xr3:uid="{778859E8-B3B0-4937-8B5F-DE4BE24B1DFD}" name="ALCANCE SUPERVISOR" dataDxfId="381">
      <calculatedColumnFormula>DITE_ENERO_2026[[#This Row],[RECUPERO SUPERVISOR]]/DITE_ENERO_2026[[#This Row],[META SUPER]]</calculatedColumnFormula>
    </tableColumn>
    <tableColumn id="4" xr3:uid="{2A98F79A-DD24-4D83-8BA6-82D08E13FF65}" name="SUPER" dataDxfId="380"/>
    <tableColumn id="5" xr3:uid="{3F9C0B21-F246-40F5-B83B-6E1442CF2131}" name="1" dataDxfId="379"/>
    <tableColumn id="6" xr3:uid="{82FC80A9-9A41-42BE-ADC0-0CD59C900786}" name="2" dataDxfId="378"/>
    <tableColumn id="36" xr3:uid="{CA81CA44-827C-45E8-AC06-DC9981750310}" name="3" dataDxfId="377"/>
    <tableColumn id="35" xr3:uid="{4D1DEC94-6331-4F09-BA9E-B7A8C033B218}" name="4" dataDxfId="376"/>
    <tableColumn id="34" xr3:uid="{DB9BA0C3-7EE6-4EF0-BFE4-DFA6138CC954}" name="5" dataDxfId="375"/>
    <tableColumn id="33" xr3:uid="{555EB36D-2BD4-463A-AA30-BC4E2AF59577}" name="6" dataDxfId="374"/>
    <tableColumn id="32" xr3:uid="{CD594F14-E668-4171-B224-2D1EB8F12904}" name="7" dataDxfId="373"/>
    <tableColumn id="31" xr3:uid="{CE1693BC-730F-4221-A5EC-B12B2C08D967}" name="8" dataDxfId="372"/>
    <tableColumn id="30" xr3:uid="{D62E1F60-4782-4F2D-B690-7D11A373BFEE}" name="9" dataDxfId="371"/>
    <tableColumn id="29" xr3:uid="{67AA1F0E-6FD5-4227-8FC3-54350952F274}" name="10" dataDxfId="370"/>
    <tableColumn id="28" xr3:uid="{D4CCC202-871A-430E-A7C4-8C2E1F633660}" name="11" dataDxfId="369"/>
    <tableColumn id="7" xr3:uid="{77D5DF82-95A0-430A-9509-AA047E6F6BB6}" name="12" dataDxfId="368"/>
    <tableColumn id="8" xr3:uid="{45052ACC-BEA6-4143-B55C-D2927C794547}" name="13" dataDxfId="367"/>
    <tableColumn id="9" xr3:uid="{A76A60E2-ABB3-4CA9-876C-F0E146A4EE28}" name="14" dataDxfId="366"/>
    <tableColumn id="10" xr3:uid="{5361F0A7-C153-4400-A683-ADB185B2D1E4}" name="15" dataDxfId="365"/>
    <tableColumn id="11" xr3:uid="{5C1E0CB3-E70D-4999-8E10-8E327EB2D410}" name="16" dataDxfId="364"/>
    <tableColumn id="12" xr3:uid="{4E264E92-011A-4E01-B78E-20B2B900F7FB}" name="17" dataDxfId="363"/>
    <tableColumn id="13" xr3:uid="{4DE23C2E-4F9B-4579-9BCE-93EAD290F9A8}" name="18" dataDxfId="362"/>
    <tableColumn id="14" xr3:uid="{ADE81A92-9983-4367-83CB-C4FA26CF8415}" name="19" dataDxfId="361"/>
    <tableColumn id="15" xr3:uid="{28467DBF-6C6B-430A-98CA-67317F73CD23}" name="20" dataDxfId="360"/>
    <tableColumn id="16" xr3:uid="{19E54854-D1FF-45D4-94D2-82215DE354F0}" name="21" dataDxfId="359"/>
    <tableColumn id="17" xr3:uid="{1F67BAFC-1AE0-4A70-9864-2C684E0743C1}" name="22" dataDxfId="358"/>
    <tableColumn id="18" xr3:uid="{4887B78E-B1D4-490D-BDE4-66011785EB0B}" name="23" dataDxfId="357"/>
    <tableColumn id="19" xr3:uid="{A4E77FFD-C128-4F89-ACB7-5A19C9AC8068}" name="24" dataDxfId="356"/>
    <tableColumn id="20" xr3:uid="{3166AEA9-9CE1-49E0-85A7-B06251784AF0}" name="25" dataDxfId="355"/>
    <tableColumn id="21" xr3:uid="{D0F8CB31-F152-441F-95C0-C8F116F8FBD4}" name="26" dataDxfId="354"/>
    <tableColumn id="22" xr3:uid="{F8CD3E26-00FA-4CB1-AB01-D0E528D7E8B4}" name="27" dataDxfId="353"/>
    <tableColumn id="23" xr3:uid="{19608BA9-8EEF-49C7-B4A7-B9B3571F8643}" name="28" dataDxfId="352"/>
    <tableColumn id="24" xr3:uid="{FAD90248-66B1-421C-B230-68841EB2A0B9}" name="29" dataDxfId="351"/>
    <tableColumn id="25" xr3:uid="{9307F5B0-B35B-4416-BE7C-74E539966F44}" name="30" dataDxfId="350"/>
    <tableColumn id="26" xr3:uid="{0FA7DA7F-AD3E-4DD3-B407-DD15600893BE}" name="31" dataDxfId="349"/>
    <tableColumn id="27" xr3:uid="{CAD2B4E3-016B-42FA-AD88-18A28731A184}" name="CARTERA" dataDxfId="348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347" dataDxfId="346">
  <autoFilter ref="CK8:CO13" xr:uid="{95694E91-A22D-4122-A773-319764DCFE1C}"/>
  <tableColumns count="5">
    <tableColumn id="1" xr3:uid="{C2641825-D096-486F-999E-4CE77F417527}" name="VISTA" dataDxfId="345"/>
    <tableColumn id="2" xr3:uid="{C7669EDB-9258-4E82-A7BF-4F674531F2F1}" name="1" dataDxfId="344"/>
    <tableColumn id="3" xr3:uid="{363EBF77-47FF-4F55-A442-DDF5E5A8C002}" name="2" dataDxfId="343"/>
    <tableColumn id="4" xr3:uid="{58EEA049-99C0-4E09-A82C-D96BDA89432E}" name="3" dataDxfId="342"/>
    <tableColumn id="14" xr3:uid="{33A8CBF3-2A19-4EE0-B3BD-9D8DFCA943AB}" name="4" dataDxfId="341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340" tableBorderDxfId="339">
  <autoFilter ref="M8:AX59" xr:uid="{D9CF28BD-D91E-4BE6-BD3B-BCADCA049C93}"/>
  <tableColumns count="38">
    <tableColumn id="5" xr3:uid="{A121E4E8-FA4D-47D4-9A77-06F28AAE4E54}" name="AL_AC" dataDxfId="338">
      <calculatedColumnFormula>DATA_FEBRERO_2026[[#This Row],[RECUPERO]]/DATA_FEBRERO_2026[[#This Row],[META]]</calculatedColumnFormula>
    </tableColumn>
    <tableColumn id="2" xr3:uid="{34ED75F7-6C69-4661-9178-0FEC57ED1324}" name="CLASIFICACIÓN" dataDxfId="33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336">
      <calculatedColumnFormula>IFERROR(VLOOKUP(DATA_FEBRERO_2026[[#This Row],[ASER_]],$B:$G,4,0),"")</calculatedColumnFormula>
    </tableColumn>
    <tableColumn id="1" xr3:uid="{9BC79FD6-44BC-4708-987B-14B90F71C5E5}" name="RECUPERO" dataDxfId="335">
      <calculatedColumnFormula>SUM(DATA_FEBRERO_2026[[#This Row],[1]:[31]])</calculatedColumnFormula>
    </tableColumn>
    <tableColumn id="6" xr3:uid="{018AE36B-77F5-47D3-A72E-855E3B4EA24D}" name="META" dataDxfId="334">
      <calculatedColumnFormula>VLOOKUP(DATA_FEBRERO_2026[[#This Row],[ASER_]],D1_FEBRERO_2026[[ASESOR_CRR]:[META]],2,0)</calculatedColumnFormula>
    </tableColumn>
    <tableColumn id="7" xr3:uid="{D07B538A-1223-4282-911D-0D8C6D33F252}" name="ASER_" dataDxfId="333"/>
    <tableColumn id="4" xr3:uid="{978EBDF4-AB0F-45EB-8F17-7A1040F8BBBE}" name="1" dataDxfId="332"/>
    <tableColumn id="8" xr3:uid="{1276421E-A9BD-4193-946B-2B02A7972B4A}" name="2" dataDxfId="331"/>
    <tableColumn id="9" xr3:uid="{31AFF576-CA16-4044-A433-CF00527C2D07}" name="3" dataDxfId="330"/>
    <tableColumn id="10" xr3:uid="{E8F5F7F4-A4CF-4AAC-A43C-A3FCD8C1BC19}" name="4" dataDxfId="329"/>
    <tableColumn id="11" xr3:uid="{188BA638-2000-41D9-B5E6-9165523ED42D}" name="5" dataDxfId="328"/>
    <tableColumn id="12" xr3:uid="{C225C63B-52FC-44AB-96F6-9151E73D6699}" name="6" dataDxfId="327"/>
    <tableColumn id="13" xr3:uid="{67E1F5CE-2C28-4FA3-9034-A737F1B2D7A4}" name="7" dataDxfId="326"/>
    <tableColumn id="14" xr3:uid="{BF6E4C42-64F4-4C86-87D7-0EB0DF723F0A}" name="8" dataDxfId="325"/>
    <tableColumn id="15" xr3:uid="{77DEB661-03C1-4274-9B6F-379D81B3710E}" name="9" dataDxfId="324"/>
    <tableColumn id="35" xr3:uid="{A13630BC-1BB6-4707-83E3-E2A6FD2FAFF3}" name="10" dataDxfId="323"/>
    <tableColumn id="36" xr3:uid="{5B83E5AF-B52C-4B3F-9B8E-974AD7242CB6}" name="11" dataDxfId="322"/>
    <tableColumn id="38" xr3:uid="{EFCD2EF3-DC69-46DB-8A4C-D03EFA19868F}" name="12" dataDxfId="321"/>
    <tableColumn id="37" xr3:uid="{283914E6-F846-42D8-BFA5-7E5CF71F8E39}" name="13" dataDxfId="320"/>
    <tableColumn id="32" xr3:uid="{506D1094-3E71-477B-9E3B-FD71CD452A13}" name="14" dataDxfId="319"/>
    <tableColumn id="33" xr3:uid="{51A0C186-4F1F-4B6E-A04E-6DA5B01E5817}" name="15" dataDxfId="318"/>
    <tableColumn id="34" xr3:uid="{83A09A26-D26C-4BF1-9870-7E24692CCAB5}" name="16" dataDxfId="317"/>
    <tableColumn id="26" xr3:uid="{F0CECF60-FD0C-487B-964E-F3D195A081A6}" name="17" dataDxfId="316"/>
    <tableColumn id="30" xr3:uid="{87E5481D-2747-411F-8715-2B1A58E5072E}" name="18" dataDxfId="315"/>
    <tableColumn id="31" xr3:uid="{56B820E5-7529-456B-BFFB-66FC13160FC7}" name="19" dataDxfId="314"/>
    <tableColumn id="16" xr3:uid="{943E3451-A77C-49F4-A8CD-FB3A234BB921}" name="20" dataDxfId="313"/>
    <tableColumn id="17" xr3:uid="{08A06D07-4057-4995-AD95-02726747926A}" name="21" dataDxfId="312"/>
    <tableColumn id="18" xr3:uid="{3CA4B4CF-845B-4625-A447-E9930B6C4C90}" name="22" dataDxfId="311"/>
    <tableColumn id="19" xr3:uid="{E2FCBDE7-CAF6-4719-A2E2-E3DFA5938EA9}" name="23" dataDxfId="310"/>
    <tableColumn id="20" xr3:uid="{8D68A4E9-C605-423B-B28C-8947CEDED2E3}" name="24" dataDxfId="309"/>
    <tableColumn id="21" xr3:uid="{E2A95743-C4CF-4116-BC14-7F1E8AF5B934}" name="25" dataDxfId="308"/>
    <tableColumn id="22" xr3:uid="{D4E75B42-4A90-4E6B-91F6-47924749D8CD}" name="26" dataDxfId="307"/>
    <tableColumn id="23" xr3:uid="{24EC0407-9580-4B34-8870-6246EA8347AA}" name="27" dataDxfId="306"/>
    <tableColumn id="24" xr3:uid="{9A472190-4164-4FC7-BF8C-D0120ACA1D92}" name="28" dataDxfId="305"/>
    <tableColumn id="25" xr3:uid="{67A0A5BC-662A-45DE-932F-9EB3EAF965DB}" name="29" dataDxfId="30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0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02">
  <autoFilter ref="A2:K58" xr:uid="{09401265-E178-4F26-958C-8E013ABD7F63}"/>
  <tableColumns count="11">
    <tableColumn id="1" xr3:uid="{FF4304D3-C1B3-4117-B1D1-7473C26439FA}" name="SUPER" dataDxfId="301">
      <calculatedColumnFormula>D1_FEBRERO_2026[[#This Row],[SUPER2]]</calculatedColumnFormula>
    </tableColumn>
    <tableColumn id="2" xr3:uid="{67ED5510-50EF-4F29-9E94-9FBEBF9785CA}" name="ASESOR_CRR" dataDxfId="30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9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9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9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96"/>
    <tableColumn id="11" xr3:uid="{43FBB121-21C6-4560-8A31-396504B80F85}" name="DNI" dataDxfId="295"/>
    <tableColumn id="12" xr3:uid="{050FC1E9-9233-41A1-8E92-B7BA6485722C}" name="FECHA DE INICIO" dataDxfId="294"/>
    <tableColumn id="8" xr3:uid="{5BBA9A50-BA4F-49CE-B7C8-1095BCBFEC60}" name="ESTADO" dataDxfId="293"/>
    <tableColumn id="9" xr3:uid="{898E5137-590F-493E-82A2-9DB1422BE516}" name="SEGMENTO" dataDxfId="292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91" dataDxfId="289" headerRowBorderDxfId="290" tableBorderDxfId="288" totalsRowBorderDxfId="28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86">
      <calculatedColumnFormula>VLOOKUP($M$3&amp;$N$3&amp;DITE_FEBRERO_2026[[#This Row],[SUPER]],TablaMeta[],5,0)</calculatedColumnFormula>
    </tableColumn>
    <tableColumn id="3" xr3:uid="{6B6BAC5B-8599-4731-A182-2C4F7DEEFEAE}" name="RECUPERO SUPERVISOR" dataDxfId="285">
      <calculatedColumnFormula>MAX(DITE_FEBRERO_2026[[#This Row],[SUPER]:[CARTERA]])</calculatedColumnFormula>
    </tableColumn>
    <tableColumn id="4" xr3:uid="{4933F2AB-4AE8-41EB-9B81-DB478EB8720C}" name="ALCANCE SUPERVISOR" dataDxfId="28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83"/>
    <tableColumn id="6" xr3:uid="{1385D33D-7CDB-4253-9C4B-559ACF4D4DAA}" name="1" dataDxfId="282"/>
    <tableColumn id="7" xr3:uid="{51AE8FE4-77E7-44A5-9C70-47F9BABA0830}" name="2" dataDxfId="281"/>
    <tableColumn id="27" xr3:uid="{1D246E4C-3547-4D3F-8436-3907FD9391BF}" name="3" dataDxfId="280"/>
    <tableColumn id="26" xr3:uid="{ACC21055-7F68-4EBE-A98E-8B2EBA670DAF}" name="4" dataDxfId="279"/>
    <tableColumn id="8" xr3:uid="{0453D1F4-77C1-4D27-8BF6-C892F06D8037}" name="5" dataDxfId="278"/>
    <tableColumn id="9" xr3:uid="{7FE05B03-2694-4042-93D1-1E8A18BEC10D}" name="6" dataDxfId="277"/>
    <tableColumn id="10" xr3:uid="{07F638D2-254F-4B29-9B2B-FA43C127E0CD}" name="7" dataDxfId="276"/>
    <tableColumn id="11" xr3:uid="{F53CCC3D-E418-4E84-9766-30CCCCAEF94C}" name="8" dataDxfId="275"/>
    <tableColumn id="12" xr3:uid="{9789EB55-C896-45E1-8B38-057DF9C6F8FF}" name="9" dataDxfId="274"/>
    <tableColumn id="13" xr3:uid="{2F4E85B1-BA28-448A-A8F3-8873A4197781}" name="10" dataDxfId="273"/>
    <tableColumn id="14" xr3:uid="{E386891B-028C-4934-99EC-39A6D8E87A77}" name="11" dataDxfId="272"/>
    <tableColumn id="15" xr3:uid="{3F90131C-5E3B-4375-AAC9-BE39D3073700}" name="12" dataDxfId="271"/>
    <tableColumn id="16" xr3:uid="{176424CB-4A73-4E0A-BAEC-1B002E427751}" name="13" dataDxfId="270"/>
    <tableColumn id="17" xr3:uid="{20013F01-EA55-4DBF-93AD-78228648A78B}" name="14" dataDxfId="269"/>
    <tableColumn id="18" xr3:uid="{A3E1B7CD-FD3B-4A3B-BA09-FB0B2522F474}" name="15" dataDxfId="268"/>
    <tableColumn id="19" xr3:uid="{25BB1268-DEAB-4394-AB3D-5028E517E118}" name="16" dataDxfId="267"/>
    <tableColumn id="20" xr3:uid="{1E99825A-7369-447C-81C1-6F57CF76B414}" name="17" dataDxfId="266"/>
    <tableColumn id="21" xr3:uid="{A76460CB-F28F-4034-BFB5-822E2F8ACDEE}" name="18" dataDxfId="265"/>
    <tableColumn id="22" xr3:uid="{45579674-F34E-4238-9155-A84E93C0EEDC}" name="19" dataDxfId="264"/>
    <tableColumn id="23" xr3:uid="{4A9727A5-6162-4A6C-980C-9485FB632B2C}" name="20" dataDxfId="263"/>
    <tableColumn id="24" xr3:uid="{839F012E-3965-47C4-A48B-B6ACC97A3F38}" name="21" dataDxfId="262"/>
    <tableColumn id="36" xr3:uid="{1C64A10A-7FC4-4258-A62B-43B06212544A}" name="22" dataDxfId="261"/>
    <tableColumn id="35" xr3:uid="{FFBDF276-626A-447A-A0F4-E7E78EDC17B4}" name="23" dataDxfId="260"/>
    <tableColumn id="34" xr3:uid="{7E693F8F-B376-48A1-9691-2B1EFFEC77E7}" name="24" dataDxfId="259"/>
    <tableColumn id="33" xr3:uid="{BBD3ABB0-0FEA-4DF0-B0B7-E417E6BF40E1}" name="25" dataDxfId="258"/>
    <tableColumn id="32" xr3:uid="{6F3706DA-AAB4-46A8-B7AB-36C461B04704}" name="26" dataDxfId="257"/>
    <tableColumn id="31" xr3:uid="{8771DA1E-DC48-4640-98D0-9BF514ABF088}" name="27" dataDxfId="256"/>
    <tableColumn id="30" xr3:uid="{F6F48FE7-4B31-45F6-9C90-C56A1AFDE462}" name="28" dataDxfId="255"/>
    <tableColumn id="29" xr3:uid="{7BDABDE2-32A4-4ABF-AF09-62502F6B7D68}" name="29" dataDxfId="254"/>
    <tableColumn id="28" xr3:uid="{552C8688-2A69-47D3-AFF3-7B94E4A5A563}" name="30" dataDxfId="253"/>
    <tableColumn id="25" xr3:uid="{7D18929B-B74F-4405-83F4-DF4F5C13E3E8}" name="31" dataDxfId="252"/>
    <tableColumn id="5" xr3:uid="{AE5733E5-56DE-4157-A3B4-7F889627B2A1}" name="CARTERA" dataDxfId="25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50" dataDxfId="249">
  <autoFilter ref="CK8:CO13" xr:uid="{C7374107-EF62-492E-86AF-6DF3F7708C53}"/>
  <tableColumns count="5">
    <tableColumn id="1" xr3:uid="{041D6CB1-E7ED-47A3-859B-2D4329D91665}" name="VISTA" dataDxfId="248"/>
    <tableColumn id="2" xr3:uid="{0A01B3FA-CC3F-4AFA-A784-F69B00A114D0}" name="1" dataDxfId="247"/>
    <tableColumn id="3" xr3:uid="{90C8A7AE-C8FA-4CB3-9866-23B9F56015C3}" name="2" dataDxfId="246"/>
    <tableColumn id="4" xr3:uid="{00CC8F61-FE80-4AA3-8F50-6C7F93F5C8B7}" name="3" dataDxfId="245"/>
    <tableColumn id="14" xr3:uid="{72F60B70-B948-42FF-8BA2-6325A239D71B}" name="4" dataDxfId="244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243" tableBorderDxfId="242">
  <autoFilter ref="M8:AO61" xr:uid="{10D9C722-BC82-4CBD-88CB-CD727BC4895B}"/>
  <tableColumns count="29">
    <tableColumn id="5" xr3:uid="{3EA8D04F-B731-4091-B799-92E6E8A12619}" name="AL_AC" dataDxfId="241">
      <calculatedColumnFormula>DATA_MARZO_202651[[#This Row],[RECUPERO]]/DATA_MARZO_202651[[#This Row],[META]]</calculatedColumnFormula>
    </tableColumn>
    <tableColumn id="2" xr3:uid="{7E499EF6-2412-4A87-8A0C-22E06B524D4F}" name="CLASIFICACIÓN" dataDxfId="240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239">
      <calculatedColumnFormula>IFERROR(VLOOKUP(DATA_MARZO_202651[[#This Row],[ASER_]],$B:$G,4,0),"")</calculatedColumnFormula>
    </tableColumn>
    <tableColumn id="1" xr3:uid="{60303CD3-4613-4145-8342-86D502299A8B}" name="RECUPERO" dataDxfId="238">
      <calculatedColumnFormula>VLOOKUP(DATA_MARZO_202651[[#This Row],[ASER_]],D1_MARZO_202655[[ASESOR_CRR]:[RECUPERO]],6,0)</calculatedColumnFormula>
    </tableColumn>
    <tableColumn id="6" xr3:uid="{856379E9-6B44-4AE2-9624-4D2FD560D923}" name="META" dataDxfId="237">
      <calculatedColumnFormula>VLOOKUP(DATA_MARZO_202651[[#This Row],[ASER_]],D1_MARZO_202655[[ASESOR_CRR]:[META]],2,0)</calculatedColumnFormula>
    </tableColumn>
    <tableColumn id="7" xr3:uid="{973ABAA2-566A-4673-AFE7-72D690F359B0}" name="ASER_" dataDxfId="236"/>
    <tableColumn id="4" xr3:uid="{6267F15F-68D8-4064-A7C3-4A95739D7D7D}" name="2" dataDxfId="235"/>
    <tableColumn id="8" xr3:uid="{617297D4-5DE5-468D-9D9E-3D5450B8C283}" name="3" dataDxfId="234"/>
    <tableColumn id="9" xr3:uid="{17C8DC6A-03F3-4202-83C1-46E923A2D1DF}" name="4" dataDxfId="233"/>
    <tableColumn id="10" xr3:uid="{4C96E5CA-D293-4DC5-A37E-3DBF6149890A}" name="5" dataDxfId="232"/>
    <tableColumn id="11" xr3:uid="{B792BD3F-46D9-40C4-A2FA-531E9E6115A9}" name="6" dataDxfId="231"/>
    <tableColumn id="12" xr3:uid="{648B1B03-D21B-4A18-881A-71E7191DF504}" name="9" dataDxfId="230"/>
    <tableColumn id="13" xr3:uid="{6EBA52BB-1706-4B79-A879-FE3268ED0BBF}" name="10" dataDxfId="229"/>
    <tableColumn id="14" xr3:uid="{2B12EC67-A932-4DD4-BD48-E7353960E2BF}" name="11" dataDxfId="228"/>
    <tableColumn id="15" xr3:uid="{D7F1E0B7-4D6E-49BF-9418-24F5297694EE}" name="12" dataDxfId="227"/>
    <tableColumn id="35" xr3:uid="{01749D29-46CC-47AC-8AA5-5B3159FC3624}" name="13" dataDxfId="226"/>
    <tableColumn id="36" xr3:uid="{D98199A8-307D-4EA2-AB10-B2B924BF4D53}" name="16" dataDxfId="225"/>
    <tableColumn id="38" xr3:uid="{6512BCB2-C1CC-4DF5-907A-4D7BDBE273C0}" name="17" dataDxfId="224"/>
    <tableColumn id="37" xr3:uid="{48DFBBB8-0BEB-4F05-A9DF-B6D5FEFA7922}" name="18" dataDxfId="223"/>
    <tableColumn id="32" xr3:uid="{DF7F0AD1-F0A8-4092-80DD-52B3202986C6}" name="19" dataDxfId="222"/>
    <tableColumn id="33" xr3:uid="{31379DCE-58EA-49E7-A093-1D4D11F4D719}" name="20" dataDxfId="221"/>
    <tableColumn id="34" xr3:uid="{AF028C85-0295-4506-BD52-A8C2D61B4263}" name="23" dataDxfId="220"/>
    <tableColumn id="26" xr3:uid="{C9F08C31-4D7A-4980-AAF5-AFB091013679}" name="24" dataDxfId="219"/>
    <tableColumn id="30" xr3:uid="{0EA87D7E-6026-4B22-AB9B-1ACD3E4A585C}" name="25" dataDxfId="218"/>
    <tableColumn id="31" xr3:uid="{F68B6077-5CFC-42ED-923A-AF0D719251AB}" name="26" dataDxfId="217"/>
    <tableColumn id="16" xr3:uid="{1C3C20D8-9CDD-4BE1-A12E-4E057E8F52D9}" name="27" dataDxfId="216"/>
    <tableColumn id="17" xr3:uid="{FE4352AA-AED9-41FA-B8EF-EDAF69656302}" name="30" dataDxfId="215"/>
    <tableColumn id="18" xr3:uid="{D67830D0-9348-49E3-8552-7C2C1F60368B}" name="31" dataDxfId="214"/>
    <tableColumn id="29" xr3:uid="{17BA8B4D-6786-4535-AB74-674976645F34}" name="CARTERA ASESOR" dataDxfId="213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12">
  <autoFilter ref="A2:K59" xr:uid="{E01CE6AA-C36B-4BD4-93EB-8762B2545E1A}"/>
  <tableColumns count="11">
    <tableColumn id="1" xr3:uid="{2131FF24-1653-4821-B8CB-2994A6FD2B90}" name="SUPER" dataDxfId="21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10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09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08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07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06"/>
    <tableColumn id="11" xr3:uid="{BD3DF0C1-1E9B-4EE4-A539-1F0A1F585CE9}" name="DNI" dataDxfId="20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0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0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0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201" dataDxfId="199" headerRowBorderDxfId="200" tableBorderDxfId="198" totalsRowBorderDxfId="197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96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95">
      <calculatedColumnFormula>MAX(DITE_MARZO_202656[[#This Row],[SUPER]:[CARTERA]])</calculatedColumnFormula>
    </tableColumn>
    <tableColumn id="4" xr3:uid="{7CD6A40B-DE50-4B4C-8FE0-D559C24C5B7C}" name="ALCANCE SUPERVISOR" dataDxfId="194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93"/>
    <tableColumn id="6" xr3:uid="{15A19F2D-93B5-40FA-93BC-49CBD3FFA864}" name="2" dataDxfId="192"/>
    <tableColumn id="7" xr3:uid="{CF50FCAC-3D6E-4766-8052-F687DB2D3BB2}" name="3" dataDxfId="191"/>
    <tableColumn id="27" xr3:uid="{973979CD-2F5D-4B04-B9B4-B8CF351AC4DD}" name="4" dataDxfId="190"/>
    <tableColumn id="26" xr3:uid="{ACFB9B4D-96FE-4EA7-A28D-2C76FAD3B7FE}" name="5" dataDxfId="189"/>
    <tableColumn id="8" xr3:uid="{C4769E61-F413-4D8E-B1E9-C99CC43BC51E}" name="6" dataDxfId="188"/>
    <tableColumn id="9" xr3:uid="{0B5D79D1-0957-4379-BD0F-09EC6003DABC}" name="9" dataDxfId="187"/>
    <tableColumn id="10" xr3:uid="{7ED4553D-C770-4010-AE78-79CEED9E3688}" name="10" dataDxfId="186"/>
    <tableColumn id="11" xr3:uid="{B5B3A3E3-86EA-4A28-9341-4446DA4EC86F}" name="11" dataDxfId="185"/>
    <tableColumn id="12" xr3:uid="{20F7C89E-C0EA-4863-AD2C-ECE11F3C914C}" name="12" dataDxfId="184"/>
    <tableColumn id="13" xr3:uid="{CB3A9ADF-2A71-4315-9EED-921F3BC80E0B}" name="13" dataDxfId="183"/>
    <tableColumn id="14" xr3:uid="{AB466201-0021-4374-9E9C-FBC6912E7D00}" name="16" dataDxfId="182"/>
    <tableColumn id="15" xr3:uid="{CF0930AA-3683-412F-BB0C-0879E8AA45CA}" name="17" dataDxfId="181"/>
    <tableColumn id="16" xr3:uid="{B6819525-02E5-44DB-9161-5AE240527B5A}" name="18" dataDxfId="180"/>
    <tableColumn id="17" xr3:uid="{EF34C9D6-8F40-4817-8C4C-D79F58BCD150}" name="19" dataDxfId="179"/>
    <tableColumn id="18" xr3:uid="{3E376577-6CA4-4ABE-96FE-93C18911296B}" name="20" dataDxfId="178"/>
    <tableColumn id="19" xr3:uid="{12DC978E-AB73-4385-8B31-891E8DF1BDED}" name="23" dataDxfId="177"/>
    <tableColumn id="20" xr3:uid="{ED0D4DA8-BBB6-4210-8918-15057CC5B929}" name="24" dataDxfId="176"/>
    <tableColumn id="21" xr3:uid="{1D5B24BE-80A3-4E59-9BB5-8887D00E5479}" name="25" dataDxfId="175"/>
    <tableColumn id="22" xr3:uid="{1019D822-005E-4FAA-8B65-BB1C11AF450B}" name="26" dataDxfId="174"/>
    <tableColumn id="23" xr3:uid="{D5474EFB-00D1-4351-A34C-735E9FD53A78}" name="27" dataDxfId="173"/>
    <tableColumn id="24" xr3:uid="{EF9744F2-C4EC-45E4-8844-AE1CA94D83A6}" name="30" dataDxfId="172"/>
    <tableColumn id="36" xr3:uid="{F0ACF623-4A47-44A1-985E-3FB17DBE49F8}" name="31" dataDxfId="171"/>
    <tableColumn id="5" xr3:uid="{75CF2EC1-6198-4A79-A7CA-D258FCB6701B}" name="CARTERA" dataDxfId="170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69" dataDxfId="168">
  <autoFilter ref="BS8:BW13" xr:uid="{14FD1991-0C08-40B6-BA01-224E94C39EEF}"/>
  <tableColumns count="5">
    <tableColumn id="1" xr3:uid="{1B90371C-7E36-4D9A-98B4-8A9074D071F5}" name="VISTA" dataDxfId="167"/>
    <tableColumn id="2" xr3:uid="{CFB2843E-FF0C-4C03-A3A8-DC5F321295BC}" name="1" dataDxfId="166"/>
    <tableColumn id="3" xr3:uid="{A1FBA42F-8A7A-41A4-A8EF-20A008AF07E4}" name="2" dataDxfId="165"/>
    <tableColumn id="4" xr3:uid="{21A28C40-F4BF-4DCC-9046-E9D71906D1CA}" name="3" dataDxfId="164"/>
    <tableColumn id="14" xr3:uid="{BC083383-0C4B-4C67-938E-9492D789F90D}" name="4" dataDxfId="163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62" tableBorderDxfId="161">
  <autoFilter ref="M8:AM59" xr:uid="{4674D711-8FDA-49B8-91E7-8E8BFE600256}"/>
  <tableColumns count="27">
    <tableColumn id="5" xr3:uid="{5F132C86-FD60-4105-A05E-7399F10522E1}" name="AL_AC" dataDxfId="160">
      <calculatedColumnFormula>DATA_MARZO_202659[[#This Row],[RECUPERO]]/DATA_MARZO_202659[[#This Row],[META]]</calculatedColumnFormula>
    </tableColumn>
    <tableColumn id="2" xr3:uid="{26123EEE-E738-4097-B64F-DE727558F2E9}" name="CLASIFICACIÓN" dataDxfId="159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58">
      <calculatedColumnFormula>IFERROR(VLOOKUP(DATA_MARZO_202659[[#This Row],[ASER_]],$B:$G,4,0),"")</calculatedColumnFormula>
    </tableColumn>
    <tableColumn id="1" xr3:uid="{2446915D-352F-48FC-A54B-86B7E0D937FA}" name="RECUPERO" dataDxfId="157">
      <calculatedColumnFormula>VLOOKUP(DATA_MARZO_202659[[#This Row],[ASER_]],D1_MARZO_202660[[ASESOR_CRR]:[RECUPERO]],6,0)</calculatedColumnFormula>
    </tableColumn>
    <tableColumn id="6" xr3:uid="{A25A8AC3-9CC7-4A3A-A8D9-212FD3F93687}" name="META" dataDxfId="156">
      <calculatedColumnFormula>VLOOKUP(DATA_MARZO_202659[[#This Row],[ASER_]],D1_MARZO_202660[[ASESOR_CRR]:[META]],2,0)</calculatedColumnFormula>
    </tableColumn>
    <tableColumn id="7" xr3:uid="{C52D2491-CDFB-40B5-A884-909C5FEC445B}" name="ASER_" dataDxfId="155"/>
    <tableColumn id="4" xr3:uid="{DE600806-870A-4C0D-9101-49AAF5AC383F}" name="1" dataDxfId="154"/>
    <tableColumn id="8" xr3:uid="{BE4BC420-81EA-43E8-8BBA-609D8B0F8C88}" name="6" dataDxfId="153"/>
    <tableColumn id="9" xr3:uid="{39C08C78-15AF-4E44-B050-F5D4532C00EE}" name="7" dataDxfId="152"/>
    <tableColumn id="10" xr3:uid="{3A0A15B8-0910-483C-BCCA-F8F4651DA25E}" name="8" dataDxfId="151"/>
    <tableColumn id="11" xr3:uid="{B4BA1A21-248B-4AFC-B040-D29D15754499}" name="9" dataDxfId="150"/>
    <tableColumn id="12" xr3:uid="{14108850-D364-4CF0-976B-8E53F6DE4877}" name="10" dataDxfId="149"/>
    <tableColumn id="13" xr3:uid="{7F673FC8-FC0A-4A15-87D6-B7F1A000710C}" name="13" dataDxfId="148"/>
    <tableColumn id="14" xr3:uid="{3CFB96DE-4D9D-4AFC-8AD0-816CCD4832BD}" name="14" dataDxfId="147"/>
    <tableColumn id="15" xr3:uid="{1BE8AE05-90F3-4DD0-9A61-33DCCF63D95C}" name="15" dataDxfId="146"/>
    <tableColumn id="35" xr3:uid="{4ECF85FD-1D61-48B3-8984-C16A39A2E49F}" name="16" dataDxfId="145"/>
    <tableColumn id="36" xr3:uid="{6663D018-7D0B-4581-A6C2-472754649147}" name="17" dataDxfId="144"/>
    <tableColumn id="38" xr3:uid="{B0110345-7E4C-400C-9AE3-B09313D7CC7C}" name="20" dataDxfId="143"/>
    <tableColumn id="37" xr3:uid="{F0B0FB80-9213-45D7-B0D1-0CEC84136504}" name="21" dataDxfId="142"/>
    <tableColumn id="32" xr3:uid="{3A771CC6-AD9B-421B-AAF1-4E32683000ED}" name="22" dataDxfId="141"/>
    <tableColumn id="33" xr3:uid="{734026D2-0E34-449A-A227-F1A23D2EB1DC}" name="23" dataDxfId="140"/>
    <tableColumn id="34" xr3:uid="{E9E90DE3-01F9-45DB-84EB-C6B787DCB978}" name="24" dataDxfId="139"/>
    <tableColumn id="26" xr3:uid="{7EBC28C2-37A3-4E16-A29B-DB94F8B90247}" name="27" dataDxfId="138"/>
    <tableColumn id="30" xr3:uid="{9EF77477-FA4C-46E8-BA9C-307B5604C40C}" name="28" dataDxfId="137"/>
    <tableColumn id="31" xr3:uid="{0F9E2ED5-E2DC-4A69-AE18-8B9CF2D84585}" name="29" dataDxfId="136"/>
    <tableColumn id="16" xr3:uid="{24C06BFB-17B1-4C60-983A-E34808ADEEDC}" name="30" dataDxfId="135"/>
    <tableColumn id="29" xr3:uid="{9A87A5C0-7BE6-4BFF-85E2-0BBBD687F508}" name="CARTERA ASESOR" dataDxfId="134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33">
  <autoFilter ref="A2:K57" xr:uid="{57141373-C5A3-4BA8-9D78-B5F778D82FB5}"/>
  <tableColumns count="11">
    <tableColumn id="1" xr3:uid="{164AF3BC-0626-49DF-9139-7226B478255C}" name="SUPER" dataDxfId="132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31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30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29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28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27"/>
    <tableColumn id="11" xr3:uid="{DF180A98-FB1C-4258-A98D-429BF8C95154}" name="DNI" dataDxfId="12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2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2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2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22" dataDxfId="120" headerRowBorderDxfId="121" tableBorderDxfId="119" totalsRowBorderDxfId="118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17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16">
      <calculatedColumnFormula>MAX(DITE_MARZO_202661[[#This Row],[SUPER]:[CARTERA]])</calculatedColumnFormula>
    </tableColumn>
    <tableColumn id="4" xr3:uid="{F34C5336-6862-41A0-A409-0FB6019105D8}" name="ALCANCE SUPERVISOR" dataDxfId="115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14"/>
    <tableColumn id="6" xr3:uid="{F2748BC7-F61B-4028-B30C-9B7CFD4C1F43}" name="1" dataDxfId="113"/>
    <tableColumn id="7" xr3:uid="{F1653157-4532-4F05-98E2-0D0A5D116EBD}" name="6" dataDxfId="112"/>
    <tableColumn id="27" xr3:uid="{A0D73469-0ADD-4583-A690-120FBE5A5C22}" name="7" dataDxfId="111"/>
    <tableColumn id="26" xr3:uid="{43AEAD0D-21F8-4C47-A5C4-7018DC41F18D}" name="8" dataDxfId="110"/>
    <tableColumn id="8" xr3:uid="{97E91656-58E1-4629-A463-25DCC7CFA3B0}" name="9" dataDxfId="109"/>
    <tableColumn id="9" xr3:uid="{4E0A9486-6527-4A6B-ACC7-8B01636917F5}" name="10" dataDxfId="108"/>
    <tableColumn id="10" xr3:uid="{0EE2F553-0C54-499A-9ACC-F4DCDCFBBBEA}" name="13" dataDxfId="107"/>
    <tableColumn id="11" xr3:uid="{7289F0C7-72E7-4C8A-A0E7-531EF74F9254}" name="14" dataDxfId="106"/>
    <tableColumn id="12" xr3:uid="{EC9696F2-D4A5-4042-BBE1-E3C64FE72AED}" name="15" dataDxfId="105"/>
    <tableColumn id="13" xr3:uid="{C75045C6-B3C5-407C-B3A9-0F1F46535BC0}" name="16" dataDxfId="104"/>
    <tableColumn id="14" xr3:uid="{B0653272-6948-4A69-B7F5-9DADCB29A13E}" name="17" dataDxfId="103"/>
    <tableColumn id="15" xr3:uid="{0F1968FB-6B80-44F8-BE1A-C368F94B3C13}" name="20" dataDxfId="102"/>
    <tableColumn id="16" xr3:uid="{6D36DBEB-4AF5-426F-A752-698A5D1C3B62}" name="21" dataDxfId="101"/>
    <tableColumn id="17" xr3:uid="{0207C6D9-8D97-4852-BFED-C445D736D0DB}" name="22" dataDxfId="100"/>
    <tableColumn id="18" xr3:uid="{7DDAA5A2-633B-4C3F-B0EE-5FDD92815DC8}" name="23" dataDxfId="99"/>
    <tableColumn id="19" xr3:uid="{44AE6AAE-F0AD-4A2F-BFFB-98D8D3BA8E3C}" name="24" dataDxfId="98"/>
    <tableColumn id="20" xr3:uid="{B3CF3923-DF8A-4F76-B0EB-9BCF1BEB99D7}" name="27" dataDxfId="97"/>
    <tableColumn id="21" xr3:uid="{D1C5440B-A3AC-4083-9DEA-3C61BD3AA4BA}" name="28" dataDxfId="96"/>
    <tableColumn id="22" xr3:uid="{B9DADE9A-D31C-405D-B512-FA0C75505FD3}" name="29" dataDxfId="95"/>
    <tableColumn id="23" xr3:uid="{DDC02FAB-2145-4E5A-A691-0B443835F534}" name="30" dataDxfId="94"/>
    <tableColumn id="5" xr3:uid="{D4A0BEAA-FF12-423C-A01E-2E19D1AD53FF}" name="CARTERA" dataDxfId="93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92" dataDxfId="91">
  <autoFilter ref="BO8:BS13" xr:uid="{32F2C0DF-608D-4449-86C3-ED0D601B4CAB}"/>
  <tableColumns count="5">
    <tableColumn id="1" xr3:uid="{3CE00A77-7414-4C4C-8A91-68EF49780B65}" name="VISTA" dataDxfId="90"/>
    <tableColumn id="2" xr3:uid="{56B0F96B-21BA-4827-B2B1-B18358246F09}" name="1" dataDxfId="89"/>
    <tableColumn id="3" xr3:uid="{1E4D191E-FF72-4608-80E3-C9FEAF37BDCC}" name="2" dataDxfId="88"/>
    <tableColumn id="4" xr3:uid="{C83CA394-AE26-46CE-A122-E8F3B2632CBE}" name="3" dataDxfId="87"/>
    <tableColumn id="14" xr3:uid="{6F542B49-75AA-4A9E-8EF8-DB967DF24F23}" name="4" dataDxfId="86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DATA_MARZO_2026[[#This Row],[RECUPERO]]/DATA_MARZO_2026[[#This Row],[META]]</calculatedColumnFormula>
    </tableColumn>
    <tableColumn id="2" xr3:uid="{6F4F1AB6-BBA7-498F-8826-77193C5F7DE1}" name="CLASIFICACIÓN" dataDxfId="1354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IFERROR(VLOOKUP(DATA_MARZO_2026[[#This Row],[ASER_]],$B:$G,4,0),"")</calculatedColumnFormula>
    </tableColumn>
    <tableColumn id="1" xr3:uid="{9CEE94D1-F610-44F2-BECC-051BA76BFF42}" name="RECUPERO" dataDxfId="1352">
      <calculatedColumnFormula>VLOOKUP(DATA_MARZO_2026[[#This Row],[ASER_]],D1_MARZO_2026[[ASESOR_CRR]:[RECUPERO]],6,0)</calculatedColumnFormula>
    </tableColumn>
    <tableColumn id="6" xr3:uid="{3562AB11-2CE4-4155-B81B-115DFB69AAAB}" name="META" dataDxfId="1351">
      <calculatedColumnFormula>VLOOKUP(DATA_MARZO_2026[[#This Row],[ASER_]],D1_MARZO_2026[[ASESOR_CRR]:[META]],2,0)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327">
  <autoFilter ref="A2:K57" xr:uid="{AB1967BC-98FE-49B9-B96E-7F91454A75DF}"/>
  <tableColumns count="11">
    <tableColumn id="1" xr3:uid="{E8C9BFA3-A821-4545-B3F0-1D85338E10F0}" name="SUPER" dataDxfId="132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324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323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322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310">
      <calculatedColumnFormula>MAX(DITE_MARZO_2026[[#This Row],[SUPER]:[CARTERA]])</calculatedColumnFormula>
    </tableColumn>
    <tableColumn id="4" xr3:uid="{F9F9E33D-CF47-4A7B-B383-5185C72E6DBF}" name="ALCANCE SUPERVISOR" dataDxfId="1309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85"/>
    <tableColumn id="2" xr3:uid="{4006F32F-EE4A-427A-AF49-74D52FBF6D53}" uniqueName="2" name="PUESTO REAL" queryTableFieldId="10"/>
    <tableColumn id="3" xr3:uid="{E33DD98B-2314-40D0-9DFA-F987324F30A3}" uniqueName="3" name="FEC_NAC" queryTableFieldId="3" dataDxfId="84"/>
    <tableColumn id="4" xr3:uid="{8397B954-43F8-46B6-880D-47B541CAB0B9}" uniqueName="4" name="NOMBRE" queryTableFieldId="4" dataDxfId="83"/>
    <tableColumn id="8" xr3:uid="{C558150D-EEDC-4907-8F09-51F784EDF9BF}" uniqueName="8" name="PUESTO" queryTableFieldId="8" dataDxfId="82"/>
    <tableColumn id="7" xr3:uid="{C74AABE2-4219-45A4-BAE7-8D08B65D7B0D}" uniqueName="7" name="MES" queryTableFieldId="7" dataDxfId="8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8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79"/>
    <tableColumn id="2" xr3:uid="{4CE5A949-AEFE-46EE-A6C7-63B5F40645ED}" uniqueName="2" name="ASESOR" queryTableFieldId="2" dataDxfId="78"/>
    <tableColumn id="3" xr3:uid="{FC855FAD-67D1-4191-8099-B240DE5A7E19}" uniqueName="3" name="DNI" queryTableFieldId="3"/>
    <tableColumn id="4" xr3:uid="{B28762A1-8785-4BA1-B48A-2105A7540479}" uniqueName="4" name="EQUIPO" queryTableFieldId="4" dataDxfId="77"/>
    <tableColumn id="5" xr3:uid="{4F3B4D22-3444-4707-91B7-A75F49F6498B}" uniqueName="5" name="CONDICION" queryTableFieldId="5" dataDxfId="76"/>
    <tableColumn id="6" xr3:uid="{8D887E6F-5C9F-49FF-A6D9-8DCCAC8D9020}" uniqueName="6" name="TIPO" queryTableFieldId="6" dataDxfId="75"/>
    <tableColumn id="7" xr3:uid="{36632EEE-E592-453A-A97A-3195965F4742}" uniqueName="7" name="FECHA DE INGRESO" queryTableFieldId="7" dataDxfId="74"/>
    <tableColumn id="8" xr3:uid="{D33CB618-ED5B-4D3C-80A3-516C71713539}" uniqueName="8" name="MESES ANTIGÜEDAD" queryTableFieldId="8"/>
    <tableColumn id="9" xr3:uid="{705D9621-0524-4854-8C27-BF2096F130C6}" uniqueName="9" name="SEGMENTO" queryTableFieldId="9" dataDxfId="73"/>
    <tableColumn id="10" xr3:uid="{EA137E28-70F4-408B-9000-9FD7EB104A9B}" uniqueName="10" name="FECHA DE CESE" queryTableFieldId="10" dataDxfId="72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71" headerRowBorderDxfId="70" tableBorderDxfId="69" totalsRowBorderDxfId="68">
  <autoFilter ref="A1:G208" xr:uid="{C41E08BB-0323-438E-BFE0-76BBB5F11D04}"/>
  <tableColumns count="7">
    <tableColumn id="1" xr3:uid="{392AC838-52ED-4D24-AEEF-DBB8AB8874AD}" name="CONCAT" dataDxfId="6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66"/>
    <tableColumn id="2" xr3:uid="{6AF5A16E-DFBE-42B7-BDA1-6E8694A629C3}" name="mes" dataDxfId="65"/>
    <tableColumn id="4" xr3:uid="{10D1F902-532A-4C8C-AB27-C2F522F14EA7}" name="Equipo" dataDxfId="64"/>
    <tableColumn id="5" xr3:uid="{75A35478-8934-432E-843B-D174D5C58C71}" name="Meta_Equipo" dataDxfId="63"/>
    <tableColumn id="6" xr3:uid="{C4DF57EE-8F57-44C8-ABE6-43EEF1F9DA62}" name="Meta_Asesor" dataDxfId="62"/>
    <tableColumn id="3" xr3:uid="{95E3CE54-9C14-4F51-963D-FFEEB667B07A}" name="SEGG" dataDxfId="6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topLeftCell="BC1" zoomScale="70" zoomScaleNormal="70" workbookViewId="0">
      <selection activeCell="BV14" sqref="BV14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6" width="7.85546875" bestFit="1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7" s="62" t="e" cm="1">
        <f t="array" ref="C7">_xlfn.XLOOKUP(1,(TablaMeta[CONCAT]=$M$3&amp;$N$3&amp;D1_MARZO_2026[[#This Row],[SUPER]])*(TablaMeta[SEGG]=D1_MARZO_2026[[#This Row],[SEGMENTO]]),TablaMeta[Meta_Asesor])</f>
        <v>#N/A</v>
      </c>
      <c r="D7" s="63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LICENCIA</v>
      </c>
      <c r="F7" s="66" t="s">
        <v>81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8" s="66" t="e" cm="1">
        <f t="array" ref="C8">_xlfn.XLOOKUP(1,(TablaMeta[CONCAT]=$M$3&amp;$N$3&amp;D1_MARZO_2026[[#This Row],[SUPER]])*(TablaMeta[SEGG]=D1_MARZO_2026[[#This Row],[SEGMENTO]]),TablaMeta[Meta_Asesor])</f>
        <v>#N/A</v>
      </c>
      <c r="D8" s="67" t="str">
        <f>IF(D1_MARZO_2026[[#This Row],[RECUPERO]]="VACACIONES","VACACIONES",IFERROR(D1_MARZO_2026[[#This Row],[RECUPERO]]/D1_MARZO_2026[[#This Row],[META]],""))</f>
        <v/>
      </c>
      <c r="E8" s="67" t="str">
        <f>D1_MARZO_2026[[#This Row],[SUPER]]</f>
        <v>VACACIONES</v>
      </c>
      <c r="F8" s="66" t="s">
        <v>73</v>
      </c>
      <c r="G8" s="73"/>
      <c r="H8" s="66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0.80087248322147653</v>
      </c>
      <c r="E9" s="35" t="str">
        <f>D1_MARZO_2026[[#This Row],[SUPER]]</f>
        <v>JORGE</v>
      </c>
      <c r="F9" s="34" t="s">
        <v>10</v>
      </c>
      <c r="G9" s="36">
        <v>35799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0.10246085011185682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4580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190217</v>
      </c>
      <c r="AR9" s="16">
        <f>IFERROR(DITE_MARZO_2026[[#This Row],[RECUPERO SUPERVISOR]]/DITE_MARZO_2026[[#This Row],[META SUPER]],"")</f>
        <v>0.49482328947436877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0.68176733780760623</v>
      </c>
      <c r="E10" s="35" t="str">
        <f>D1_MARZO_2026[[#This Row],[SUPER]]</f>
        <v>JORGE</v>
      </c>
      <c r="F10" s="34" t="s">
        <v>24</v>
      </c>
      <c r="G10" s="36">
        <v>30475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0.35011185682326623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15650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187274.17</v>
      </c>
      <c r="AR10" s="17">
        <f>IFERROR(DITE_MARZO_2026[[#This Row],[RECUPERO SUPERVISOR]]/DITE_MARZO_2026[[#This Row],[META SUPER]],"")</f>
        <v>0.43644699921694385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0.59507829977628635</v>
      </c>
      <c r="E11" s="35" t="str">
        <f>D1_MARZO_2026[[#This Row],[SUPER]]</f>
        <v>JORGE</v>
      </c>
      <c r="F11" s="34" t="s">
        <v>13</v>
      </c>
      <c r="G11" s="36">
        <v>26600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0.23664429530201342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10578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210467.87</v>
      </c>
      <c r="AR11" s="16">
        <f>IFERROR(DITE_MARZO_2026[[#This Row],[RECUPERO SUPERVISOR]]/DITE_MARZO_2026[[#This Row],[META SUPER]],"")</f>
        <v>0.47145285647725033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0.5095525727069351</v>
      </c>
      <c r="E12" s="35" t="str">
        <f>D1_MARZO_2026[[#This Row],[SUPER]]</f>
        <v>JORGE</v>
      </c>
      <c r="F12" t="s">
        <v>65</v>
      </c>
      <c r="G12" s="3">
        <v>22777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0.25950782997762861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11600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140804</v>
      </c>
      <c r="AR12" s="17">
        <f>IFERROR(DITE_MARZO_2026[[#This Row],[RECUPERO SUPERVISOR]]/DITE_MARZO_2026[[#This Row],[META SUPER]],"")</f>
        <v>0.4852515964944325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0.49720357941834453</v>
      </c>
      <c r="E13" s="35" t="str">
        <f>D1_MARZO_2026[[#This Row],[SUPER]]</f>
        <v>JORGE</v>
      </c>
      <c r="F13" t="s">
        <v>31</v>
      </c>
      <c r="G13" s="3">
        <v>22225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0.14429530201342283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6450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144644</v>
      </c>
      <c r="AR13" s="16">
        <f>IFERROR(DITE_MARZO_2026[[#This Row],[RECUPERO SUPERVISOR]]/DITE_MARZO_2026[[#This Row],[META SUPER]],"")</f>
        <v>0.32400587782018886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0.48724832214765101</v>
      </c>
      <c r="E14" s="35" t="str">
        <f>D1_MARZO_2026[[#This Row],[SUPER]]</f>
        <v>JORGE</v>
      </c>
      <c r="F14" t="s">
        <v>25</v>
      </c>
      <c r="G14" s="3">
        <v>21780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0.50527964205816556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22586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0.47010894854586127</v>
      </c>
      <c r="E15" s="35" t="str">
        <f>D1_MARZO_2026[[#This Row],[SUPER]]</f>
        <v>JORGE</v>
      </c>
      <c r="F15" t="s">
        <v>22</v>
      </c>
      <c r="G15" s="3">
        <v>21013.87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0.60872483221476514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27210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0.25539149888143176</v>
      </c>
      <c r="E16" s="35" t="str">
        <f>D1_MARZO_2026[[#This Row],[SUPER]]</f>
        <v>JORGE</v>
      </c>
      <c r="F16" t="s">
        <v>37</v>
      </c>
      <c r="G16" s="3">
        <v>11416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0.32483221476510066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14520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0.1512304250559284</v>
      </c>
      <c r="E17" s="35" t="str">
        <f>D1_MARZO_2026[[#This Row],[SUPER]]</f>
        <v>JORGE</v>
      </c>
      <c r="F17" t="s">
        <v>42</v>
      </c>
      <c r="G17" s="3">
        <v>6760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0.45346756152125278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20270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38500</v>
      </c>
      <c r="D18" s="35">
        <f>IF(D1_MARZO_2026[[#This Row],[RECUPERO]]="VACACIONES","VACACIONES",IFERROR(D1_MARZO_2026[[#This Row],[RECUPERO]]/D1_MARZO_2026[[#This Row],[META]],""))</f>
        <v>0.99532467532467528</v>
      </c>
      <c r="E18" s="35" t="str">
        <f>D1_MARZO_2026[[#This Row],[SUPER]]</f>
        <v>SANDY</v>
      </c>
      <c r="F18" t="s">
        <v>79</v>
      </c>
      <c r="G18" s="3">
        <v>38320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DATA_MARZO_2026[[#This Row],[RECUPERO]]/DATA_MARZO_2026[[#This Row],[META]]</f>
        <v>0.13870246085011187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6200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19" s="34" cm="1">
        <f t="array" ref="C19">_xlfn.XLOOKUP(1,(TablaMeta[CONCAT]=$M$3&amp;$N$3&amp;D1_MARZO_2026[[#This Row],[SUPER]])*(TablaMeta[SEGG]=D1_MARZO_2026[[#This Row],[SEGMENTO]]),TablaMeta[Meta_Asesor])</f>
        <v>38500</v>
      </c>
      <c r="D19" s="35">
        <f>IF(D1_MARZO_2026[[#This Row],[RECUPERO]]="VACACIONES","VACACIONES",IFERROR(D1_MARZO_2026[[#This Row],[RECUPERO]]/D1_MARZO_2026[[#This Row],[META]],""))</f>
        <v>0.58823376623376622</v>
      </c>
      <c r="E19" s="35" t="str">
        <f>D1_MARZO_2026[[#This Row],[SUPER]]</f>
        <v>SANDY</v>
      </c>
      <c r="F19" t="s">
        <v>68</v>
      </c>
      <c r="G19" s="3">
        <v>22647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DATA_MARZO_2026[[#This Row],[RECUPERO]]/DATA_MARZO_2026[[#This Row],[META]]</f>
        <v>9.0375203915171287E-2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5540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20" s="34" cm="1">
        <f t="array" ref="C20">_xlfn.XLOOKUP(1,(TablaMeta[CONCAT]=$M$3&amp;$N$3&amp;D1_MARZO_2026[[#This Row],[SUPER]])*(TablaMeta[SEGG]=D1_MARZO_2026[[#This Row],[SEGMENTO]]),TablaMeta[Meta_Asesor])</f>
        <v>38500</v>
      </c>
      <c r="D20" s="35">
        <f>IF(D1_MARZO_2026[[#This Row],[RECUPERO]]="VACACIONES","VACACIONES",IFERROR(D1_MARZO_2026[[#This Row],[RECUPERO]]/D1_MARZO_2026[[#This Row],[META]],""))</f>
        <v>0.545974025974026</v>
      </c>
      <c r="E20" s="35" t="str">
        <f>D1_MARZO_2026[[#This Row],[SUPER]]</f>
        <v>SANDY</v>
      </c>
      <c r="F20" t="s">
        <v>493</v>
      </c>
      <c r="G20" s="3">
        <v>21020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DATA_MARZO_2026[[#This Row],[RECUPERO]]/DATA_MARZO_2026[[#This Row],[META]]</f>
        <v>0.37647634584013051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23078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21" s="34" cm="1">
        <f t="array" ref="C21">_xlfn.XLOOKUP(1,(TablaMeta[CONCAT]=$M$3&amp;$N$3&amp;D1_MARZO_2026[[#This Row],[SUPER]])*(TablaMeta[SEGG]=D1_MARZO_2026[[#This Row],[SEGMENTO]]),TablaMeta[Meta_Asesor])</f>
        <v>38500</v>
      </c>
      <c r="D21" s="35">
        <f>IF(D1_MARZO_2026[[#This Row],[RECUPERO]]="VACACIONES","VACACIONES",IFERROR(D1_MARZO_2026[[#This Row],[RECUPERO]]/D1_MARZO_2026[[#This Row],[META]],""))</f>
        <v>0.50984415584415588</v>
      </c>
      <c r="E21" s="35" t="str">
        <f>D1_MARZO_2026[[#This Row],[SUPER]]</f>
        <v>SANDY</v>
      </c>
      <c r="F21" t="s">
        <v>29</v>
      </c>
      <c r="G21" s="3">
        <v>19629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DATA_MARZO_2026[[#This Row],[RECUPERO]]/DATA_MARZO_2026[[#This Row],[META]]</f>
        <v>0.6992034257748776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42861.17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22" s="34" cm="1">
        <f t="array" ref="C22">_xlfn.XLOOKUP(1,(TablaMeta[CONCAT]=$M$3&amp;$N$3&amp;D1_MARZO_2026[[#This Row],[SUPER]])*(TablaMeta[SEGG]=D1_MARZO_2026[[#This Row],[SEGMENTO]]),TablaMeta[Meta_Asesor])</f>
        <v>38500</v>
      </c>
      <c r="D22" s="35">
        <f>IF(D1_MARZO_2026[[#This Row],[RECUPERO]]="VACACIONES","VACACIONES",IFERROR(D1_MARZO_2026[[#This Row],[RECUPERO]]/D1_MARZO_2026[[#This Row],[META]],""))</f>
        <v>0.48301298701298701</v>
      </c>
      <c r="E22" s="35" t="str">
        <f>D1_MARZO_2026[[#This Row],[SUPER]]</f>
        <v>SANDY</v>
      </c>
      <c r="F22" t="s">
        <v>96</v>
      </c>
      <c r="G22" s="3">
        <v>18596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DATA_MARZO_2026[[#This Row],[RECUPERO]]/DATA_MARZO_2026[[#This Row],[META]]</f>
        <v>0.53996737357259383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33100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23" s="34" cm="1">
        <f t="array" ref="C23">_xlfn.XLOOKUP(1,(TablaMeta[CONCAT]=$M$3&amp;$N$3&amp;D1_MARZO_2026[[#This Row],[SUPER]])*(TablaMeta[SEGG]=D1_MARZO_2026[[#This Row],[SEGMENTO]]),TablaMeta[Meta_Asesor])</f>
        <v>38500</v>
      </c>
      <c r="D23" s="35">
        <f>IF(D1_MARZO_2026[[#This Row],[RECUPERO]]="VACACIONES","VACACIONES",IFERROR(D1_MARZO_2026[[#This Row],[RECUPERO]]/D1_MARZO_2026[[#This Row],[META]],""))</f>
        <v>0.40303896103896103</v>
      </c>
      <c r="E23" s="35" t="str">
        <f>D1_MARZO_2026[[#This Row],[SUPER]]</f>
        <v>SANDY</v>
      </c>
      <c r="F23" t="s">
        <v>627</v>
      </c>
      <c r="G23" s="3">
        <v>15517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DATA_MARZO_2026[[#This Row],[RECUPERO]]/DATA_MARZO_2026[[#This Row],[META]]</f>
        <v>0.47797716150081565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29300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24" s="34" cm="1">
        <f t="array" ref="C24">_xlfn.XLOOKUP(1,(TablaMeta[CONCAT]=$M$3&amp;$N$3&amp;D1_MARZO_2026[[#This Row],[SUPER]])*(TablaMeta[SEGG]=D1_MARZO_2026[[#This Row],[SEGMENTO]]),TablaMeta[Meta_Asesor])</f>
        <v>38500</v>
      </c>
      <c r="D24" s="35">
        <f>IF(D1_MARZO_2026[[#This Row],[RECUPERO]]="VACACIONES","VACACIONES",IFERROR(D1_MARZO_2026[[#This Row],[RECUPERO]]/D1_MARZO_2026[[#This Row],[META]],""))</f>
        <v>0.39228571428571429</v>
      </c>
      <c r="E24" s="35" t="str">
        <f>D1_MARZO_2026[[#This Row],[SUPER]]</f>
        <v>SANDY</v>
      </c>
      <c r="F24" t="s">
        <v>85</v>
      </c>
      <c r="G24" s="3">
        <v>15103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DATA_MARZO_2026[[#This Row],[RECUPERO]]/DATA_MARZO_2026[[#This Row],[META]]</f>
        <v>0.32748776508972266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20075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25" s="34" cm="1">
        <f t="array" ref="C25">_xlfn.XLOOKUP(1,(TablaMeta[CONCAT]=$M$3&amp;$N$3&amp;D1_MARZO_2026[[#This Row],[SUPER]])*(TablaMeta[SEGG]=D1_MARZO_2026[[#This Row],[SEGMENTO]]),TablaMeta[Meta_Asesor])</f>
        <v>38500</v>
      </c>
      <c r="D25" s="35">
        <f>IF(D1_MARZO_2026[[#This Row],[RECUPERO]]="VACACIONES","VACACIONES",IFERROR(D1_MARZO_2026[[#This Row],[RECUPERO]]/D1_MARZO_2026[[#This Row],[META]],""))</f>
        <v>0.357974025974026</v>
      </c>
      <c r="E25" s="35" t="str">
        <f>D1_MARZO_2026[[#This Row],[SUPER]]</f>
        <v>SANDY</v>
      </c>
      <c r="F25" t="s">
        <v>32</v>
      </c>
      <c r="G25" s="3">
        <v>13782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DATA_MARZO_2026[[#This Row],[RECUPERO]]/DATA_MARZO_2026[[#This Row],[META]]</f>
        <v>0.54355628058727568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33320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26" s="34" cm="1">
        <f t="array" ref="C26">_xlfn.XLOOKUP(1,(TablaMeta[CONCAT]=$M$3&amp;$N$3&amp;D1_MARZO_2026[[#This Row],[SUPER]])*(TablaMeta[SEGG]=D1_MARZO_2026[[#This Row],[SEGMENTO]]),TablaMeta[Meta_Asesor])</f>
        <v>38500</v>
      </c>
      <c r="D26" s="35">
        <f>IF(D1_MARZO_2026[[#This Row],[RECUPERO]]="VACACIONES","VACACIONES",IFERROR(D1_MARZO_2026[[#This Row],[RECUPERO]]/D1_MARZO_2026[[#This Row],[META]],""))</f>
        <v>0.29584415584415585</v>
      </c>
      <c r="E26" s="35" t="str">
        <f>D1_MARZO_2026[[#This Row],[SUPER]]</f>
        <v>SANDY</v>
      </c>
      <c r="F26" t="s">
        <v>58</v>
      </c>
      <c r="G26" s="3">
        <v>11390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DATA_MARZO_2026[[#This Row],[RECUPERO]]/DATA_MARZO_2026[[#This Row],[META]]</f>
        <v>0.29584415584415585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11390</v>
      </c>
      <c r="Q26" s="6">
        <f>VLOOKUP(DATA_MARZO_2026[[#This Row],[ASER_]],D1_MARZO_2026[[ASESOR_CRR]:[META]],2,0)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27" s="34" cm="1">
        <f t="array" ref="C27">_xlfn.XLOOKUP(1,(TablaMeta[CONCAT]=$M$3&amp;$N$3&amp;D1_MARZO_2026[[#This Row],[SUPER]])*(TablaMeta[SEGG]=D1_MARZO_2026[[#This Row],[SEGMENTO]]),TablaMeta[Meta_Asesor])</f>
        <v>38500</v>
      </c>
      <c r="D27" s="35">
        <f>IF(D1_MARZO_2026[[#This Row],[RECUPERO]]="VACACIONES","VACACIONES",IFERROR(D1_MARZO_2026[[#This Row],[RECUPERO]]/D1_MARZO_2026[[#This Row],[META]],""))</f>
        <v>0.10942857142857143</v>
      </c>
      <c r="E27" s="35" t="str">
        <f>D1_MARZO_2026[[#This Row],[SUPER]]</f>
        <v>SANDY</v>
      </c>
      <c r="F27" t="s">
        <v>174</v>
      </c>
      <c r="G27" s="3">
        <v>4213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DATA_MARZO_2026[[#This Row],[RECUPERO]]/DATA_MARZO_2026[[#This Row],[META]]</f>
        <v>0.58823376623376622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22647</v>
      </c>
      <c r="Q27" s="6">
        <f>VLOOKUP(DATA_MARZO_2026[[#This Row],[ASER_]],D1_MARZO_2026[[ASESOR_CRR]:[META]],2,0)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28" s="34" cm="1">
        <f t="array" ref="C28">_xlfn.XLOOKUP(1,(TablaMeta[CONCAT]=$M$3&amp;$N$3&amp;D1_MARZO_2026[[#This Row],[SUPER]])*(TablaMeta[SEGG]=D1_MARZO_2026[[#This Row],[SEGMENTO]]),TablaMeta[Meta_Asesor])</f>
        <v>61300</v>
      </c>
      <c r="D28" s="35">
        <f>IF(D1_MARZO_2026[[#This Row],[RECUPERO]]="VACACIONES","VACACIONES",IFERROR(D1_MARZO_2026[[#This Row],[RECUPERO]]/D1_MARZO_2026[[#This Row],[META]],""))</f>
        <v>0.6992034257748776</v>
      </c>
      <c r="E28" s="35" t="str">
        <f>D1_MARZO_2026[[#This Row],[SUPER]]</f>
        <v>KENNETH</v>
      </c>
      <c r="F28" t="s">
        <v>97</v>
      </c>
      <c r="G28" s="3">
        <v>42861.17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DATA_MARZO_2026[[#This Row],[RECUPERO]]/DATA_MARZO_2026[[#This Row],[META]]</f>
        <v>0.545974025974026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21020</v>
      </c>
      <c r="Q28" s="6">
        <f>VLOOKUP(DATA_MARZO_2026[[#This Row],[ASER_]],D1_MARZO_2026[[ASESOR_CRR]:[META]],2,0)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29" s="34" cm="1">
        <f t="array" ref="C29">_xlfn.XLOOKUP(1,(TablaMeta[CONCAT]=$M$3&amp;$N$3&amp;D1_MARZO_2026[[#This Row],[SUPER]])*(TablaMeta[SEGG]=D1_MARZO_2026[[#This Row],[SEGMENTO]]),TablaMeta[Meta_Asesor])</f>
        <v>61300</v>
      </c>
      <c r="D29" s="35">
        <f>IF(D1_MARZO_2026[[#This Row],[RECUPERO]]="VACACIONES","VACACIONES",IFERROR(D1_MARZO_2026[[#This Row],[RECUPERO]]/D1_MARZO_2026[[#This Row],[META]],""))</f>
        <v>0.54355628058727568</v>
      </c>
      <c r="E29" s="35" t="str">
        <f>D1_MARZO_2026[[#This Row],[SUPER]]</f>
        <v>KENNETH</v>
      </c>
      <c r="F29" t="s">
        <v>34</v>
      </c>
      <c r="G29" s="3">
        <v>33320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DATA_MARZO_2026[[#This Row],[RECUPERO]]/DATA_MARZO_2026[[#This Row],[META]]</f>
        <v>0.50984415584415588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19629</v>
      </c>
      <c r="Q29" s="6">
        <f>VLOOKUP(DATA_MARZO_2026[[#This Row],[ASER_]],D1_MARZO_2026[[ASESOR_CRR]:[META]],2,0)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30" s="34" cm="1">
        <f t="array" ref="C30">_xlfn.XLOOKUP(1,(TablaMeta[CONCAT]=$M$3&amp;$N$3&amp;D1_MARZO_2026[[#This Row],[SUPER]])*(TablaMeta[SEGG]=D1_MARZO_2026[[#This Row],[SEGMENTO]]),TablaMeta[Meta_Asesor])</f>
        <v>61300</v>
      </c>
      <c r="D30" s="35">
        <f>IF(D1_MARZO_2026[[#This Row],[RECUPERO]]="VACACIONES","VACACIONES",IFERROR(D1_MARZO_2026[[#This Row],[RECUPERO]]/D1_MARZO_2026[[#This Row],[META]],""))</f>
        <v>0.53996737357259383</v>
      </c>
      <c r="E30" s="35" t="str">
        <f>D1_MARZO_2026[[#This Row],[SUPER]]</f>
        <v>KENNETH</v>
      </c>
      <c r="F30" t="s">
        <v>105</v>
      </c>
      <c r="G30" s="3">
        <v>33100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DATA_MARZO_2026[[#This Row],[RECUPERO]]/DATA_MARZO_2026[[#This Row],[META]]</f>
        <v>0.39228571428571429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SANDY</v>
      </c>
      <c r="P30" s="6">
        <f>VLOOKUP(DATA_MARZO_2026[[#This Row],[ASER_]],D1_MARZO_2026[[ASESOR_CRR]:[RECUPERO]],6,0)</f>
        <v>15103</v>
      </c>
      <c r="Q30" s="6">
        <f>VLOOKUP(DATA_MARZO_2026[[#This Row],[ASER_]],D1_MARZO_2026[[ASESOR_CRR]:[META]],2,0)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31" s="34" cm="1">
        <f t="array" ref="C31">_xlfn.XLOOKUP(1,(TablaMeta[CONCAT]=$M$3&amp;$N$3&amp;D1_MARZO_2026[[#This Row],[SUPER]])*(TablaMeta[SEGG]=D1_MARZO_2026[[#This Row],[SEGMENTO]]),TablaMeta[Meta_Asesor])</f>
        <v>61300</v>
      </c>
      <c r="D31" s="35">
        <f>IF(D1_MARZO_2026[[#This Row],[RECUPERO]]="VACACIONES","VACACIONES",IFERROR(D1_MARZO_2026[[#This Row],[RECUPERO]]/D1_MARZO_2026[[#This Row],[META]],""))</f>
        <v>0.47797716150081565</v>
      </c>
      <c r="E31" s="35" t="str">
        <f>D1_MARZO_2026[[#This Row],[SUPER]]</f>
        <v>KENNETH</v>
      </c>
      <c r="F31" t="s">
        <v>11</v>
      </c>
      <c r="G31" s="3">
        <v>29300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DATA_MARZO_2026[[#This Row],[RECUPERO]]/DATA_MARZO_2026[[#This Row],[META]]</f>
        <v>0.99532467532467528</v>
      </c>
      <c r="N31" s="54" t="str" cm="1">
        <f t="array" ref="N31">IF(DATA_MARZO_2026[[#This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38320</v>
      </c>
      <c r="Q31" s="6">
        <f>VLOOKUP(DATA_MARZO_2026[[#This Row],[ASER_]],D1_MARZO_2026[[ASESOR_CRR]:[META]],2,0)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32" s="34" cm="1">
        <f t="array" ref="C32">_xlfn.XLOOKUP(1,(TablaMeta[CONCAT]=$M$3&amp;$N$3&amp;D1_MARZO_2026[[#This Row],[SUPER]])*(TablaMeta[SEGG]=D1_MARZO_2026[[#This Row],[SEGMENTO]]),TablaMeta[Meta_Asesor])</f>
        <v>61300</v>
      </c>
      <c r="D32" s="35">
        <f>IF(D1_MARZO_2026[[#This Row],[RECUPERO]]="VACACIONES","VACACIONES",IFERROR(D1_MARZO_2026[[#This Row],[RECUPERO]]/D1_MARZO_2026[[#This Row],[META]],""))</f>
        <v>0.37647634584013051</v>
      </c>
      <c r="E32" s="35" t="str">
        <f>D1_MARZO_2026[[#This Row],[SUPER]]</f>
        <v>KENNETH</v>
      </c>
      <c r="F32" t="s">
        <v>35</v>
      </c>
      <c r="G32" s="3">
        <v>23078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DATA_MARZO_2026[[#This Row],[RECUPERO]]/DATA_MARZO_2026[[#This Row],[META]]</f>
        <v>0.48301298701298701</v>
      </c>
      <c r="N32" s="54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18596</v>
      </c>
      <c r="Q32" s="6">
        <f>VLOOKUP(DATA_MARZO_2026[[#This Row],[ASER_]],D1_MARZO_2026[[ASESOR_CRR]:[META]],2,0)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33" s="34" cm="1">
        <f t="array" ref="C33">_xlfn.XLOOKUP(1,(TablaMeta[CONCAT]=$M$3&amp;$N$3&amp;D1_MARZO_2026[[#This Row],[SUPER]])*(TablaMeta[SEGG]=D1_MARZO_2026[[#This Row],[SEGMENTO]]),TablaMeta[Meta_Asesor])</f>
        <v>61300</v>
      </c>
      <c r="D33" s="35">
        <f>IF(D1_MARZO_2026[[#This Row],[RECUPERO]]="VACACIONES","VACACIONES",IFERROR(D1_MARZO_2026[[#This Row],[RECUPERO]]/D1_MARZO_2026[[#This Row],[META]],""))</f>
        <v>0.32748776508972266</v>
      </c>
      <c r="E33" s="35" t="str">
        <f>D1_MARZO_2026[[#This Row],[SUPER]]</f>
        <v>KENNETH</v>
      </c>
      <c r="F33" t="s">
        <v>19</v>
      </c>
      <c r="G33" s="3">
        <v>20075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DATA_MARZO_2026[[#This Row],[RECUPERO]]/DATA_MARZO_2026[[#This Row],[META]]</f>
        <v>0.357974025974026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13782</v>
      </c>
      <c r="Q33" s="6">
        <f>VLOOKUP(DATA_MARZO_2026[[#This Row],[ASER_]],D1_MARZO_2026[[ASESOR_CRR]:[META]],2,0)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/>
      <c r="AH33" s="6"/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34" s="34" cm="1">
        <f t="array" ref="C34">_xlfn.XLOOKUP(1,(TablaMeta[CONCAT]=$M$3&amp;$N$3&amp;D1_MARZO_2026[[#This Row],[SUPER]])*(TablaMeta[SEGG]=D1_MARZO_2026[[#This Row],[SEGMENTO]]),TablaMeta[Meta_Asesor])</f>
        <v>61300</v>
      </c>
      <c r="D34" s="35">
        <f>IF(D1_MARZO_2026[[#This Row],[RECUPERO]]="VACACIONES","VACACIONES",IFERROR(D1_MARZO_2026[[#This Row],[RECUPERO]]/D1_MARZO_2026[[#This Row],[META]],""))</f>
        <v>9.0375203915171287E-2</v>
      </c>
      <c r="E34" s="35" t="str">
        <f>D1_MARZO_2026[[#This Row],[SUPER]]</f>
        <v>KENNETH</v>
      </c>
      <c r="F34" t="s">
        <v>76</v>
      </c>
      <c r="G34" s="3">
        <v>5540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DATA_MARZO_2026[[#This Row],[RECUPERO]]/DATA_MARZO_2026[[#This Row],[META]]</f>
        <v>0.40303896103896103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15517</v>
      </c>
      <c r="Q34" s="6">
        <f>VLOOKUP(DATA_MARZO_2026[[#This Row],[ASER_]],D1_MARZO_2026[[ASESOR_CRR]:[META]],2,0)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/>
      <c r="AH34" s="6"/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35" s="34" cm="1">
        <f t="array" ref="C35">_xlfn.XLOOKUP(1,(TablaMeta[CONCAT]=$M$3&amp;$N$3&amp;D1_MARZO_2026[[#This Row],[SUPER]])*(TablaMeta[SEGG]=D1_MARZO_2026[[#This Row],[SEGMENTO]]),TablaMeta[Meta_Asesor])</f>
        <v>18100</v>
      </c>
      <c r="D35" s="35">
        <f>IF(D1_MARZO_2026[[#This Row],[RECUPERO]]="VACACIONES","VACACIONES",IFERROR(D1_MARZO_2026[[#This Row],[RECUPERO]]/D1_MARZO_2026[[#This Row],[META]],""))</f>
        <v>0.72657458563535915</v>
      </c>
      <c r="E35" s="35" t="str">
        <f>D1_MARZO_2026[[#This Row],[SUPER]]</f>
        <v>LISELY</v>
      </c>
      <c r="F35" t="s">
        <v>41</v>
      </c>
      <c r="G35" s="3">
        <v>13151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DATA_MARZO_2026[[#This Row],[RECUPERO]]/DATA_MARZO_2026[[#This Row],[META]]</f>
        <v>0.1512304250559284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6760</v>
      </c>
      <c r="Q35" s="6">
        <f>VLOOKUP(DATA_MARZO_2026[[#This Row],[ASER_]],D1_MARZO_2026[[ASESOR_CRR]:[META]],2,0)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/>
      <c r="AH35" s="6"/>
      <c r="AI35" s="6"/>
      <c r="AJ35" s="6"/>
      <c r="AK35" s="6"/>
      <c r="AL35" s="6"/>
      <c r="AM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36" s="34" cm="1">
        <f t="array" ref="C36">_xlfn.XLOOKUP(1,(TablaMeta[CONCAT]=$M$3&amp;$N$3&amp;D1_MARZO_2026[[#This Row],[SUPER]])*(TablaMeta[SEGG]=D1_MARZO_2026[[#This Row],[SEGMENTO]]),TablaMeta[Meta_Asesor])</f>
        <v>18100</v>
      </c>
      <c r="D36" s="35">
        <f>IF(D1_MARZO_2026[[#This Row],[RECUPERO]]="VACACIONES","VACACIONES",IFERROR(D1_MARZO_2026[[#This Row],[RECUPERO]]/D1_MARZO_2026[[#This Row],[META]],""))</f>
        <v>0.36099447513812155</v>
      </c>
      <c r="E36" s="35" t="str">
        <f>D1_MARZO_2026[[#This Row],[SUPER]]</f>
        <v>LISELY</v>
      </c>
      <c r="F36" t="s">
        <v>549</v>
      </c>
      <c r="G36" s="3">
        <v>6534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DATA_MARZO_2026[[#This Row],[RECUPERO]]/DATA_MARZO_2026[[#This Row],[META]]</f>
        <v>0.5095525727069351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22777</v>
      </c>
      <c r="Q36" s="6">
        <f>VLOOKUP(DATA_MARZO_2026[[#This Row],[ASER_]],D1_MARZO_2026[[ASESOR_CRR]:[META]],2,0)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/>
      <c r="AH36" s="6"/>
      <c r="AI36" s="6"/>
      <c r="AJ36" s="6"/>
      <c r="AK36" s="6"/>
      <c r="AL36" s="6"/>
      <c r="AM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7" s="34" cm="1">
        <f t="array" ref="C37">_xlfn.XLOOKUP(1,(TablaMeta[CONCAT]=$M$3&amp;$N$3&amp;D1_MARZO_2026[[#This Row],[SUPER]])*(TablaMeta[SEGG]=D1_MARZO_2026[[#This Row],[SEGMENTO]]),TablaMeta[Meta_Asesor])</f>
        <v>18100</v>
      </c>
      <c r="D37" s="35">
        <f>IF(D1_MARZO_2026[[#This Row],[RECUPERO]]="VACACIONES","VACACIONES",IFERROR(D1_MARZO_2026[[#This Row],[RECUPERO]]/D1_MARZO_2026[[#This Row],[META]],""))</f>
        <v>0.16187845303867404</v>
      </c>
      <c r="E37" s="35" t="str">
        <f>D1_MARZO_2026[[#This Row],[SUPER]]</f>
        <v>LISELY</v>
      </c>
      <c r="F37" t="s">
        <v>55</v>
      </c>
      <c r="G37" s="3">
        <v>2930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DATA_MARZO_2026[[#This Row],[RECUPERO]]/DATA_MARZO_2026[[#This Row],[META]]</f>
        <v>0.80087248322147653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35799</v>
      </c>
      <c r="Q37" s="6">
        <f>VLOOKUP(DATA_MARZO_2026[[#This Row],[ASER_]],D1_MARZO_2026[[ASESOR_CRR]:[META]],2,0)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/>
      <c r="AH37" s="6"/>
      <c r="AI37" s="6"/>
      <c r="AJ37" s="6"/>
      <c r="AK37" s="6"/>
      <c r="AL37" s="6"/>
      <c r="AM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8" s="34" cm="1">
        <f t="array" ref="C38">_xlfn.XLOOKUP(1,(TablaMeta[CONCAT]=$M$3&amp;$N$3&amp;D1_MARZO_2026[[#This Row],[SUPER]])*(TablaMeta[SEGG]=D1_MARZO_2026[[#This Row],[SEGMENTO]]),TablaMeta[Meta_Asesor])</f>
        <v>18100</v>
      </c>
      <c r="D38" s="35">
        <f>IF(D1_MARZO_2026[[#This Row],[RECUPERO]]="VACACIONES","VACACIONES",IFERROR(D1_MARZO_2026[[#This Row],[RECUPERO]]/D1_MARZO_2026[[#This Row],[META]],""))</f>
        <v>0.14088397790055249</v>
      </c>
      <c r="E38" s="35" t="str">
        <f>D1_MARZO_2026[[#This Row],[SUPER]]</f>
        <v>LISELY</v>
      </c>
      <c r="F38" t="s">
        <v>601</v>
      </c>
      <c r="G38" s="3">
        <v>2550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0.25539149888143176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11416</v>
      </c>
      <c r="Q38" s="6">
        <f>VLOOKUP(DATA_MARZO_2026[[#This Row],[ASER_]],D1_MARZO_2026[[ASESOR_CRR]:[META]],2,0)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9" s="34" cm="1">
        <f t="array" ref="C39">_xlfn.XLOOKUP(1,(TablaMeta[CONCAT]=$M$3&amp;$N$3&amp;D1_MARZO_2026[[#This Row],[SUPER]])*(TablaMeta[SEGG]=D1_MARZO_2026[[#This Row],[SEGMENTO]]),TablaMeta[Meta_Asesor])</f>
        <v>18100</v>
      </c>
      <c r="D39" s="35">
        <f>IF(D1_MARZO_2026[[#This Row],[RECUPERO]]="VACACIONES","VACACIONES",IFERROR(D1_MARZO_2026[[#This Row],[RECUPERO]]/D1_MARZO_2026[[#This Row],[META]],""))</f>
        <v>0.12734806629834255</v>
      </c>
      <c r="E39" s="35" t="str">
        <f>D1_MARZO_2026[[#This Row],[SUPER]]</f>
        <v>LISELY</v>
      </c>
      <c r="F39" t="s">
        <v>599</v>
      </c>
      <c r="G39" s="3">
        <v>2305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0.68176733780760623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30475</v>
      </c>
      <c r="Q39" s="6">
        <f>VLOOKUP(DATA_MARZO_2026[[#This Row],[ASER_]],D1_MARZO_2026[[ASESOR_CRR]:[META]],2,0)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40" s="34" cm="1">
        <f t="array" ref="C40">_xlfn.XLOOKUP(1,(TablaMeta[CONCAT]=$M$3&amp;$N$3&amp;D1_MARZO_2026[[#This Row],[SUPER]])*(TablaMeta[SEGG]=D1_MARZO_2026[[#This Row],[SEGMENTO]]),TablaMeta[Meta_Asesor])</f>
        <v>18100</v>
      </c>
      <c r="D40" s="35">
        <f>IF(D1_MARZO_2026[[#This Row],[RECUPERO]]="VACACIONES","VACACIONES",IFERROR(D1_MARZO_2026[[#This Row],[RECUPERO]]/D1_MARZO_2026[[#This Row],[META]],""))</f>
        <v>0.10911602209944751</v>
      </c>
      <c r="E40" s="35" t="str">
        <f>D1_MARZO_2026[[#This Row],[SUPER]]</f>
        <v>LISELY</v>
      </c>
      <c r="F40" t="s">
        <v>566</v>
      </c>
      <c r="G40" s="3">
        <v>1975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>DATA_MARZO_2026[[#This Row],[RECUPERO]]/DATA_MARZO_2026[[#This Row],[META]]</f>
        <v>0.59507829977628635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26600</v>
      </c>
      <c r="Q40" s="6">
        <f>VLOOKUP(DATA_MARZO_2026[[#This Row],[ASER_]],D1_MARZO_2026[[ASESOR_CRR]:[META]],2,0)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2000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41" s="34" cm="1">
        <f t="array" ref="C41">_xlfn.XLOOKUP(1,(TablaMeta[CONCAT]=$M$3&amp;$N$3&amp;D1_MARZO_2026[[#This Row],[SUPER]])*(TablaMeta[SEGG]=D1_MARZO_2026[[#This Row],[SEGMENTO]]),TablaMeta[Meta_Asesor])</f>
        <v>22800</v>
      </c>
      <c r="D41" s="35">
        <f>IF(D1_MARZO_2026[[#This Row],[RECUPERO]]="VACACIONES","VACACIONES",IFERROR(D1_MARZO_2026[[#This Row],[RECUPERO]]/D1_MARZO_2026[[#This Row],[META]],""))</f>
        <v>0.66315789473684206</v>
      </c>
      <c r="E41" s="35" t="str">
        <f>D1_MARZO_2026[[#This Row],[SUPER]]</f>
        <v>LISELY</v>
      </c>
      <c r="F41" t="s">
        <v>48</v>
      </c>
      <c r="G41" s="3">
        <v>15120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DATA_MARZO_2026[[#This Row],[RECUPERO]]/DATA_MARZO_2026[[#This Row],[META]]</f>
        <v>0.48724832214765101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21780</v>
      </c>
      <c r="Q41" s="6">
        <f>VLOOKUP(DATA_MARZO_2026[[#This Row],[ASER_]],D1_MARZO_2026[[ASESOR_CRR]:[META]],2,0)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42" s="34" cm="1">
        <f t="array" ref="C42">_xlfn.XLOOKUP(1,(TablaMeta[CONCAT]=$M$3&amp;$N$3&amp;D1_MARZO_2026[[#This Row],[SUPER]])*(TablaMeta[SEGG]=D1_MARZO_2026[[#This Row],[SEGMENTO]]),TablaMeta[Meta_Asesor])</f>
        <v>22800</v>
      </c>
      <c r="D42" s="35">
        <f>IF(D1_MARZO_2026[[#This Row],[RECUPERO]]="VACACIONES","VACACIONES",IFERROR(D1_MARZO_2026[[#This Row],[RECUPERO]]/D1_MARZO_2026[[#This Row],[META]],""))</f>
        <v>0.5245614035087719</v>
      </c>
      <c r="E42" s="35" t="str">
        <f>D1_MARZO_2026[[#This Row],[SUPER]]</f>
        <v>LISELY</v>
      </c>
      <c r="F42" t="s">
        <v>495</v>
      </c>
      <c r="G42" s="3">
        <v>11960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DATA_MARZO_2026[[#This Row],[RECUPERO]]/DATA_MARZO_2026[[#This Row],[META]]</f>
        <v>0.47010894854586127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21013.87</v>
      </c>
      <c r="Q42" s="6">
        <f>VLOOKUP(DATA_MARZO_2026[[#This Row],[ASER_]],D1_MARZO_2026[[ASESOR_CRR]:[META]],2,0)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43" s="34" cm="1">
        <f t="array" ref="C43">_xlfn.XLOOKUP(1,(TablaMeta[CONCAT]=$M$3&amp;$N$3&amp;D1_MARZO_2026[[#This Row],[SUPER]])*(TablaMeta[SEGG]=D1_MARZO_2026[[#This Row],[SEGMENTO]]),TablaMeta[Meta_Asesor])</f>
        <v>22800</v>
      </c>
      <c r="D43" s="35">
        <f>IF(D1_MARZO_2026[[#This Row],[RECUPERO]]="VACACIONES","VACACIONES",IFERROR(D1_MARZO_2026[[#This Row],[RECUPERO]]/D1_MARZO_2026[[#This Row],[META]],""))</f>
        <v>0.5161842105263158</v>
      </c>
      <c r="E43" s="35" t="str">
        <f>D1_MARZO_2026[[#This Row],[SUPER]]</f>
        <v>LISELY</v>
      </c>
      <c r="F43" t="s">
        <v>626</v>
      </c>
      <c r="G43" s="3">
        <v>11769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DATA_MARZO_2026[[#This Row],[RECUPERO]]/DATA_MARZO_2026[[#This Row],[META]]</f>
        <v>0.49720357941834453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22225</v>
      </c>
      <c r="Q43" s="6">
        <f>VLOOKUP(DATA_MARZO_2026[[#This Row],[ASER_]],D1_MARZO_2026[[ASESOR_CRR]:[META]],2,0)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44" s="34" cm="1">
        <f t="array" ref="C44">_xlfn.XLOOKUP(1,(TablaMeta[CONCAT]=$M$3&amp;$N$3&amp;D1_MARZO_2026[[#This Row],[SUPER]])*(TablaMeta[SEGG]=D1_MARZO_2026[[#This Row],[SEGMENTO]]),TablaMeta[Meta_Asesor])</f>
        <v>22800</v>
      </c>
      <c r="D44" s="35">
        <f>IF(D1_MARZO_2026[[#This Row],[RECUPERO]]="VACACIONES","VACACIONES",IFERROR(D1_MARZO_2026[[#This Row],[RECUPERO]]/D1_MARZO_2026[[#This Row],[META]],""))</f>
        <v>0.49342105263157893</v>
      </c>
      <c r="E44" s="35" t="str">
        <f>D1_MARZO_2026[[#This Row],[SUPER]]</f>
        <v>LISELY</v>
      </c>
      <c r="F44" t="s">
        <v>49</v>
      </c>
      <c r="G44" s="3">
        <v>11250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0.5245614035087719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LISELY</v>
      </c>
      <c r="P44" s="6">
        <f>VLOOKUP(DATA_MARZO_2026[[#This Row],[ASER_]],D1_MARZO_2026[[ASESOR_CRR]:[RECUPERO]],6,0)</f>
        <v>11960</v>
      </c>
      <c r="Q44" s="6">
        <f>VLOOKUP(DATA_MARZO_2026[[#This Row],[ASER_]],D1_MARZO_2026[[ASESOR_CRR]:[META]],2,0)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5" s="34" cm="1">
        <f t="array" ref="C45">_xlfn.XLOOKUP(1,(TablaMeta[CONCAT]=$M$3&amp;$N$3&amp;D1_MARZO_2026[[#This Row],[SUPER]])*(TablaMeta[SEGG]=D1_MARZO_2026[[#This Row],[SEGMENTO]]),TablaMeta[Meta_Asesor])</f>
        <v>22800</v>
      </c>
      <c r="D45" s="35">
        <f>IF(D1_MARZO_2026[[#This Row],[RECUPERO]]="VACACIONES","VACACIONES",IFERROR(D1_MARZO_2026[[#This Row],[RECUPERO]]/D1_MARZO_2026[[#This Row],[META]],""))</f>
        <v>0.23596491228070177</v>
      </c>
      <c r="E45" s="35" t="str">
        <f>D1_MARZO_2026[[#This Row],[SUPER]]</f>
        <v>LISELY</v>
      </c>
      <c r="F45" t="s">
        <v>109</v>
      </c>
      <c r="G45" s="3">
        <v>5380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0.23596491228070177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5380</v>
      </c>
      <c r="Q45" s="6">
        <f>VLOOKUP(DATA_MARZO_2026[[#This Row],[ASER_]],D1_MARZO_2026[[ASESOR_CRR]:[META]],2,0)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46" s="34" cm="1">
        <f t="array" ref="C46">_xlfn.XLOOKUP(1,(TablaMeta[CONCAT]=$M$3&amp;$N$3&amp;D1_MARZO_2026[[#This Row],[SUPER]])*(TablaMeta[SEGG]=D1_MARZO_2026[[#This Row],[SEGMENTO]]),TablaMeta[Meta_Asesor])</f>
        <v>22800</v>
      </c>
      <c r="D46" s="35">
        <f>IF(D1_MARZO_2026[[#This Row],[RECUPERO]]="VACACIONES","VACACIONES",IFERROR(D1_MARZO_2026[[#This Row],[RECUPERO]]/D1_MARZO_2026[[#This Row],[META]],""))</f>
        <v>0.18333333333333332</v>
      </c>
      <c r="E46" s="35" t="str">
        <f>D1_MARZO_2026[[#This Row],[SUPER]]</f>
        <v>LISELY</v>
      </c>
      <c r="F46" t="s">
        <v>78</v>
      </c>
      <c r="G46" s="3">
        <v>4180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0.49342105263157893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11250</v>
      </c>
      <c r="Q46" s="6">
        <f>VLOOKUP(DATA_MARZO_2026[[#This Row],[ASER_]],D1_MARZO_2026[[ASESOR_CRR]:[META]],2,0)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47" s="34" cm="1">
        <f t="array" ref="C47">_xlfn.XLOOKUP(1,(TablaMeta[CONCAT]=$M$3&amp;$N$3&amp;D1_MARZO_2026[[#This Row],[SUPER]])*(TablaMeta[SEGG]=D1_MARZO_2026[[#This Row],[SEGMENTO]]),TablaMeta[Meta_Asesor])</f>
        <v>22800</v>
      </c>
      <c r="D47" s="35">
        <f>IF(D1_MARZO_2026[[#This Row],[RECUPERO]]="VACACIONES","VACACIONES",IFERROR(D1_MARZO_2026[[#This Row],[RECUPERO]]/D1_MARZO_2026[[#This Row],[META]],""))</f>
        <v>0.16228070175438597</v>
      </c>
      <c r="E47" s="35" t="str">
        <f>D1_MARZO_2026[[#This Row],[SUPER]]</f>
        <v>LISELY</v>
      </c>
      <c r="F47" t="s">
        <v>600</v>
      </c>
      <c r="G47" s="3">
        <v>3700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7" s="56"/>
      <c r="M47" s="5">
        <f>DATA_MARZO_2026[[#This Row],[RECUPERO]]/DATA_MARZO_2026[[#This Row],[META]]</f>
        <v>0.5161842105263158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11769</v>
      </c>
      <c r="Q47" s="6">
        <f>VLOOKUP(DATA_MARZO_2026[[#This Row],[ASER_]],D1_MARZO_2026[[ASESOR_CRR]:[META]],2,0)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48" s="34" cm="1">
        <f t="array" ref="C48">_xlfn.XLOOKUP(1,(TablaMeta[CONCAT]=$M$3&amp;$N$3&amp;D1_MARZO_2026[[#This Row],[SUPER]])*(TablaMeta[SEGG]=D1_MARZO_2026[[#This Row],[SEGMENTO]]),TablaMeta[Meta_Asesor])</f>
        <v>44700</v>
      </c>
      <c r="D48" s="35">
        <f>IF(D1_MARZO_2026[[#This Row],[RECUPERO]]="VACACIONES","VACACIONES",IFERROR(D1_MARZO_2026[[#This Row],[RECUPERO]]/D1_MARZO_2026[[#This Row],[META]],""))</f>
        <v>0.60872483221476514</v>
      </c>
      <c r="E48" s="35" t="str">
        <f>D1_MARZO_2026[[#This Row],[SUPER]]</f>
        <v>LEONOR</v>
      </c>
      <c r="F48" t="s">
        <v>628</v>
      </c>
      <c r="G48" s="3">
        <v>27210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0.16228070175438597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3700</v>
      </c>
      <c r="Q48" s="6">
        <f>VLOOKUP(DATA_MARZO_2026[[#This Row],[ASER_]],D1_MARZO_2026[[ASESOR_CRR]:[META]],2,0)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49" s="34" cm="1">
        <f t="array" ref="C49">_xlfn.XLOOKUP(1,(TablaMeta[CONCAT]=$M$3&amp;$N$3&amp;D1_MARZO_2026[[#This Row],[SUPER]])*(TablaMeta[SEGG]=D1_MARZO_2026[[#This Row],[SEGMENTO]]),TablaMeta[Meta_Asesor])</f>
        <v>44700</v>
      </c>
      <c r="D49" s="35">
        <f>IF(D1_MARZO_2026[[#This Row],[RECUPERO]]="VACACIONES","VACACIONES",IFERROR(D1_MARZO_2026[[#This Row],[RECUPERO]]/D1_MARZO_2026[[#This Row],[META]],""))</f>
        <v>0.50527964205816556</v>
      </c>
      <c r="E49" s="35" t="str">
        <f>D1_MARZO_2026[[#This Row],[SUPER]]</f>
        <v>LEONOR</v>
      </c>
      <c r="F49" t="s">
        <v>61</v>
      </c>
      <c r="G49" s="3">
        <v>22586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0.66315789473684206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IFERROR(VLOOKUP(DATA_MARZO_2026[[#This Row],[ASER_]],$B:$G,4,0),"")</f>
        <v>LISELY</v>
      </c>
      <c r="P49" s="6">
        <f>VLOOKUP(DATA_MARZO_2026[[#This Row],[ASER_]],D1_MARZO_2026[[ASESOR_CRR]:[RECUPERO]],6,0)</f>
        <v>15120</v>
      </c>
      <c r="Q49" s="6">
        <f>VLOOKUP(DATA_MARZO_2026[[#This Row],[ASER_]],D1_MARZO_2026[[ASESOR_CRR]:[META]],2,0)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50" s="34" cm="1">
        <f t="array" ref="C50">_xlfn.XLOOKUP(1,(TablaMeta[CONCAT]=$M$3&amp;$N$3&amp;D1_MARZO_2026[[#This Row],[SUPER]])*(TablaMeta[SEGG]=D1_MARZO_2026[[#This Row],[SEGMENTO]]),TablaMeta[Meta_Asesor])</f>
        <v>44700</v>
      </c>
      <c r="D50" s="35">
        <f>IF(D1_MARZO_2026[[#This Row],[RECUPERO]]="VACACIONES","VACACIONES",IFERROR(D1_MARZO_2026[[#This Row],[RECUPERO]]/D1_MARZO_2026[[#This Row],[META]],""))</f>
        <v>0.45346756152125278</v>
      </c>
      <c r="E50" s="35" t="str">
        <f>D1_MARZO_2026[[#This Row],[SUPER]]</f>
        <v>LEONOR</v>
      </c>
      <c r="F50" t="s">
        <v>631</v>
      </c>
      <c r="G50" s="3">
        <v>20270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0.18333333333333332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LISELY</v>
      </c>
      <c r="P50" s="6">
        <f>VLOOKUP(DATA_MARZO_2026[[#This Row],[ASER_]],D1_MARZO_2026[[ASESOR_CRR]:[RECUPERO]],6,0)</f>
        <v>4180</v>
      </c>
      <c r="Q50" s="6">
        <f>VLOOKUP(DATA_MARZO_2026[[#This Row],[ASER_]],D1_MARZO_2026[[ASESOR_CRR]:[META]],2,0)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51" s="34" cm="1">
        <f t="array" ref="C51">_xlfn.XLOOKUP(1,(TablaMeta[CONCAT]=$M$3&amp;$N$3&amp;D1_MARZO_2026[[#This Row],[SUPER]])*(TablaMeta[SEGG]=D1_MARZO_2026[[#This Row],[SEGMENTO]]),TablaMeta[Meta_Asesor])</f>
        <v>44700</v>
      </c>
      <c r="D51" s="35">
        <f>IF(D1_MARZO_2026[[#This Row],[RECUPERO]]="VACACIONES","VACACIONES",IFERROR(D1_MARZO_2026[[#This Row],[RECUPERO]]/D1_MARZO_2026[[#This Row],[META]],""))</f>
        <v>0.35011185682326623</v>
      </c>
      <c r="E51" s="35" t="str">
        <f>D1_MARZO_2026[[#This Row],[SUPER]]</f>
        <v>LEONOR</v>
      </c>
      <c r="F51" t="s">
        <v>18</v>
      </c>
      <c r="G51" s="3">
        <v>15650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0.36099447513812155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LISELY</v>
      </c>
      <c r="P51" s="6">
        <f>VLOOKUP(DATA_MARZO_2026[[#This Row],[ASER_]],D1_MARZO_2026[[ASESOR_CRR]:[RECUPERO]],6,0)</f>
        <v>6534</v>
      </c>
      <c r="Q51" s="6">
        <f>VLOOKUP(DATA_MARZO_2026[[#This Row],[ASER_]],D1_MARZO_2026[[ASESOR_CRR]:[META]],2,0)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52" s="34" cm="1">
        <f t="array" ref="C52">_xlfn.XLOOKUP(1,(TablaMeta[CONCAT]=$M$3&amp;$N$3&amp;D1_MARZO_2026[[#This Row],[SUPER]])*(TablaMeta[SEGG]=D1_MARZO_2026[[#This Row],[SEGMENTO]]),TablaMeta[Meta_Asesor])</f>
        <v>44700</v>
      </c>
      <c r="D52" s="35">
        <f>IF(D1_MARZO_2026[[#This Row],[RECUPERO]]="VACACIONES","VACACIONES",IFERROR(D1_MARZO_2026[[#This Row],[RECUPERO]]/D1_MARZO_2026[[#This Row],[META]],""))</f>
        <v>0.32483221476510066</v>
      </c>
      <c r="E52" s="35" t="str">
        <f>D1_MARZO_2026[[#This Row],[SUPER]]</f>
        <v>LEONOR</v>
      </c>
      <c r="F52" t="s">
        <v>629</v>
      </c>
      <c r="G52" s="3">
        <v>14520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0.12734806629834255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LISELY</v>
      </c>
      <c r="P52" s="6">
        <f>VLOOKUP(DATA_MARZO_2026[[#This Row],[ASER_]],D1_MARZO_2026[[ASESOR_CRR]:[RECUPERO]],6,0)</f>
        <v>2305</v>
      </c>
      <c r="Q52" s="6">
        <f>VLOOKUP(DATA_MARZO_2026[[#This Row],[ASER_]],D1_MARZO_2026[[ASESOR_CRR]:[META]],2,0)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53" s="34" cm="1">
        <f t="array" ref="C53">_xlfn.XLOOKUP(1,(TablaMeta[CONCAT]=$M$3&amp;$N$3&amp;D1_MARZO_2026[[#This Row],[SUPER]])*(TablaMeta[SEGG]=D1_MARZO_2026[[#This Row],[SEGMENTO]]),TablaMeta[Meta_Asesor])</f>
        <v>44700</v>
      </c>
      <c r="D53" s="35">
        <f>IF(D1_MARZO_2026[[#This Row],[RECUPERO]]="VACACIONES","VACACIONES",IFERROR(D1_MARZO_2026[[#This Row],[RECUPERO]]/D1_MARZO_2026[[#This Row],[META]],""))</f>
        <v>0.25950782997762861</v>
      </c>
      <c r="E53" s="35" t="str">
        <f>D1_MARZO_2026[[#This Row],[SUPER]]</f>
        <v>LEONOR</v>
      </c>
      <c r="F53" t="s">
        <v>630</v>
      </c>
      <c r="G53" s="3">
        <v>11600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0.72657458563535915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LISELY</v>
      </c>
      <c r="P53" s="6">
        <f>VLOOKUP(DATA_MARZO_2026[[#This Row],[ASER_]],D1_MARZO_2026[[ASESOR_CRR]:[RECUPERO]],6,0)</f>
        <v>13151</v>
      </c>
      <c r="Q53" s="6">
        <f>VLOOKUP(DATA_MARZO_2026[[#This Row],[ASER_]],D1_MARZO_2026[[ASESOR_CRR]:[META]],2,0)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54" s="34" cm="1">
        <f t="array" ref="C54">_xlfn.XLOOKUP(1,(TablaMeta[CONCAT]=$M$3&amp;$N$3&amp;D1_MARZO_2026[[#This Row],[SUPER]])*(TablaMeta[SEGG]=D1_MARZO_2026[[#This Row],[SEGMENTO]]),TablaMeta[Meta_Asesor])</f>
        <v>44700</v>
      </c>
      <c r="D54" s="35">
        <f>IF(D1_MARZO_2026[[#This Row],[RECUPERO]]="VACACIONES","VACACIONES",IFERROR(D1_MARZO_2026[[#This Row],[RECUPERO]]/D1_MARZO_2026[[#This Row],[META]],""))</f>
        <v>0.23664429530201342</v>
      </c>
      <c r="E54" s="35" t="str">
        <f>D1_MARZO_2026[[#This Row],[SUPER]]</f>
        <v>LEONOR</v>
      </c>
      <c r="F54" t="s">
        <v>632</v>
      </c>
      <c r="G54" s="3">
        <v>10578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0.10911602209944751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LISELY</v>
      </c>
      <c r="P54" s="6">
        <f>VLOOKUP(DATA_MARZO_2026[[#This Row],[ASER_]],D1_MARZO_2026[[ASESOR_CRR]:[RECUPERO]],6,0)</f>
        <v>1975</v>
      </c>
      <c r="Q54" s="6">
        <f>VLOOKUP(DATA_MARZO_2026[[#This Row],[ASER_]],D1_MARZO_2026[[ASESOR_CRR]:[META]],2,0)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55" s="34" cm="1">
        <f t="array" ref="C55">_xlfn.XLOOKUP(1,(TablaMeta[CONCAT]=$M$3&amp;$N$3&amp;D1_MARZO_2026[[#This Row],[SUPER]])*(TablaMeta[SEGG]=D1_MARZO_2026[[#This Row],[SEGMENTO]]),TablaMeta[Meta_Asesor])</f>
        <v>44700</v>
      </c>
      <c r="D55" s="35">
        <f>IF(D1_MARZO_2026[[#This Row],[RECUPERO]]="VACACIONES","VACACIONES",IFERROR(D1_MARZO_2026[[#This Row],[RECUPERO]]/D1_MARZO_2026[[#This Row],[META]],""))</f>
        <v>0.14429530201342283</v>
      </c>
      <c r="E55" s="35" t="str">
        <f>D1_MARZO_2026[[#This Row],[SUPER]]</f>
        <v>LEONOR</v>
      </c>
      <c r="F55" t="s">
        <v>633</v>
      </c>
      <c r="G55" s="3">
        <v>6450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0.16187845303867404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LISELY</v>
      </c>
      <c r="P55" s="6">
        <f>VLOOKUP(DATA_MARZO_2026[[#This Row],[ASER_]],D1_MARZO_2026[[ASESOR_CRR]:[RECUPERO]],6,0)</f>
        <v>2930</v>
      </c>
      <c r="Q55" s="6">
        <f>VLOOKUP(DATA_MARZO_2026[[#This Row],[ASER_]],D1_MARZO_2026[[ASESOR_CRR]:[META]],2,0)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0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56" s="34" cm="1">
        <f t="array" ref="C56">_xlfn.XLOOKUP(1,(TablaMeta[CONCAT]=$M$3&amp;$N$3&amp;D1_MARZO_2026[[#This Row],[SUPER]])*(TablaMeta[SEGG]=D1_MARZO_2026[[#This Row],[SEGMENTO]]),TablaMeta[Meta_Asesor])</f>
        <v>44700</v>
      </c>
      <c r="D56" s="35">
        <f>IF(D1_MARZO_2026[[#This Row],[RECUPERO]]="VACACIONES","VACACIONES",IFERROR(D1_MARZO_2026[[#This Row],[RECUPERO]]/D1_MARZO_2026[[#This Row],[META]],""))</f>
        <v>0.13870246085011187</v>
      </c>
      <c r="E56" s="35" t="str">
        <f>D1_MARZO_2026[[#This Row],[SUPER]]</f>
        <v>LEONOR</v>
      </c>
      <c r="F56" t="s">
        <v>634</v>
      </c>
      <c r="G56" s="3">
        <v>6200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0.14088397790055249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LISELY</v>
      </c>
      <c r="P56" s="6">
        <f>VLOOKUP(DATA_MARZO_2026[[#This Row],[ASER_]],D1_MARZO_2026[[ASESOR_CRR]:[RECUPERO]],6,0)</f>
        <v>2550</v>
      </c>
      <c r="Q56" s="6">
        <f>VLOOKUP(DATA_MARZO_2026[[#This Row],[ASER_]],D1_MARZO_2026[[ASESOR_CRR]:[META]],2,0)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57" s="34" cm="1">
        <f t="array" ref="C57">_xlfn.XLOOKUP(1,(TablaMeta[CONCAT]=$M$3&amp;$N$3&amp;D1_MARZO_2026[[#This Row],[SUPER]])*(TablaMeta[SEGG]=D1_MARZO_2026[[#This Row],[SEGMENTO]]),TablaMeta[Meta_Asesor])</f>
        <v>44700</v>
      </c>
      <c r="D57" s="35">
        <f>IF(D1_MARZO_2026[[#This Row],[RECUPERO]]="VACACIONES","VACACIONES",IFERROR(D1_MARZO_2026[[#This Row],[RECUPERO]]/D1_MARZO_2026[[#This Row],[META]],""))</f>
        <v>0.10246085011185682</v>
      </c>
      <c r="E57" s="35" t="str">
        <f>D1_MARZO_2026[[#This Row],[SUPER]]</f>
        <v>LEONOR</v>
      </c>
      <c r="F57" t="s">
        <v>635</v>
      </c>
      <c r="G57" s="3">
        <v>4580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2026-05-22T22:04:33Z</dcterms:modified>
</cp:coreProperties>
</file>