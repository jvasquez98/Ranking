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queryTables/queryTable1.xml" ContentType="application/vnd.openxmlformats-officedocument.spreadsheetml.queryTable+xml"/>
  <Override PartName="/xl/tables/table82.xml" ContentType="application/vnd.openxmlformats-officedocument.spreadsheetml.table+xml"/>
  <Override PartName="/xl/queryTables/queryTable2.xml" ContentType="application/vnd.openxmlformats-officedocument.spreadsheetml.queryTable+xml"/>
  <Override PartName="/xl/tables/table8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E1FBAD79-DFF1-4D5B-85B6-B94844D366B2}" xr6:coauthVersionLast="47" xr6:coauthVersionMax="47" xr10:uidLastSave="{00000000-0000-0000-0000-000000000000}"/>
  <bookViews>
    <workbookView xWindow="-120" yWindow="-120" windowWidth="20730" windowHeight="11040" firstSheet="16" activeTab="19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37" r:id="rId19"/>
    <sheet name="JUNIO_2026" sheetId="17" r:id="rId20"/>
    <sheet name="INF" sheetId="28" r:id="rId21"/>
    <sheet name="DIM" sheetId="34" r:id="rId22"/>
    <sheet name="METAS" sheetId="22" r:id="rId23"/>
  </sheets>
  <definedNames>
    <definedName name="_xlnm._FilterDatabase" localSheetId="8" hidden="1">JULIO_2025!#REF!</definedName>
    <definedName name="DatosExternos_1" localSheetId="21" hidden="1">DIM!$A$1:$J$587</definedName>
    <definedName name="DatosExternos_1" localSheetId="20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0" i="35" l="1"/>
  <c r="AZ10" i="37"/>
  <c r="AZ11" i="37"/>
  <c r="AZ12" i="37"/>
  <c r="AZ13" i="37"/>
  <c r="AZ9" i="37"/>
  <c r="P10" i="37"/>
  <c r="P11" i="37"/>
  <c r="P12" i="37"/>
  <c r="P13" i="37"/>
  <c r="P14" i="37"/>
  <c r="P15" i="37"/>
  <c r="P16" i="37"/>
  <c r="P17" i="37"/>
  <c r="P18" i="37"/>
  <c r="P19" i="37"/>
  <c r="P20" i="37"/>
  <c r="P21" i="37"/>
  <c r="P22" i="37"/>
  <c r="P23" i="37"/>
  <c r="P24" i="37"/>
  <c r="P25" i="37"/>
  <c r="P26" i="37"/>
  <c r="P27" i="37"/>
  <c r="P28" i="37"/>
  <c r="P29" i="37"/>
  <c r="P30" i="37"/>
  <c r="P31" i="37"/>
  <c r="P32" i="37"/>
  <c r="P33" i="37"/>
  <c r="P34" i="37"/>
  <c r="P35" i="37"/>
  <c r="P36" i="37"/>
  <c r="P37" i="37"/>
  <c r="P38" i="37"/>
  <c r="P39" i="37"/>
  <c r="P40" i="37"/>
  <c r="P41" i="37"/>
  <c r="P42" i="37"/>
  <c r="P43" i="37"/>
  <c r="P44" i="37"/>
  <c r="P45" i="37"/>
  <c r="P46" i="37"/>
  <c r="P47" i="37"/>
  <c r="P48" i="37"/>
  <c r="P49" i="37"/>
  <c r="P50" i="37"/>
  <c r="P51" i="37"/>
  <c r="P52" i="37"/>
  <c r="P53" i="37"/>
  <c r="P54" i="37"/>
  <c r="P55" i="37"/>
  <c r="P56" i="37"/>
  <c r="P57" i="37"/>
  <c r="P58" i="37"/>
  <c r="P9" i="37"/>
  <c r="AY10" i="37"/>
  <c r="AY11" i="37"/>
  <c r="AY12" i="37"/>
  <c r="AY13" i="37"/>
  <c r="AY9" i="37"/>
  <c r="B55" i="37" a="1"/>
  <c r="B56" i="37" a="1"/>
  <c r="B57" i="37" a="1"/>
  <c r="B9" i="37" a="1"/>
  <c r="B10" i="37" a="1"/>
  <c r="B11" i="37" a="1"/>
  <c r="B12" i="37" a="1"/>
  <c r="B13" i="37" a="1"/>
  <c r="B14" i="37" a="1"/>
  <c r="B15" i="37" a="1"/>
  <c r="B16" i="37" a="1"/>
  <c r="B17" i="37" a="1"/>
  <c r="B18" i="37" a="1"/>
  <c r="B19" i="37" a="1"/>
  <c r="B20" i="37" a="1"/>
  <c r="B21" i="37" a="1"/>
  <c r="B22" i="37" a="1"/>
  <c r="B23" i="37" a="1"/>
  <c r="B24" i="37" a="1"/>
  <c r="B25" i="37" a="1"/>
  <c r="B26" i="37" a="1"/>
  <c r="B27" i="37" a="1"/>
  <c r="B28" i="37" a="1"/>
  <c r="B29" i="37" a="1"/>
  <c r="B30" i="37" a="1"/>
  <c r="B31" i="37" a="1"/>
  <c r="B32" i="37" a="1"/>
  <c r="B33" i="37" a="1"/>
  <c r="B34" i="37" a="1"/>
  <c r="B35" i="37" a="1"/>
  <c r="B36" i="37" a="1"/>
  <c r="B37" i="37" a="1"/>
  <c r="B38" i="37" a="1"/>
  <c r="B39" i="37" a="1"/>
  <c r="B40" i="37" a="1"/>
  <c r="B41" i="37" a="1"/>
  <c r="B42" i="37" a="1"/>
  <c r="B43" i="37" a="1"/>
  <c r="B44" i="37" a="1"/>
  <c r="B45" i="37" a="1"/>
  <c r="B46" i="37" a="1"/>
  <c r="B47" i="37" a="1"/>
  <c r="B48" i="37" a="1"/>
  <c r="B49" i="37" a="1"/>
  <c r="B50" i="37" a="1"/>
  <c r="B51" i="37" a="1"/>
  <c r="B52" i="37" a="1"/>
  <c r="B53" i="37" a="1"/>
  <c r="B54" i="37" a="1"/>
  <c r="B8" i="37" a="1"/>
  <c r="A9" i="37" a="1"/>
  <c r="A10" i="37" a="1"/>
  <c r="A11" i="37" a="1"/>
  <c r="A12" i="37" a="1"/>
  <c r="A13" i="37" a="1"/>
  <c r="A14" i="37" a="1"/>
  <c r="A15" i="37" a="1"/>
  <c r="A16" i="37" a="1"/>
  <c r="A17" i="37" a="1"/>
  <c r="A18" i="37" a="1"/>
  <c r="A19" i="37" a="1"/>
  <c r="A20" i="37" a="1"/>
  <c r="A21" i="37" a="1"/>
  <c r="A22" i="37" a="1"/>
  <c r="A23" i="37" a="1"/>
  <c r="A24" i="37" a="1"/>
  <c r="A25" i="37" a="1"/>
  <c r="A26" i="37" a="1"/>
  <c r="A27" i="37" a="1"/>
  <c r="A28" i="37" a="1"/>
  <c r="A29" i="37" a="1"/>
  <c r="A30" i="37" a="1"/>
  <c r="A31" i="37" a="1"/>
  <c r="A32" i="37" a="1"/>
  <c r="A33" i="37" a="1"/>
  <c r="A34" i="37" a="1"/>
  <c r="A35" i="37" a="1"/>
  <c r="A36" i="37" a="1"/>
  <c r="A37" i="37" a="1"/>
  <c r="A38" i="37" a="1"/>
  <c r="A39" i="37" a="1"/>
  <c r="A40" i="37" a="1"/>
  <c r="A41" i="37" a="1"/>
  <c r="A42" i="37" a="1"/>
  <c r="A43" i="37" a="1"/>
  <c r="A44" i="37" a="1"/>
  <c r="A45" i="37" a="1"/>
  <c r="A46" i="37" a="1"/>
  <c r="A47" i="37" a="1"/>
  <c r="A48" i="37" a="1"/>
  <c r="A49" i="37" a="1"/>
  <c r="A50" i="37" a="1"/>
  <c r="A51" i="37" a="1"/>
  <c r="A52" i="37" a="1"/>
  <c r="A53" i="37" a="1"/>
  <c r="A54" i="37" a="1"/>
  <c r="A8" i="37" a="1"/>
  <c r="AW19" i="37" a="1"/>
  <c r="AW53" i="37" a="1"/>
  <c r="AW54" i="37" a="1"/>
  <c r="AW55" i="37" a="1"/>
  <c r="AW56" i="37" a="1"/>
  <c r="AW57" i="37" a="1"/>
  <c r="AW58" i="37" a="1"/>
  <c r="AW10" i="37" a="1"/>
  <c r="AW11" i="37" a="1"/>
  <c r="AW12" i="37" a="1"/>
  <c r="AW13" i="37" a="1"/>
  <c r="AW14" i="37" a="1"/>
  <c r="AW15" i="37" a="1"/>
  <c r="AW16" i="37" a="1"/>
  <c r="AW17" i="37" a="1"/>
  <c r="AW18" i="37" a="1"/>
  <c r="AW20" i="37" a="1"/>
  <c r="AW21" i="37" a="1"/>
  <c r="AW22" i="37" a="1"/>
  <c r="AW23" i="37" a="1"/>
  <c r="AW24" i="37" a="1"/>
  <c r="AW25" i="37" a="1"/>
  <c r="AW26" i="37" a="1"/>
  <c r="AW27" i="37" a="1"/>
  <c r="AW28" i="37" a="1"/>
  <c r="AW29" i="37" a="1"/>
  <c r="AW30" i="37" a="1"/>
  <c r="AW31" i="37" a="1"/>
  <c r="AW32" i="37" a="1"/>
  <c r="AW33" i="37" a="1"/>
  <c r="AW34" i="37" a="1"/>
  <c r="AW35" i="37" a="1"/>
  <c r="AW36" i="37" a="1"/>
  <c r="AW37" i="37" a="1"/>
  <c r="AW38" i="37" a="1"/>
  <c r="AW39" i="37" a="1"/>
  <c r="AW40" i="37" a="1"/>
  <c r="AW41" i="37" a="1"/>
  <c r="AW42" i="37" a="1"/>
  <c r="AW43" i="37" a="1"/>
  <c r="AW44" i="37" a="1"/>
  <c r="AW45" i="37" a="1"/>
  <c r="AW46" i="37" a="1"/>
  <c r="AW47" i="37" a="1"/>
  <c r="AW48" i="37" a="1"/>
  <c r="AW49" i="37" a="1"/>
  <c r="AW50" i="37" a="1"/>
  <c r="AW51" i="37" a="1"/>
  <c r="AW52" i="37" a="1"/>
  <c r="AW9" i="37" a="1"/>
  <c r="P10" i="36"/>
  <c r="P11" i="36"/>
  <c r="P12" i="36"/>
  <c r="P13" i="36"/>
  <c r="P14" i="36"/>
  <c r="P15" i="36"/>
  <c r="P16" i="36"/>
  <c r="P17" i="36"/>
  <c r="P18" i="36"/>
  <c r="P19" i="36"/>
  <c r="P20" i="36"/>
  <c r="P21" i="36"/>
  <c r="P22" i="36"/>
  <c r="P23" i="36"/>
  <c r="P24" i="36"/>
  <c r="P25" i="36"/>
  <c r="P26" i="36"/>
  <c r="P27" i="36"/>
  <c r="P28" i="36"/>
  <c r="P29" i="36"/>
  <c r="P30" i="36"/>
  <c r="P31" i="36"/>
  <c r="P32" i="36"/>
  <c r="P33" i="36"/>
  <c r="P34" i="36"/>
  <c r="P35" i="36"/>
  <c r="P36" i="36"/>
  <c r="P37" i="36"/>
  <c r="P38" i="36"/>
  <c r="P39" i="36"/>
  <c r="P40" i="36"/>
  <c r="P41" i="36"/>
  <c r="P42" i="36"/>
  <c r="P43" i="36"/>
  <c r="P44" i="36"/>
  <c r="P45" i="36"/>
  <c r="P46" i="36"/>
  <c r="P47" i="36"/>
  <c r="P48" i="36"/>
  <c r="P49" i="36"/>
  <c r="P50" i="36"/>
  <c r="P51" i="36"/>
  <c r="P52" i="36"/>
  <c r="P53" i="36"/>
  <c r="P54" i="36"/>
  <c r="P55" i="36"/>
  <c r="P56" i="36"/>
  <c r="P57" i="36"/>
  <c r="P58" i="36"/>
  <c r="P59" i="36"/>
  <c r="P60" i="36"/>
  <c r="P9" i="36"/>
  <c r="B58" i="36" a="1"/>
  <c r="H58" i="36" a="1"/>
  <c r="I58" i="36" a="1"/>
  <c r="J58" i="36" a="1"/>
  <c r="K58" i="36" a="1"/>
  <c r="AS54" i="36" a="1"/>
  <c r="AS55" i="36" a="1"/>
  <c r="AS56" i="36" a="1"/>
  <c r="AS57" i="36" a="1"/>
  <c r="AS58" i="36" a="1"/>
  <c r="AS59" i="36" a="1"/>
  <c r="AS60" i="36" a="1"/>
  <c r="CE9" i="35"/>
  <c r="CE10" i="35"/>
  <c r="CE11" i="35"/>
  <c r="CE12" i="35"/>
  <c r="CE13" i="35"/>
  <c r="G3" i="35"/>
  <c r="G4" i="35"/>
  <c r="G5" i="35"/>
  <c r="G6" i="35"/>
  <c r="P10" i="35"/>
  <c r="P11" i="35"/>
  <c r="P12" i="35"/>
  <c r="P13" i="35"/>
  <c r="P14" i="35"/>
  <c r="P15" i="35"/>
  <c r="P16" i="35"/>
  <c r="P17" i="35"/>
  <c r="P18" i="35"/>
  <c r="P19" i="35"/>
  <c r="P20" i="35"/>
  <c r="P21" i="35"/>
  <c r="P22" i="35"/>
  <c r="P23" i="35"/>
  <c r="P24" i="35"/>
  <c r="P25" i="35"/>
  <c r="P26" i="35"/>
  <c r="P27" i="35"/>
  <c r="P28" i="35"/>
  <c r="P29" i="35"/>
  <c r="P30" i="35"/>
  <c r="P31" i="35"/>
  <c r="P32" i="35"/>
  <c r="P33" i="35"/>
  <c r="P34" i="35"/>
  <c r="P35" i="35"/>
  <c r="P36" i="35"/>
  <c r="P37" i="35"/>
  <c r="P38" i="35"/>
  <c r="P39" i="35"/>
  <c r="P40" i="35"/>
  <c r="P41" i="35"/>
  <c r="P42" i="35"/>
  <c r="P43" i="35"/>
  <c r="P44" i="35"/>
  <c r="P45" i="35"/>
  <c r="P46" i="35"/>
  <c r="P47" i="35"/>
  <c r="P48" i="35"/>
  <c r="P49" i="35"/>
  <c r="P50" i="35"/>
  <c r="P51" i="35"/>
  <c r="P52" i="35"/>
  <c r="P53" i="35"/>
  <c r="P54" i="35"/>
  <c r="P55" i="35"/>
  <c r="P56" i="35"/>
  <c r="P57" i="35"/>
  <c r="P58" i="35"/>
  <c r="P59" i="35"/>
  <c r="P60" i="35"/>
  <c r="P61" i="35"/>
  <c r="P9" i="35"/>
  <c r="AV57" i="35" a="1"/>
  <c r="AV58" i="35" a="1"/>
  <c r="AV59" i="35" a="1"/>
  <c r="AV60" i="35" a="1"/>
  <c r="AV61" i="35" a="1"/>
  <c r="B55" i="17" a="1"/>
  <c r="B54" i="17" a="1"/>
  <c r="A209" i="22"/>
  <c r="A210" i="22"/>
  <c r="A211" i="22"/>
  <c r="A212" i="22"/>
  <c r="A213" i="22"/>
  <c r="A214" i="22"/>
  <c r="B53" i="17" a="1"/>
  <c r="B52" i="17" a="1"/>
  <c r="B51" i="17" a="1"/>
  <c r="B50" i="17" a="1"/>
  <c r="A6" i="30"/>
  <c r="B38" i="17" a="1"/>
  <c r="B3" i="17" a="1"/>
  <c r="B4" i="17" a="1"/>
  <c r="B5" i="17" a="1"/>
  <c r="B6" i="17" a="1"/>
  <c r="B7" i="17" a="1"/>
  <c r="B8" i="17" a="1"/>
  <c r="B9" i="17" a="1"/>
  <c r="B10" i="17" a="1"/>
  <c r="B11" i="17" a="1"/>
  <c r="B12" i="17" a="1"/>
  <c r="B13" i="17" a="1"/>
  <c r="B14" i="17" a="1"/>
  <c r="B15" i="17" a="1"/>
  <c r="B16" i="17" a="1"/>
  <c r="B17" i="17" a="1"/>
  <c r="B18" i="17" a="1"/>
  <c r="B19" i="17" a="1"/>
  <c r="B20" i="17" a="1"/>
  <c r="B21" i="17" a="1"/>
  <c r="B22" i="17" a="1"/>
  <c r="B23" i="17" a="1"/>
  <c r="B24" i="17" a="1"/>
  <c r="B25" i="17" a="1"/>
  <c r="B26" i="17" a="1"/>
  <c r="B27" i="17" a="1"/>
  <c r="B28" i="17" a="1"/>
  <c r="B29" i="17" a="1"/>
  <c r="B30" i="17" a="1"/>
  <c r="B31" i="17" a="1"/>
  <c r="B32" i="17" a="1"/>
  <c r="B33" i="17" a="1"/>
  <c r="B34" i="17" a="1"/>
  <c r="B35" i="17" a="1"/>
  <c r="B36" i="17" a="1"/>
  <c r="B37" i="17" a="1"/>
  <c r="B39" i="17" a="1"/>
  <c r="B40" i="17" a="1"/>
  <c r="B41" i="17" a="1"/>
  <c r="B42" i="17" a="1"/>
  <c r="B43" i="17" a="1"/>
  <c r="B44" i="17" a="1"/>
  <c r="B45" i="17" a="1"/>
  <c r="K45" i="17" s="1" a="1"/>
  <c r="B46" i="17" a="1"/>
  <c r="B47" i="17" a="1"/>
  <c r="B48" i="17" a="1"/>
  <c r="B49" i="17" a="1"/>
  <c r="AX10" i="30" a="1"/>
  <c r="AX11" i="30" a="1"/>
  <c r="AX12" i="30" a="1"/>
  <c r="AX13" i="30" a="1"/>
  <c r="AX14" i="30" a="1"/>
  <c r="AX15" i="30" a="1"/>
  <c r="AX16" i="30" a="1"/>
  <c r="AX17" i="30" a="1"/>
  <c r="AX18" i="30" a="1"/>
  <c r="AX19" i="30" a="1"/>
  <c r="AX20" i="30" a="1"/>
  <c r="AX21" i="30" a="1"/>
  <c r="AX22" i="30" a="1"/>
  <c r="AX23" i="30" a="1"/>
  <c r="AX24" i="30" a="1"/>
  <c r="AX25" i="30" a="1"/>
  <c r="AX26" i="30" a="1"/>
  <c r="AX27" i="30" a="1"/>
  <c r="AX28" i="30" a="1"/>
  <c r="AX29" i="30" a="1"/>
  <c r="AX30" i="30" a="1"/>
  <c r="AX31" i="30" a="1"/>
  <c r="AX32" i="30" a="1"/>
  <c r="AX33" i="30" a="1"/>
  <c r="AX34" i="30" a="1"/>
  <c r="AX35" i="30" a="1"/>
  <c r="AX36" i="30" a="1"/>
  <c r="AX37" i="30" a="1"/>
  <c r="AX38" i="30" a="1"/>
  <c r="AX39" i="30" a="1"/>
  <c r="AX40" i="30" a="1"/>
  <c r="AX41" i="30" a="1"/>
  <c r="AX42" i="30" a="1"/>
  <c r="AX43" i="30" a="1"/>
  <c r="AX44" i="30" a="1"/>
  <c r="AX45" i="30" a="1"/>
  <c r="AX46" i="30" a="1"/>
  <c r="AX47" i="30" a="1"/>
  <c r="AX48" i="30" a="1"/>
  <c r="AX49" i="30" a="1"/>
  <c r="AX50" i="30" a="1"/>
  <c r="AX51" i="30" a="1"/>
  <c r="AX52" i="30" a="1"/>
  <c r="AX53" i="30" a="1"/>
  <c r="AX54" i="30" a="1"/>
  <c r="AX55" i="30" a="1"/>
  <c r="AX56" i="30" a="1"/>
  <c r="AX57" i="30" a="1"/>
  <c r="AX58" i="30" a="1"/>
  <c r="AX59" i="30" a="1"/>
  <c r="AX9" i="30" a="1"/>
  <c r="AX9" i="33" a="1"/>
  <c r="AX10" i="33" a="1"/>
  <c r="AX11" i="33" a="1"/>
  <c r="AX12" i="33" a="1"/>
  <c r="AX13" i="33" a="1"/>
  <c r="AX14" i="33" a="1"/>
  <c r="AX15" i="33" a="1"/>
  <c r="AX16" i="33" a="1"/>
  <c r="AX17" i="33" a="1"/>
  <c r="AX18" i="33" a="1"/>
  <c r="AX19" i="33" a="1"/>
  <c r="AX20" i="33" a="1"/>
  <c r="AX21" i="33" a="1"/>
  <c r="AX22" i="33" a="1"/>
  <c r="AX23" i="33" a="1"/>
  <c r="AX24" i="33" a="1"/>
  <c r="AX25" i="33" a="1"/>
  <c r="AX26" i="33" a="1"/>
  <c r="AX27" i="33" a="1"/>
  <c r="AX28" i="33" a="1"/>
  <c r="AX29" i="33" a="1"/>
  <c r="AX30" i="33" a="1"/>
  <c r="AX31" i="33" a="1"/>
  <c r="AX32" i="33" a="1"/>
  <c r="AX33" i="33" a="1"/>
  <c r="AX34" i="33" a="1"/>
  <c r="AX35" i="33" a="1"/>
  <c r="AX36" i="33" a="1"/>
  <c r="AX37" i="33" a="1"/>
  <c r="AX38" i="33" a="1"/>
  <c r="AX39" i="33" a="1"/>
  <c r="AX40" i="33" a="1"/>
  <c r="AX41" i="33" a="1"/>
  <c r="AX42" i="33" a="1"/>
  <c r="AX43" i="33" a="1"/>
  <c r="AX44" i="33" a="1"/>
  <c r="AX45" i="33" a="1"/>
  <c r="AX46" i="33" a="1"/>
  <c r="AX47" i="33" a="1"/>
  <c r="AX48" i="33" a="1"/>
  <c r="AX49" i="33" a="1"/>
  <c r="AX50" i="33" a="1"/>
  <c r="AX51" i="33" a="1"/>
  <c r="AX52" i="33" a="1"/>
  <c r="AX53" i="33" a="1"/>
  <c r="AX54" i="33" a="1"/>
  <c r="AX55" i="33" a="1"/>
  <c r="AX56" i="33" a="1"/>
  <c r="AX57" i="33" a="1"/>
  <c r="AX58" i="33" a="1"/>
  <c r="AX59" i="33" a="1"/>
  <c r="AV9" i="35" a="1"/>
  <c r="AV10" i="35" a="1"/>
  <c r="AV11" i="35" a="1"/>
  <c r="AV12" i="35" a="1"/>
  <c r="AV13" i="35" a="1"/>
  <c r="AV14" i="35" a="1"/>
  <c r="AV15" i="35" a="1"/>
  <c r="AV16" i="35" a="1"/>
  <c r="AV17" i="35" a="1"/>
  <c r="AV18" i="35" a="1"/>
  <c r="AV19" i="35" a="1"/>
  <c r="AV20" i="35" a="1"/>
  <c r="AV21" i="35" a="1"/>
  <c r="AV22" i="35" a="1"/>
  <c r="AV23" i="35" a="1"/>
  <c r="AV24" i="35" a="1"/>
  <c r="AV25" i="35" a="1"/>
  <c r="AV26" i="35" a="1"/>
  <c r="AV27" i="35" a="1"/>
  <c r="AV28" i="35" a="1"/>
  <c r="AV29" i="35" a="1"/>
  <c r="AV30" i="35" a="1"/>
  <c r="AV31" i="35" a="1"/>
  <c r="AV32" i="35" a="1"/>
  <c r="AV33" i="35" a="1"/>
  <c r="AV34" i="35" a="1"/>
  <c r="AV35" i="35" a="1"/>
  <c r="AV36" i="35" a="1"/>
  <c r="AV37" i="35" a="1"/>
  <c r="AV38" i="35" a="1"/>
  <c r="AV39" i="35" a="1"/>
  <c r="AV40" i="35" a="1"/>
  <c r="AV41" i="35" a="1"/>
  <c r="AV42" i="35" a="1"/>
  <c r="AV43" i="35" a="1"/>
  <c r="AV44" i="35" a="1"/>
  <c r="AV45" i="35" a="1"/>
  <c r="AV46" i="35" a="1"/>
  <c r="AV47" i="35" a="1"/>
  <c r="AV48" i="35" a="1"/>
  <c r="AV49" i="35" a="1"/>
  <c r="AV50" i="35" a="1"/>
  <c r="AV51" i="35" a="1"/>
  <c r="AV52" i="35" a="1"/>
  <c r="AV53" i="35" a="1"/>
  <c r="AV54" i="35" a="1"/>
  <c r="AV55" i="35" a="1"/>
  <c r="AV56" i="35" a="1"/>
  <c r="AS9" i="36" a="1"/>
  <c r="AS10" i="36" a="1"/>
  <c r="AS11" i="36" a="1"/>
  <c r="AS12" i="36" a="1"/>
  <c r="AS13" i="36" a="1"/>
  <c r="AS14" i="36" a="1"/>
  <c r="AS15" i="36" a="1"/>
  <c r="AS16" i="36" a="1"/>
  <c r="AS17" i="36" a="1"/>
  <c r="AS18" i="36" a="1"/>
  <c r="AS19" i="36" a="1"/>
  <c r="AS20" i="36" a="1"/>
  <c r="AS21" i="36" a="1"/>
  <c r="AS22" i="36" a="1"/>
  <c r="AS23" i="36" a="1"/>
  <c r="AS24" i="36" a="1"/>
  <c r="AS25" i="36" a="1"/>
  <c r="AS26" i="36" a="1"/>
  <c r="AS27" i="36" a="1"/>
  <c r="AS28" i="36" a="1"/>
  <c r="AS29" i="36" a="1"/>
  <c r="AS30" i="36" a="1"/>
  <c r="AS31" i="36" a="1"/>
  <c r="AS32" i="36" a="1"/>
  <c r="AS33" i="36" a="1"/>
  <c r="AS34" i="36" a="1"/>
  <c r="AS35" i="36" a="1"/>
  <c r="AS36" i="36" a="1"/>
  <c r="AS37" i="36" a="1"/>
  <c r="AS38" i="36" a="1"/>
  <c r="AS39" i="36" a="1"/>
  <c r="AS40" i="36" a="1"/>
  <c r="AS41" i="36" a="1"/>
  <c r="AS42" i="36" a="1"/>
  <c r="AS43" i="36" a="1"/>
  <c r="AS44" i="36" a="1"/>
  <c r="AS45" i="36" a="1"/>
  <c r="AS46" i="36" a="1"/>
  <c r="AS47" i="36" a="1"/>
  <c r="AS48" i="36" a="1"/>
  <c r="AS49" i="36" a="1"/>
  <c r="AS50" i="36" a="1"/>
  <c r="AS51" i="36" a="1"/>
  <c r="AS52" i="36" a="1"/>
  <c r="AS53" i="36" a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3" i="36" a="1"/>
  <c r="B54" i="36" a="1"/>
  <c r="B55" i="36" a="1"/>
  <c r="B56" i="36" a="1"/>
  <c r="B57" i="36" a="1"/>
  <c r="B27" i="36" a="1"/>
  <c r="B6" i="36" a="1"/>
  <c r="B5" i="36" a="1"/>
  <c r="B4" i="36" a="1"/>
  <c r="B3" i="36" a="1"/>
  <c r="A197" i="22"/>
  <c r="A198" i="22"/>
  <c r="A199" i="22"/>
  <c r="A200" i="22"/>
  <c r="A201" i="22"/>
  <c r="A202" i="22"/>
  <c r="B51" i="36" a="1"/>
  <c r="B50" i="36" a="1"/>
  <c r="B49" i="36" a="1"/>
  <c r="B48" i="36" a="1"/>
  <c r="B47" i="36" a="1"/>
  <c r="B46" i="36" a="1"/>
  <c r="B45" i="36" a="1"/>
  <c r="B44" i="36" a="1"/>
  <c r="B43" i="36" a="1"/>
  <c r="B42" i="36" a="1"/>
  <c r="B41" i="36" a="1"/>
  <c r="B40" i="36" a="1"/>
  <c r="B39" i="36" a="1"/>
  <c r="B38" i="36" a="1"/>
  <c r="B37" i="36" a="1"/>
  <c r="B36" i="36" a="1"/>
  <c r="B35" i="36" a="1"/>
  <c r="B34" i="36" a="1"/>
  <c r="B33" i="36" a="1"/>
  <c r="B32" i="36" a="1"/>
  <c r="B31" i="36" a="1"/>
  <c r="B30" i="36" a="1"/>
  <c r="B29" i="36" a="1"/>
  <c r="B28" i="36" a="1"/>
  <c r="B26" i="36" a="1"/>
  <c r="B25" i="36" a="1"/>
  <c r="B24" i="36" a="1"/>
  <c r="B23" i="36" a="1"/>
  <c r="B22" i="36" a="1"/>
  <c r="B21" i="36" a="1"/>
  <c r="B20" i="36" a="1"/>
  <c r="B19" i="36" a="1"/>
  <c r="B18" i="36" a="1"/>
  <c r="B17" i="36" a="1"/>
  <c r="B16" i="36" a="1"/>
  <c r="B15" i="36" a="1"/>
  <c r="B14" i="36" a="1"/>
  <c r="BY13" i="36" a="1"/>
  <c r="AV13" i="36" s="1"/>
  <c r="B13" i="36" a="1"/>
  <c r="BY12" i="36" a="1"/>
  <c r="AV12" i="36" s="1"/>
  <c r="B12" i="36" a="1"/>
  <c r="BY11" i="36" a="1"/>
  <c r="AV11" i="36" s="1"/>
  <c r="B11" i="36" a="1"/>
  <c r="BY10" i="36" a="1"/>
  <c r="AV10" i="36" s="1"/>
  <c r="B10" i="36" a="1"/>
  <c r="BY9" i="36" a="1"/>
  <c r="AV9" i="36" s="1"/>
  <c r="B9" i="36" a="1"/>
  <c r="B8" i="36" a="1"/>
  <c r="B7" i="36" a="1"/>
  <c r="B59" i="35" a="1"/>
  <c r="B58" i="35" a="1"/>
  <c r="B57" i="35" a="1"/>
  <c r="B56" i="35" a="1"/>
  <c r="B55" i="35" a="1"/>
  <c r="B54" i="35" a="1"/>
  <c r="B53" i="35" a="1"/>
  <c r="B52" i="35" a="1"/>
  <c r="B51" i="35" a="1"/>
  <c r="B50" i="35" a="1"/>
  <c r="B49" i="35" a="1"/>
  <c r="B48" i="35" a="1"/>
  <c r="B47" i="35" a="1"/>
  <c r="B46" i="35" a="1"/>
  <c r="B45" i="35" a="1"/>
  <c r="B44" i="35" a="1"/>
  <c r="B43" i="35" a="1"/>
  <c r="B42" i="35" a="1"/>
  <c r="B41" i="35" a="1"/>
  <c r="B40" i="35" a="1"/>
  <c r="B39" i="35" a="1"/>
  <c r="B38" i="35" a="1"/>
  <c r="B37" i="35" a="1"/>
  <c r="B36" i="35" a="1"/>
  <c r="B35" i="35" a="1"/>
  <c r="B34" i="35" a="1"/>
  <c r="B33" i="35" a="1"/>
  <c r="B32" i="35" a="1"/>
  <c r="B31" i="35" a="1"/>
  <c r="B30" i="35" a="1"/>
  <c r="B29" i="35" a="1"/>
  <c r="B28" i="35" a="1"/>
  <c r="B27" i="35" a="1"/>
  <c r="B26" i="35" a="1"/>
  <c r="B25" i="35" a="1"/>
  <c r="B24" i="35" a="1"/>
  <c r="B23" i="35" a="1"/>
  <c r="B22" i="35" a="1"/>
  <c r="B21" i="35" a="1"/>
  <c r="B20" i="35" a="1"/>
  <c r="B19" i="35" a="1"/>
  <c r="B18" i="35" a="1"/>
  <c r="B17" i="35" a="1"/>
  <c r="B16" i="35" a="1"/>
  <c r="B15" i="35" a="1"/>
  <c r="B14" i="35" a="1"/>
  <c r="B13" i="35" a="1"/>
  <c r="B12" i="35" a="1"/>
  <c r="B11" i="35" a="1"/>
  <c r="B10" i="35" a="1"/>
  <c r="B9" i="35" a="1"/>
  <c r="B8" i="35" a="1"/>
  <c r="B7" i="35" a="1"/>
  <c r="B6" i="35" a="1"/>
  <c r="B5" i="35" a="1"/>
  <c r="B4" i="35" a="1"/>
  <c r="B3" i="35" a="1"/>
  <c r="BA10" i="37" l="1"/>
  <c r="BA11" i="37"/>
  <c r="BA12" i="37"/>
  <c r="BA13" i="37"/>
  <c r="BA9" i="37"/>
  <c r="H55" i="37" a="1"/>
  <c r="I55" i="37" a="1"/>
  <c r="J55" i="37" a="1"/>
  <c r="K55" i="37" a="1"/>
  <c r="H56" i="37" a="1"/>
  <c r="I56" i="37" a="1"/>
  <c r="J56" i="37" a="1"/>
  <c r="K56" i="37" a="1"/>
  <c r="H57" i="37" a="1"/>
  <c r="I57" i="37" a="1"/>
  <c r="J57" i="37" a="1"/>
  <c r="K57" i="37" a="1"/>
  <c r="K9" i="37" a="1"/>
  <c r="K10" i="37" a="1"/>
  <c r="K11" i="37" a="1"/>
  <c r="K12" i="37" a="1"/>
  <c r="K13" i="37" a="1"/>
  <c r="K14" i="37" a="1"/>
  <c r="K15" i="37" a="1"/>
  <c r="K16" i="37" a="1"/>
  <c r="K17" i="37" a="1"/>
  <c r="K18" i="37" a="1"/>
  <c r="K19" i="37" a="1"/>
  <c r="K20" i="37" a="1"/>
  <c r="K21" i="37" a="1"/>
  <c r="K22" i="37" a="1"/>
  <c r="K23" i="37" a="1"/>
  <c r="K24" i="37" a="1"/>
  <c r="K25" i="37" a="1"/>
  <c r="K26" i="37" a="1"/>
  <c r="K27" i="37" a="1"/>
  <c r="K28" i="37" a="1"/>
  <c r="K29" i="37" a="1"/>
  <c r="K30" i="37" a="1"/>
  <c r="K31" i="37" a="1"/>
  <c r="K32" i="37" a="1"/>
  <c r="K33" i="37" a="1"/>
  <c r="K34" i="37" a="1"/>
  <c r="K35" i="37" a="1"/>
  <c r="K36" i="37" a="1"/>
  <c r="K37" i="37" a="1"/>
  <c r="K38" i="37" a="1"/>
  <c r="K39" i="37" a="1"/>
  <c r="K40" i="37" a="1"/>
  <c r="K41" i="37" a="1"/>
  <c r="K42" i="37" a="1"/>
  <c r="K43" i="37" a="1"/>
  <c r="K44" i="37" a="1"/>
  <c r="K45" i="37" a="1"/>
  <c r="K46" i="37" a="1"/>
  <c r="K47" i="37" a="1"/>
  <c r="K48" i="37" a="1"/>
  <c r="K49" i="37" a="1"/>
  <c r="K50" i="37" a="1"/>
  <c r="K51" i="37" a="1"/>
  <c r="K52" i="37" a="1"/>
  <c r="K53" i="37" a="1"/>
  <c r="K54" i="37" a="1"/>
  <c r="K8" i="37" a="1"/>
  <c r="J9" i="37" a="1"/>
  <c r="J10" i="37" a="1"/>
  <c r="J11" i="37" a="1"/>
  <c r="J12" i="37" a="1"/>
  <c r="J13" i="37" a="1"/>
  <c r="J14" i="37" a="1"/>
  <c r="J15" i="37" a="1"/>
  <c r="J16" i="37" a="1"/>
  <c r="J17" i="37" a="1"/>
  <c r="J18" i="37" a="1"/>
  <c r="J19" i="37" a="1"/>
  <c r="J20" i="37" a="1"/>
  <c r="J21" i="37" a="1"/>
  <c r="J22" i="37" a="1"/>
  <c r="J23" i="37" a="1"/>
  <c r="J24" i="37" a="1"/>
  <c r="J25" i="37" a="1"/>
  <c r="J26" i="37" a="1"/>
  <c r="J27" i="37" a="1"/>
  <c r="J28" i="37" a="1"/>
  <c r="J29" i="37" a="1"/>
  <c r="J30" i="37" a="1"/>
  <c r="J31" i="37" a="1"/>
  <c r="J32" i="37" a="1"/>
  <c r="J33" i="37" a="1"/>
  <c r="J34" i="37" a="1"/>
  <c r="J35" i="37" a="1"/>
  <c r="J36" i="37" a="1"/>
  <c r="J37" i="37" a="1"/>
  <c r="J38" i="37" a="1"/>
  <c r="J39" i="37" a="1"/>
  <c r="J40" i="37" a="1"/>
  <c r="J41" i="37" a="1"/>
  <c r="J42" i="37" a="1"/>
  <c r="J43" i="37" a="1"/>
  <c r="J44" i="37" a="1"/>
  <c r="J45" i="37" a="1"/>
  <c r="J46" i="37" a="1"/>
  <c r="J47" i="37" a="1"/>
  <c r="J48" i="37" a="1"/>
  <c r="J49" i="37" a="1"/>
  <c r="J50" i="37" a="1"/>
  <c r="J51" i="37" a="1"/>
  <c r="J52" i="37" a="1"/>
  <c r="J53" i="37" a="1"/>
  <c r="J54" i="37" a="1"/>
  <c r="J8" i="37" a="1"/>
  <c r="I9" i="37" a="1"/>
  <c r="I10" i="37" a="1"/>
  <c r="I11" i="37" a="1"/>
  <c r="I12" i="37" a="1"/>
  <c r="I13" i="37" a="1"/>
  <c r="I14" i="37" a="1"/>
  <c r="I15" i="37" a="1"/>
  <c r="I16" i="37" a="1"/>
  <c r="I17" i="37" a="1"/>
  <c r="I18" i="37" a="1"/>
  <c r="I19" i="37" a="1"/>
  <c r="I20" i="37" a="1"/>
  <c r="I21" i="37" a="1"/>
  <c r="I22" i="37" a="1"/>
  <c r="I23" i="37" a="1"/>
  <c r="I24" i="37" a="1"/>
  <c r="I25" i="37" a="1"/>
  <c r="I26" i="37" a="1"/>
  <c r="I27" i="37" a="1"/>
  <c r="I28" i="37" a="1"/>
  <c r="I29" i="37" a="1"/>
  <c r="I30" i="37" a="1"/>
  <c r="I31" i="37" a="1"/>
  <c r="I32" i="37" a="1"/>
  <c r="I33" i="37" a="1"/>
  <c r="I34" i="37" a="1"/>
  <c r="I35" i="37" a="1"/>
  <c r="I36" i="37" a="1"/>
  <c r="I37" i="37" a="1"/>
  <c r="I38" i="37" a="1"/>
  <c r="I39" i="37" a="1"/>
  <c r="I40" i="37" a="1"/>
  <c r="I41" i="37" a="1"/>
  <c r="I42" i="37" a="1"/>
  <c r="I43" i="37" a="1"/>
  <c r="I44" i="37" a="1"/>
  <c r="I45" i="37" a="1"/>
  <c r="I46" i="37" a="1"/>
  <c r="I47" i="37" a="1"/>
  <c r="I48" i="37" a="1"/>
  <c r="I49" i="37" a="1"/>
  <c r="I50" i="37" a="1"/>
  <c r="I51" i="37" a="1"/>
  <c r="I52" i="37" a="1"/>
  <c r="I53" i="37" a="1"/>
  <c r="I54" i="37" a="1"/>
  <c r="I8" i="37" a="1"/>
  <c r="H9" i="37" a="1"/>
  <c r="H10" i="37" a="1"/>
  <c r="H11" i="37" a="1"/>
  <c r="H12" i="37" a="1"/>
  <c r="H13" i="37" a="1"/>
  <c r="H14" i="37" a="1"/>
  <c r="H15" i="37" a="1"/>
  <c r="H16" i="37" a="1"/>
  <c r="H17" i="37" a="1"/>
  <c r="H18" i="37" a="1"/>
  <c r="H19" i="37" a="1"/>
  <c r="H20" i="37" a="1"/>
  <c r="H21" i="37" a="1"/>
  <c r="H22" i="37" a="1"/>
  <c r="H23" i="37" a="1"/>
  <c r="H24" i="37" a="1"/>
  <c r="H25" i="37" a="1"/>
  <c r="H26" i="37" a="1"/>
  <c r="H27" i="37" a="1"/>
  <c r="H28" i="37" a="1"/>
  <c r="H29" i="37" a="1"/>
  <c r="H30" i="37" a="1"/>
  <c r="H31" i="37" a="1"/>
  <c r="H32" i="37" a="1"/>
  <c r="H33" i="37" a="1"/>
  <c r="H34" i="37" a="1"/>
  <c r="H35" i="37" a="1"/>
  <c r="H36" i="37" a="1"/>
  <c r="H37" i="37" a="1"/>
  <c r="H38" i="37" a="1"/>
  <c r="H39" i="37" a="1"/>
  <c r="H40" i="37" a="1"/>
  <c r="H41" i="37" a="1"/>
  <c r="H42" i="37" a="1"/>
  <c r="H43" i="37" a="1"/>
  <c r="H44" i="37" a="1"/>
  <c r="H45" i="37" a="1"/>
  <c r="H46" i="37" a="1"/>
  <c r="H47" i="37" a="1"/>
  <c r="H48" i="37" a="1"/>
  <c r="H49" i="37" a="1"/>
  <c r="H50" i="37" a="1"/>
  <c r="H51" i="37" a="1"/>
  <c r="H52" i="37" a="1"/>
  <c r="H53" i="37" a="1"/>
  <c r="H54" i="37" a="1"/>
  <c r="H8" i="37" a="1"/>
  <c r="E9" i="37"/>
  <c r="E10" i="37"/>
  <c r="E11" i="37"/>
  <c r="E12" i="37"/>
  <c r="O45" i="37" s="1"/>
  <c r="E13" i="37"/>
  <c r="O37" i="37" s="1"/>
  <c r="E14" i="37"/>
  <c r="O31" i="37" s="1"/>
  <c r="E15" i="37"/>
  <c r="O38" i="37" s="1"/>
  <c r="E16" i="37"/>
  <c r="O43" i="37" s="1"/>
  <c r="E17" i="37"/>
  <c r="O51" i="37" s="1"/>
  <c r="E18" i="37"/>
  <c r="E19" i="37"/>
  <c r="O48" i="37" s="1"/>
  <c r="E20" i="37"/>
  <c r="O41" i="37" s="1"/>
  <c r="E21" i="37"/>
  <c r="E22" i="37"/>
  <c r="E23" i="37"/>
  <c r="E24" i="37"/>
  <c r="O49" i="37" s="1"/>
  <c r="E25" i="37"/>
  <c r="O44" i="37" s="1"/>
  <c r="E26" i="37"/>
  <c r="O34" i="37" s="1"/>
  <c r="E27" i="37"/>
  <c r="E28" i="37"/>
  <c r="O36" i="37" s="1"/>
  <c r="E29" i="37"/>
  <c r="O42" i="37" s="1"/>
  <c r="E30" i="37"/>
  <c r="E31" i="37"/>
  <c r="O30" i="37" s="1"/>
  <c r="E32" i="37"/>
  <c r="E33" i="37"/>
  <c r="O47" i="37" s="1"/>
  <c r="E34" i="37"/>
  <c r="E35" i="37"/>
  <c r="O39" i="37" s="1"/>
  <c r="E36" i="37"/>
  <c r="E37" i="37"/>
  <c r="O35" i="37" s="1"/>
  <c r="E38" i="37"/>
  <c r="O50" i="37" s="1"/>
  <c r="E39" i="37"/>
  <c r="O40" i="37" s="1"/>
  <c r="E40" i="37"/>
  <c r="E41" i="37"/>
  <c r="E42" i="37"/>
  <c r="E43" i="37"/>
  <c r="E44" i="37"/>
  <c r="O32" i="37" s="1"/>
  <c r="E45" i="37"/>
  <c r="E46" i="37"/>
  <c r="O52" i="37" s="1"/>
  <c r="E47" i="37"/>
  <c r="E48" i="37"/>
  <c r="O9" i="37" s="1"/>
  <c r="E49" i="37"/>
  <c r="E50" i="37"/>
  <c r="E51" i="37"/>
  <c r="E52" i="37"/>
  <c r="E53" i="37"/>
  <c r="O33" i="37" s="1"/>
  <c r="E54" i="37"/>
  <c r="O46" i="37" s="1"/>
  <c r="E8" i="37"/>
  <c r="O29" i="37" s="1"/>
  <c r="A55" i="37" a="1"/>
  <c r="A56" i="37" a="1"/>
  <c r="A57" i="37" a="1"/>
  <c r="A58" i="36" a="1"/>
  <c r="AY13" i="35"/>
  <c r="AY12" i="35"/>
  <c r="AY11" i="35"/>
  <c r="AY9" i="35"/>
  <c r="P57" i="17"/>
  <c r="H55" i="17" a="1"/>
  <c r="I55" i="17" a="1"/>
  <c r="J55" i="17" a="1"/>
  <c r="K55" i="17" a="1"/>
  <c r="A55" i="17" a="1"/>
  <c r="P50" i="17"/>
  <c r="P51" i="17"/>
  <c r="P52" i="17"/>
  <c r="P53" i="17"/>
  <c r="P54" i="17"/>
  <c r="P55" i="17"/>
  <c r="P56" i="17"/>
  <c r="H54" i="17" a="1"/>
  <c r="I54" i="17" a="1"/>
  <c r="J54" i="17" a="1"/>
  <c r="K54" i="17" a="1"/>
  <c r="A54" i="17" a="1"/>
  <c r="H53" i="17" a="1"/>
  <c r="J53" i="17" a="1"/>
  <c r="K53" i="17" a="1"/>
  <c r="I53" i="17" a="1"/>
  <c r="A53" i="17" a="1"/>
  <c r="K52" i="17" a="1"/>
  <c r="I52" i="17" a="1"/>
  <c r="H52" i="17" a="1"/>
  <c r="J52" i="17" a="1"/>
  <c r="A52" i="17" a="1"/>
  <c r="I51" i="17" a="1"/>
  <c r="K51" i="17" a="1"/>
  <c r="J51" i="17" a="1"/>
  <c r="A51" i="17" a="1"/>
  <c r="H51" i="17" a="1"/>
  <c r="K50" i="17" a="1"/>
  <c r="H50" i="17" a="1"/>
  <c r="I50" i="17" a="1"/>
  <c r="J50" i="17" a="1"/>
  <c r="A50" i="17" a="1"/>
  <c r="J38" i="17" a="1"/>
  <c r="A38" i="17" a="1"/>
  <c r="K38" i="17" a="1"/>
  <c r="I38" i="17" a="1"/>
  <c r="H38" i="17" a="1"/>
  <c r="P49" i="17"/>
  <c r="K49" i="17" a="1"/>
  <c r="J49" i="17" a="1"/>
  <c r="I49" i="17" a="1"/>
  <c r="H49" i="17" a="1"/>
  <c r="A49" i="17" a="1"/>
  <c r="E49" i="17" s="1"/>
  <c r="P48" i="17"/>
  <c r="H57" i="36" a="1"/>
  <c r="H56" i="36" a="1"/>
  <c r="H55" i="36" a="1"/>
  <c r="A52" i="36" a="1"/>
  <c r="I52" i="36" a="1"/>
  <c r="J52" i="36" a="1"/>
  <c r="K52" i="36" a="1"/>
  <c r="A53" i="36" a="1"/>
  <c r="I53" i="36" a="1"/>
  <c r="J53" i="36" a="1"/>
  <c r="K53" i="36" a="1"/>
  <c r="H54" i="36" a="1"/>
  <c r="K54" i="36" a="1"/>
  <c r="J54" i="36" a="1"/>
  <c r="I54" i="36" a="1"/>
  <c r="A54" i="36" a="1"/>
  <c r="K55" i="36" a="1"/>
  <c r="J55" i="36" a="1"/>
  <c r="I55" i="36" a="1"/>
  <c r="A55" i="36" a="1"/>
  <c r="A56" i="36" a="1"/>
  <c r="I56" i="36" a="1"/>
  <c r="J56" i="36" a="1"/>
  <c r="K56" i="36" a="1"/>
  <c r="A57" i="36" a="1"/>
  <c r="E57" i="36" s="1"/>
  <c r="I57" i="36" a="1"/>
  <c r="J57" i="36" a="1"/>
  <c r="K57" i="36" a="1"/>
  <c r="E54" i="36"/>
  <c r="E55" i="36"/>
  <c r="E56" i="36"/>
  <c r="H52" i="36" a="1"/>
  <c r="H53" i="36" a="1"/>
  <c r="H51" i="36" a="1"/>
  <c r="I51" i="36" a="1"/>
  <c r="J51" i="36" a="1"/>
  <c r="K51" i="36" a="1"/>
  <c r="A51" i="36" a="1"/>
  <c r="H50" i="36" a="1"/>
  <c r="I50" i="36" a="1"/>
  <c r="J50" i="36" a="1"/>
  <c r="K50" i="36" a="1"/>
  <c r="A50" i="36" a="1"/>
  <c r="H49" i="36" a="1"/>
  <c r="I49" i="36" a="1"/>
  <c r="J49" i="36" a="1"/>
  <c r="K49" i="36" a="1"/>
  <c r="A49" i="36" a="1"/>
  <c r="H48" i="36" a="1"/>
  <c r="I48" i="36" a="1"/>
  <c r="J48" i="36" a="1"/>
  <c r="K48" i="36" a="1"/>
  <c r="A48" i="36" a="1"/>
  <c r="H47" i="36" a="1"/>
  <c r="I47" i="36" a="1"/>
  <c r="J47" i="36" a="1"/>
  <c r="K47" i="36" a="1"/>
  <c r="A47" i="36" a="1"/>
  <c r="H46" i="36" a="1"/>
  <c r="I46" i="36" a="1"/>
  <c r="J46" i="36" a="1"/>
  <c r="K46" i="36" a="1"/>
  <c r="A46" i="36" a="1"/>
  <c r="H45" i="36" a="1"/>
  <c r="I45" i="36" a="1"/>
  <c r="J45" i="36" a="1"/>
  <c r="K45" i="36" a="1"/>
  <c r="A45" i="36" a="1"/>
  <c r="H44" i="36" a="1"/>
  <c r="I44" i="36" a="1"/>
  <c r="J44" i="36" a="1"/>
  <c r="K44" i="36" a="1"/>
  <c r="A44" i="36" a="1"/>
  <c r="H43" i="36" a="1"/>
  <c r="I43" i="36" a="1"/>
  <c r="J43" i="36" a="1"/>
  <c r="K43" i="36" a="1"/>
  <c r="A43" i="36" a="1"/>
  <c r="H42" i="36" a="1"/>
  <c r="I42" i="36" a="1"/>
  <c r="J42" i="36" a="1"/>
  <c r="K42" i="36" a="1"/>
  <c r="A42" i="36" a="1"/>
  <c r="I41" i="36" a="1"/>
  <c r="A41" i="36" a="1"/>
  <c r="H41" i="36" a="1"/>
  <c r="J41" i="36" a="1"/>
  <c r="K41" i="36" a="1"/>
  <c r="J40" i="36" a="1"/>
  <c r="A40" i="36" a="1"/>
  <c r="H40" i="36" a="1"/>
  <c r="I40" i="36" a="1"/>
  <c r="K40" i="36" a="1"/>
  <c r="J39" i="36" a="1"/>
  <c r="A39" i="36" a="1"/>
  <c r="H39" i="36" a="1"/>
  <c r="I39" i="36" a="1"/>
  <c r="K39" i="36" a="1"/>
  <c r="H38" i="36" a="1"/>
  <c r="I38" i="36" a="1"/>
  <c r="K38" i="36" a="1"/>
  <c r="J38" i="36" a="1"/>
  <c r="A38" i="36" a="1"/>
  <c r="H37" i="36" a="1"/>
  <c r="J37" i="36" a="1"/>
  <c r="A37" i="36" a="1"/>
  <c r="I37" i="36" a="1"/>
  <c r="K37" i="36" a="1"/>
  <c r="H36" i="36" a="1"/>
  <c r="I36" i="36" a="1"/>
  <c r="K36" i="36" a="1"/>
  <c r="J36" i="36" a="1"/>
  <c r="A36" i="36" a="1"/>
  <c r="I35" i="36" a="1"/>
  <c r="H35" i="36" a="1"/>
  <c r="J35" i="36" a="1"/>
  <c r="K35" i="36" a="1"/>
  <c r="A35" i="36" a="1"/>
  <c r="I34" i="36" a="1"/>
  <c r="A34" i="36" a="1"/>
  <c r="H34" i="36" a="1"/>
  <c r="J34" i="36" a="1"/>
  <c r="K34" i="36" a="1"/>
  <c r="A33" i="36" a="1"/>
  <c r="H33" i="36" a="1"/>
  <c r="I33" i="36" a="1"/>
  <c r="J33" i="36" a="1"/>
  <c r="K33" i="36" a="1"/>
  <c r="H32" i="36" a="1"/>
  <c r="I32" i="36" a="1"/>
  <c r="K32" i="36" a="1"/>
  <c r="J32" i="36" a="1"/>
  <c r="A32" i="36" a="1"/>
  <c r="A31" i="36" a="1"/>
  <c r="H31" i="36" a="1"/>
  <c r="I31" i="36" a="1"/>
  <c r="J31" i="36" a="1"/>
  <c r="K31" i="36" a="1"/>
  <c r="H30" i="36" a="1"/>
  <c r="A30" i="36" a="1"/>
  <c r="I30" i="36" a="1"/>
  <c r="J30" i="36" a="1"/>
  <c r="K30" i="36" a="1"/>
  <c r="I29" i="36" a="1"/>
  <c r="J29" i="36" a="1"/>
  <c r="H29" i="36" a="1"/>
  <c r="K29" i="36" a="1"/>
  <c r="A29" i="36" a="1"/>
  <c r="A28" i="36" a="1"/>
  <c r="H28" i="36" a="1"/>
  <c r="I28" i="36" a="1"/>
  <c r="J28" i="36" a="1"/>
  <c r="K28" i="36" a="1"/>
  <c r="H27" i="36" a="1"/>
  <c r="A27" i="36" a="1"/>
  <c r="I27" i="36" a="1"/>
  <c r="J27" i="36" a="1"/>
  <c r="K27" i="36" a="1"/>
  <c r="J26" i="36" a="1"/>
  <c r="I26" i="36" a="1"/>
  <c r="A26" i="36" a="1"/>
  <c r="H26" i="36" a="1"/>
  <c r="K26" i="36" a="1"/>
  <c r="H25" i="36" a="1"/>
  <c r="I25" i="36" a="1"/>
  <c r="J25" i="36" a="1"/>
  <c r="K25" i="36" a="1"/>
  <c r="A25" i="36" a="1"/>
  <c r="H24" i="36" a="1"/>
  <c r="J24" i="36" a="1"/>
  <c r="K24" i="36" a="1"/>
  <c r="A24" i="36" a="1"/>
  <c r="I24" i="36" a="1"/>
  <c r="K23" i="36" a="1"/>
  <c r="H23" i="36" a="1"/>
  <c r="A23" i="36" a="1"/>
  <c r="I23" i="36" a="1"/>
  <c r="J23" i="36" a="1"/>
  <c r="H22" i="36" a="1"/>
  <c r="I22" i="36" a="1"/>
  <c r="J22" i="36" a="1"/>
  <c r="K22" i="36" a="1"/>
  <c r="A22" i="36" a="1"/>
  <c r="H21" i="36" a="1"/>
  <c r="J21" i="36" a="1"/>
  <c r="K21" i="36" a="1"/>
  <c r="A21" i="36" a="1"/>
  <c r="I21" i="36" a="1"/>
  <c r="K20" i="36" a="1"/>
  <c r="A20" i="36" a="1"/>
  <c r="I20" i="36" a="1"/>
  <c r="H20" i="36" a="1"/>
  <c r="J20" i="36" a="1"/>
  <c r="H19" i="36" a="1"/>
  <c r="I19" i="36" a="1"/>
  <c r="J19" i="36" a="1"/>
  <c r="K19" i="36" a="1"/>
  <c r="A19" i="36" a="1"/>
  <c r="I18" i="36" a="1"/>
  <c r="K18" i="36" a="1"/>
  <c r="A18" i="36" a="1"/>
  <c r="H18" i="36" a="1"/>
  <c r="J18" i="36" a="1"/>
  <c r="I17" i="36" a="1"/>
  <c r="H17" i="36" a="1"/>
  <c r="J17" i="36" a="1"/>
  <c r="K17" i="36" a="1"/>
  <c r="A17" i="36" a="1"/>
  <c r="H16" i="36" a="1"/>
  <c r="I16" i="36" a="1"/>
  <c r="K16" i="36" a="1"/>
  <c r="J16" i="36" a="1"/>
  <c r="A16" i="36" a="1"/>
  <c r="H15" i="36" a="1"/>
  <c r="J15" i="36" a="1"/>
  <c r="I15" i="36" a="1"/>
  <c r="K15" i="36" a="1"/>
  <c r="A15" i="36" a="1"/>
  <c r="I14" i="36" a="1"/>
  <c r="J14" i="36" a="1"/>
  <c r="K14" i="36" a="1"/>
  <c r="A14" i="36" a="1"/>
  <c r="H14" i="36" a="1"/>
  <c r="H13" i="36" a="1"/>
  <c r="I13" i="36" a="1"/>
  <c r="J13" i="36" a="1"/>
  <c r="K13" i="36" a="1"/>
  <c r="A13" i="36" a="1"/>
  <c r="H12" i="36" a="1"/>
  <c r="I12" i="36" a="1"/>
  <c r="J12" i="36" a="1"/>
  <c r="K12" i="36" a="1"/>
  <c r="A12" i="36" a="1"/>
  <c r="H11" i="36" a="1"/>
  <c r="I11" i="36" a="1"/>
  <c r="J11" i="36" a="1"/>
  <c r="K11" i="36" a="1"/>
  <c r="A11" i="36" a="1"/>
  <c r="H10" i="36" a="1"/>
  <c r="I10" i="36" a="1"/>
  <c r="J10" i="36" a="1"/>
  <c r="K10" i="36" a="1"/>
  <c r="A10" i="36" a="1"/>
  <c r="H9" i="36" a="1"/>
  <c r="I9" i="36" a="1"/>
  <c r="J9" i="36" a="1"/>
  <c r="K9" i="36" a="1"/>
  <c r="A9" i="36" a="1"/>
  <c r="H8" i="36" a="1"/>
  <c r="I8" i="36" a="1"/>
  <c r="K8" i="36" a="1"/>
  <c r="J8" i="36" a="1"/>
  <c r="A8" i="36" a="1"/>
  <c r="H7" i="36" a="1"/>
  <c r="J7" i="36" a="1"/>
  <c r="K7" i="36" a="1"/>
  <c r="I7" i="36" a="1"/>
  <c r="A7" i="36" a="1"/>
  <c r="H6" i="36" a="1"/>
  <c r="I6" i="36" a="1"/>
  <c r="J6" i="36" a="1"/>
  <c r="K6" i="36" a="1"/>
  <c r="A6" i="36" a="1"/>
  <c r="I5" i="36" a="1"/>
  <c r="K5" i="36" a="1"/>
  <c r="H5" i="36" a="1"/>
  <c r="J5" i="36" a="1"/>
  <c r="A5" i="36" a="1"/>
  <c r="I4" i="36" a="1"/>
  <c r="J4" i="36" a="1"/>
  <c r="K4" i="36" a="1"/>
  <c r="H4" i="36" a="1"/>
  <c r="A4" i="36" a="1"/>
  <c r="I3" i="36" a="1"/>
  <c r="K3" i="36" a="1"/>
  <c r="H3" i="36" a="1"/>
  <c r="J3" i="36" a="1"/>
  <c r="A3" i="36" a="1"/>
  <c r="H59" i="35" a="1"/>
  <c r="I59" i="35" a="1"/>
  <c r="J59" i="35" a="1"/>
  <c r="K59" i="35" a="1"/>
  <c r="A59" i="35" a="1"/>
  <c r="H58" i="35" a="1"/>
  <c r="I58" i="35" a="1"/>
  <c r="J58" i="35" a="1"/>
  <c r="K58" i="35" a="1"/>
  <c r="A58" i="35" a="1"/>
  <c r="H57" i="35" a="1"/>
  <c r="I57" i="35" a="1"/>
  <c r="J57" i="35" a="1"/>
  <c r="K57" i="35" a="1"/>
  <c r="A57" i="35" a="1"/>
  <c r="H56" i="35" a="1"/>
  <c r="I56" i="35" a="1"/>
  <c r="J56" i="35" a="1"/>
  <c r="K56" i="35" a="1"/>
  <c r="A56" i="35" a="1"/>
  <c r="H55" i="35" a="1"/>
  <c r="I55" i="35" a="1"/>
  <c r="J55" i="35" a="1"/>
  <c r="K55" i="35" a="1"/>
  <c r="A55" i="35" a="1"/>
  <c r="H54" i="35" a="1"/>
  <c r="I54" i="35" a="1"/>
  <c r="J54" i="35" a="1"/>
  <c r="K54" i="35" a="1"/>
  <c r="A54" i="35" a="1"/>
  <c r="H53" i="35" a="1"/>
  <c r="I53" i="35" a="1"/>
  <c r="J53" i="35" a="1"/>
  <c r="K53" i="35" a="1"/>
  <c r="A53" i="35" a="1"/>
  <c r="H52" i="35" a="1"/>
  <c r="I52" i="35" a="1"/>
  <c r="J52" i="35" a="1"/>
  <c r="K52" i="35" a="1"/>
  <c r="A52" i="35" a="1"/>
  <c r="H51" i="35" a="1"/>
  <c r="I51" i="35" a="1"/>
  <c r="J51" i="35" a="1"/>
  <c r="K51" i="35" a="1"/>
  <c r="A51" i="35" a="1"/>
  <c r="H50" i="35" a="1"/>
  <c r="I50" i="35" a="1"/>
  <c r="J50" i="35" a="1"/>
  <c r="K50" i="35" a="1"/>
  <c r="A50" i="35" a="1"/>
  <c r="H49" i="35" a="1"/>
  <c r="I49" i="35" a="1"/>
  <c r="J49" i="35" a="1"/>
  <c r="K49" i="35" a="1"/>
  <c r="A49" i="35" a="1"/>
  <c r="H48" i="35" a="1"/>
  <c r="I48" i="35" a="1"/>
  <c r="J48" i="35" a="1"/>
  <c r="K48" i="35" a="1"/>
  <c r="A48" i="35" a="1"/>
  <c r="H47" i="35" a="1"/>
  <c r="I47" i="35" a="1"/>
  <c r="J47" i="35" a="1"/>
  <c r="K47" i="35" a="1"/>
  <c r="A47" i="35" a="1"/>
  <c r="H46" i="35" a="1"/>
  <c r="I46" i="35" a="1"/>
  <c r="J46" i="35" a="1"/>
  <c r="K46" i="35" a="1"/>
  <c r="A46" i="35" a="1"/>
  <c r="H45" i="35" a="1"/>
  <c r="I45" i="35" a="1"/>
  <c r="J45" i="35" a="1"/>
  <c r="K45" i="35" a="1"/>
  <c r="A45" i="35" a="1"/>
  <c r="H44" i="35" a="1"/>
  <c r="I44" i="35" a="1"/>
  <c r="J44" i="35" a="1"/>
  <c r="K44" i="35" a="1"/>
  <c r="A44" i="35" a="1"/>
  <c r="H43" i="35" a="1"/>
  <c r="I43" i="35" a="1"/>
  <c r="J43" i="35" a="1"/>
  <c r="K43" i="35" a="1"/>
  <c r="A43" i="35" a="1"/>
  <c r="H42" i="35" a="1"/>
  <c r="I42" i="35" a="1"/>
  <c r="J42" i="35" a="1"/>
  <c r="K42" i="35" a="1"/>
  <c r="A42" i="35" a="1"/>
  <c r="H41" i="35" a="1"/>
  <c r="I41" i="35" a="1"/>
  <c r="J41" i="35" a="1"/>
  <c r="K41" i="35" a="1"/>
  <c r="A41" i="35" a="1"/>
  <c r="H40" i="35" a="1"/>
  <c r="I40" i="35" a="1"/>
  <c r="J40" i="35" a="1"/>
  <c r="K40" i="35" a="1"/>
  <c r="A40" i="35" a="1"/>
  <c r="H39" i="35" a="1"/>
  <c r="I39" i="35" a="1"/>
  <c r="J39" i="35" a="1"/>
  <c r="K39" i="35" a="1"/>
  <c r="A39" i="35" a="1"/>
  <c r="H38" i="35" a="1"/>
  <c r="I38" i="35" a="1"/>
  <c r="J38" i="35" a="1"/>
  <c r="K38" i="35" a="1"/>
  <c r="A38" i="35" a="1"/>
  <c r="H37" i="35" a="1"/>
  <c r="I37" i="35" a="1"/>
  <c r="J37" i="35" a="1"/>
  <c r="K37" i="35" a="1"/>
  <c r="A37" i="35" a="1"/>
  <c r="H36" i="35" a="1"/>
  <c r="I36" i="35" a="1"/>
  <c r="J36" i="35" a="1"/>
  <c r="K36" i="35" a="1"/>
  <c r="A36" i="35" a="1"/>
  <c r="H35" i="35" a="1"/>
  <c r="I35" i="35" a="1"/>
  <c r="J35" i="35" a="1"/>
  <c r="K35" i="35" a="1"/>
  <c r="A35" i="35" a="1"/>
  <c r="H34" i="35" a="1"/>
  <c r="I34" i="35" a="1"/>
  <c r="J34" i="35" a="1"/>
  <c r="K34" i="35" a="1"/>
  <c r="A34" i="35" a="1"/>
  <c r="I33" i="35" a="1"/>
  <c r="J33" i="35" a="1"/>
  <c r="K33" i="35" a="1"/>
  <c r="H33" i="35" a="1"/>
  <c r="A33" i="35" a="1"/>
  <c r="H32" i="35" a="1"/>
  <c r="A32" i="35" a="1"/>
  <c r="I32" i="35" a="1"/>
  <c r="J32" i="35" a="1"/>
  <c r="K32" i="35" a="1"/>
  <c r="I31" i="35" a="1"/>
  <c r="A31" i="35" a="1"/>
  <c r="H31" i="35" a="1"/>
  <c r="J31" i="35" a="1"/>
  <c r="K31" i="35" a="1"/>
  <c r="I30" i="35" a="1"/>
  <c r="A30" i="35" a="1"/>
  <c r="H30" i="35" a="1"/>
  <c r="J30" i="35" a="1"/>
  <c r="K30" i="35" a="1"/>
  <c r="I29" i="35" a="1"/>
  <c r="K29" i="35" a="1"/>
  <c r="H29" i="35" a="1"/>
  <c r="J29" i="35" a="1"/>
  <c r="A29" i="35" a="1"/>
  <c r="H28" i="35" a="1"/>
  <c r="J28" i="35" a="1"/>
  <c r="I28" i="35" a="1"/>
  <c r="K28" i="35" a="1"/>
  <c r="A28" i="35" a="1"/>
  <c r="H27" i="35" a="1"/>
  <c r="J27" i="35" a="1"/>
  <c r="K27" i="35" a="1"/>
  <c r="A27" i="35" a="1"/>
  <c r="I27" i="35" a="1"/>
  <c r="K26" i="35" a="1"/>
  <c r="A26" i="35" a="1"/>
  <c r="I26" i="35" a="1"/>
  <c r="H26" i="35" a="1"/>
  <c r="J26" i="35" a="1"/>
  <c r="I25" i="35" a="1"/>
  <c r="J25" i="35" a="1"/>
  <c r="A25" i="35" a="1"/>
  <c r="H25" i="35" a="1"/>
  <c r="K25" i="35" a="1"/>
  <c r="I24" i="35" a="1"/>
  <c r="J24" i="35" a="1"/>
  <c r="A24" i="35" a="1"/>
  <c r="H24" i="35" a="1"/>
  <c r="K24" i="35" a="1"/>
  <c r="J23" i="35" a="1"/>
  <c r="A23" i="35" a="1"/>
  <c r="H23" i="35" a="1"/>
  <c r="K23" i="35" a="1"/>
  <c r="I23" i="35" a="1"/>
  <c r="H22" i="35" a="1"/>
  <c r="A22" i="35" a="1"/>
  <c r="J22" i="35" a="1"/>
  <c r="I22" i="35" a="1"/>
  <c r="K22" i="35" a="1"/>
  <c r="I21" i="35" a="1"/>
  <c r="J21" i="35" a="1"/>
  <c r="H21" i="35" a="1"/>
  <c r="K21" i="35" a="1"/>
  <c r="A21" i="35" a="1"/>
  <c r="H20" i="35" a="1"/>
  <c r="I20" i="35" a="1"/>
  <c r="K20" i="35" a="1"/>
  <c r="A20" i="35" a="1"/>
  <c r="J20" i="35" a="1"/>
  <c r="J19" i="35" a="1"/>
  <c r="K19" i="35" a="1"/>
  <c r="H19" i="35" a="1"/>
  <c r="I19" i="35" a="1"/>
  <c r="A19" i="35" a="1"/>
  <c r="I18" i="35" a="1"/>
  <c r="H18" i="35" a="1"/>
  <c r="J18" i="35" a="1"/>
  <c r="K18" i="35" a="1"/>
  <c r="A18" i="35" a="1"/>
  <c r="H17" i="35" a="1"/>
  <c r="I17" i="35" a="1"/>
  <c r="J17" i="35" a="1"/>
  <c r="K17" i="35" a="1"/>
  <c r="A17" i="35" a="1"/>
  <c r="H16" i="35" a="1"/>
  <c r="I16" i="35" a="1"/>
  <c r="J16" i="35" a="1"/>
  <c r="K16" i="35" a="1"/>
  <c r="A16" i="35" a="1"/>
  <c r="K15" i="35" a="1"/>
  <c r="A15" i="35" a="1"/>
  <c r="H15" i="35" a="1"/>
  <c r="J15" i="35" a="1"/>
  <c r="I15" i="35" a="1"/>
  <c r="I14" i="35" a="1"/>
  <c r="A14" i="35" a="1"/>
  <c r="H14" i="35" a="1"/>
  <c r="J14" i="35" a="1"/>
  <c r="K14" i="35" a="1"/>
  <c r="H13" i="35" a="1"/>
  <c r="I13" i="35" a="1"/>
  <c r="K13" i="35" a="1"/>
  <c r="J13" i="35" a="1"/>
  <c r="A13" i="35" a="1"/>
  <c r="H12" i="35" a="1"/>
  <c r="I12" i="35" a="1"/>
  <c r="J12" i="35" a="1"/>
  <c r="K12" i="35" a="1"/>
  <c r="A12" i="35" a="1"/>
  <c r="H11" i="35" a="1"/>
  <c r="I11" i="35" a="1"/>
  <c r="J11" i="35" a="1"/>
  <c r="K11" i="35" a="1"/>
  <c r="A11" i="35" a="1"/>
  <c r="H10" i="35" a="1"/>
  <c r="I10" i="35" a="1"/>
  <c r="J10" i="35" a="1"/>
  <c r="K10" i="35" a="1"/>
  <c r="A10" i="35" a="1"/>
  <c r="A9" i="35" a="1"/>
  <c r="I9" i="35" a="1"/>
  <c r="H9" i="35" a="1"/>
  <c r="J9" i="35" a="1"/>
  <c r="K9" i="35" a="1"/>
  <c r="H8" i="35" a="1"/>
  <c r="I8" i="35" a="1"/>
  <c r="J8" i="35" a="1"/>
  <c r="K8" i="35" a="1"/>
  <c r="A8" i="35" a="1"/>
  <c r="H7" i="35" a="1"/>
  <c r="K7" i="35" a="1"/>
  <c r="A7" i="35" a="1"/>
  <c r="I7" i="35" a="1"/>
  <c r="J7" i="35" a="1"/>
  <c r="I6" i="35" a="1"/>
  <c r="H6" i="35" a="1"/>
  <c r="J6" i="35" a="1"/>
  <c r="K6" i="35" a="1"/>
  <c r="A6" i="35" a="1"/>
  <c r="I5" i="35" a="1"/>
  <c r="K5" i="35" a="1"/>
  <c r="H5" i="35" a="1"/>
  <c r="J5" i="35" a="1"/>
  <c r="A5" i="35" a="1"/>
  <c r="A4" i="35" a="1"/>
  <c r="H4" i="35" a="1"/>
  <c r="I4" i="35" a="1"/>
  <c r="J4" i="35" a="1"/>
  <c r="K4" i="35" a="1"/>
  <c r="A3" i="35" a="1"/>
  <c r="H3" i="35" a="1"/>
  <c r="I3" i="35" a="1"/>
  <c r="J3" i="35" a="1"/>
  <c r="K3" i="35" a="1"/>
  <c r="A48" i="17" a="1"/>
  <c r="J48" i="17" a="1"/>
  <c r="K48" i="17" a="1"/>
  <c r="H48" i="17" a="1"/>
  <c r="I48" i="17" a="1"/>
  <c r="A47" i="17" a="1"/>
  <c r="J47" i="17" a="1"/>
  <c r="K47" i="17" a="1"/>
  <c r="H47" i="17" a="1"/>
  <c r="I47" i="17" a="1"/>
  <c r="K46" i="17" a="1"/>
  <c r="H46" i="17" a="1"/>
  <c r="J46" i="17" a="1"/>
  <c r="I46" i="17" a="1"/>
  <c r="A46" i="17" a="1"/>
  <c r="A45" i="17" a="1"/>
  <c r="J45" i="17" a="1"/>
  <c r="I45" i="17" a="1"/>
  <c r="H45" i="17" a="1"/>
  <c r="C9" i="37" l="1" a="1"/>
  <c r="C10" i="37" a="1"/>
  <c r="C11" i="37" a="1"/>
  <c r="C12" i="37" a="1"/>
  <c r="C13" i="37" a="1"/>
  <c r="C14" i="37" a="1"/>
  <c r="C15" i="37" a="1"/>
  <c r="C16" i="37" a="1"/>
  <c r="C17" i="37" a="1"/>
  <c r="C18" i="37" a="1"/>
  <c r="C19" i="37" a="1"/>
  <c r="C20" i="37" a="1"/>
  <c r="C21" i="37" a="1"/>
  <c r="C22" i="37" a="1"/>
  <c r="C23" i="37" a="1"/>
  <c r="C24" i="37" a="1"/>
  <c r="C25" i="37" a="1"/>
  <c r="C26" i="37" a="1"/>
  <c r="C27" i="37" a="1"/>
  <c r="C28" i="37" a="1"/>
  <c r="C29" i="37" a="1"/>
  <c r="C30" i="37" a="1"/>
  <c r="C31" i="37" a="1"/>
  <c r="C32" i="37" a="1"/>
  <c r="C33" i="37" a="1"/>
  <c r="C34" i="37" a="1"/>
  <c r="C35" i="37" a="1"/>
  <c r="C36" i="37" a="1"/>
  <c r="C37" i="37" a="1"/>
  <c r="C38" i="37" a="1"/>
  <c r="C39" i="37" a="1"/>
  <c r="C40" i="37" a="1"/>
  <c r="C41" i="37" a="1"/>
  <c r="C42" i="37" a="1"/>
  <c r="C43" i="37" a="1"/>
  <c r="C44" i="37" a="1"/>
  <c r="C45" i="37" a="1"/>
  <c r="C46" i="37" a="1"/>
  <c r="C47" i="37" a="1"/>
  <c r="C48" i="37" a="1"/>
  <c r="C49" i="37" a="1"/>
  <c r="C50" i="37" a="1"/>
  <c r="C51" i="37" a="1"/>
  <c r="C52" i="37" a="1"/>
  <c r="C53" i="37" a="1"/>
  <c r="C54" i="37" a="1"/>
  <c r="C8" i="37" a="1"/>
  <c r="Q45" i="37"/>
  <c r="M45" i="37" s="1"/>
  <c r="Q56" i="37"/>
  <c r="O53" i="37"/>
  <c r="O54" i="37"/>
  <c r="O55" i="37"/>
  <c r="O56" i="37"/>
  <c r="O57" i="37"/>
  <c r="O58" i="37"/>
  <c r="O10" i="37"/>
  <c r="O11" i="37"/>
  <c r="O12" i="37"/>
  <c r="O13" i="37"/>
  <c r="O15" i="37"/>
  <c r="O16" i="37"/>
  <c r="O17" i="37"/>
  <c r="O18" i="37"/>
  <c r="O20" i="37"/>
  <c r="O21" i="37"/>
  <c r="O22" i="37"/>
  <c r="O23" i="37"/>
  <c r="O24" i="37"/>
  <c r="O25" i="37"/>
  <c r="O26" i="37"/>
  <c r="O27" i="37"/>
  <c r="E55" i="37"/>
  <c r="O28" i="37" s="1"/>
  <c r="C55" i="37" a="1"/>
  <c r="E56" i="37"/>
  <c r="O14" i="37" s="1"/>
  <c r="C56" i="37" a="1"/>
  <c r="E57" i="37"/>
  <c r="O19" i="37" s="1"/>
  <c r="C57" i="37" a="1"/>
  <c r="E58" i="36"/>
  <c r="C58" i="36" a="1"/>
  <c r="D58" i="36" s="1"/>
  <c r="O55" i="36"/>
  <c r="O58" i="36"/>
  <c r="E53" i="36"/>
  <c r="E55" i="17"/>
  <c r="C55" i="17" a="1"/>
  <c r="D55" i="17" s="1"/>
  <c r="E54" i="17"/>
  <c r="C54" i="17" a="1"/>
  <c r="E53" i="17"/>
  <c r="E52" i="17"/>
  <c r="E51" i="17"/>
  <c r="E50" i="17"/>
  <c r="E38" i="17"/>
  <c r="E52" i="36"/>
  <c r="E51" i="36"/>
  <c r="E50" i="36"/>
  <c r="O59" i="36" s="1"/>
  <c r="E49" i="36"/>
  <c r="E48" i="36"/>
  <c r="E47" i="36"/>
  <c r="E46" i="36"/>
  <c r="E45" i="36"/>
  <c r="E44" i="36"/>
  <c r="E43" i="36"/>
  <c r="E42" i="36"/>
  <c r="E41" i="36"/>
  <c r="O54" i="36" s="1"/>
  <c r="E40" i="36"/>
  <c r="E39" i="36"/>
  <c r="E38" i="36"/>
  <c r="E37" i="36"/>
  <c r="O56" i="36" s="1"/>
  <c r="E36" i="36"/>
  <c r="E35" i="36"/>
  <c r="E34" i="36"/>
  <c r="E33" i="36"/>
  <c r="E32" i="36"/>
  <c r="E31" i="36"/>
  <c r="E30" i="36"/>
  <c r="E29" i="36"/>
  <c r="E28" i="36"/>
  <c r="O57" i="36" s="1"/>
  <c r="E27" i="36"/>
  <c r="E26" i="36"/>
  <c r="E25" i="36"/>
  <c r="E24" i="36"/>
  <c r="E23" i="36"/>
  <c r="E22" i="36"/>
  <c r="E21" i="36"/>
  <c r="E20" i="36"/>
  <c r="E19" i="36"/>
  <c r="E18" i="36"/>
  <c r="E17" i="36"/>
  <c r="E16" i="36"/>
  <c r="E15" i="36"/>
  <c r="E14" i="36"/>
  <c r="E13" i="36"/>
  <c r="E12" i="36"/>
  <c r="E11" i="36"/>
  <c r="E10" i="36"/>
  <c r="E9" i="36"/>
  <c r="E8" i="36"/>
  <c r="E7" i="36"/>
  <c r="E6" i="36"/>
  <c r="E5" i="36"/>
  <c r="E4" i="36"/>
  <c r="E3" i="36"/>
  <c r="E59" i="35"/>
  <c r="E58" i="35"/>
  <c r="E57" i="35"/>
  <c r="E56" i="35"/>
  <c r="E55" i="35"/>
  <c r="E54" i="35"/>
  <c r="E53" i="35"/>
  <c r="E52" i="35"/>
  <c r="E51" i="35"/>
  <c r="E50" i="35"/>
  <c r="E49" i="35"/>
  <c r="E48" i="35"/>
  <c r="E47" i="35"/>
  <c r="E46" i="35"/>
  <c r="E45" i="35"/>
  <c r="E44" i="35"/>
  <c r="E43" i="35"/>
  <c r="O24" i="35" s="1"/>
  <c r="E42" i="35"/>
  <c r="O22" i="35" s="1"/>
  <c r="E41" i="35"/>
  <c r="E40" i="35"/>
  <c r="O20" i="35" s="1"/>
  <c r="E39" i="35"/>
  <c r="E38" i="35"/>
  <c r="E37" i="35"/>
  <c r="E36" i="35"/>
  <c r="E35" i="35"/>
  <c r="E34" i="35"/>
  <c r="E33" i="35"/>
  <c r="O33" i="35" s="1"/>
  <c r="E32" i="35"/>
  <c r="O57" i="35" s="1"/>
  <c r="E31" i="35"/>
  <c r="E30" i="35"/>
  <c r="O36" i="35" s="1"/>
  <c r="E29" i="35"/>
  <c r="E28" i="35"/>
  <c r="E27" i="35"/>
  <c r="O35" i="35" s="1"/>
  <c r="E26" i="35"/>
  <c r="E25" i="35"/>
  <c r="E24" i="35"/>
  <c r="E23" i="35"/>
  <c r="E22" i="35"/>
  <c r="E21" i="35"/>
  <c r="E20" i="35"/>
  <c r="O42" i="35" s="1"/>
  <c r="E19" i="35"/>
  <c r="E18" i="35"/>
  <c r="E17" i="35"/>
  <c r="E16" i="35"/>
  <c r="E15" i="35"/>
  <c r="E14" i="35"/>
  <c r="E13" i="35"/>
  <c r="E12" i="35"/>
  <c r="E11" i="35"/>
  <c r="O52" i="35" s="1"/>
  <c r="E10" i="35"/>
  <c r="E9" i="35"/>
  <c r="E8" i="35"/>
  <c r="O49" i="35" s="1"/>
  <c r="E7" i="35"/>
  <c r="O50" i="35" s="1"/>
  <c r="E6" i="35"/>
  <c r="E5" i="35"/>
  <c r="E4" i="35"/>
  <c r="E3" i="35"/>
  <c r="E48" i="17"/>
  <c r="E47" i="17"/>
  <c r="E46" i="17"/>
  <c r="E45" i="17"/>
  <c r="D9" i="37" l="1"/>
  <c r="Q24" i="37"/>
  <c r="M24" i="37" s="1"/>
  <c r="O29" i="35"/>
  <c r="O23" i="35"/>
  <c r="O45" i="35"/>
  <c r="D26" i="37"/>
  <c r="Q34" i="37"/>
  <c r="M34" i="37" s="1"/>
  <c r="N34" i="37" s="1" a="1"/>
  <c r="D10" i="37"/>
  <c r="Q22" i="37"/>
  <c r="M22" i="37" s="1"/>
  <c r="D39" i="37"/>
  <c r="Q40" i="37"/>
  <c r="M40" i="37" s="1"/>
  <c r="N40" i="37" s="1" a="1"/>
  <c r="D11" i="37"/>
  <c r="D12" i="37"/>
  <c r="D13" i="37"/>
  <c r="Q37" i="37"/>
  <c r="M37" i="37" s="1"/>
  <c r="N37" i="37" s="1" a="1"/>
  <c r="M56" i="37"/>
  <c r="N56" i="37" s="1" a="1"/>
  <c r="N45" i="37" a="1"/>
  <c r="O23" i="36"/>
  <c r="O39" i="35"/>
  <c r="Q31" i="37"/>
  <c r="M31" i="37" s="1"/>
  <c r="N31" i="37" s="1" a="1"/>
  <c r="D14" i="37"/>
  <c r="Q38" i="37"/>
  <c r="M38" i="37" s="1"/>
  <c r="N38" i="37" s="1" a="1"/>
  <c r="D15" i="37"/>
  <c r="Q43" i="37"/>
  <c r="M43" i="37" s="1"/>
  <c r="N43" i="37" s="1" a="1"/>
  <c r="D16" i="37"/>
  <c r="Q51" i="37"/>
  <c r="M51" i="37" s="1"/>
  <c r="N51" i="37" s="1" a="1"/>
  <c r="D17" i="37"/>
  <c r="Q53" i="37"/>
  <c r="M53" i="37" s="1"/>
  <c r="N53" i="37" s="1" a="1"/>
  <c r="D18" i="37"/>
  <c r="Q48" i="37"/>
  <c r="M48" i="37" s="1"/>
  <c r="N48" i="37" s="1" a="1"/>
  <c r="D19" i="37"/>
  <c r="Q41" i="37"/>
  <c r="M41" i="37" s="1"/>
  <c r="N41" i="37" s="1" a="1"/>
  <c r="D20" i="37"/>
  <c r="Q25" i="37"/>
  <c r="M25" i="37" s="1"/>
  <c r="D21" i="37"/>
  <c r="Q15" i="37"/>
  <c r="M15" i="37" s="1"/>
  <c r="D22" i="37"/>
  <c r="Q57" i="37"/>
  <c r="M57" i="37" s="1"/>
  <c r="N57" i="37" s="1" a="1"/>
  <c r="D23" i="37"/>
  <c r="Q49" i="37"/>
  <c r="M49" i="37" s="1"/>
  <c r="N49" i="37" s="1" a="1"/>
  <c r="D24" i="37"/>
  <c r="Q44" i="37"/>
  <c r="M44" i="37" s="1"/>
  <c r="N44" i="37" s="1" a="1"/>
  <c r="D25" i="37"/>
  <c r="Q26" i="37"/>
  <c r="M26" i="37" s="1"/>
  <c r="D27" i="37"/>
  <c r="Q36" i="37"/>
  <c r="M36" i="37" s="1"/>
  <c r="N36" i="37" s="1" a="1"/>
  <c r="D28" i="37"/>
  <c r="Q42" i="37"/>
  <c r="M42" i="37" s="1"/>
  <c r="N42" i="37" s="1" a="1"/>
  <c r="D29" i="37"/>
  <c r="Q10" i="37"/>
  <c r="M10" i="37" s="1"/>
  <c r="N10" i="37" s="1" a="1"/>
  <c r="D30" i="37"/>
  <c r="Q30" i="37"/>
  <c r="M30" i="37" s="1"/>
  <c r="N30" i="37" s="1" a="1"/>
  <c r="D31" i="37"/>
  <c r="Q13" i="37"/>
  <c r="M13" i="37" s="1"/>
  <c r="N13" i="37" s="1" a="1"/>
  <c r="D32" i="37"/>
  <c r="Q47" i="37"/>
  <c r="M47" i="37" s="1"/>
  <c r="N47" i="37" s="1" a="1"/>
  <c r="D33" i="37"/>
  <c r="Q16" i="37"/>
  <c r="M16" i="37" s="1"/>
  <c r="D34" i="37"/>
  <c r="Q39" i="37"/>
  <c r="M39" i="37" s="1"/>
  <c r="N39" i="37" s="1" a="1"/>
  <c r="D35" i="37"/>
  <c r="Q58" i="37"/>
  <c r="M58" i="37" s="1"/>
  <c r="N58" i="37" s="1" a="1"/>
  <c r="D36" i="37"/>
  <c r="Q35" i="37"/>
  <c r="M35" i="37" s="1"/>
  <c r="N35" i="37" s="1" a="1"/>
  <c r="D37" i="37"/>
  <c r="Q50" i="37"/>
  <c r="M50" i="37" s="1"/>
  <c r="N50" i="37" s="1" a="1"/>
  <c r="D38" i="37"/>
  <c r="Q55" i="37"/>
  <c r="M55" i="37" s="1"/>
  <c r="N55" i="37" s="1" a="1"/>
  <c r="D40" i="37"/>
  <c r="Q11" i="37"/>
  <c r="M11" i="37" s="1"/>
  <c r="D41" i="37"/>
  <c r="Q20" i="37"/>
  <c r="M20" i="37" s="1"/>
  <c r="N20" i="37" s="1" a="1"/>
  <c r="D42" i="37"/>
  <c r="Q23" i="37"/>
  <c r="M23" i="37" s="1"/>
  <c r="D43" i="37"/>
  <c r="Q32" i="37"/>
  <c r="M32" i="37" s="1"/>
  <c r="N32" i="37" s="1" a="1"/>
  <c r="D44" i="37"/>
  <c r="Q54" i="37"/>
  <c r="M54" i="37" s="1"/>
  <c r="N54" i="37" s="1" a="1"/>
  <c r="D45" i="37"/>
  <c r="Q52" i="37"/>
  <c r="M52" i="37" s="1"/>
  <c r="N52" i="37" s="1" a="1"/>
  <c r="D46" i="37"/>
  <c r="Q17" i="37"/>
  <c r="M17" i="37" s="1"/>
  <c r="D47" i="37"/>
  <c r="Q9" i="37"/>
  <c r="M9" i="37" s="1"/>
  <c r="N9" i="37" s="1" a="1"/>
  <c r="D48" i="37"/>
  <c r="Q18" i="37"/>
  <c r="M18" i="37" s="1"/>
  <c r="N18" i="37" s="1" a="1"/>
  <c r="D49" i="37"/>
  <c r="Q12" i="37"/>
  <c r="M12" i="37" s="1"/>
  <c r="N12" i="37" s="1" a="1"/>
  <c r="D50" i="37"/>
  <c r="Q21" i="37"/>
  <c r="M21" i="37" s="1"/>
  <c r="D51" i="37"/>
  <c r="Q27" i="37"/>
  <c r="M27" i="37" s="1"/>
  <c r="D52" i="37"/>
  <c r="Q33" i="37"/>
  <c r="M33" i="37" s="1"/>
  <c r="N33" i="37" s="1" a="1"/>
  <c r="D53" i="37"/>
  <c r="Q46" i="37"/>
  <c r="M46" i="37" s="1"/>
  <c r="N46" i="37" s="1" a="1"/>
  <c r="D54" i="37"/>
  <c r="Q29" i="37"/>
  <c r="M29" i="37" s="1"/>
  <c r="N29" i="37" s="1" a="1"/>
  <c r="D8" i="37"/>
  <c r="D55" i="37"/>
  <c r="Q28" i="37"/>
  <c r="M28" i="37" s="1"/>
  <c r="N28" i="37" s="1" a="1"/>
  <c r="Q14" i="37"/>
  <c r="M14" i="37" s="1"/>
  <c r="N14" i="37" s="1" a="1"/>
  <c r="D56" i="37"/>
  <c r="Q19" i="37"/>
  <c r="M19" i="37" s="1"/>
  <c r="N19" i="37" s="1" a="1"/>
  <c r="D57" i="37"/>
  <c r="O9" i="36"/>
  <c r="O38" i="36"/>
  <c r="O39" i="36"/>
  <c r="O30" i="36"/>
  <c r="O37" i="36"/>
  <c r="O60" i="36"/>
  <c r="O55" i="35"/>
  <c r="O53" i="35"/>
  <c r="O48" i="35"/>
  <c r="O34" i="35"/>
  <c r="O51" i="35"/>
  <c r="O26" i="35"/>
  <c r="O14" i="35"/>
  <c r="O18" i="35"/>
  <c r="O10" i="35"/>
  <c r="O12" i="35"/>
  <c r="O17" i="35"/>
  <c r="O16" i="35"/>
  <c r="O11" i="35"/>
  <c r="O25" i="35"/>
  <c r="O21" i="35"/>
  <c r="O31" i="35"/>
  <c r="O38" i="35"/>
  <c r="O54" i="35"/>
  <c r="O19" i="35"/>
  <c r="O41" i="35"/>
  <c r="O44" i="35"/>
  <c r="O43" i="35"/>
  <c r="O40" i="35"/>
  <c r="O37" i="35"/>
  <c r="O9" i="35"/>
  <c r="O15" i="35"/>
  <c r="O13" i="35"/>
  <c r="O27" i="35"/>
  <c r="O28" i="35"/>
  <c r="O30" i="35"/>
  <c r="O32" i="35"/>
  <c r="O60" i="35"/>
  <c r="O47" i="35"/>
  <c r="O59" i="35"/>
  <c r="O46" i="35"/>
  <c r="O61" i="35"/>
  <c r="O56" i="35"/>
  <c r="O58" i="35"/>
  <c r="D54" i="17"/>
  <c r="O36" i="36"/>
  <c r="O52" i="36"/>
  <c r="O48" i="36"/>
  <c r="O51" i="36"/>
  <c r="O53" i="36"/>
  <c r="O45" i="36"/>
  <c r="O47" i="36"/>
  <c r="O43" i="36"/>
  <c r="O42" i="36"/>
  <c r="O41" i="36"/>
  <c r="O40" i="36"/>
  <c r="O35" i="36"/>
  <c r="O16" i="36"/>
  <c r="O31" i="36"/>
  <c r="O32" i="36"/>
  <c r="O11" i="36"/>
  <c r="O29" i="36"/>
  <c r="O34" i="36"/>
  <c r="O46" i="36"/>
  <c r="O15" i="36"/>
  <c r="O28" i="36"/>
  <c r="O17" i="36"/>
  <c r="O13" i="36"/>
  <c r="O18" i="36"/>
  <c r="O27" i="36"/>
  <c r="O26" i="36"/>
  <c r="O24" i="36"/>
  <c r="O25" i="36"/>
  <c r="O22" i="36"/>
  <c r="O21" i="36"/>
  <c r="O20" i="36"/>
  <c r="O19" i="36"/>
  <c r="O49" i="36"/>
  <c r="O10" i="36"/>
  <c r="O50" i="36"/>
  <c r="O12" i="36"/>
  <c r="O44" i="36"/>
  <c r="O33" i="36"/>
  <c r="O14" i="36"/>
  <c r="N17" i="37" l="1" a="1"/>
  <c r="N24" i="37" a="1"/>
  <c r="N22" i="37" a="1"/>
  <c r="N21" i="37" a="1"/>
  <c r="N23" i="37" a="1"/>
  <c r="N15" i="37" a="1"/>
  <c r="N11" i="37" a="1"/>
  <c r="N16" i="37" a="1"/>
  <c r="N25" i="37" a="1"/>
  <c r="N26" i="37" a="1"/>
  <c r="N27" i="37" a="1"/>
  <c r="A44" i="17" a="1"/>
  <c r="E44" i="17" s="1"/>
  <c r="H44" i="17" a="1"/>
  <c r="I44" i="17" a="1"/>
  <c r="J44" i="17" a="1"/>
  <c r="K44" i="17" a="1"/>
  <c r="BO9" i="17" a="1"/>
  <c r="BO10" i="17" a="1"/>
  <c r="BO11" i="17" a="1"/>
  <c r="BO13" i="17" a="1"/>
  <c r="A194" i="22"/>
  <c r="A195" i="22"/>
  <c r="A196" i="22"/>
  <c r="P47" i="17" l="1"/>
  <c r="K37" i="17" a="1"/>
  <c r="J37" i="17" a="1"/>
  <c r="H37" i="17" a="1"/>
  <c r="I37" i="17" a="1"/>
  <c r="K36" i="17" a="1"/>
  <c r="H36" i="17" a="1"/>
  <c r="I36" i="17" a="1"/>
  <c r="J36" i="17" a="1"/>
  <c r="J33" i="17" a="1"/>
  <c r="I33" i="17" a="1"/>
  <c r="K33" i="17" a="1"/>
  <c r="H33" i="17" a="1"/>
  <c r="K32" i="17" a="1"/>
  <c r="J32" i="17" a="1"/>
  <c r="H32" i="17" a="1"/>
  <c r="I32" i="17" a="1"/>
  <c r="H31" i="17" a="1"/>
  <c r="I31" i="17" a="1"/>
  <c r="J31" i="17" a="1"/>
  <c r="K31" i="17" a="1"/>
  <c r="P34" i="17"/>
  <c r="P38" i="17"/>
  <c r="P37" i="17"/>
  <c r="P39" i="17"/>
  <c r="P40" i="17"/>
  <c r="P35" i="17"/>
  <c r="P41" i="17"/>
  <c r="P36" i="17"/>
  <c r="H35" i="17" a="1"/>
  <c r="I35" i="17" a="1"/>
  <c r="J35" i="17" a="1"/>
  <c r="K35" i="17" a="1"/>
  <c r="H34" i="17" a="1"/>
  <c r="I34" i="17" a="1"/>
  <c r="J34" i="17" a="1"/>
  <c r="K34" i="17" a="1"/>
  <c r="P46" i="17"/>
  <c r="P45" i="17"/>
  <c r="P44" i="17"/>
  <c r="P43" i="17"/>
  <c r="A43" i="17" a="1"/>
  <c r="J43" i="17" a="1"/>
  <c r="H43" i="17" a="1"/>
  <c r="I43" i="17" a="1"/>
  <c r="K43" i="17" a="1"/>
  <c r="H42" i="17" a="1"/>
  <c r="P42" i="17"/>
  <c r="K42" i="17" a="1"/>
  <c r="J42" i="17" a="1"/>
  <c r="A42" i="17" a="1"/>
  <c r="I42" i="17" a="1"/>
  <c r="A41" i="17" a="1"/>
  <c r="E41" i="17" s="1"/>
  <c r="H41" i="17" a="1"/>
  <c r="I41" i="17" a="1"/>
  <c r="K41" i="17" a="1"/>
  <c r="J41" i="17" a="1"/>
  <c r="A40" i="17" a="1"/>
  <c r="E40" i="17" s="1"/>
  <c r="H40" i="17" a="1"/>
  <c r="I40" i="17" a="1"/>
  <c r="K40" i="17" a="1"/>
  <c r="J40" i="17" a="1"/>
  <c r="A39" i="17" a="1"/>
  <c r="E39" i="17" s="1"/>
  <c r="H39" i="17" a="1"/>
  <c r="I39" i="17" a="1"/>
  <c r="K39" i="17" a="1"/>
  <c r="J39" i="17" a="1"/>
  <c r="A37" i="17" a="1"/>
  <c r="H7" i="17" a="1"/>
  <c r="J7" i="17" a="1"/>
  <c r="K7" i="17" a="1"/>
  <c r="I7" i="17" a="1"/>
  <c r="A7" i="17" a="1"/>
  <c r="E7" i="17" s="1"/>
  <c r="I6" i="17" a="1"/>
  <c r="J6" i="17" a="1"/>
  <c r="K6" i="17" a="1"/>
  <c r="A6" i="17" a="1"/>
  <c r="H6" i="17" a="1"/>
  <c r="K5" i="17" a="1"/>
  <c r="I5" i="17" a="1"/>
  <c r="A5" i="17" a="1"/>
  <c r="J5" i="17" a="1"/>
  <c r="H5" i="17" a="1"/>
  <c r="K4" i="17" a="1"/>
  <c r="I4" i="17" a="1"/>
  <c r="A4" i="17" a="1"/>
  <c r="J4" i="17" a="1"/>
  <c r="H4" i="17" a="1"/>
  <c r="K3" i="17" a="1"/>
  <c r="I3" i="17" a="1"/>
  <c r="A3" i="17" a="1"/>
  <c r="H3" i="17" a="1"/>
  <c r="J3" i="17" a="1"/>
  <c r="K9" i="17" a="1"/>
  <c r="I9" i="17" a="1"/>
  <c r="H9" i="17" a="1"/>
  <c r="J9" i="17" a="1"/>
  <c r="A9" i="17" a="1"/>
  <c r="E9" i="17" s="1"/>
  <c r="A34" i="17" a="1"/>
  <c r="H27" i="17" a="1"/>
  <c r="K27" i="17" a="1"/>
  <c r="A27" i="17" a="1"/>
  <c r="I27" i="17" a="1"/>
  <c r="J27" i="17" a="1"/>
  <c r="I13" i="17" a="1"/>
  <c r="H13" i="17" a="1"/>
  <c r="K13" i="17" a="1"/>
  <c r="J13" i="17" a="1"/>
  <c r="A13" i="17" a="1"/>
  <c r="E13" i="17" s="1"/>
  <c r="I20" i="17" a="1"/>
  <c r="A20" i="17" a="1"/>
  <c r="K20" i="17" a="1"/>
  <c r="H20" i="17" a="1"/>
  <c r="J20" i="17" a="1"/>
  <c r="A12" i="17" a="1"/>
  <c r="E12" i="17" s="1"/>
  <c r="J12" i="17" a="1"/>
  <c r="H12" i="17" a="1"/>
  <c r="K12" i="17" a="1"/>
  <c r="I12" i="17" a="1"/>
  <c r="A33" i="17" a="1"/>
  <c r="I19" i="17" a="1"/>
  <c r="A19" i="17" a="1"/>
  <c r="K19" i="17" a="1"/>
  <c r="H19" i="17" a="1"/>
  <c r="J19" i="17" a="1"/>
  <c r="A11" i="17" a="1"/>
  <c r="E11" i="17" s="1"/>
  <c r="J11" i="17" a="1"/>
  <c r="H11" i="17" a="1"/>
  <c r="K11" i="17" a="1"/>
  <c r="I11" i="17" a="1"/>
  <c r="A32" i="17" a="1"/>
  <c r="I18" i="17" a="1"/>
  <c r="A18" i="17" a="1"/>
  <c r="K18" i="17" a="1"/>
  <c r="H18" i="17" a="1"/>
  <c r="J18" i="17" a="1"/>
  <c r="J10" i="17" a="1"/>
  <c r="A10" i="17" a="1"/>
  <c r="E10" i="17" s="1"/>
  <c r="H10" i="17" a="1"/>
  <c r="K10" i="17" a="1"/>
  <c r="I10" i="17" a="1"/>
  <c r="K26" i="17" a="1"/>
  <c r="J26" i="17" a="1"/>
  <c r="H26" i="17" a="1"/>
  <c r="A26" i="17" a="1"/>
  <c r="I26" i="17" a="1"/>
  <c r="K17" i="17" a="1"/>
  <c r="J17" i="17" a="1"/>
  <c r="I17" i="17" a="1"/>
  <c r="H17" i="17" a="1"/>
  <c r="A17" i="17" a="1"/>
  <c r="A31" i="17" a="1"/>
  <c r="K25" i="17" a="1"/>
  <c r="H25" i="17" a="1"/>
  <c r="J25" i="17" a="1"/>
  <c r="A25" i="17" a="1"/>
  <c r="I25" i="17" a="1"/>
  <c r="H24" i="17" a="1"/>
  <c r="I24" i="17" a="1"/>
  <c r="K24" i="17" a="1"/>
  <c r="J24" i="17" a="1"/>
  <c r="A24" i="17" a="1"/>
  <c r="H16" i="17" a="1"/>
  <c r="J16" i="17" a="1"/>
  <c r="I16" i="17" a="1"/>
  <c r="K16" i="17" a="1"/>
  <c r="A16" i="17" a="1"/>
  <c r="K23" i="17" a="1"/>
  <c r="J23" i="17" a="1"/>
  <c r="H23" i="17" a="1"/>
  <c r="I23" i="17" a="1"/>
  <c r="A23" i="17" a="1"/>
  <c r="K22" i="17" a="1"/>
  <c r="J22" i="17" a="1"/>
  <c r="H22" i="17" a="1"/>
  <c r="I22" i="17" a="1"/>
  <c r="A22" i="17" a="1"/>
  <c r="J15" i="17" a="1"/>
  <c r="I15" i="17" a="1"/>
  <c r="H15" i="17" a="1"/>
  <c r="K15" i="17" a="1"/>
  <c r="A15" i="17" a="1"/>
  <c r="A36" i="17" a="1"/>
  <c r="A30" i="17" a="1"/>
  <c r="J30" i="17" a="1"/>
  <c r="K30" i="17" a="1"/>
  <c r="I30" i="17" a="1"/>
  <c r="H30" i="17" a="1"/>
  <c r="A35" i="17" a="1"/>
  <c r="A29" i="17" a="1"/>
  <c r="K29" i="17" a="1"/>
  <c r="J29" i="17" a="1"/>
  <c r="I29" i="17" a="1"/>
  <c r="H29" i="17" a="1"/>
  <c r="A21" i="17" a="1"/>
  <c r="K21" i="17" a="1"/>
  <c r="I21" i="17" a="1"/>
  <c r="H21" i="17" a="1"/>
  <c r="J21" i="17" a="1"/>
  <c r="K28" i="17" a="1"/>
  <c r="A28" i="17" a="1"/>
  <c r="H28" i="17" a="1"/>
  <c r="I28" i="17" a="1"/>
  <c r="J28" i="17" a="1"/>
  <c r="K14" i="17" a="1"/>
  <c r="I14" i="17" a="1"/>
  <c r="A14" i="17" a="1"/>
  <c r="E14" i="17" s="1"/>
  <c r="O53" i="17" s="1"/>
  <c r="J14" i="17" a="1"/>
  <c r="H14" i="17" a="1"/>
  <c r="K8" i="17" a="1"/>
  <c r="J8" i="17" a="1"/>
  <c r="H8" i="17" a="1"/>
  <c r="I8" i="17" a="1"/>
  <c r="A8" i="17" a="1"/>
  <c r="E8" i="17" s="1"/>
  <c r="P26" i="17"/>
  <c r="P25" i="17"/>
  <c r="P24" i="17"/>
  <c r="P17" i="17"/>
  <c r="P16" i="17"/>
  <c r="P15" i="17"/>
  <c r="P30" i="17"/>
  <c r="P21" i="17"/>
  <c r="P12" i="17"/>
  <c r="P20" i="17"/>
  <c r="P10" i="17"/>
  <c r="P28" i="17"/>
  <c r="P19" i="17"/>
  <c r="P9" i="17"/>
  <c r="P33" i="17"/>
  <c r="P18" i="17"/>
  <c r="P32" i="17"/>
  <c r="P27" i="17"/>
  <c r="P23" i="17"/>
  <c r="P14" i="17"/>
  <c r="P22" i="17"/>
  <c r="P13" i="17"/>
  <c r="P11" i="17"/>
  <c r="P29" i="17"/>
  <c r="P31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P57" i="33"/>
  <c r="B57" i="33" a="1"/>
  <c r="P56" i="33"/>
  <c r="B56" i="33" a="1"/>
  <c r="P55" i="33"/>
  <c r="B55" i="33" a="1"/>
  <c r="P54" i="33"/>
  <c r="B54" i="33" a="1"/>
  <c r="P53" i="33"/>
  <c r="B53" i="33" a="1"/>
  <c r="P52" i="33"/>
  <c r="B52" i="33" a="1"/>
  <c r="P51" i="33"/>
  <c r="B51" i="33" a="1"/>
  <c r="P50" i="33"/>
  <c r="B50" i="33" a="1"/>
  <c r="P49" i="33"/>
  <c r="B49" i="33" a="1"/>
  <c r="P48" i="33"/>
  <c r="B48" i="33" a="1"/>
  <c r="P47" i="33"/>
  <c r="B47" i="33" a="1"/>
  <c r="P46" i="33"/>
  <c r="B46" i="33" a="1"/>
  <c r="P45" i="33"/>
  <c r="B45" i="33" a="1"/>
  <c r="P44" i="33"/>
  <c r="B44" i="33" a="1"/>
  <c r="P43" i="33"/>
  <c r="B43" i="33" a="1"/>
  <c r="P42" i="33"/>
  <c r="B42" i="33" a="1"/>
  <c r="P41" i="33"/>
  <c r="B41" i="33" a="1"/>
  <c r="P40" i="33"/>
  <c r="B40" i="33" a="1"/>
  <c r="P39" i="33"/>
  <c r="B39" i="33" a="1"/>
  <c r="P38" i="33"/>
  <c r="B38" i="33" a="1"/>
  <c r="P37" i="33"/>
  <c r="B37" i="33" a="1"/>
  <c r="P36" i="33"/>
  <c r="B36" i="33" a="1"/>
  <c r="P35" i="33"/>
  <c r="B35" i="33" a="1"/>
  <c r="P34" i="33"/>
  <c r="B34" i="33" a="1"/>
  <c r="P33" i="33"/>
  <c r="B33" i="33" a="1"/>
  <c r="P32" i="33"/>
  <c r="B32" i="33" a="1"/>
  <c r="P31" i="33"/>
  <c r="B31" i="33" a="1"/>
  <c r="P30" i="33"/>
  <c r="B30" i="33" a="1"/>
  <c r="P29" i="33"/>
  <c r="B29" i="33" a="1"/>
  <c r="P28" i="33"/>
  <c r="B28" i="33" a="1"/>
  <c r="P27" i="33"/>
  <c r="B27" i="33" a="1"/>
  <c r="P26" i="33"/>
  <c r="B26" i="33" a="1"/>
  <c r="P25" i="33"/>
  <c r="B25" i="33" a="1"/>
  <c r="P24" i="33"/>
  <c r="B24" i="33" a="1"/>
  <c r="P23" i="33"/>
  <c r="B23" i="33" a="1"/>
  <c r="P22" i="33"/>
  <c r="B22" i="33" a="1"/>
  <c r="P21" i="33"/>
  <c r="B21" i="33" a="1"/>
  <c r="P20" i="33"/>
  <c r="B20" i="33" a="1"/>
  <c r="P19" i="33"/>
  <c r="B19" i="33" a="1"/>
  <c r="P18" i="33"/>
  <c r="B18" i="33" a="1"/>
  <c r="P17" i="33"/>
  <c r="B17" i="33" a="1"/>
  <c r="P16" i="33"/>
  <c r="B16" i="33" a="1"/>
  <c r="P15" i="33"/>
  <c r="B15" i="33" a="1"/>
  <c r="P14" i="33"/>
  <c r="B14" i="33" a="1"/>
  <c r="P13" i="33"/>
  <c r="B13" i="33" a="1"/>
  <c r="P12" i="33"/>
  <c r="B12" i="33" a="1"/>
  <c r="P11" i="33"/>
  <c r="B11" i="33" a="1"/>
  <c r="P10" i="33"/>
  <c r="B10" i="33" a="1"/>
  <c r="P9" i="33"/>
  <c r="B9" i="33" a="1"/>
  <c r="B8" i="33" a="1"/>
  <c r="B7" i="33" a="1"/>
  <c r="B6" i="33" a="1"/>
  <c r="A6" i="33" s="1"/>
  <c r="B5" i="33" a="1"/>
  <c r="B4" i="33" a="1"/>
  <c r="B3" i="33" a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P60" i="32"/>
  <c r="M60" i="32" s="1"/>
  <c r="N60" i="32" s="1" a="1"/>
  <c r="P61" i="32"/>
  <c r="M61" i="32" s="1"/>
  <c r="N61" i="32" s="1" a="1"/>
  <c r="P62" i="32"/>
  <c r="P63" i="32"/>
  <c r="P64" i="32"/>
  <c r="P65" i="32"/>
  <c r="P66" i="32"/>
  <c r="P67" i="32"/>
  <c r="P68" i="32"/>
  <c r="P69" i="32"/>
  <c r="M69" i="32" s="1"/>
  <c r="N69" i="32" s="1" a="1"/>
  <c r="P70" i="32"/>
  <c r="M70" i="32" s="1"/>
  <c r="N70" i="32" s="1" a="1"/>
  <c r="P71" i="32"/>
  <c r="M71" i="32" s="1"/>
  <c r="N71" i="32" s="1" a="1"/>
  <c r="P72" i="32"/>
  <c r="M72" i="32" s="1"/>
  <c r="N72" i="32" s="1" a="1"/>
  <c r="P73" i="32"/>
  <c r="M73" i="32" s="1"/>
  <c r="N73" i="32" s="1" a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P61" i="31"/>
  <c r="M61" i="31" s="1"/>
  <c r="N61" i="31" s="1" a="1"/>
  <c r="P62" i="31"/>
  <c r="P63" i="31"/>
  <c r="P64" i="31"/>
  <c r="M64" i="31" s="1"/>
  <c r="N64" i="31" s="1" a="1"/>
  <c r="P65" i="31"/>
  <c r="M65" i="31" s="1"/>
  <c r="N65" i="31" s="1" a="1"/>
  <c r="P66" i="31"/>
  <c r="M66" i="31" s="1"/>
  <c r="N66" i="31" s="1" a="1"/>
  <c r="P67" i="31"/>
  <c r="P68" i="31"/>
  <c r="P69" i="31"/>
  <c r="M69" i="31" s="1"/>
  <c r="N69" i="31" s="1" a="1"/>
  <c r="P70" i="31"/>
  <c r="P71" i="31"/>
  <c r="P72" i="31"/>
  <c r="M72" i="31" s="1"/>
  <c r="N72" i="31" s="1" a="1"/>
  <c r="P73" i="31"/>
  <c r="M73" i="31" s="1"/>
  <c r="N73" i="31" s="1" a="1"/>
  <c r="P74" i="31"/>
  <c r="P75" i="31"/>
  <c r="P76" i="31"/>
  <c r="M76" i="31" s="1"/>
  <c r="N76" i="31" s="1" a="1"/>
  <c r="P77" i="31"/>
  <c r="M77" i="31" s="1"/>
  <c r="N77" i="31" s="1" a="1"/>
  <c r="P78" i="31"/>
  <c r="M78" i="31" s="1"/>
  <c r="N78" i="31" s="1" a="1"/>
  <c r="P79" i="31"/>
  <c r="P80" i="31"/>
  <c r="P81" i="31"/>
  <c r="M81" i="31" s="1"/>
  <c r="N81" i="31" s="1" a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P56" i="32"/>
  <c r="P55" i="32"/>
  <c r="P54" i="32"/>
  <c r="P53" i="32"/>
  <c r="P52" i="32"/>
  <c r="P51" i="32"/>
  <c r="M51" i="32" s="1"/>
  <c r="N51" i="32" s="1" a="1"/>
  <c r="P50" i="32"/>
  <c r="M50" i="32" s="1"/>
  <c r="N50" i="32" s="1" a="1"/>
  <c r="P49" i="32"/>
  <c r="M49" i="32" s="1"/>
  <c r="N49" i="32" s="1" a="1"/>
  <c r="P48" i="32"/>
  <c r="M48" i="32" s="1"/>
  <c r="N48" i="32" s="1" a="1"/>
  <c r="P47" i="32"/>
  <c r="M47" i="32" s="1"/>
  <c r="N47" i="32" s="1" a="1"/>
  <c r="P46" i="32"/>
  <c r="P45" i="32"/>
  <c r="M45" i="32" s="1"/>
  <c r="N45" i="32" s="1" a="1"/>
  <c r="P44" i="32"/>
  <c r="P43" i="32"/>
  <c r="P42" i="32"/>
  <c r="P41" i="32"/>
  <c r="P40" i="32"/>
  <c r="P39" i="32"/>
  <c r="M39" i="32" s="1"/>
  <c r="N39" i="32" s="1" a="1"/>
  <c r="P38" i="32"/>
  <c r="M38" i="32" s="1"/>
  <c r="N38" i="32" s="1" a="1"/>
  <c r="P37" i="32"/>
  <c r="M37" i="32" s="1"/>
  <c r="N37" i="32" s="1" a="1"/>
  <c r="P36" i="32"/>
  <c r="M36" i="32" s="1"/>
  <c r="N36" i="32" s="1" a="1"/>
  <c r="P35" i="32"/>
  <c r="M35" i="32" s="1"/>
  <c r="N35" i="32" s="1" a="1"/>
  <c r="P34" i="32"/>
  <c r="P33" i="32"/>
  <c r="M33" i="32" s="1"/>
  <c r="N33" i="32" s="1" a="1"/>
  <c r="P32" i="32"/>
  <c r="P31" i="32"/>
  <c r="P30" i="32"/>
  <c r="P29" i="32"/>
  <c r="P28" i="32"/>
  <c r="P27" i="32"/>
  <c r="M27" i="32" s="1"/>
  <c r="N27" i="32" s="1" a="1"/>
  <c r="P26" i="32"/>
  <c r="M26" i="32" s="1"/>
  <c r="N26" i="32" s="1" a="1"/>
  <c r="P25" i="32"/>
  <c r="M25" i="32" s="1"/>
  <c r="N25" i="32" s="1" a="1"/>
  <c r="P24" i="32"/>
  <c r="M24" i="32" s="1"/>
  <c r="N24" i="32" s="1" a="1"/>
  <c r="P23" i="32"/>
  <c r="M23" i="32" s="1"/>
  <c r="N23" i="32" s="1" a="1"/>
  <c r="P22" i="32"/>
  <c r="M22" i="32"/>
  <c r="N22" i="32" s="1" a="1"/>
  <c r="P21" i="32"/>
  <c r="M21" i="32" s="1"/>
  <c r="N21" i="32" s="1" a="1"/>
  <c r="P20" i="32"/>
  <c r="P19" i="32"/>
  <c r="P18" i="32"/>
  <c r="P17" i="32"/>
  <c r="P16" i="32"/>
  <c r="M16" i="32" s="1"/>
  <c r="N16" i="32" s="1" a="1"/>
  <c r="P15" i="32"/>
  <c r="M15" i="32" s="1"/>
  <c r="N15" i="32" s="1" a="1"/>
  <c r="P14" i="32"/>
  <c r="M14" i="32" s="1"/>
  <c r="N14" i="32" s="1" a="1"/>
  <c r="BA13" i="32"/>
  <c r="BB13" i="32" s="1"/>
  <c r="P13" i="32"/>
  <c r="M13" i="32" s="1"/>
  <c r="N13" i="32" s="1" a="1"/>
  <c r="BA12" i="32"/>
  <c r="BB12" i="32" s="1"/>
  <c r="P12" i="32"/>
  <c r="BA11" i="32"/>
  <c r="BB11" i="32" s="1"/>
  <c r="P11" i="32"/>
  <c r="M11" i="32" s="1"/>
  <c r="N11" i="32" s="1" a="1"/>
  <c r="BA10" i="32"/>
  <c r="BB10" i="32" s="1"/>
  <c r="P10" i="32"/>
  <c r="M10" i="32" s="1"/>
  <c r="N10" i="32" s="1" a="1"/>
  <c r="BA9" i="32"/>
  <c r="BB9" i="32" s="1"/>
  <c r="P9" i="32"/>
  <c r="M9" i="32" s="1"/>
  <c r="N9" i="32" s="1" a="1"/>
  <c r="P58" i="31"/>
  <c r="M58" i="31" s="1"/>
  <c r="N58" i="31" s="1" a="1"/>
  <c r="P57" i="31"/>
  <c r="M57" i="31" s="1"/>
  <c r="N57" i="31" s="1" a="1"/>
  <c r="P56" i="31"/>
  <c r="P55" i="31"/>
  <c r="P54" i="31"/>
  <c r="P53" i="31"/>
  <c r="M53" i="31" s="1"/>
  <c r="N53" i="31" s="1" a="1"/>
  <c r="P52" i="31"/>
  <c r="M52" i="31" s="1"/>
  <c r="N52" i="31" s="1" a="1"/>
  <c r="P51" i="31"/>
  <c r="M51" i="31" s="1"/>
  <c r="N51" i="31" s="1" a="1"/>
  <c r="P50" i="31"/>
  <c r="M50" i="31" s="1"/>
  <c r="N50" i="31" s="1" a="1"/>
  <c r="P49" i="31"/>
  <c r="M49" i="31" s="1"/>
  <c r="N49" i="31" s="1" a="1"/>
  <c r="P48" i="31"/>
  <c r="M48" i="31" s="1"/>
  <c r="N48" i="31" s="1" a="1"/>
  <c r="P47" i="31"/>
  <c r="M47" i="31" s="1"/>
  <c r="N47" i="31" s="1" a="1"/>
  <c r="P46" i="31"/>
  <c r="M46" i="31" s="1"/>
  <c r="N46" i="31" s="1" a="1"/>
  <c r="P45" i="31"/>
  <c r="M45" i="31" s="1"/>
  <c r="N45" i="31" s="1" a="1"/>
  <c r="P44" i="31"/>
  <c r="P43" i="31"/>
  <c r="P42" i="31"/>
  <c r="P41" i="31"/>
  <c r="M41" i="31" s="1"/>
  <c r="N41" i="31" s="1" a="1"/>
  <c r="P40" i="31"/>
  <c r="M40" i="31" s="1"/>
  <c r="N40" i="31" s="1" a="1"/>
  <c r="P39" i="31"/>
  <c r="M39" i="31" s="1"/>
  <c r="N39" i="31" s="1" a="1"/>
  <c r="P38" i="31"/>
  <c r="M38" i="31" s="1"/>
  <c r="N38" i="31" s="1" a="1"/>
  <c r="P37" i="31"/>
  <c r="M37" i="31" s="1"/>
  <c r="N37" i="31" s="1" a="1"/>
  <c r="P36" i="31"/>
  <c r="M36" i="31" s="1"/>
  <c r="N36" i="31" s="1" a="1"/>
  <c r="P35" i="31"/>
  <c r="M35" i="31" s="1"/>
  <c r="N35" i="31" s="1" a="1"/>
  <c r="P34" i="31"/>
  <c r="M34" i="31" s="1"/>
  <c r="N34" i="31" s="1" a="1"/>
  <c r="P33" i="31"/>
  <c r="M33" i="31" s="1"/>
  <c r="N33" i="31" s="1" a="1"/>
  <c r="P32" i="31"/>
  <c r="P31" i="31"/>
  <c r="P30" i="31"/>
  <c r="P29" i="31"/>
  <c r="M29" i="31" s="1"/>
  <c r="N29" i="31" s="1" a="1"/>
  <c r="P28" i="31"/>
  <c r="M28" i="31" s="1"/>
  <c r="N28" i="31" s="1" a="1"/>
  <c r="P27" i="31"/>
  <c r="P26" i="31"/>
  <c r="P25" i="31"/>
  <c r="M25" i="31" s="1"/>
  <c r="N25" i="31" s="1" a="1"/>
  <c r="P24" i="31"/>
  <c r="M24" i="31" s="1"/>
  <c r="N24" i="31" s="1" a="1"/>
  <c r="P23" i="31"/>
  <c r="M23" i="31" s="1"/>
  <c r="N23" i="31" s="1" a="1"/>
  <c r="P22" i="31"/>
  <c r="M22" i="31" s="1"/>
  <c r="N22" i="31" s="1" a="1"/>
  <c r="P21" i="31"/>
  <c r="M21" i="31" s="1"/>
  <c r="N21" i="31" s="1" a="1"/>
  <c r="P20" i="31"/>
  <c r="P19" i="31"/>
  <c r="M19" i="31" s="1"/>
  <c r="N19" i="31" s="1" a="1"/>
  <c r="P18" i="31"/>
  <c r="M18" i="31" s="1"/>
  <c r="N18" i="31" s="1" a="1"/>
  <c r="P17" i="31"/>
  <c r="M17" i="31" s="1"/>
  <c r="N17" i="31" s="1" a="1"/>
  <c r="P16" i="31"/>
  <c r="M16" i="31" s="1"/>
  <c r="N16" i="31" s="1" a="1"/>
  <c r="P15" i="31"/>
  <c r="P14" i="31"/>
  <c r="BA14" i="31"/>
  <c r="BB14" i="31" s="1"/>
  <c r="P13" i="31"/>
  <c r="M13" i="31" s="1"/>
  <c r="N13" i="31" s="1" a="1"/>
  <c r="BA10" i="31"/>
  <c r="BB10" i="31" s="1"/>
  <c r="P12" i="31"/>
  <c r="M12" i="31" s="1"/>
  <c r="N12" i="31" s="1" a="1"/>
  <c r="BA9" i="31"/>
  <c r="BB9" i="31" s="1"/>
  <c r="P11" i="31"/>
  <c r="M11" i="31" s="1"/>
  <c r="N11" i="31" s="1" a="1"/>
  <c r="BA13" i="31"/>
  <c r="BB13" i="31" s="1"/>
  <c r="P10" i="31"/>
  <c r="M10" i="31" s="1"/>
  <c r="N10" i="31" s="1" a="1"/>
  <c r="BA15" i="31"/>
  <c r="BB15" i="31" s="1"/>
  <c r="P9" i="31"/>
  <c r="M9" i="31" s="1"/>
  <c r="N9" i="31" s="1" a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C8" i="30" s="1"/>
  <c r="D8" i="30" s="1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C13" i="30" s="1"/>
  <c r="A14" i="30"/>
  <c r="C14" i="30" s="1"/>
  <c r="A15" i="30"/>
  <c r="C15" i="30" s="1"/>
  <c r="A16" i="30"/>
  <c r="C16" i="30" s="1"/>
  <c r="A17" i="30"/>
  <c r="C17" i="30" s="1"/>
  <c r="D17" i="30" s="1"/>
  <c r="A18" i="30"/>
  <c r="C18" i="30" s="1"/>
  <c r="D18" i="30" s="1"/>
  <c r="A19" i="30"/>
  <c r="C19" i="30" s="1"/>
  <c r="D19" i="30" s="1"/>
  <c r="A20" i="30"/>
  <c r="C20" i="30" s="1"/>
  <c r="D20" i="30" s="1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C25" i="30" s="1"/>
  <c r="A26" i="30"/>
  <c r="C26" i="30" s="1"/>
  <c r="A27" i="30"/>
  <c r="C27" i="30" s="1"/>
  <c r="A28" i="30"/>
  <c r="C28" i="30" s="1"/>
  <c r="D28" i="30" s="1"/>
  <c r="A29" i="30"/>
  <c r="C29" i="30" s="1"/>
  <c r="A30" i="30"/>
  <c r="C30" i="30" s="1"/>
  <c r="A31" i="30"/>
  <c r="C31" i="30" s="1"/>
  <c r="D31" i="30" s="1"/>
  <c r="A32" i="30"/>
  <c r="C32" i="30" s="1"/>
  <c r="D32" i="30" s="1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C37" i="30" s="1"/>
  <c r="A38" i="30"/>
  <c r="C38" i="30" s="1"/>
  <c r="A39" i="30"/>
  <c r="C39" i="30" s="1"/>
  <c r="A40" i="30"/>
  <c r="C40" i="30" s="1"/>
  <c r="D40" i="30" s="1"/>
  <c r="A41" i="30"/>
  <c r="C41" i="30" s="1"/>
  <c r="A42" i="30"/>
  <c r="C42" i="30" s="1"/>
  <c r="A43" i="30"/>
  <c r="C43" i="30" s="1"/>
  <c r="D43" i="30" s="1"/>
  <c r="A44" i="30"/>
  <c r="C44" i="30" s="1"/>
  <c r="D44" i="30" s="1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C49" i="30" s="1"/>
  <c r="A50" i="30"/>
  <c r="C50" i="30" s="1"/>
  <c r="A51" i="30"/>
  <c r="C51" i="30" s="1"/>
  <c r="A52" i="30"/>
  <c r="C52" i="30" s="1"/>
  <c r="D52" i="30" s="1"/>
  <c r="A53" i="30"/>
  <c r="C53" i="30" s="1"/>
  <c r="D53" i="30" s="1"/>
  <c r="A54" i="30"/>
  <c r="C54" i="30" s="1"/>
  <c r="D54" i="30" s="1"/>
  <c r="A55" i="30"/>
  <c r="C55" i="30" s="1"/>
  <c r="D55" i="30" s="1"/>
  <c r="A56" i="30"/>
  <c r="C56" i="30" s="1"/>
  <c r="D56" i="30" s="1"/>
  <c r="A7" i="30"/>
  <c r="C7" i="30" s="1"/>
  <c r="D7" i="30" s="1"/>
  <c r="C6" i="30"/>
  <c r="D6" i="30" s="1"/>
  <c r="A5" i="30"/>
  <c r="A4" i="30"/>
  <c r="A3" i="30"/>
  <c r="P57" i="30"/>
  <c r="M57" i="30" s="1"/>
  <c r="N57" i="30" s="1" a="1"/>
  <c r="P58" i="30"/>
  <c r="M58" i="30" s="1"/>
  <c r="N58" i="30" s="1" a="1"/>
  <c r="P59" i="30"/>
  <c r="M59" i="30" s="1"/>
  <c r="N59" i="30" s="1" a="1"/>
  <c r="P54" i="30"/>
  <c r="M54" i="30" s="1"/>
  <c r="N54" i="30" s="1" a="1"/>
  <c r="P55" i="30"/>
  <c r="M55" i="30" s="1"/>
  <c r="N55" i="30" s="1" a="1"/>
  <c r="P56" i="30"/>
  <c r="M56" i="30" s="1"/>
  <c r="N56" i="30" s="1" a="1"/>
  <c r="P51" i="30"/>
  <c r="M51" i="30" s="1"/>
  <c r="N51" i="30" s="1" a="1"/>
  <c r="P52" i="30"/>
  <c r="M52" i="30" s="1"/>
  <c r="N52" i="30" s="1" a="1"/>
  <c r="P53" i="30"/>
  <c r="M53" i="30" s="1"/>
  <c r="N53" i="30" s="1" a="1"/>
  <c r="P49" i="30"/>
  <c r="M49" i="30" s="1"/>
  <c r="N49" i="30" s="1" a="1"/>
  <c r="P50" i="30"/>
  <c r="M50" i="30" s="1"/>
  <c r="N50" i="30" s="1" a="1"/>
  <c r="P47" i="30"/>
  <c r="M47" i="30" s="1"/>
  <c r="N47" i="30" s="1" a="1"/>
  <c r="P48" i="30"/>
  <c r="M48" i="30" s="1"/>
  <c r="N48" i="30" s="1" a="1"/>
  <c r="P45" i="30"/>
  <c r="M45" i="30" s="1"/>
  <c r="N45" i="30" s="1" a="1"/>
  <c r="P46" i="30"/>
  <c r="M46" i="30" s="1"/>
  <c r="N46" i="30" s="1" a="1"/>
  <c r="P43" i="30"/>
  <c r="M43" i="30" s="1"/>
  <c r="N43" i="30" s="1" a="1"/>
  <c r="P44" i="30"/>
  <c r="M44" i="30" s="1"/>
  <c r="N44" i="30" s="1" a="1"/>
  <c r="P41" i="30"/>
  <c r="M41" i="30" s="1"/>
  <c r="N41" i="30" s="1" a="1"/>
  <c r="P42" i="30"/>
  <c r="M42" i="30" s="1"/>
  <c r="N42" i="30" s="1" a="1"/>
  <c r="P39" i="30"/>
  <c r="M39" i="30" s="1"/>
  <c r="N39" i="30" s="1" a="1"/>
  <c r="P40" i="30"/>
  <c r="M40" i="30" s="1"/>
  <c r="N40" i="30" s="1" a="1"/>
  <c r="P37" i="30"/>
  <c r="M37" i="30" s="1"/>
  <c r="N37" i="30" s="1" a="1"/>
  <c r="P38" i="30"/>
  <c r="M38" i="30" s="1"/>
  <c r="N38" i="30" s="1" a="1"/>
  <c r="P34" i="30"/>
  <c r="M34" i="30" s="1"/>
  <c r="N34" i="30" s="1" a="1"/>
  <c r="P35" i="30"/>
  <c r="M35" i="30" s="1"/>
  <c r="N35" i="30" s="1" a="1"/>
  <c r="P36" i="30"/>
  <c r="M36" i="30" s="1"/>
  <c r="N36" i="30" s="1" a="1"/>
  <c r="P31" i="30"/>
  <c r="M31" i="30" s="1"/>
  <c r="N31" i="30" s="1" a="1"/>
  <c r="P32" i="30"/>
  <c r="M32" i="30" s="1"/>
  <c r="N32" i="30" s="1" a="1"/>
  <c r="P33" i="30"/>
  <c r="M33" i="30" s="1"/>
  <c r="N33" i="30" s="1" a="1"/>
  <c r="P28" i="30"/>
  <c r="M28" i="30" s="1"/>
  <c r="N28" i="30" s="1" a="1"/>
  <c r="P29" i="30"/>
  <c r="M29" i="30" s="1"/>
  <c r="N29" i="30" s="1" a="1"/>
  <c r="P30" i="30"/>
  <c r="M30" i="30" s="1"/>
  <c r="N30" i="30" s="1" a="1"/>
  <c r="P23" i="30"/>
  <c r="M23" i="30" s="1"/>
  <c r="N23" i="30" s="1" a="1"/>
  <c r="P24" i="30"/>
  <c r="M24" i="30" s="1"/>
  <c r="N24" i="30" s="1" a="1"/>
  <c r="P25" i="30"/>
  <c r="M25" i="30" s="1"/>
  <c r="N25" i="30" s="1" a="1"/>
  <c r="P26" i="30"/>
  <c r="M26" i="30" s="1"/>
  <c r="N26" i="30" s="1" a="1"/>
  <c r="P27" i="30"/>
  <c r="M27" i="30" s="1"/>
  <c r="N27" i="30" s="1" a="1"/>
  <c r="P15" i="30"/>
  <c r="M15" i="30" s="1"/>
  <c r="N15" i="30" s="1" a="1"/>
  <c r="P16" i="30"/>
  <c r="M16" i="30" s="1"/>
  <c r="N16" i="30" s="1" a="1"/>
  <c r="P17" i="30"/>
  <c r="M17" i="30" s="1"/>
  <c r="N17" i="30" s="1" a="1"/>
  <c r="P18" i="30"/>
  <c r="M18" i="30" s="1"/>
  <c r="N18" i="30" s="1" a="1"/>
  <c r="P19" i="30"/>
  <c r="M19" i="30" s="1"/>
  <c r="N19" i="30" s="1" a="1"/>
  <c r="P20" i="30"/>
  <c r="M20" i="30" s="1"/>
  <c r="N20" i="30" s="1" a="1"/>
  <c r="P21" i="30"/>
  <c r="M21" i="30" s="1"/>
  <c r="N21" i="30" s="1" a="1"/>
  <c r="P22" i="30"/>
  <c r="M22" i="30" s="1"/>
  <c r="N22" i="30" s="1" a="1"/>
  <c r="P10" i="30"/>
  <c r="M10" i="30" s="1"/>
  <c r="N10" i="30" s="1" a="1"/>
  <c r="P11" i="30"/>
  <c r="M11" i="30" s="1"/>
  <c r="N11" i="30" s="1" a="1"/>
  <c r="P12" i="30"/>
  <c r="M12" i="30" s="1"/>
  <c r="N12" i="30" s="1" a="1"/>
  <c r="P13" i="30"/>
  <c r="M13" i="30" s="1"/>
  <c r="N13" i="30" s="1" a="1"/>
  <c r="P14" i="30"/>
  <c r="M14" i="30" s="1"/>
  <c r="N14" i="30" s="1" a="1"/>
  <c r="P9" i="30"/>
  <c r="M9" i="30" s="1"/>
  <c r="N9" i="30" s="1" a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P16" i="16"/>
  <c r="M16" i="16" s="1"/>
  <c r="N16" i="16" s="1" a="1"/>
  <c r="P17" i="16"/>
  <c r="M17" i="16" s="1"/>
  <c r="N17" i="16" s="1" a="1"/>
  <c r="P18" i="16"/>
  <c r="M18" i="16" s="1"/>
  <c r="N18" i="16" s="1" a="1"/>
  <c r="P19" i="16"/>
  <c r="M19" i="16" s="1"/>
  <c r="N19" i="16" s="1" a="1"/>
  <c r="P20" i="16"/>
  <c r="M20" i="16" s="1"/>
  <c r="N20" i="16" s="1" a="1"/>
  <c r="P25" i="16"/>
  <c r="M25" i="16" s="1"/>
  <c r="N25" i="16" s="1" a="1"/>
  <c r="P26" i="16"/>
  <c r="M26" i="16" s="1"/>
  <c r="N26" i="16" s="1" a="1"/>
  <c r="P27" i="16"/>
  <c r="M27" i="16" s="1"/>
  <c r="N27" i="16" s="1" a="1"/>
  <c r="P28" i="16"/>
  <c r="M28" i="16" s="1"/>
  <c r="N28" i="16" s="1" a="1"/>
  <c r="P29" i="16"/>
  <c r="M29" i="16" s="1"/>
  <c r="N29" i="16" s="1" a="1"/>
  <c r="P30" i="16"/>
  <c r="M30" i="16" s="1"/>
  <c r="N30" i="16" s="1" a="1"/>
  <c r="P31" i="16"/>
  <c r="M31" i="16" s="1"/>
  <c r="N31" i="16" s="1" a="1"/>
  <c r="P32" i="16"/>
  <c r="M32" i="16" s="1"/>
  <c r="N32" i="16" s="1" a="1"/>
  <c r="P35" i="16"/>
  <c r="M35" i="16" s="1"/>
  <c r="N35" i="16" s="1" a="1"/>
  <c r="P40" i="16"/>
  <c r="M40" i="16" s="1"/>
  <c r="N40" i="16" s="1" a="1"/>
  <c r="P41" i="16"/>
  <c r="M41" i="16" s="1"/>
  <c r="N41" i="16" s="1" a="1"/>
  <c r="P42" i="16"/>
  <c r="M42" i="16" s="1"/>
  <c r="N42" i="16" s="1" a="1"/>
  <c r="P43" i="16"/>
  <c r="M43" i="16" s="1"/>
  <c r="N43" i="16" s="1" a="1"/>
  <c r="P44" i="16"/>
  <c r="M44" i="16" s="1"/>
  <c r="N44" i="16" s="1" a="1"/>
  <c r="P47" i="16"/>
  <c r="M47" i="16" s="1"/>
  <c r="N47" i="16" s="1" a="1"/>
  <c r="P65" i="16"/>
  <c r="M65" i="16" s="1"/>
  <c r="N65" i="16" s="1" a="1"/>
  <c r="P66" i="16"/>
  <c r="M66" i="16" s="1"/>
  <c r="N66" i="16" s="1" a="1"/>
  <c r="P67" i="16"/>
  <c r="M67" i="16" s="1"/>
  <c r="N67" i="16" s="1" a="1"/>
  <c r="P68" i="16"/>
  <c r="M68" i="16" s="1"/>
  <c r="N68" i="16" s="1" a="1"/>
  <c r="P70" i="16"/>
  <c r="M70" i="16" s="1"/>
  <c r="N70" i="16" s="1" a="1"/>
  <c r="P71" i="16"/>
  <c r="M71" i="16" s="1"/>
  <c r="N71" i="16" s="1" a="1"/>
  <c r="P74" i="16"/>
  <c r="M74" i="16" s="1"/>
  <c r="N74" i="16" s="1" a="1"/>
  <c r="P75" i="16"/>
  <c r="M75" i="16" s="1"/>
  <c r="N75" i="16" s="1" a="1"/>
  <c r="P76" i="16"/>
  <c r="M76" i="16" s="1"/>
  <c r="N76" i="16" s="1" a="1"/>
  <c r="P77" i="16"/>
  <c r="M77" i="16" s="1"/>
  <c r="N77" i="16" s="1" a="1"/>
  <c r="P78" i="16"/>
  <c r="M78" i="16" s="1"/>
  <c r="N78" i="16" s="1" a="1"/>
  <c r="P79" i="16"/>
  <c r="M79" i="16" s="1"/>
  <c r="N79" i="16" s="1" a="1"/>
  <c r="P80" i="16"/>
  <c r="M80" i="16" s="1"/>
  <c r="N80" i="16" s="1" a="1"/>
  <c r="P14" i="16"/>
  <c r="M14" i="16" s="1"/>
  <c r="N14" i="16" s="1" a="1"/>
  <c r="P22" i="16"/>
  <c r="M22" i="16" s="1"/>
  <c r="N22" i="16" s="1" a="1"/>
  <c r="P23" i="16"/>
  <c r="M23" i="16" s="1"/>
  <c r="N23" i="16" s="1" a="1"/>
  <c r="P24" i="16"/>
  <c r="M24" i="16" s="1"/>
  <c r="N24" i="16" s="1" a="1"/>
  <c r="P36" i="16"/>
  <c r="M36" i="16" s="1"/>
  <c r="N36" i="16" s="1" a="1"/>
  <c r="P37" i="16"/>
  <c r="M37" i="16" s="1"/>
  <c r="N37" i="16" s="1" a="1"/>
  <c r="P38" i="16"/>
  <c r="M38" i="16" s="1"/>
  <c r="N38" i="16" s="1" a="1"/>
  <c r="P39" i="16"/>
  <c r="M39" i="16" s="1"/>
  <c r="N39" i="16" s="1" a="1"/>
  <c r="P49" i="16"/>
  <c r="M49" i="16" s="1"/>
  <c r="N49" i="16" s="1" a="1"/>
  <c r="P50" i="16"/>
  <c r="M50" i="16" s="1"/>
  <c r="N50" i="16" s="1" a="1"/>
  <c r="P51" i="16"/>
  <c r="M51" i="16" s="1"/>
  <c r="N51" i="16" s="1" a="1"/>
  <c r="P52" i="16"/>
  <c r="M52" i="16" s="1"/>
  <c r="N52" i="16" s="1" a="1"/>
  <c r="P53" i="16"/>
  <c r="M53" i="16" s="1"/>
  <c r="N53" i="16" s="1" a="1"/>
  <c r="P55" i="16"/>
  <c r="M55" i="16" s="1"/>
  <c r="N55" i="16" s="1" a="1"/>
  <c r="P56" i="16"/>
  <c r="M56" i="16" s="1"/>
  <c r="N56" i="16" s="1" a="1"/>
  <c r="P57" i="16"/>
  <c r="M57" i="16" s="1"/>
  <c r="N57" i="16" s="1" a="1"/>
  <c r="P58" i="16"/>
  <c r="M58" i="16" s="1"/>
  <c r="N58" i="16" s="1" a="1"/>
  <c r="P59" i="16"/>
  <c r="M59" i="16" s="1"/>
  <c r="N59" i="16" s="1" a="1"/>
  <c r="P60" i="16"/>
  <c r="M60" i="16" s="1"/>
  <c r="N60" i="16" s="1" a="1"/>
  <c r="P61" i="16"/>
  <c r="M61" i="16" s="1"/>
  <c r="N61" i="16" s="1" a="1"/>
  <c r="P62" i="16"/>
  <c r="M62" i="16" s="1"/>
  <c r="N62" i="16" s="1" a="1"/>
  <c r="P63" i="16"/>
  <c r="M63" i="16" s="1"/>
  <c r="N63" i="16" s="1" a="1"/>
  <c r="P69" i="16"/>
  <c r="M69" i="16" s="1"/>
  <c r="N69" i="16" s="1" a="1"/>
  <c r="P81" i="16"/>
  <c r="M81" i="16" s="1"/>
  <c r="N81" i="16" s="1" a="1"/>
  <c r="P82" i="16"/>
  <c r="P64" i="16"/>
  <c r="P54" i="16"/>
  <c r="M54" i="16" s="1"/>
  <c r="N54" i="16" s="1" a="1"/>
  <c r="C76" i="16"/>
  <c r="D76" i="16" s="1"/>
  <c r="P9" i="16"/>
  <c r="P10" i="16"/>
  <c r="M10" i="16" s="1"/>
  <c r="N10" i="16" s="1" a="1"/>
  <c r="P12" i="16"/>
  <c r="M12" i="16" s="1"/>
  <c r="N12" i="16" s="1" a="1"/>
  <c r="P13" i="16"/>
  <c r="M13" i="16" s="1"/>
  <c r="N13" i="16" s="1" a="1"/>
  <c r="P21" i="16"/>
  <c r="M21" i="16" s="1"/>
  <c r="N21" i="16" s="1" a="1"/>
  <c r="P33" i="16"/>
  <c r="M33" i="16" s="1"/>
  <c r="N33" i="16" s="1" a="1"/>
  <c r="P34" i="16"/>
  <c r="M34" i="16" s="1"/>
  <c r="N34" i="16" s="1" a="1"/>
  <c r="P45" i="16"/>
  <c r="M45" i="16" s="1"/>
  <c r="N45" i="16" s="1" a="1"/>
  <c r="P46" i="16"/>
  <c r="M46" i="16" s="1"/>
  <c r="N46" i="16" s="1" a="1"/>
  <c r="P48" i="16"/>
  <c r="M48" i="16" s="1"/>
  <c r="N48" i="16" s="1" a="1"/>
  <c r="P73" i="16"/>
  <c r="M73" i="16" s="1"/>
  <c r="N73" i="16" s="1" a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P11" i="12"/>
  <c r="M11" i="12" s="1"/>
  <c r="N11" i="12" s="1" a="1"/>
  <c r="P12" i="12"/>
  <c r="M12" i="12" s="1"/>
  <c r="N12" i="12" s="1" a="1"/>
  <c r="P13" i="12"/>
  <c r="M13" i="12" s="1"/>
  <c r="N13" i="12" s="1" a="1"/>
  <c r="P14" i="12"/>
  <c r="M14" i="12" s="1"/>
  <c r="N14" i="12" s="1" a="1"/>
  <c r="P15" i="12"/>
  <c r="M15" i="12" s="1"/>
  <c r="N15" i="12" s="1" a="1"/>
  <c r="P16" i="12"/>
  <c r="M16" i="12" s="1"/>
  <c r="N16" i="12" s="1" a="1"/>
  <c r="P17" i="12"/>
  <c r="M17" i="12" s="1"/>
  <c r="N17" i="12" s="1" a="1"/>
  <c r="P18" i="12"/>
  <c r="M18" i="12" s="1"/>
  <c r="N18" i="12" s="1" a="1"/>
  <c r="P19" i="12"/>
  <c r="M19" i="12" s="1"/>
  <c r="N19" i="12" s="1" a="1"/>
  <c r="P20" i="12"/>
  <c r="M20" i="12" s="1"/>
  <c r="N20" i="12" s="1" a="1"/>
  <c r="P21" i="12"/>
  <c r="M21" i="12" s="1"/>
  <c r="N21" i="12" s="1" a="1"/>
  <c r="P22" i="12"/>
  <c r="M22" i="12" s="1"/>
  <c r="N22" i="12" s="1" a="1"/>
  <c r="P23" i="12"/>
  <c r="M23" i="12" s="1"/>
  <c r="N23" i="12" s="1" a="1"/>
  <c r="P24" i="12"/>
  <c r="M24" i="12" s="1"/>
  <c r="N24" i="12" s="1" a="1"/>
  <c r="P25" i="12"/>
  <c r="M25" i="12" s="1"/>
  <c r="N25" i="12" s="1" a="1"/>
  <c r="P26" i="12"/>
  <c r="M26" i="12" s="1"/>
  <c r="N26" i="12" s="1" a="1"/>
  <c r="P27" i="12"/>
  <c r="M27" i="12" s="1"/>
  <c r="N27" i="12" s="1" a="1"/>
  <c r="P28" i="12"/>
  <c r="M28" i="12" s="1"/>
  <c r="N28" i="12" s="1" a="1"/>
  <c r="P29" i="12"/>
  <c r="M29" i="12" s="1"/>
  <c r="N29" i="12" s="1" a="1"/>
  <c r="P30" i="12"/>
  <c r="M30" i="12" s="1"/>
  <c r="N30" i="12" s="1" a="1"/>
  <c r="P31" i="12"/>
  <c r="M31" i="12" s="1"/>
  <c r="N31" i="12" s="1" a="1"/>
  <c r="P32" i="12"/>
  <c r="M32" i="12" s="1"/>
  <c r="N32" i="12" s="1" a="1"/>
  <c r="P33" i="12"/>
  <c r="M33" i="12" s="1"/>
  <c r="N33" i="12" s="1" a="1"/>
  <c r="P34" i="12"/>
  <c r="M34" i="12" s="1"/>
  <c r="N34" i="12" s="1" a="1"/>
  <c r="P35" i="12"/>
  <c r="M35" i="12" s="1"/>
  <c r="N35" i="12" s="1" a="1"/>
  <c r="P36" i="12"/>
  <c r="M36" i="12" s="1"/>
  <c r="N36" i="12" s="1" a="1"/>
  <c r="P37" i="12"/>
  <c r="M37" i="12" s="1"/>
  <c r="N37" i="12" s="1" a="1"/>
  <c r="P38" i="12"/>
  <c r="M38" i="12" s="1"/>
  <c r="N38" i="12" s="1" a="1"/>
  <c r="P39" i="12"/>
  <c r="M39" i="12" s="1"/>
  <c r="N39" i="12" s="1" a="1"/>
  <c r="P40" i="12"/>
  <c r="M40" i="12" s="1"/>
  <c r="N40" i="12" s="1" a="1"/>
  <c r="P41" i="12"/>
  <c r="M41" i="12" s="1"/>
  <c r="N41" i="12" s="1" a="1"/>
  <c r="P42" i="12"/>
  <c r="M42" i="12" s="1"/>
  <c r="N42" i="12" s="1" a="1"/>
  <c r="P43" i="12"/>
  <c r="M43" i="12" s="1"/>
  <c r="N43" i="12" s="1" a="1"/>
  <c r="P44" i="12"/>
  <c r="M44" i="12" s="1"/>
  <c r="N44" i="12" s="1" a="1"/>
  <c r="P45" i="12"/>
  <c r="M45" i="12" s="1"/>
  <c r="N45" i="12" s="1" a="1"/>
  <c r="P46" i="12"/>
  <c r="M46" i="12" s="1"/>
  <c r="N46" i="12" s="1" a="1"/>
  <c r="P47" i="12"/>
  <c r="M47" i="12" s="1"/>
  <c r="N47" i="12" s="1" a="1"/>
  <c r="P48" i="12"/>
  <c r="M48" i="12" s="1"/>
  <c r="N48" i="12" s="1" a="1"/>
  <c r="P49" i="12"/>
  <c r="M49" i="12" s="1"/>
  <c r="N49" i="12" s="1" a="1"/>
  <c r="P50" i="12"/>
  <c r="M50" i="12" s="1"/>
  <c r="N50" i="12" s="1" a="1"/>
  <c r="P51" i="12"/>
  <c r="M51" i="12" s="1"/>
  <c r="N51" i="12" s="1" a="1"/>
  <c r="P52" i="12"/>
  <c r="M52" i="12" s="1"/>
  <c r="N52" i="12" s="1" a="1"/>
  <c r="P53" i="12"/>
  <c r="M53" i="12" s="1"/>
  <c r="N53" i="12" s="1" a="1"/>
  <c r="P54" i="12"/>
  <c r="M54" i="12" s="1"/>
  <c r="N54" i="12" s="1" a="1"/>
  <c r="P55" i="12"/>
  <c r="M55" i="12" s="1"/>
  <c r="N55" i="12" s="1" a="1"/>
  <c r="P56" i="12"/>
  <c r="M56" i="12" s="1"/>
  <c r="N56" i="12" s="1" a="1"/>
  <c r="P57" i="12"/>
  <c r="M57" i="12" s="1"/>
  <c r="N57" i="12" s="1" a="1"/>
  <c r="P58" i="12"/>
  <c r="M58" i="12" s="1"/>
  <c r="N58" i="12" s="1" a="1"/>
  <c r="P59" i="12"/>
  <c r="M59" i="12" s="1"/>
  <c r="N59" i="12" s="1" a="1"/>
  <c r="P60" i="12"/>
  <c r="M60" i="12" s="1"/>
  <c r="N60" i="12" s="1" a="1"/>
  <c r="P61" i="12"/>
  <c r="M61" i="12" s="1"/>
  <c r="N61" i="12" s="1" a="1"/>
  <c r="P62" i="12"/>
  <c r="M62" i="12" s="1"/>
  <c r="N62" i="12" s="1" a="1"/>
  <c r="P63" i="12"/>
  <c r="M63" i="12" s="1"/>
  <c r="N63" i="12" s="1" a="1"/>
  <c r="P64" i="12"/>
  <c r="M64" i="12" s="1"/>
  <c r="N64" i="12" s="1" a="1"/>
  <c r="P65" i="12"/>
  <c r="M65" i="12" s="1"/>
  <c r="N65" i="12" s="1" a="1"/>
  <c r="P66" i="12"/>
  <c r="M66" i="12" s="1"/>
  <c r="N66" i="12" s="1" a="1"/>
  <c r="P67" i="12"/>
  <c r="M67" i="12" s="1"/>
  <c r="N67" i="12" s="1" a="1"/>
  <c r="P68" i="12"/>
  <c r="M68" i="12" s="1"/>
  <c r="N68" i="12" s="1" a="1"/>
  <c r="P69" i="12"/>
  <c r="M69" i="12" s="1"/>
  <c r="N69" i="12" s="1" a="1"/>
  <c r="P70" i="12"/>
  <c r="M70" i="12" s="1"/>
  <c r="N70" i="12" s="1" a="1"/>
  <c r="P71" i="12"/>
  <c r="M71" i="12" s="1"/>
  <c r="N71" i="12" s="1" a="1"/>
  <c r="P72" i="12"/>
  <c r="M72" i="12" s="1"/>
  <c r="N72" i="12" s="1" a="1"/>
  <c r="P73" i="12"/>
  <c r="M73" i="12" s="1"/>
  <c r="N73" i="12" s="1" a="1"/>
  <c r="P74" i="12"/>
  <c r="M74" i="12" s="1"/>
  <c r="N74" i="12" s="1" a="1"/>
  <c r="P75" i="12"/>
  <c r="M75" i="12" s="1"/>
  <c r="N75" i="12" s="1" a="1"/>
  <c r="P76" i="12"/>
  <c r="M76" i="12" s="1"/>
  <c r="N76" i="12" s="1" a="1"/>
  <c r="P77" i="12"/>
  <c r="M77" i="12" s="1"/>
  <c r="N77" i="12" s="1" a="1"/>
  <c r="P78" i="12"/>
  <c r="M78" i="12" s="1"/>
  <c r="N78" i="12" s="1" a="1"/>
  <c r="P9" i="12"/>
  <c r="M9" i="12" s="1"/>
  <c r="N9" i="12" s="1" a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P11" i="13"/>
  <c r="M11" i="13" s="1"/>
  <c r="N11" i="13" s="1" a="1"/>
  <c r="P12" i="13"/>
  <c r="M12" i="13" s="1"/>
  <c r="N12" i="13" s="1" a="1"/>
  <c r="P13" i="13"/>
  <c r="M13" i="13" s="1"/>
  <c r="N13" i="13" s="1" a="1"/>
  <c r="P14" i="13"/>
  <c r="M14" i="13" s="1"/>
  <c r="N14" i="13" s="1" a="1"/>
  <c r="P15" i="13"/>
  <c r="P16" i="13"/>
  <c r="M16" i="13" s="1"/>
  <c r="N16" i="13" s="1" a="1"/>
  <c r="P17" i="13"/>
  <c r="P18" i="13"/>
  <c r="M18" i="13" s="1"/>
  <c r="N18" i="13" s="1" a="1"/>
  <c r="P19" i="13"/>
  <c r="M19" i="13" s="1"/>
  <c r="N19" i="13" s="1" a="1"/>
  <c r="P20" i="13"/>
  <c r="M20" i="13" s="1"/>
  <c r="N20" i="13" s="1" a="1"/>
  <c r="P21" i="13"/>
  <c r="M21" i="13" s="1"/>
  <c r="N21" i="13" s="1" a="1"/>
  <c r="P22" i="13"/>
  <c r="M22" i="13" s="1"/>
  <c r="N22" i="13" s="1" a="1"/>
  <c r="P23" i="13"/>
  <c r="M23" i="13" s="1"/>
  <c r="N23" i="13" s="1" a="1"/>
  <c r="P24" i="13"/>
  <c r="M24" i="13" s="1"/>
  <c r="N24" i="13" s="1" a="1"/>
  <c r="P25" i="13"/>
  <c r="M25" i="13" s="1"/>
  <c r="N25" i="13" s="1" a="1"/>
  <c r="P26" i="13"/>
  <c r="M26" i="13" s="1"/>
  <c r="N26" i="13" s="1" a="1"/>
  <c r="P27" i="13"/>
  <c r="M27" i="13" s="1"/>
  <c r="N27" i="13" s="1" a="1"/>
  <c r="P28" i="13"/>
  <c r="M28" i="13" s="1"/>
  <c r="N28" i="13" s="1" a="1"/>
  <c r="P29" i="13"/>
  <c r="M29" i="13" s="1"/>
  <c r="N29" i="13" s="1" a="1"/>
  <c r="P30" i="13"/>
  <c r="M30" i="13" s="1"/>
  <c r="N30" i="13" s="1" a="1"/>
  <c r="P31" i="13"/>
  <c r="M31" i="13" s="1"/>
  <c r="N31" i="13" s="1" a="1"/>
  <c r="P32" i="13"/>
  <c r="M32" i="13" s="1"/>
  <c r="N32" i="13" s="1" a="1"/>
  <c r="P33" i="13"/>
  <c r="M33" i="13" s="1"/>
  <c r="N33" i="13" s="1" a="1"/>
  <c r="P34" i="13"/>
  <c r="M34" i="13" s="1"/>
  <c r="N34" i="13" s="1" a="1"/>
  <c r="P35" i="13"/>
  <c r="M35" i="13" s="1"/>
  <c r="N35" i="13" s="1" a="1"/>
  <c r="P36" i="13"/>
  <c r="M36" i="13" s="1"/>
  <c r="N36" i="13" s="1" a="1"/>
  <c r="P37" i="13"/>
  <c r="M37" i="13" s="1"/>
  <c r="N37" i="13" s="1" a="1"/>
  <c r="P38" i="13"/>
  <c r="M38" i="13" s="1"/>
  <c r="N38" i="13" s="1" a="1"/>
  <c r="P39" i="13"/>
  <c r="M39" i="13" s="1"/>
  <c r="N39" i="13" s="1" a="1"/>
  <c r="P40" i="13"/>
  <c r="M40" i="13" s="1"/>
  <c r="N40" i="13" s="1" a="1"/>
  <c r="P41" i="13"/>
  <c r="M41" i="13" s="1"/>
  <c r="N41" i="13" s="1" a="1"/>
  <c r="P42" i="13"/>
  <c r="M42" i="13" s="1"/>
  <c r="N42" i="13" s="1" a="1"/>
  <c r="P43" i="13"/>
  <c r="M43" i="13" s="1"/>
  <c r="N43" i="13" s="1" a="1"/>
  <c r="P44" i="13"/>
  <c r="M44" i="13" s="1"/>
  <c r="N44" i="13" s="1" a="1"/>
  <c r="P45" i="13"/>
  <c r="M45" i="13" s="1"/>
  <c r="N45" i="13" s="1" a="1"/>
  <c r="P46" i="13"/>
  <c r="M46" i="13" s="1"/>
  <c r="N46" i="13" s="1" a="1"/>
  <c r="P47" i="13"/>
  <c r="P48" i="13"/>
  <c r="M48" i="13" s="1"/>
  <c r="N48" i="13" s="1" a="1"/>
  <c r="P49" i="13"/>
  <c r="P50" i="13"/>
  <c r="M50" i="13" s="1"/>
  <c r="N50" i="13" s="1" a="1"/>
  <c r="P51" i="13"/>
  <c r="M51" i="13" s="1"/>
  <c r="N51" i="13" s="1" a="1"/>
  <c r="P52" i="13"/>
  <c r="M52" i="13" s="1"/>
  <c r="N52" i="13" s="1" a="1"/>
  <c r="P53" i="13"/>
  <c r="M53" i="13" s="1"/>
  <c r="N53" i="13" s="1" a="1"/>
  <c r="P54" i="13"/>
  <c r="M54" i="13" s="1"/>
  <c r="N54" i="13" s="1" a="1"/>
  <c r="P55" i="13"/>
  <c r="M55" i="13" s="1"/>
  <c r="N55" i="13" s="1" a="1"/>
  <c r="P56" i="13"/>
  <c r="M56" i="13" s="1"/>
  <c r="N56" i="13" s="1" a="1"/>
  <c r="P57" i="13"/>
  <c r="M57" i="13" s="1"/>
  <c r="N57" i="13" s="1" a="1"/>
  <c r="P58" i="13"/>
  <c r="M58" i="13" s="1"/>
  <c r="N58" i="13" s="1" a="1"/>
  <c r="P59" i="13"/>
  <c r="M59" i="13" s="1"/>
  <c r="N59" i="13" s="1" a="1"/>
  <c r="P60" i="13"/>
  <c r="M60" i="13" s="1"/>
  <c r="N60" i="13" s="1" a="1"/>
  <c r="P61" i="13"/>
  <c r="M61" i="13" s="1"/>
  <c r="N61" i="13" s="1" a="1"/>
  <c r="P62" i="13"/>
  <c r="M62" i="13" s="1"/>
  <c r="N62" i="13" s="1" a="1"/>
  <c r="P63" i="13"/>
  <c r="M63" i="13" s="1"/>
  <c r="N63" i="13" s="1" a="1"/>
  <c r="P64" i="13"/>
  <c r="M64" i="13" s="1"/>
  <c r="N64" i="13" s="1" a="1"/>
  <c r="P65" i="13"/>
  <c r="M65" i="13" s="1"/>
  <c r="N65" i="13" s="1" a="1"/>
  <c r="P66" i="13"/>
  <c r="M66" i="13" s="1"/>
  <c r="N66" i="13" s="1" a="1"/>
  <c r="P67" i="13"/>
  <c r="M67" i="13" s="1"/>
  <c r="N67" i="13" s="1" a="1"/>
  <c r="P68" i="13"/>
  <c r="M68" i="13" s="1"/>
  <c r="N68" i="13" s="1" a="1"/>
  <c r="P69" i="13"/>
  <c r="M69" i="13" s="1"/>
  <c r="N69" i="13" s="1" a="1"/>
  <c r="P70" i="13"/>
  <c r="M70" i="13" s="1"/>
  <c r="N70" i="13" s="1" a="1"/>
  <c r="P71" i="13"/>
  <c r="M71" i="13" s="1"/>
  <c r="N71" i="13" s="1" a="1"/>
  <c r="P72" i="13"/>
  <c r="M72" i="13" s="1"/>
  <c r="N72" i="13" s="1" a="1"/>
  <c r="P73" i="13"/>
  <c r="M73" i="13" s="1"/>
  <c r="N73" i="13" s="1" a="1"/>
  <c r="P74" i="13"/>
  <c r="M74" i="13" s="1"/>
  <c r="N74" i="13" s="1" a="1"/>
  <c r="P75" i="13"/>
  <c r="M75" i="13" s="1"/>
  <c r="N75" i="13" s="1" a="1"/>
  <c r="P76" i="13"/>
  <c r="M76" i="13" s="1"/>
  <c r="N76" i="13" s="1" a="1"/>
  <c r="P77" i="13"/>
  <c r="M77" i="13" s="1"/>
  <c r="N77" i="13" s="1" a="1"/>
  <c r="P78" i="13"/>
  <c r="M78" i="13" s="1"/>
  <c r="N78" i="13" s="1" a="1"/>
  <c r="P79" i="13"/>
  <c r="M79" i="13" s="1"/>
  <c r="N79" i="13" s="1" a="1"/>
  <c r="P80" i="13"/>
  <c r="M80" i="13" s="1"/>
  <c r="N80" i="13" s="1" a="1"/>
  <c r="P81" i="13"/>
  <c r="M81" i="13" s="1"/>
  <c r="N81" i="13" s="1" a="1"/>
  <c r="P82" i="13"/>
  <c r="M82" i="13" s="1"/>
  <c r="N82" i="13" s="1" a="1"/>
  <c r="P83" i="13"/>
  <c r="M83" i="13" s="1"/>
  <c r="N83" i="13" s="1" a="1"/>
  <c r="P84" i="13"/>
  <c r="M84" i="13" s="1"/>
  <c r="N84" i="13" s="1" a="1"/>
  <c r="P85" i="13"/>
  <c r="M85" i="13" s="1"/>
  <c r="N85" i="13" s="1" a="1"/>
  <c r="P9" i="13"/>
  <c r="M9" i="13" s="1"/>
  <c r="N9" i="13" s="1" a="1"/>
  <c r="M15" i="13"/>
  <c r="N15" i="13" s="1" a="1"/>
  <c r="M17" i="13"/>
  <c r="N17" i="13" s="1" a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B75" i="13"/>
  <c r="C75" i="13"/>
  <c r="D75" i="13" s="1"/>
  <c r="M49" i="13"/>
  <c r="N49" i="13" s="1" a="1"/>
  <c r="M14" i="15"/>
  <c r="N14" i="15" s="1" a="1"/>
  <c r="M15" i="15"/>
  <c r="N15" i="15" s="1" a="1"/>
  <c r="M16" i="15"/>
  <c r="N16" i="15" s="1" a="1"/>
  <c r="M17" i="15"/>
  <c r="N17" i="15" s="1" a="1"/>
  <c r="M18" i="15"/>
  <c r="N18" i="15" s="1" a="1"/>
  <c r="M38" i="15"/>
  <c r="N38" i="15" s="1" a="1"/>
  <c r="M39" i="15"/>
  <c r="N39" i="15" s="1" a="1"/>
  <c r="M40" i="15"/>
  <c r="N40" i="15" s="1" a="1"/>
  <c r="M41" i="15"/>
  <c r="N41" i="15" s="1" a="1"/>
  <c r="M62" i="15"/>
  <c r="N62" i="15" s="1" a="1"/>
  <c r="M63" i="15"/>
  <c r="N63" i="15" s="1" a="1"/>
  <c r="M64" i="15"/>
  <c r="N64" i="15" s="1" a="1"/>
  <c r="M65" i="15"/>
  <c r="N65" i="15" s="1" a="1"/>
  <c r="N11" i="15" a="1"/>
  <c r="N12" i="15" a="1"/>
  <c r="N13" i="15" a="1"/>
  <c r="N71" i="15" a="1"/>
  <c r="N72" i="15" a="1"/>
  <c r="N75" i="15" a="1"/>
  <c r="P9" i="15"/>
  <c r="M9" i="15" s="1"/>
  <c r="N9" i="15" s="1" a="1"/>
  <c r="P10" i="15"/>
  <c r="M10" i="15" s="1"/>
  <c r="N10" i="15" s="1" a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P20" i="15"/>
  <c r="M20" i="15" s="1"/>
  <c r="N20" i="15" s="1" a="1"/>
  <c r="P21" i="15"/>
  <c r="M21" i="15" s="1"/>
  <c r="N21" i="15" s="1" a="1"/>
  <c r="P22" i="15"/>
  <c r="M22" i="15" s="1"/>
  <c r="N22" i="15" s="1" a="1"/>
  <c r="P23" i="15"/>
  <c r="M23" i="15" s="1"/>
  <c r="N23" i="15" s="1" a="1"/>
  <c r="P24" i="15"/>
  <c r="M24" i="15" s="1"/>
  <c r="N24" i="15" s="1" a="1"/>
  <c r="P25" i="15"/>
  <c r="M25" i="15" s="1"/>
  <c r="N25" i="15" s="1" a="1"/>
  <c r="P26" i="15"/>
  <c r="M26" i="15" s="1"/>
  <c r="N26" i="15" s="1" a="1"/>
  <c r="P27" i="15"/>
  <c r="M27" i="15" s="1"/>
  <c r="N27" i="15" s="1" a="1"/>
  <c r="P28" i="15"/>
  <c r="M28" i="15" s="1"/>
  <c r="N28" i="15" s="1" a="1"/>
  <c r="P29" i="15"/>
  <c r="M29" i="15" s="1"/>
  <c r="N29" i="15" s="1" a="1"/>
  <c r="P30" i="15"/>
  <c r="M30" i="15" s="1"/>
  <c r="N30" i="15" s="1" a="1"/>
  <c r="P31" i="15"/>
  <c r="M31" i="15" s="1"/>
  <c r="N31" i="15" s="1" a="1"/>
  <c r="P32" i="15"/>
  <c r="M32" i="15" s="1"/>
  <c r="N32" i="15" s="1" a="1"/>
  <c r="P33" i="15"/>
  <c r="M33" i="15" s="1"/>
  <c r="N33" i="15" s="1" a="1"/>
  <c r="P34" i="15"/>
  <c r="M34" i="15" s="1"/>
  <c r="N34" i="15" s="1" a="1"/>
  <c r="P35" i="15"/>
  <c r="M35" i="15" s="1"/>
  <c r="N35" i="15" s="1" a="1"/>
  <c r="P36" i="15"/>
  <c r="M36" i="15" s="1"/>
  <c r="N36" i="15" s="1" a="1"/>
  <c r="P37" i="15"/>
  <c r="M37" i="15" s="1"/>
  <c r="N37" i="15" s="1" a="1"/>
  <c r="P38" i="15"/>
  <c r="P39" i="15"/>
  <c r="P40" i="15"/>
  <c r="P41" i="15"/>
  <c r="P42" i="15"/>
  <c r="M42" i="15" s="1"/>
  <c r="N42" i="15" s="1" a="1"/>
  <c r="P43" i="15"/>
  <c r="M43" i="15" s="1"/>
  <c r="N43" i="15" s="1" a="1"/>
  <c r="P44" i="15"/>
  <c r="M44" i="15" s="1"/>
  <c r="N44" i="15" s="1" a="1"/>
  <c r="P45" i="15"/>
  <c r="M45" i="15" s="1"/>
  <c r="N45" i="15" s="1" a="1"/>
  <c r="P46" i="15"/>
  <c r="M46" i="15" s="1"/>
  <c r="N46" i="15" s="1" a="1"/>
  <c r="P47" i="15"/>
  <c r="M47" i="15" s="1"/>
  <c r="N47" i="15" s="1" a="1"/>
  <c r="P48" i="15"/>
  <c r="M48" i="15" s="1"/>
  <c r="N48" i="15" s="1" a="1"/>
  <c r="P49" i="15"/>
  <c r="M49" i="15" s="1"/>
  <c r="N49" i="15" s="1" a="1"/>
  <c r="P50" i="15"/>
  <c r="M50" i="15" s="1"/>
  <c r="N50" i="15" s="1" a="1"/>
  <c r="P51" i="15"/>
  <c r="M51" i="15" s="1"/>
  <c r="N51" i="15" s="1" a="1"/>
  <c r="P52" i="15"/>
  <c r="M52" i="15" s="1"/>
  <c r="N52" i="15" s="1" a="1"/>
  <c r="P53" i="15"/>
  <c r="M53" i="15" s="1"/>
  <c r="N53" i="15" s="1" a="1"/>
  <c r="P54" i="15"/>
  <c r="M54" i="15" s="1"/>
  <c r="N54" i="15" s="1" a="1"/>
  <c r="P55" i="15"/>
  <c r="M55" i="15" s="1"/>
  <c r="N55" i="15" s="1" a="1"/>
  <c r="P56" i="15"/>
  <c r="M56" i="15" s="1"/>
  <c r="N56" i="15" s="1" a="1"/>
  <c r="P57" i="15"/>
  <c r="M57" i="15" s="1"/>
  <c r="N57" i="15" s="1" a="1"/>
  <c r="P58" i="15"/>
  <c r="M58" i="15" s="1"/>
  <c r="N58" i="15" s="1" a="1"/>
  <c r="P59" i="15"/>
  <c r="M59" i="15" s="1"/>
  <c r="N59" i="15" s="1" a="1"/>
  <c r="P60" i="15"/>
  <c r="M60" i="15" s="1"/>
  <c r="N60" i="15" s="1" a="1"/>
  <c r="P61" i="15"/>
  <c r="M61" i="15" s="1"/>
  <c r="N61" i="15" s="1" a="1"/>
  <c r="P62" i="15"/>
  <c r="P63" i="15"/>
  <c r="P64" i="15"/>
  <c r="P65" i="15"/>
  <c r="P66" i="15"/>
  <c r="M66" i="15" s="1"/>
  <c r="N66" i="15" s="1" a="1"/>
  <c r="P67" i="15"/>
  <c r="M67" i="15" s="1"/>
  <c r="N67" i="15" s="1" a="1"/>
  <c r="P68" i="15"/>
  <c r="M68" i="15" s="1"/>
  <c r="N68" i="15" s="1" a="1"/>
  <c r="P69" i="15"/>
  <c r="M69" i="15" s="1"/>
  <c r="N69" i="15" s="1" a="1"/>
  <c r="P70" i="15"/>
  <c r="M70" i="15" s="1"/>
  <c r="N70" i="15" s="1" a="1"/>
  <c r="P71" i="15"/>
  <c r="M71" i="15" s="1"/>
  <c r="P72" i="15"/>
  <c r="M72" i="15" s="1"/>
  <c r="P73" i="15"/>
  <c r="M73" i="15" s="1"/>
  <c r="N73" i="15" s="1" a="1"/>
  <c r="P74" i="15"/>
  <c r="M74" i="15" s="1"/>
  <c r="N74" i="15" s="1" a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O50" i="17" l="1"/>
  <c r="O51" i="17"/>
  <c r="O52" i="17"/>
  <c r="E43" i="17"/>
  <c r="E42" i="17"/>
  <c r="E37" i="17"/>
  <c r="O56" i="17" s="1"/>
  <c r="E15" i="17"/>
  <c r="E16" i="17"/>
  <c r="E33" i="17"/>
  <c r="E34" i="17"/>
  <c r="E36" i="17"/>
  <c r="O55" i="17" s="1"/>
  <c r="E35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M28" i="32"/>
  <c r="N28" i="32" s="1" a="1"/>
  <c r="M40" i="32"/>
  <c r="N40" i="32" s="1" a="1"/>
  <c r="M52" i="32"/>
  <c r="N52" i="32" s="1" a="1"/>
  <c r="M68" i="32"/>
  <c r="N68" i="32" s="1" a="1"/>
  <c r="M18" i="32"/>
  <c r="N18" i="32" s="1" a="1"/>
  <c r="M29" i="32"/>
  <c r="N29" i="32" s="1" a="1"/>
  <c r="M41" i="32"/>
  <c r="N41" i="32" s="1" a="1"/>
  <c r="M53" i="32"/>
  <c r="N53" i="32" s="1" a="1"/>
  <c r="M67" i="32"/>
  <c r="N67" i="32" s="1" a="1"/>
  <c r="M19" i="32"/>
  <c r="N19" i="32" s="1" a="1"/>
  <c r="M30" i="32"/>
  <c r="N30" i="32" s="1" a="1"/>
  <c r="M42" i="32"/>
  <c r="N42" i="32" s="1" a="1"/>
  <c r="M54" i="32"/>
  <c r="N54" i="32" s="1" a="1"/>
  <c r="M78" i="32"/>
  <c r="N78" i="32" s="1" a="1"/>
  <c r="M66" i="32"/>
  <c r="N66" i="32" s="1" a="1"/>
  <c r="M20" i="32"/>
  <c r="N20" i="32" s="1" a="1"/>
  <c r="M31" i="32"/>
  <c r="N31" i="32" s="1" a="1"/>
  <c r="M43" i="32"/>
  <c r="N43" i="32" s="1" a="1"/>
  <c r="M55" i="32"/>
  <c r="N55" i="32" s="1" a="1"/>
  <c r="M77" i="32"/>
  <c r="N77" i="32" s="1" a="1"/>
  <c r="M65" i="32"/>
  <c r="N65" i="32" s="1" a="1"/>
  <c r="M32" i="32"/>
  <c r="N32" i="32" s="1" a="1"/>
  <c r="M44" i="32"/>
  <c r="N44" i="32" s="1" a="1"/>
  <c r="M56" i="32"/>
  <c r="N56" i="32" s="1" a="1"/>
  <c r="M76" i="32"/>
  <c r="N76" i="32" s="1" a="1"/>
  <c r="M64" i="32"/>
  <c r="N64" i="32" s="1" a="1"/>
  <c r="M12" i="32"/>
  <c r="N12" i="32" s="1" a="1"/>
  <c r="M75" i="32"/>
  <c r="N75" i="32" s="1" a="1"/>
  <c r="M63" i="32"/>
  <c r="N63" i="32" s="1" a="1"/>
  <c r="M34" i="32"/>
  <c r="N34" i="32" s="1" a="1"/>
  <c r="M46" i="32"/>
  <c r="N46" i="32" s="1" a="1"/>
  <c r="M58" i="32"/>
  <c r="N58" i="32" s="1" a="1"/>
  <c r="M74" i="32"/>
  <c r="N74" i="32" s="1" a="1"/>
  <c r="M62" i="32"/>
  <c r="N62" i="32" s="1" a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M75" i="31"/>
  <c r="N75" i="31" s="1" a="1"/>
  <c r="M63" i="31"/>
  <c r="N63" i="31" s="1" a="1"/>
  <c r="M20" i="31"/>
  <c r="N20" i="31" s="1" a="1"/>
  <c r="M42" i="31"/>
  <c r="N42" i="31" s="1" a="1"/>
  <c r="M54" i="31"/>
  <c r="N54" i="31" s="1" a="1"/>
  <c r="M74" i="31"/>
  <c r="N74" i="31" s="1" a="1"/>
  <c r="M62" i="31"/>
  <c r="N62" i="31" s="1" a="1"/>
  <c r="M71" i="31"/>
  <c r="N71" i="31" s="1" a="1"/>
  <c r="M59" i="31"/>
  <c r="N59" i="31" s="1" a="1"/>
  <c r="M31" i="31"/>
  <c r="N31" i="31" s="1" a="1"/>
  <c r="M43" i="31"/>
  <c r="N43" i="31" s="1" a="1"/>
  <c r="M55" i="31"/>
  <c r="N55" i="31" s="1" a="1"/>
  <c r="M32" i="31"/>
  <c r="N32" i="31" s="1" a="1"/>
  <c r="M44" i="31"/>
  <c r="N44" i="31" s="1" a="1"/>
  <c r="M56" i="31"/>
  <c r="N56" i="31" s="1" a="1"/>
  <c r="M14" i="31"/>
  <c r="N14" i="31" s="1" a="1"/>
  <c r="M82" i="31"/>
  <c r="N82" i="31" s="1" a="1"/>
  <c r="M70" i="31"/>
  <c r="N70" i="31" s="1" a="1"/>
  <c r="C27" i="31"/>
  <c r="D27" i="31" s="1"/>
  <c r="M26" i="31"/>
  <c r="N26" i="31" s="1" a="1"/>
  <c r="M80" i="31"/>
  <c r="N80" i="31" s="1" a="1"/>
  <c r="M68" i="31"/>
  <c r="N68" i="31" s="1" a="1"/>
  <c r="M15" i="31"/>
  <c r="N15" i="31" s="1" a="1"/>
  <c r="M27" i="31"/>
  <c r="N27" i="31" s="1" a="1"/>
  <c r="M79" i="31"/>
  <c r="N79" i="31" s="1" a="1"/>
  <c r="M67" i="31"/>
  <c r="N67" i="31" s="1" a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M64" i="16"/>
  <c r="N64" i="16" s="1" a="1"/>
  <c r="M82" i="16"/>
  <c r="N82" i="16" s="1" a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M40" i="14"/>
  <c r="N40" i="14" s="1" a="1"/>
  <c r="M44" i="14"/>
  <c r="N44" i="14" s="1" a="1"/>
  <c r="M45" i="14"/>
  <c r="N45" i="14" s="1" a="1"/>
  <c r="M55" i="14"/>
  <c r="N55" i="14" s="1" a="1"/>
  <c r="P9" i="14"/>
  <c r="M9" i="14" s="1"/>
  <c r="N9" i="14" s="1" a="1"/>
  <c r="P10" i="14"/>
  <c r="M10" i="14" s="1"/>
  <c r="N10" i="14" s="1" a="1"/>
  <c r="P11" i="14"/>
  <c r="M11" i="14" s="1"/>
  <c r="N11" i="14" s="1" a="1"/>
  <c r="P12" i="14"/>
  <c r="M12" i="14" s="1"/>
  <c r="N12" i="14" s="1" a="1"/>
  <c r="P13" i="14"/>
  <c r="M13" i="14" s="1"/>
  <c r="N13" i="14" s="1" a="1"/>
  <c r="P14" i="14"/>
  <c r="M14" i="14" s="1"/>
  <c r="N14" i="14" s="1" a="1"/>
  <c r="P15" i="14"/>
  <c r="M15" i="14" s="1"/>
  <c r="N15" i="14" s="1" a="1"/>
  <c r="P16" i="14"/>
  <c r="M16" i="14" s="1"/>
  <c r="N16" i="14" s="1" a="1"/>
  <c r="P17" i="14"/>
  <c r="M17" i="14" s="1"/>
  <c r="N17" i="14" s="1" a="1"/>
  <c r="P18" i="14"/>
  <c r="P19" i="14"/>
  <c r="M19" i="14" s="1"/>
  <c r="N19" i="14" s="1" a="1"/>
  <c r="P20" i="14"/>
  <c r="M20" i="14" s="1"/>
  <c r="N20" i="14" s="1" a="1"/>
  <c r="P21" i="14"/>
  <c r="M21" i="14" s="1"/>
  <c r="N21" i="14" s="1" a="1"/>
  <c r="P22" i="14"/>
  <c r="M22" i="14" s="1"/>
  <c r="N22" i="14" s="1" a="1"/>
  <c r="P23" i="14"/>
  <c r="M23" i="14" s="1"/>
  <c r="N23" i="14" s="1" a="1"/>
  <c r="P24" i="14"/>
  <c r="M24" i="14" s="1"/>
  <c r="N24" i="14" s="1" a="1"/>
  <c r="P25" i="14"/>
  <c r="M25" i="14" s="1"/>
  <c r="N25" i="14" s="1" a="1"/>
  <c r="P26" i="14"/>
  <c r="M26" i="14" s="1"/>
  <c r="N26" i="14" s="1" a="1"/>
  <c r="P27" i="14"/>
  <c r="M27" i="14" s="1"/>
  <c r="N27" i="14" s="1" a="1"/>
  <c r="P28" i="14"/>
  <c r="M28" i="14" s="1"/>
  <c r="N28" i="14" s="1" a="1"/>
  <c r="P29" i="14"/>
  <c r="M29" i="14" s="1"/>
  <c r="N29" i="14" s="1" a="1"/>
  <c r="P30" i="14"/>
  <c r="M30" i="14" s="1"/>
  <c r="N30" i="14" s="1" a="1"/>
  <c r="P31" i="14"/>
  <c r="M31" i="14" s="1"/>
  <c r="N31" i="14" s="1" a="1"/>
  <c r="P32" i="14"/>
  <c r="M32" i="14" s="1"/>
  <c r="N32" i="14" s="1" a="1"/>
  <c r="P33" i="14"/>
  <c r="M33" i="14" s="1"/>
  <c r="N33" i="14" s="1" a="1"/>
  <c r="P34" i="14"/>
  <c r="M34" i="14" s="1"/>
  <c r="N34" i="14" s="1" a="1"/>
  <c r="P35" i="14"/>
  <c r="M35" i="14" s="1"/>
  <c r="N35" i="14" s="1" a="1"/>
  <c r="P36" i="14"/>
  <c r="M36" i="14" s="1"/>
  <c r="N36" i="14" s="1" a="1"/>
  <c r="P37" i="14"/>
  <c r="M37" i="14" s="1"/>
  <c r="N37" i="14" s="1" a="1"/>
  <c r="P38" i="14"/>
  <c r="M38" i="14" s="1"/>
  <c r="N38" i="14" s="1" a="1"/>
  <c r="P39" i="14"/>
  <c r="M39" i="14" s="1"/>
  <c r="N39" i="14" s="1" a="1"/>
  <c r="P40" i="14"/>
  <c r="P41" i="14"/>
  <c r="M41" i="14" s="1"/>
  <c r="N41" i="14" s="1" a="1"/>
  <c r="P42" i="14"/>
  <c r="M42" i="14" s="1"/>
  <c r="N42" i="14" s="1" a="1"/>
  <c r="P43" i="14"/>
  <c r="M43" i="14" s="1"/>
  <c r="N43" i="14" s="1" a="1"/>
  <c r="P44" i="14"/>
  <c r="P45" i="14"/>
  <c r="P46" i="14"/>
  <c r="M46" i="14" s="1"/>
  <c r="N46" i="14" s="1" a="1"/>
  <c r="P47" i="14"/>
  <c r="M47" i="14" s="1"/>
  <c r="N47" i="14" s="1" a="1"/>
  <c r="P48" i="14"/>
  <c r="M48" i="14" s="1"/>
  <c r="N48" i="14" s="1" a="1"/>
  <c r="P49" i="14"/>
  <c r="M49" i="14" s="1"/>
  <c r="N49" i="14" s="1" a="1"/>
  <c r="P50" i="14"/>
  <c r="M50" i="14" s="1"/>
  <c r="N50" i="14" s="1" a="1"/>
  <c r="P51" i="14"/>
  <c r="M51" i="14" s="1"/>
  <c r="N51" i="14" s="1" a="1"/>
  <c r="P52" i="14"/>
  <c r="M52" i="14" s="1"/>
  <c r="N52" i="14" s="1" a="1"/>
  <c r="P53" i="14"/>
  <c r="M53" i="14" s="1"/>
  <c r="N53" i="14" s="1" a="1"/>
  <c r="P54" i="14"/>
  <c r="M54" i="14" s="1"/>
  <c r="N54" i="14" s="1" a="1"/>
  <c r="P55" i="14"/>
  <c r="P56" i="14"/>
  <c r="M56" i="14" s="1"/>
  <c r="N56" i="14" s="1" a="1"/>
  <c r="P57" i="14"/>
  <c r="M57" i="14" s="1"/>
  <c r="N57" i="14" s="1" a="1"/>
  <c r="P58" i="14"/>
  <c r="M58" i="14" s="1"/>
  <c r="N58" i="14" s="1" a="1"/>
  <c r="P59" i="14"/>
  <c r="M59" i="14" s="1"/>
  <c r="N59" i="14" s="1" a="1"/>
  <c r="P60" i="14"/>
  <c r="M60" i="14" s="1"/>
  <c r="N60" i="14" s="1" a="1"/>
  <c r="P61" i="14"/>
  <c r="M61" i="14" s="1"/>
  <c r="N61" i="14" s="1" a="1"/>
  <c r="P62" i="14"/>
  <c r="M62" i="14" s="1"/>
  <c r="N62" i="14" s="1" a="1"/>
  <c r="P63" i="14"/>
  <c r="M63" i="14" s="1"/>
  <c r="N63" i="14" s="1" a="1"/>
  <c r="P64" i="14"/>
  <c r="M64" i="14" s="1"/>
  <c r="N64" i="14" s="1" a="1"/>
  <c r="P65" i="14"/>
  <c r="M65" i="14" s="1"/>
  <c r="N65" i="14" s="1" a="1"/>
  <c r="P66" i="14"/>
  <c r="M66" i="14" s="1"/>
  <c r="N66" i="14" s="1" a="1"/>
  <c r="P67" i="14"/>
  <c r="M67" i="14" s="1"/>
  <c r="N67" i="14" s="1" a="1"/>
  <c r="P68" i="14"/>
  <c r="M68" i="14" s="1"/>
  <c r="N68" i="14" s="1" a="1"/>
  <c r="P69" i="14"/>
  <c r="M69" i="14" s="1"/>
  <c r="N69" i="14" s="1" a="1"/>
  <c r="P70" i="14"/>
  <c r="M70" i="14" s="1"/>
  <c r="N70" i="14" s="1" a="1"/>
  <c r="P71" i="14"/>
  <c r="M71" i="14" s="1"/>
  <c r="N71" i="14" s="1" a="1"/>
  <c r="P72" i="14"/>
  <c r="M72" i="14" s="1"/>
  <c r="N72" i="14" s="1" a="1"/>
  <c r="P73" i="14"/>
  <c r="M73" i="14" s="1"/>
  <c r="N73" i="14" s="1" a="1"/>
  <c r="P74" i="14"/>
  <c r="M74" i="14" s="1"/>
  <c r="N74" i="14" s="1" a="1"/>
  <c r="P75" i="14"/>
  <c r="M75" i="14" s="1"/>
  <c r="N75" i="14" s="1" a="1"/>
  <c r="P76" i="14"/>
  <c r="M76" i="14" s="1"/>
  <c r="N76" i="14" s="1" a="1"/>
  <c r="P77" i="14"/>
  <c r="M77" i="14" s="1"/>
  <c r="N77" i="14" s="1" a="1"/>
  <c r="P78" i="14"/>
  <c r="M78" i="14" s="1"/>
  <c r="N78" i="14" s="1" a="1"/>
  <c r="P79" i="14"/>
  <c r="M79" i="14" s="1"/>
  <c r="N79" i="14" s="1" a="1"/>
  <c r="P80" i="14"/>
  <c r="M80" i="14" s="1"/>
  <c r="N80" i="14" s="1" a="1"/>
  <c r="P81" i="14"/>
  <c r="M81" i="14" s="1"/>
  <c r="N81" i="14" s="1" a="1"/>
  <c r="P82" i="14"/>
  <c r="M82" i="14" s="1"/>
  <c r="N82" i="14" s="1" a="1"/>
  <c r="P83" i="14"/>
  <c r="M83" i="14" s="1"/>
  <c r="N83" i="14" s="1" a="1"/>
  <c r="P84" i="14"/>
  <c r="M84" i="14" s="1"/>
  <c r="N84" i="14" s="1" a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P16" i="23"/>
  <c r="M16" i="23" s="1"/>
  <c r="N16" i="23" s="1" a="1"/>
  <c r="P17" i="23"/>
  <c r="M17" i="23" s="1"/>
  <c r="N17" i="23" s="1" a="1"/>
  <c r="P18" i="23"/>
  <c r="M18" i="23" s="1"/>
  <c r="N18" i="23" s="1" a="1"/>
  <c r="P19" i="23"/>
  <c r="M19" i="23" s="1"/>
  <c r="N19" i="23" s="1" a="1"/>
  <c r="P20" i="23"/>
  <c r="M20" i="23" s="1"/>
  <c r="N20" i="23" s="1" a="1"/>
  <c r="P28" i="23"/>
  <c r="M28" i="23" s="1"/>
  <c r="N28" i="23" s="1" a="1"/>
  <c r="P30" i="23"/>
  <c r="M30" i="23" s="1"/>
  <c r="N30" i="23" s="1" a="1"/>
  <c r="P31" i="23"/>
  <c r="M31" i="23" s="1"/>
  <c r="N31" i="23" s="1" a="1"/>
  <c r="P32" i="23"/>
  <c r="M32" i="23" s="1"/>
  <c r="N32" i="23" s="1" a="1"/>
  <c r="P36" i="23"/>
  <c r="M36" i="23" s="1"/>
  <c r="N36" i="23" s="1" a="1"/>
  <c r="P39" i="23"/>
  <c r="M39" i="23" s="1"/>
  <c r="N39" i="23" s="1" a="1"/>
  <c r="P40" i="23"/>
  <c r="M40" i="23" s="1"/>
  <c r="N40" i="23" s="1" a="1"/>
  <c r="P41" i="23"/>
  <c r="M41" i="23" s="1"/>
  <c r="N41" i="23" s="1" a="1"/>
  <c r="P42" i="23"/>
  <c r="M42" i="23" s="1"/>
  <c r="N42" i="23" s="1" a="1"/>
  <c r="P43" i="23"/>
  <c r="M43" i="23" s="1"/>
  <c r="N43" i="23" s="1" a="1"/>
  <c r="P44" i="23"/>
  <c r="M44" i="23" s="1"/>
  <c r="N44" i="23" s="1" a="1"/>
  <c r="P55" i="23"/>
  <c r="M55" i="23" s="1"/>
  <c r="N55" i="23" s="1" a="1"/>
  <c r="P56" i="23"/>
  <c r="M56" i="23" s="1"/>
  <c r="N56" i="23" s="1" a="1"/>
  <c r="P24" i="23"/>
  <c r="M24" i="23" s="1"/>
  <c r="N24" i="23" s="1" a="1"/>
  <c r="P25" i="23"/>
  <c r="M25" i="23" s="1"/>
  <c r="N25" i="23" s="1" a="1"/>
  <c r="P26" i="23"/>
  <c r="M26" i="23" s="1"/>
  <c r="N26" i="23" s="1" a="1"/>
  <c r="P27" i="23"/>
  <c r="M27" i="23" s="1"/>
  <c r="N27" i="23" s="1" a="1"/>
  <c r="P49" i="23"/>
  <c r="M49" i="23" s="1"/>
  <c r="N49" i="23" s="1" a="1"/>
  <c r="P50" i="23"/>
  <c r="M50" i="23" s="1"/>
  <c r="N50" i="23" s="1" a="1"/>
  <c r="P52" i="23"/>
  <c r="M52" i="23" s="1"/>
  <c r="N52" i="23" s="1" a="1"/>
  <c r="P54" i="23"/>
  <c r="M54" i="23" s="1"/>
  <c r="N54" i="23" s="1" a="1"/>
  <c r="P38" i="23"/>
  <c r="M38" i="23" s="1"/>
  <c r="N38" i="23" s="1" a="1"/>
  <c r="P15" i="23"/>
  <c r="M15" i="23" s="1"/>
  <c r="N15" i="23" s="1" a="1"/>
  <c r="P33" i="23"/>
  <c r="M33" i="23" s="1"/>
  <c r="N33" i="23" s="1" a="1"/>
  <c r="P53" i="23"/>
  <c r="M53" i="23" s="1"/>
  <c r="N53" i="23" s="1" a="1"/>
  <c r="P48" i="23"/>
  <c r="M48" i="23" s="1"/>
  <c r="N48" i="23" s="1" a="1"/>
  <c r="P9" i="23"/>
  <c r="M9" i="23" s="1"/>
  <c r="N9" i="23" s="1" a="1"/>
  <c r="P21" i="23"/>
  <c r="M21" i="23" s="1"/>
  <c r="N21" i="23" s="1" a="1"/>
  <c r="P58" i="23"/>
  <c r="M58" i="23" s="1"/>
  <c r="N58" i="23" s="1" a="1"/>
  <c r="P34" i="23"/>
  <c r="M34" i="23" s="1"/>
  <c r="N34" i="23" s="1" a="1"/>
  <c r="P23" i="23"/>
  <c r="M23" i="23" s="1"/>
  <c r="N23" i="23" s="1" a="1"/>
  <c r="P35" i="23"/>
  <c r="M35" i="23" s="1"/>
  <c r="N35" i="23" s="1" a="1"/>
  <c r="P46" i="23"/>
  <c r="M46" i="23" s="1"/>
  <c r="N46" i="23" s="1" a="1"/>
  <c r="P22" i="23"/>
  <c r="M22" i="23" s="1"/>
  <c r="N22" i="23" s="1" a="1"/>
  <c r="P47" i="23"/>
  <c r="M47" i="23" s="1"/>
  <c r="N47" i="23" s="1" a="1"/>
  <c r="P13" i="23"/>
  <c r="M13" i="23" s="1"/>
  <c r="N13" i="23" s="1" a="1"/>
  <c r="P45" i="23"/>
  <c r="M45" i="23" s="1"/>
  <c r="N45" i="23" s="1" a="1"/>
  <c r="P59" i="23"/>
  <c r="M59" i="23" s="1"/>
  <c r="N59" i="23" s="1" a="1"/>
  <c r="P51" i="23"/>
  <c r="M51" i="23" s="1"/>
  <c r="N51" i="23" s="1" a="1"/>
  <c r="P37" i="23"/>
  <c r="M37" i="23" s="1"/>
  <c r="N37" i="23" s="1" a="1"/>
  <c r="P57" i="23"/>
  <c r="M57" i="23" s="1"/>
  <c r="N57" i="23" s="1" a="1"/>
  <c r="P11" i="23"/>
  <c r="M11" i="23" s="1"/>
  <c r="N11" i="23" s="1" a="1"/>
  <c r="P10" i="23"/>
  <c r="M10" i="23" s="1"/>
  <c r="N10" i="23" s="1" a="1"/>
  <c r="P29" i="23"/>
  <c r="M29" i="23" s="1"/>
  <c r="N29" i="23" s="1" a="1"/>
  <c r="P14" i="23"/>
  <c r="M14" i="23" s="1"/>
  <c r="N14" i="23" s="1" a="1"/>
  <c r="P14" i="21"/>
  <c r="M14" i="21" s="1"/>
  <c r="N14" i="21" s="1" a="1"/>
  <c r="P15" i="21"/>
  <c r="M15" i="21" s="1"/>
  <c r="N15" i="21" s="1" a="1"/>
  <c r="P16" i="21"/>
  <c r="M16" i="21" s="1"/>
  <c r="N16" i="21" s="1" a="1"/>
  <c r="P17" i="21"/>
  <c r="M17" i="21" s="1"/>
  <c r="N17" i="21" s="1" a="1"/>
  <c r="P18" i="21"/>
  <c r="M18" i="21" s="1"/>
  <c r="N18" i="21" s="1" a="1"/>
  <c r="P19" i="21"/>
  <c r="M19" i="21" s="1"/>
  <c r="N19" i="21" s="1" a="1"/>
  <c r="P20" i="21"/>
  <c r="M20" i="21" s="1"/>
  <c r="N20" i="21" s="1" a="1"/>
  <c r="P30" i="21"/>
  <c r="M30" i="21" s="1"/>
  <c r="N30" i="21" s="1" a="1"/>
  <c r="P32" i="21"/>
  <c r="M32" i="21" s="1"/>
  <c r="N32" i="21" s="1" a="1"/>
  <c r="P38" i="21"/>
  <c r="M38" i="21" s="1"/>
  <c r="N38" i="21" s="1" a="1"/>
  <c r="P39" i="21"/>
  <c r="M39" i="21" s="1"/>
  <c r="N39" i="21" s="1" a="1"/>
  <c r="P40" i="21"/>
  <c r="M40" i="21" s="1"/>
  <c r="N40" i="21" s="1" a="1"/>
  <c r="P41" i="21"/>
  <c r="M41" i="21" s="1"/>
  <c r="N41" i="21" s="1" a="1"/>
  <c r="P42" i="21"/>
  <c r="M42" i="21" s="1"/>
  <c r="N42" i="21" s="1" a="1"/>
  <c r="P43" i="21"/>
  <c r="M43" i="21" s="1"/>
  <c r="N43" i="21" s="1" a="1"/>
  <c r="P44" i="21"/>
  <c r="M44" i="21" s="1"/>
  <c r="N44" i="21" s="1" a="1"/>
  <c r="P48" i="21"/>
  <c r="M48" i="21" s="1"/>
  <c r="N48" i="21" s="1" a="1"/>
  <c r="P49" i="21"/>
  <c r="M49" i="21" s="1"/>
  <c r="N49" i="21" s="1" a="1"/>
  <c r="P50" i="21"/>
  <c r="M50" i="21" s="1"/>
  <c r="N50" i="21" s="1" a="1"/>
  <c r="P51" i="21"/>
  <c r="M51" i="21" s="1"/>
  <c r="N51" i="21" s="1" a="1"/>
  <c r="P53" i="21"/>
  <c r="M53" i="21" s="1"/>
  <c r="N53" i="21" s="1" a="1"/>
  <c r="P54" i="21"/>
  <c r="M54" i="21" s="1"/>
  <c r="N54" i="21" s="1" a="1"/>
  <c r="P55" i="21"/>
  <c r="M55" i="21" s="1"/>
  <c r="N55" i="21" s="1" a="1"/>
  <c r="P56" i="21"/>
  <c r="M56" i="21" s="1"/>
  <c r="N56" i="21" s="1" a="1"/>
  <c r="P64" i="21"/>
  <c r="M64" i="21" s="1"/>
  <c r="N64" i="21" s="1" a="1"/>
  <c r="P66" i="21"/>
  <c r="M66" i="21" s="1"/>
  <c r="N66" i="21" s="1" a="1"/>
  <c r="P25" i="21"/>
  <c r="M25" i="21" s="1"/>
  <c r="N25" i="21" s="1" a="1"/>
  <c r="P26" i="21"/>
  <c r="M26" i="21" s="1"/>
  <c r="N26" i="21" s="1" a="1"/>
  <c r="P28" i="21"/>
  <c r="M28" i="21" s="1"/>
  <c r="N28" i="21" s="1" a="1"/>
  <c r="P29" i="21"/>
  <c r="M29" i="21" s="1"/>
  <c r="N29" i="21" s="1" a="1"/>
  <c r="P31" i="21"/>
  <c r="M31" i="21" s="1"/>
  <c r="N31" i="21" s="1" a="1"/>
  <c r="P67" i="21"/>
  <c r="M67" i="21" s="1"/>
  <c r="N67" i="21" s="1" a="1"/>
  <c r="P68" i="21"/>
  <c r="M68" i="21" s="1"/>
  <c r="N68" i="21" s="1" a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P47" i="21"/>
  <c r="M47" i="21" s="1"/>
  <c r="N47" i="21" s="1" a="1"/>
  <c r="P57" i="21"/>
  <c r="M57" i="21" s="1"/>
  <c r="N57" i="21" s="1" a="1"/>
  <c r="P12" i="21"/>
  <c r="M12" i="21" s="1"/>
  <c r="N12" i="21" s="1" a="1"/>
  <c r="P58" i="21"/>
  <c r="M58" i="21" s="1"/>
  <c r="N58" i="21" s="1" a="1"/>
  <c r="P36" i="21"/>
  <c r="M36" i="21" s="1"/>
  <c r="N36" i="21" s="1" a="1"/>
  <c r="P10" i="21"/>
  <c r="M10" i="21" s="1"/>
  <c r="N10" i="21" s="1" a="1"/>
  <c r="P60" i="21"/>
  <c r="M60" i="21" s="1"/>
  <c r="N60" i="21" s="1" a="1"/>
  <c r="P45" i="21"/>
  <c r="M45" i="21" s="1"/>
  <c r="N45" i="21" s="1" a="1"/>
  <c r="P37" i="21"/>
  <c r="M37" i="21" s="1"/>
  <c r="N37" i="21" s="1" a="1"/>
  <c r="P9" i="21"/>
  <c r="M9" i="21" s="1"/>
  <c r="N9" i="21" s="1" a="1"/>
  <c r="P27" i="21"/>
  <c r="M27" i="21" s="1"/>
  <c r="N27" i="21" s="1" a="1"/>
  <c r="P21" i="21"/>
  <c r="M21" i="21" s="1"/>
  <c r="N21" i="21" s="1" a="1"/>
  <c r="P65" i="21"/>
  <c r="M65" i="21" s="1"/>
  <c r="N65" i="21" s="1" a="1"/>
  <c r="P59" i="21"/>
  <c r="M59" i="21" s="1"/>
  <c r="N59" i="21" s="1" a="1"/>
  <c r="P24" i="21"/>
  <c r="M24" i="21" s="1"/>
  <c r="N24" i="21" s="1" a="1"/>
  <c r="P13" i="21"/>
  <c r="M13" i="21" s="1"/>
  <c r="N13" i="21" s="1" a="1"/>
  <c r="P63" i="21"/>
  <c r="M63" i="21" s="1"/>
  <c r="N63" i="21" s="1" a="1"/>
  <c r="P22" i="21"/>
  <c r="M22" i="21" s="1"/>
  <c r="N22" i="21" s="1" a="1"/>
  <c r="P11" i="21"/>
  <c r="M11" i="21" s="1"/>
  <c r="N11" i="21" s="1" a="1"/>
  <c r="P23" i="21"/>
  <c r="M23" i="21" s="1"/>
  <c r="N23" i="21" s="1" a="1"/>
  <c r="P46" i="21"/>
  <c r="M46" i="21" s="1"/>
  <c r="N46" i="21" s="1" a="1"/>
  <c r="P52" i="21"/>
  <c r="M52" i="21" s="1"/>
  <c r="N52" i="21" s="1" a="1"/>
  <c r="P34" i="21"/>
  <c r="M34" i="21" s="1"/>
  <c r="N34" i="21" s="1" a="1"/>
  <c r="P33" i="21"/>
  <c r="M33" i="21" s="1"/>
  <c r="N33" i="21" s="1" a="1"/>
  <c r="P35" i="21"/>
  <c r="M35" i="21" s="1"/>
  <c r="N35" i="21" s="1" a="1"/>
  <c r="P62" i="21"/>
  <c r="M62" i="21" s="1"/>
  <c r="N62" i="21" s="1" a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C89" i="10"/>
  <c r="D89" i="10" s="1"/>
  <c r="P88" i="10"/>
  <c r="M88" i="10" s="1"/>
  <c r="N88" i="10" s="1" a="1"/>
  <c r="C88" i="10"/>
  <c r="D88" i="10" s="1"/>
  <c r="P87" i="10"/>
  <c r="M87" i="10" s="1"/>
  <c r="N87" i="10" s="1" a="1"/>
  <c r="C87" i="10"/>
  <c r="D87" i="10" s="1"/>
  <c r="P86" i="10"/>
  <c r="M86" i="10" s="1"/>
  <c r="N86" i="10" s="1" a="1"/>
  <c r="C86" i="10"/>
  <c r="D86" i="10" s="1"/>
  <c r="P85" i="10"/>
  <c r="M85" i="10" s="1"/>
  <c r="N85" i="10" s="1" a="1"/>
  <c r="C85" i="10"/>
  <c r="D85" i="10" s="1"/>
  <c r="P84" i="10"/>
  <c r="M84" i="10" s="1"/>
  <c r="N84" i="10" s="1" a="1"/>
  <c r="C84" i="10"/>
  <c r="D84" i="10" s="1"/>
  <c r="P83" i="10"/>
  <c r="M83" i="10"/>
  <c r="N83" i="10" s="1" a="1"/>
  <c r="C83" i="10"/>
  <c r="D83" i="10" s="1"/>
  <c r="P82" i="10"/>
  <c r="M82" i="10" s="1"/>
  <c r="N82" i="10" s="1" a="1"/>
  <c r="C82" i="10"/>
  <c r="D82" i="10" s="1"/>
  <c r="P81" i="10"/>
  <c r="M81" i="10" s="1"/>
  <c r="N81" i="10" s="1" a="1"/>
  <c r="C81" i="10"/>
  <c r="D81" i="10" s="1"/>
  <c r="P80" i="10"/>
  <c r="M80" i="10" s="1"/>
  <c r="N80" i="10" s="1" a="1"/>
  <c r="C80" i="10"/>
  <c r="D80" i="10" s="1"/>
  <c r="P79" i="10"/>
  <c r="M79" i="10" s="1"/>
  <c r="N79" i="10" s="1" a="1"/>
  <c r="C79" i="10"/>
  <c r="D79" i="10" s="1"/>
  <c r="P78" i="10"/>
  <c r="M78" i="10" s="1"/>
  <c r="N78" i="10" s="1" a="1"/>
  <c r="C78" i="10"/>
  <c r="D78" i="10" s="1"/>
  <c r="P77" i="10"/>
  <c r="M77" i="10" s="1"/>
  <c r="N77" i="10" s="1" a="1"/>
  <c r="C77" i="10"/>
  <c r="D77" i="10" s="1"/>
  <c r="P76" i="10"/>
  <c r="M76" i="10" s="1"/>
  <c r="N76" i="10" s="1" a="1"/>
  <c r="C76" i="10"/>
  <c r="D76" i="10" s="1"/>
  <c r="P75" i="10"/>
  <c r="M75" i="10" s="1"/>
  <c r="N75" i="10" s="1" a="1"/>
  <c r="C75" i="10"/>
  <c r="D75" i="10" s="1"/>
  <c r="P74" i="10"/>
  <c r="M74" i="10" s="1"/>
  <c r="N74" i="10" s="1" a="1"/>
  <c r="C74" i="10"/>
  <c r="D74" i="10" s="1"/>
  <c r="P73" i="10"/>
  <c r="M73" i="10" s="1"/>
  <c r="N73" i="10" s="1" a="1"/>
  <c r="C73" i="10"/>
  <c r="D73" i="10" s="1"/>
  <c r="P72" i="10"/>
  <c r="M72" i="10" s="1"/>
  <c r="N72" i="10" s="1" a="1"/>
  <c r="C72" i="10"/>
  <c r="D72" i="10" s="1"/>
  <c r="P71" i="10"/>
  <c r="M71" i="10" s="1"/>
  <c r="N71" i="10" s="1" a="1"/>
  <c r="C71" i="10"/>
  <c r="D71" i="10" s="1"/>
  <c r="P70" i="10"/>
  <c r="M70" i="10" s="1"/>
  <c r="N70" i="10" s="1" a="1"/>
  <c r="C70" i="10"/>
  <c r="D70" i="10" s="1"/>
  <c r="P69" i="10"/>
  <c r="M69" i="10" s="1"/>
  <c r="N69" i="10" s="1" a="1"/>
  <c r="C69" i="10"/>
  <c r="D69" i="10" s="1"/>
  <c r="P68" i="10"/>
  <c r="M68" i="10" s="1"/>
  <c r="N68" i="10" s="1" a="1"/>
  <c r="C68" i="10"/>
  <c r="D68" i="10" s="1"/>
  <c r="P67" i="10"/>
  <c r="M67" i="10" s="1"/>
  <c r="N67" i="10" s="1" a="1"/>
  <c r="C67" i="10"/>
  <c r="D67" i="10" s="1"/>
  <c r="P66" i="10"/>
  <c r="M66" i="10" s="1"/>
  <c r="N66" i="10" s="1" a="1"/>
  <c r="C66" i="10"/>
  <c r="D66" i="10" s="1"/>
  <c r="P65" i="10"/>
  <c r="M65" i="10" s="1"/>
  <c r="N65" i="10" s="1" a="1"/>
  <c r="C65" i="10"/>
  <c r="D65" i="10" s="1"/>
  <c r="P64" i="10"/>
  <c r="M64" i="10" s="1"/>
  <c r="N64" i="10" s="1" a="1"/>
  <c r="C64" i="10"/>
  <c r="D64" i="10" s="1"/>
  <c r="P63" i="10"/>
  <c r="M63" i="10" s="1"/>
  <c r="N63" i="10" s="1" a="1"/>
  <c r="C63" i="10"/>
  <c r="D63" i="10" s="1"/>
  <c r="P62" i="10"/>
  <c r="M62" i="10" s="1"/>
  <c r="N62" i="10" s="1" a="1"/>
  <c r="C62" i="10"/>
  <c r="D62" i="10" s="1"/>
  <c r="P61" i="10"/>
  <c r="M61" i="10" s="1"/>
  <c r="N61" i="10" s="1" a="1"/>
  <c r="C61" i="10"/>
  <c r="D61" i="10" s="1"/>
  <c r="P60" i="10"/>
  <c r="M60" i="10" s="1"/>
  <c r="N60" i="10" s="1" a="1"/>
  <c r="C60" i="10"/>
  <c r="D60" i="10" s="1"/>
  <c r="P59" i="10"/>
  <c r="M59" i="10" s="1"/>
  <c r="N59" i="10" s="1" a="1"/>
  <c r="C59" i="10"/>
  <c r="D59" i="10" s="1"/>
  <c r="P58" i="10"/>
  <c r="M58" i="10" s="1"/>
  <c r="N58" i="10" s="1" a="1"/>
  <c r="C58" i="10"/>
  <c r="D58" i="10" s="1"/>
  <c r="P57" i="10"/>
  <c r="M57" i="10" s="1"/>
  <c r="N57" i="10" s="1" a="1"/>
  <c r="C57" i="10"/>
  <c r="D57" i="10" s="1"/>
  <c r="P56" i="10"/>
  <c r="M56" i="10" s="1"/>
  <c r="N56" i="10" s="1" a="1"/>
  <c r="C56" i="10"/>
  <c r="D56" i="10" s="1"/>
  <c r="P55" i="10"/>
  <c r="M55" i="10" s="1"/>
  <c r="N55" i="10" s="1" a="1"/>
  <c r="C55" i="10"/>
  <c r="D55" i="10" s="1"/>
  <c r="P54" i="10"/>
  <c r="M54" i="10" s="1"/>
  <c r="N54" i="10" s="1" a="1"/>
  <c r="C54" i="10"/>
  <c r="D54" i="10" s="1"/>
  <c r="P53" i="10"/>
  <c r="M53" i="10" s="1"/>
  <c r="N53" i="10" s="1" a="1"/>
  <c r="C53" i="10"/>
  <c r="D53" i="10" s="1"/>
  <c r="P52" i="10"/>
  <c r="M52" i="10" s="1"/>
  <c r="N52" i="10" s="1" a="1"/>
  <c r="C52" i="10"/>
  <c r="D52" i="10" s="1"/>
  <c r="P51" i="10"/>
  <c r="M51" i="10"/>
  <c r="N51" i="10" s="1" a="1"/>
  <c r="C51" i="10"/>
  <c r="D51" i="10" s="1"/>
  <c r="P50" i="10"/>
  <c r="M50" i="10" s="1"/>
  <c r="N50" i="10" s="1" a="1"/>
  <c r="C50" i="10"/>
  <c r="D50" i="10" s="1"/>
  <c r="P49" i="10"/>
  <c r="M49" i="10" s="1"/>
  <c r="N49" i="10" s="1" a="1"/>
  <c r="C49" i="10"/>
  <c r="D49" i="10" s="1"/>
  <c r="P48" i="10"/>
  <c r="M48" i="10" s="1"/>
  <c r="N48" i="10" s="1" a="1"/>
  <c r="C48" i="10"/>
  <c r="D48" i="10" s="1"/>
  <c r="P47" i="10"/>
  <c r="M47" i="10" s="1"/>
  <c r="N47" i="10" s="1" a="1"/>
  <c r="C47" i="10"/>
  <c r="D47" i="10" s="1"/>
  <c r="P46" i="10"/>
  <c r="M46" i="10" s="1"/>
  <c r="N46" i="10" s="1" a="1"/>
  <c r="C46" i="10"/>
  <c r="D46" i="10" s="1"/>
  <c r="P45" i="10"/>
  <c r="M45" i="10" s="1"/>
  <c r="N45" i="10" s="1" a="1"/>
  <c r="C45" i="10"/>
  <c r="D45" i="10" s="1"/>
  <c r="P44" i="10"/>
  <c r="M44" i="10" s="1"/>
  <c r="N44" i="10" s="1" a="1"/>
  <c r="C44" i="10"/>
  <c r="D44" i="10" s="1"/>
  <c r="P43" i="10"/>
  <c r="M43" i="10" s="1"/>
  <c r="N43" i="10" s="1" a="1"/>
  <c r="C43" i="10"/>
  <c r="D43" i="10" s="1"/>
  <c r="P42" i="10"/>
  <c r="M42" i="10" s="1"/>
  <c r="N42" i="10" s="1" a="1"/>
  <c r="C42" i="10"/>
  <c r="D42" i="10" s="1"/>
  <c r="P41" i="10"/>
  <c r="M41" i="10" s="1"/>
  <c r="N41" i="10" s="1" a="1"/>
  <c r="C41" i="10"/>
  <c r="D41" i="10" s="1"/>
  <c r="P40" i="10"/>
  <c r="M40" i="10" s="1"/>
  <c r="N40" i="10" s="1" a="1"/>
  <c r="C40" i="10"/>
  <c r="D40" i="10" s="1"/>
  <c r="P39" i="10"/>
  <c r="M39" i="10" s="1"/>
  <c r="N39" i="10" s="1" a="1"/>
  <c r="C39" i="10"/>
  <c r="D39" i="10" s="1"/>
  <c r="P38" i="10"/>
  <c r="M38" i="10" s="1"/>
  <c r="N38" i="10" s="1" a="1"/>
  <c r="C38" i="10"/>
  <c r="D38" i="10" s="1"/>
  <c r="P37" i="10"/>
  <c r="M37" i="10" s="1"/>
  <c r="N37" i="10" s="1" a="1"/>
  <c r="C37" i="10"/>
  <c r="D37" i="10" s="1"/>
  <c r="P36" i="10"/>
  <c r="M36" i="10" s="1"/>
  <c r="N36" i="10" s="1" a="1"/>
  <c r="C36" i="10"/>
  <c r="D36" i="10" s="1"/>
  <c r="P35" i="10"/>
  <c r="M35" i="10" s="1"/>
  <c r="N35" i="10" s="1" a="1"/>
  <c r="C35" i="10"/>
  <c r="D35" i="10" s="1"/>
  <c r="P34" i="10"/>
  <c r="M34" i="10" s="1"/>
  <c r="N34" i="10" s="1" a="1"/>
  <c r="C34" i="10"/>
  <c r="D34" i="10" s="1"/>
  <c r="P33" i="10"/>
  <c r="M33" i="10" s="1"/>
  <c r="N33" i="10" s="1" a="1"/>
  <c r="C33" i="10"/>
  <c r="D33" i="10" s="1"/>
  <c r="P32" i="10"/>
  <c r="M32" i="10" s="1"/>
  <c r="N32" i="10" s="1" a="1"/>
  <c r="C32" i="10"/>
  <c r="D32" i="10" s="1"/>
  <c r="P31" i="10"/>
  <c r="M31" i="10" s="1"/>
  <c r="N31" i="10" s="1" a="1"/>
  <c r="C31" i="10"/>
  <c r="D31" i="10" s="1"/>
  <c r="P30" i="10"/>
  <c r="M30" i="10" s="1"/>
  <c r="N30" i="10" s="1" a="1"/>
  <c r="C30" i="10"/>
  <c r="D30" i="10" s="1"/>
  <c r="P29" i="10"/>
  <c r="M29" i="10" s="1"/>
  <c r="N29" i="10" s="1" a="1"/>
  <c r="C29" i="10"/>
  <c r="D29" i="10" s="1"/>
  <c r="P28" i="10"/>
  <c r="M28" i="10" s="1"/>
  <c r="N28" i="10" s="1" a="1"/>
  <c r="C28" i="10"/>
  <c r="D28" i="10" s="1"/>
  <c r="P27" i="10"/>
  <c r="M27" i="10" s="1"/>
  <c r="N27" i="10" s="1" a="1"/>
  <c r="C27" i="10"/>
  <c r="D27" i="10" s="1"/>
  <c r="P26" i="10"/>
  <c r="M26" i="10" s="1"/>
  <c r="N26" i="10" s="1" a="1"/>
  <c r="C26" i="10"/>
  <c r="D26" i="10" s="1"/>
  <c r="P25" i="10"/>
  <c r="M25" i="10" s="1"/>
  <c r="N25" i="10" s="1" a="1"/>
  <c r="C25" i="10"/>
  <c r="D25" i="10" s="1"/>
  <c r="P24" i="10"/>
  <c r="M24" i="10" s="1"/>
  <c r="N24" i="10" s="1" a="1"/>
  <c r="C24" i="10"/>
  <c r="D24" i="10" s="1"/>
  <c r="P23" i="10"/>
  <c r="M23" i="10" s="1"/>
  <c r="N23" i="10" s="1" a="1"/>
  <c r="C23" i="10"/>
  <c r="D23" i="10" s="1"/>
  <c r="P22" i="10"/>
  <c r="M22" i="10" s="1"/>
  <c r="N22" i="10" s="1" a="1"/>
  <c r="C22" i="10"/>
  <c r="D22" i="10" s="1"/>
  <c r="P21" i="10"/>
  <c r="M21" i="10" s="1"/>
  <c r="N21" i="10" s="1" a="1"/>
  <c r="C21" i="10"/>
  <c r="D21" i="10" s="1"/>
  <c r="P20" i="10"/>
  <c r="M20" i="10" s="1"/>
  <c r="N20" i="10" s="1" a="1"/>
  <c r="C20" i="10"/>
  <c r="D20" i="10" s="1"/>
  <c r="P19" i="10"/>
  <c r="M19" i="10" s="1"/>
  <c r="N19" i="10" s="1" a="1"/>
  <c r="C19" i="10"/>
  <c r="D19" i="10" s="1"/>
  <c r="P18" i="10"/>
  <c r="M18" i="10" s="1"/>
  <c r="N18" i="10" s="1" a="1"/>
  <c r="C18" i="10"/>
  <c r="D18" i="10" s="1"/>
  <c r="P17" i="10"/>
  <c r="M17" i="10" s="1"/>
  <c r="N17" i="10" s="1" a="1"/>
  <c r="C17" i="10"/>
  <c r="D17" i="10" s="1"/>
  <c r="BA16" i="10"/>
  <c r="BB16" i="10" s="1"/>
  <c r="P16" i="10"/>
  <c r="M16" i="10" s="1"/>
  <c r="N16" i="10" s="1" a="1"/>
  <c r="C16" i="10"/>
  <c r="D16" i="10" s="1"/>
  <c r="BA15" i="10"/>
  <c r="BB15" i="10" s="1"/>
  <c r="P15" i="10"/>
  <c r="M15" i="10" s="1"/>
  <c r="N15" i="10" s="1" a="1"/>
  <c r="C15" i="10"/>
  <c r="D15" i="10" s="1"/>
  <c r="BA14" i="10"/>
  <c r="BB14" i="10" s="1"/>
  <c r="P14" i="10"/>
  <c r="M14" i="10" s="1"/>
  <c r="N14" i="10" s="1" a="1"/>
  <c r="C14" i="10"/>
  <c r="D14" i="10" s="1"/>
  <c r="BA13" i="10"/>
  <c r="BB13" i="10" s="1"/>
  <c r="P13" i="10"/>
  <c r="M13" i="10" s="1"/>
  <c r="N13" i="10" s="1" a="1"/>
  <c r="C13" i="10"/>
  <c r="D13" i="10" s="1"/>
  <c r="BA12" i="10"/>
  <c r="BB12" i="10" s="1"/>
  <c r="P12" i="10"/>
  <c r="M12" i="10" s="1"/>
  <c r="N12" i="10" s="1" a="1"/>
  <c r="C12" i="10"/>
  <c r="D12" i="10" s="1"/>
  <c r="BA11" i="10"/>
  <c r="BB11" i="10" s="1"/>
  <c r="P11" i="10"/>
  <c r="M11" i="10"/>
  <c r="N11" i="10" s="1" a="1"/>
  <c r="C11" i="10"/>
  <c r="D11" i="10" s="1"/>
  <c r="BA10" i="10"/>
  <c r="BB10" i="10" s="1"/>
  <c r="P10" i="10"/>
  <c r="M10" i="10" s="1"/>
  <c r="N10" i="10" s="1" a="1"/>
  <c r="BA9" i="10"/>
  <c r="BB9" i="10" s="1"/>
  <c r="P9" i="10"/>
  <c r="M9" i="10" s="1"/>
  <c r="N9" i="10" s="1" a="1"/>
  <c r="P89" i="3"/>
  <c r="M89" i="3" s="1"/>
  <c r="N89" i="3" s="1" a="1"/>
  <c r="P88" i="3"/>
  <c r="M88" i="3" s="1"/>
  <c r="N88" i="3" s="1" a="1"/>
  <c r="P87" i="3"/>
  <c r="M87" i="3"/>
  <c r="N87" i="3" s="1" a="1"/>
  <c r="P86" i="3"/>
  <c r="M86" i="3"/>
  <c r="N86" i="3" s="1" a="1"/>
  <c r="P85" i="3"/>
  <c r="M85" i="3"/>
  <c r="N85" i="3" s="1" a="1"/>
  <c r="A85" i="3"/>
  <c r="C85" i="3" s="1"/>
  <c r="D85" i="3" s="1"/>
  <c r="P84" i="3"/>
  <c r="M84" i="3" s="1"/>
  <c r="N84" i="3" s="1" a="1"/>
  <c r="A84" i="3"/>
  <c r="C84" i="3" s="1"/>
  <c r="D84" i="3" s="1"/>
  <c r="P83" i="3"/>
  <c r="M83" i="3"/>
  <c r="N83" i="3" s="1" a="1"/>
  <c r="A83" i="3"/>
  <c r="C83" i="3" s="1"/>
  <c r="D83" i="3" s="1"/>
  <c r="P82" i="3"/>
  <c r="M82" i="3" s="1"/>
  <c r="N82" i="3" s="1" a="1"/>
  <c r="A82" i="3"/>
  <c r="C82" i="3" s="1"/>
  <c r="D82" i="3" s="1"/>
  <c r="P81" i="3"/>
  <c r="M81" i="3" s="1"/>
  <c r="N81" i="3" s="1" a="1"/>
  <c r="A81" i="3"/>
  <c r="C81" i="3" s="1"/>
  <c r="D81" i="3" s="1"/>
  <c r="P80" i="3"/>
  <c r="M80" i="3" s="1"/>
  <c r="N80" i="3" s="1" a="1"/>
  <c r="A80" i="3"/>
  <c r="C80" i="3" s="1"/>
  <c r="D80" i="3" s="1"/>
  <c r="P79" i="3"/>
  <c r="M79" i="3"/>
  <c r="N79" i="3" s="1" a="1"/>
  <c r="A79" i="3"/>
  <c r="C79" i="3" s="1"/>
  <c r="D79" i="3" s="1"/>
  <c r="P78" i="3"/>
  <c r="M78" i="3" s="1"/>
  <c r="N78" i="3" s="1" a="1"/>
  <c r="A78" i="3"/>
  <c r="C78" i="3" s="1"/>
  <c r="D78" i="3" s="1"/>
  <c r="P77" i="3"/>
  <c r="M77" i="3"/>
  <c r="N77" i="3" s="1" a="1"/>
  <c r="A77" i="3"/>
  <c r="C77" i="3" s="1"/>
  <c r="D77" i="3" s="1"/>
  <c r="P76" i="3"/>
  <c r="M76" i="3" s="1"/>
  <c r="N76" i="3" s="1" a="1"/>
  <c r="A76" i="3"/>
  <c r="C76" i="3" s="1"/>
  <c r="D76" i="3" s="1"/>
  <c r="P75" i="3"/>
  <c r="M75" i="3" s="1"/>
  <c r="N75" i="3" s="1" a="1"/>
  <c r="A75" i="3"/>
  <c r="C75" i="3" s="1"/>
  <c r="D75" i="3" s="1"/>
  <c r="P74" i="3"/>
  <c r="M74" i="3" s="1"/>
  <c r="N74" i="3" s="1" a="1"/>
  <c r="A74" i="3"/>
  <c r="C74" i="3" s="1"/>
  <c r="D74" i="3" s="1"/>
  <c r="P73" i="3"/>
  <c r="M73" i="3"/>
  <c r="N73" i="3" s="1" a="1"/>
  <c r="A73" i="3"/>
  <c r="C73" i="3" s="1"/>
  <c r="D73" i="3" s="1"/>
  <c r="P72" i="3"/>
  <c r="M72" i="3" s="1"/>
  <c r="N72" i="3" s="1" a="1"/>
  <c r="A72" i="3"/>
  <c r="C72" i="3" s="1"/>
  <c r="D72" i="3" s="1"/>
  <c r="P71" i="3"/>
  <c r="M71" i="3"/>
  <c r="N71" i="3" s="1" a="1"/>
  <c r="A71" i="3"/>
  <c r="C71" i="3" s="1"/>
  <c r="D71" i="3" s="1"/>
  <c r="P70" i="3"/>
  <c r="M70" i="3" s="1"/>
  <c r="N70" i="3" s="1" a="1"/>
  <c r="A70" i="3"/>
  <c r="C70" i="3" s="1"/>
  <c r="D70" i="3" s="1"/>
  <c r="P69" i="3"/>
  <c r="M69" i="3" s="1"/>
  <c r="N69" i="3" s="1" a="1"/>
  <c r="A69" i="3"/>
  <c r="C69" i="3" s="1"/>
  <c r="D69" i="3" s="1"/>
  <c r="P68" i="3"/>
  <c r="M68" i="3" s="1"/>
  <c r="N68" i="3" s="1" a="1"/>
  <c r="A68" i="3"/>
  <c r="C68" i="3" s="1"/>
  <c r="D68" i="3" s="1"/>
  <c r="P67" i="3"/>
  <c r="M67" i="3"/>
  <c r="N67" i="3" s="1" a="1"/>
  <c r="A67" i="3"/>
  <c r="C67" i="3" s="1"/>
  <c r="D67" i="3" s="1"/>
  <c r="P66" i="3"/>
  <c r="M66" i="3" s="1"/>
  <c r="N66" i="3" s="1" a="1"/>
  <c r="A66" i="3"/>
  <c r="C66" i="3" s="1"/>
  <c r="D66" i="3" s="1"/>
  <c r="P65" i="3"/>
  <c r="M65" i="3"/>
  <c r="N65" i="3" s="1" a="1"/>
  <c r="A65" i="3"/>
  <c r="C65" i="3" s="1"/>
  <c r="D65" i="3" s="1"/>
  <c r="P64" i="3"/>
  <c r="M64" i="3" s="1"/>
  <c r="N64" i="3" s="1" a="1"/>
  <c r="A64" i="3"/>
  <c r="C64" i="3" s="1"/>
  <c r="D64" i="3" s="1"/>
  <c r="P63" i="3"/>
  <c r="M63" i="3" s="1"/>
  <c r="N63" i="3" s="1" a="1"/>
  <c r="A63" i="3"/>
  <c r="C63" i="3" s="1"/>
  <c r="D63" i="3" s="1"/>
  <c r="P62" i="3"/>
  <c r="M62" i="3" s="1"/>
  <c r="N62" i="3" s="1" a="1"/>
  <c r="A62" i="3"/>
  <c r="C62" i="3" s="1"/>
  <c r="D62" i="3" s="1"/>
  <c r="P61" i="3"/>
  <c r="M61" i="3"/>
  <c r="N61" i="3" s="1" a="1"/>
  <c r="A61" i="3"/>
  <c r="C61" i="3" s="1"/>
  <c r="D61" i="3" s="1"/>
  <c r="P60" i="3"/>
  <c r="M60" i="3" s="1"/>
  <c r="N60" i="3" s="1" a="1"/>
  <c r="A60" i="3"/>
  <c r="C60" i="3" s="1"/>
  <c r="D60" i="3" s="1"/>
  <c r="P59" i="3"/>
  <c r="M59" i="3"/>
  <c r="N59" i="3" s="1" a="1"/>
  <c r="A59" i="3"/>
  <c r="C59" i="3" s="1"/>
  <c r="D59" i="3" s="1"/>
  <c r="P58" i="3"/>
  <c r="M58" i="3" s="1"/>
  <c r="N58" i="3" s="1" a="1"/>
  <c r="A58" i="3"/>
  <c r="C58" i="3" s="1"/>
  <c r="D58" i="3" s="1"/>
  <c r="P57" i="3"/>
  <c r="M57" i="3" s="1"/>
  <c r="N57" i="3" s="1" a="1"/>
  <c r="A57" i="3"/>
  <c r="C57" i="3" s="1"/>
  <c r="D57" i="3" s="1"/>
  <c r="P56" i="3"/>
  <c r="M56" i="3" s="1"/>
  <c r="N56" i="3" s="1" a="1"/>
  <c r="A56" i="3"/>
  <c r="C56" i="3" s="1"/>
  <c r="D56" i="3" s="1"/>
  <c r="P55" i="3"/>
  <c r="M55" i="3"/>
  <c r="N55" i="3" s="1" a="1"/>
  <c r="A55" i="3"/>
  <c r="C55" i="3" s="1"/>
  <c r="D55" i="3" s="1"/>
  <c r="P54" i="3"/>
  <c r="M54" i="3" s="1"/>
  <c r="N54" i="3" s="1" a="1"/>
  <c r="A54" i="3"/>
  <c r="C54" i="3" s="1"/>
  <c r="D54" i="3" s="1"/>
  <c r="P53" i="3"/>
  <c r="M53" i="3"/>
  <c r="N53" i="3" s="1" a="1"/>
  <c r="A53" i="3"/>
  <c r="C53" i="3" s="1"/>
  <c r="D53" i="3" s="1"/>
  <c r="P52" i="3"/>
  <c r="M52" i="3" s="1"/>
  <c r="N52" i="3" s="1" a="1"/>
  <c r="A52" i="3"/>
  <c r="C52" i="3" s="1"/>
  <c r="D52" i="3" s="1"/>
  <c r="P51" i="3"/>
  <c r="M51" i="3" s="1"/>
  <c r="N51" i="3" s="1" a="1"/>
  <c r="A51" i="3"/>
  <c r="C51" i="3" s="1"/>
  <c r="D51" i="3" s="1"/>
  <c r="P50" i="3"/>
  <c r="M50" i="3" s="1"/>
  <c r="N50" i="3" s="1" a="1"/>
  <c r="A50" i="3"/>
  <c r="C50" i="3" s="1"/>
  <c r="D50" i="3" s="1"/>
  <c r="P49" i="3"/>
  <c r="M49" i="3"/>
  <c r="N49" i="3" s="1" a="1"/>
  <c r="A49" i="3"/>
  <c r="C49" i="3" s="1"/>
  <c r="D49" i="3" s="1"/>
  <c r="P48" i="3"/>
  <c r="M48" i="3" s="1"/>
  <c r="N48" i="3" s="1" a="1"/>
  <c r="A48" i="3"/>
  <c r="C48" i="3" s="1"/>
  <c r="D48" i="3" s="1"/>
  <c r="P47" i="3"/>
  <c r="M47" i="3"/>
  <c r="N47" i="3" s="1" a="1"/>
  <c r="A47" i="3"/>
  <c r="C47" i="3" s="1"/>
  <c r="D47" i="3" s="1"/>
  <c r="P46" i="3"/>
  <c r="M46" i="3" s="1"/>
  <c r="N46" i="3" s="1" a="1"/>
  <c r="A46" i="3"/>
  <c r="C46" i="3" s="1"/>
  <c r="D46" i="3" s="1"/>
  <c r="P45" i="3"/>
  <c r="M45" i="3" s="1"/>
  <c r="N45" i="3" s="1" a="1"/>
  <c r="A45" i="3"/>
  <c r="C45" i="3" s="1"/>
  <c r="D45" i="3" s="1"/>
  <c r="P44" i="3"/>
  <c r="M44" i="3" s="1"/>
  <c r="N44" i="3" s="1" a="1"/>
  <c r="A44" i="3"/>
  <c r="C44" i="3" s="1"/>
  <c r="D44" i="3" s="1"/>
  <c r="P43" i="3"/>
  <c r="M43" i="3"/>
  <c r="N43" i="3" s="1" a="1"/>
  <c r="A43" i="3"/>
  <c r="C43" i="3" s="1"/>
  <c r="D43" i="3" s="1"/>
  <c r="P42" i="3"/>
  <c r="M42" i="3" s="1"/>
  <c r="N42" i="3" s="1" a="1"/>
  <c r="A42" i="3"/>
  <c r="C42" i="3" s="1"/>
  <c r="D42" i="3" s="1"/>
  <c r="P41" i="3"/>
  <c r="M41" i="3"/>
  <c r="N41" i="3" s="1" a="1"/>
  <c r="A41" i="3"/>
  <c r="C41" i="3" s="1"/>
  <c r="D41" i="3" s="1"/>
  <c r="P40" i="3"/>
  <c r="M40" i="3" s="1"/>
  <c r="N40" i="3" s="1" a="1"/>
  <c r="A40" i="3"/>
  <c r="C40" i="3" s="1"/>
  <c r="D40" i="3" s="1"/>
  <c r="P39" i="3"/>
  <c r="M39" i="3" s="1"/>
  <c r="N39" i="3" s="1" a="1"/>
  <c r="A39" i="3"/>
  <c r="C39" i="3" s="1"/>
  <c r="D39" i="3" s="1"/>
  <c r="P38" i="3"/>
  <c r="M38" i="3" s="1"/>
  <c r="N38" i="3" s="1" a="1"/>
  <c r="A38" i="3"/>
  <c r="C38" i="3" s="1"/>
  <c r="D38" i="3" s="1"/>
  <c r="P37" i="3"/>
  <c r="M37" i="3"/>
  <c r="N37" i="3" s="1" a="1"/>
  <c r="A37" i="3"/>
  <c r="C37" i="3" s="1"/>
  <c r="D37" i="3" s="1"/>
  <c r="P36" i="3"/>
  <c r="M36" i="3" s="1"/>
  <c r="N36" i="3" s="1" a="1"/>
  <c r="A36" i="3"/>
  <c r="C36" i="3" s="1"/>
  <c r="D36" i="3" s="1"/>
  <c r="P35" i="3"/>
  <c r="M35" i="3" s="1"/>
  <c r="N35" i="3" s="1" a="1"/>
  <c r="A35" i="3"/>
  <c r="C35" i="3" s="1"/>
  <c r="D35" i="3" s="1"/>
  <c r="P34" i="3"/>
  <c r="M34" i="3" s="1"/>
  <c r="N34" i="3" s="1" a="1"/>
  <c r="A34" i="3"/>
  <c r="C34" i="3" s="1"/>
  <c r="D34" i="3" s="1"/>
  <c r="P33" i="3"/>
  <c r="M33" i="3" s="1"/>
  <c r="N33" i="3" s="1" a="1"/>
  <c r="A33" i="3"/>
  <c r="C33" i="3" s="1"/>
  <c r="D33" i="3" s="1"/>
  <c r="P32" i="3"/>
  <c r="M32" i="3" s="1"/>
  <c r="N32" i="3" s="1" a="1"/>
  <c r="A32" i="3"/>
  <c r="C32" i="3" s="1"/>
  <c r="D32" i="3" s="1"/>
  <c r="P31" i="3"/>
  <c r="M31" i="3"/>
  <c r="N31" i="3" s="1" a="1"/>
  <c r="A31" i="3"/>
  <c r="C31" i="3" s="1"/>
  <c r="D31" i="3" s="1"/>
  <c r="P30" i="3"/>
  <c r="M30" i="3" s="1"/>
  <c r="N30" i="3" s="1" a="1"/>
  <c r="A30" i="3"/>
  <c r="C30" i="3" s="1"/>
  <c r="D30" i="3" s="1"/>
  <c r="P29" i="3"/>
  <c r="M29" i="3"/>
  <c r="N29" i="3" s="1" a="1"/>
  <c r="A29" i="3"/>
  <c r="C29" i="3" s="1"/>
  <c r="D29" i="3" s="1"/>
  <c r="P28" i="3"/>
  <c r="M28" i="3" s="1"/>
  <c r="N28" i="3" s="1" a="1"/>
  <c r="A28" i="3"/>
  <c r="C28" i="3" s="1"/>
  <c r="D28" i="3" s="1"/>
  <c r="P27" i="3"/>
  <c r="M27" i="3" s="1"/>
  <c r="N27" i="3" s="1" a="1"/>
  <c r="A27" i="3"/>
  <c r="C27" i="3" s="1"/>
  <c r="D27" i="3" s="1"/>
  <c r="P26" i="3"/>
  <c r="M26" i="3" s="1"/>
  <c r="N26" i="3" s="1" a="1"/>
  <c r="A26" i="3"/>
  <c r="C26" i="3" s="1"/>
  <c r="D26" i="3" s="1"/>
  <c r="P25" i="3"/>
  <c r="M25" i="3"/>
  <c r="N25" i="3" s="1" a="1"/>
  <c r="A25" i="3"/>
  <c r="C25" i="3" s="1"/>
  <c r="D25" i="3" s="1"/>
  <c r="P24" i="3"/>
  <c r="M24" i="3" s="1"/>
  <c r="N24" i="3" s="1" a="1"/>
  <c r="A24" i="3"/>
  <c r="C24" i="3" s="1"/>
  <c r="D24" i="3" s="1"/>
  <c r="P23" i="3"/>
  <c r="M23" i="3"/>
  <c r="N23" i="3" s="1" a="1"/>
  <c r="A23" i="3"/>
  <c r="C23" i="3" s="1"/>
  <c r="D23" i="3" s="1"/>
  <c r="P22" i="3"/>
  <c r="M22" i="3" s="1"/>
  <c r="N22" i="3" s="1" a="1"/>
  <c r="A22" i="3"/>
  <c r="C22" i="3" s="1"/>
  <c r="D22" i="3" s="1"/>
  <c r="P21" i="3"/>
  <c r="M21" i="3" s="1"/>
  <c r="N21" i="3" s="1" a="1"/>
  <c r="A21" i="3"/>
  <c r="C21" i="3" s="1"/>
  <c r="D21" i="3" s="1"/>
  <c r="P20" i="3"/>
  <c r="M20" i="3" s="1"/>
  <c r="N20" i="3" s="1" a="1"/>
  <c r="A20" i="3"/>
  <c r="C20" i="3" s="1"/>
  <c r="D20" i="3" s="1"/>
  <c r="P19" i="3"/>
  <c r="M19" i="3"/>
  <c r="N19" i="3" s="1" a="1"/>
  <c r="A19" i="3"/>
  <c r="C19" i="3" s="1"/>
  <c r="D19" i="3" s="1"/>
  <c r="P18" i="3"/>
  <c r="M18" i="3" s="1"/>
  <c r="N18" i="3" s="1" a="1"/>
  <c r="A18" i="3"/>
  <c r="C18" i="3" s="1"/>
  <c r="D18" i="3" s="1"/>
  <c r="P17" i="3"/>
  <c r="M17" i="3"/>
  <c r="N17" i="3" s="1" a="1"/>
  <c r="A17" i="3"/>
  <c r="C17" i="3" s="1"/>
  <c r="D17" i="3" s="1"/>
  <c r="BB16" i="3"/>
  <c r="P16" i="3"/>
  <c r="M16" i="3" s="1"/>
  <c r="N16" i="3" s="1" a="1"/>
  <c r="A16" i="3"/>
  <c r="C16" i="3" s="1"/>
  <c r="D16" i="3" s="1"/>
  <c r="BB15" i="3"/>
  <c r="P15" i="3"/>
  <c r="M15" i="3" s="1"/>
  <c r="N15" i="3" s="1" a="1"/>
  <c r="A15" i="3"/>
  <c r="C15" i="3" s="1"/>
  <c r="D15" i="3" s="1"/>
  <c r="BB14" i="3"/>
  <c r="P14" i="3"/>
  <c r="M14" i="3"/>
  <c r="N14" i="3" s="1" a="1"/>
  <c r="A14" i="3"/>
  <c r="C14" i="3" s="1"/>
  <c r="D14" i="3" s="1"/>
  <c r="BB13" i="3"/>
  <c r="P13" i="3"/>
  <c r="M13" i="3" s="1"/>
  <c r="N13" i="3" s="1" a="1"/>
  <c r="A13" i="3"/>
  <c r="C13" i="3" s="1"/>
  <c r="D13" i="3" s="1"/>
  <c r="BB12" i="3"/>
  <c r="P12" i="3"/>
  <c r="M12" i="3" s="1"/>
  <c r="N12" i="3" s="1" a="1"/>
  <c r="A12" i="3"/>
  <c r="C12" i="3" s="1"/>
  <c r="D12" i="3" s="1"/>
  <c r="BB11" i="3"/>
  <c r="P11" i="3"/>
  <c r="M11" i="3" s="1"/>
  <c r="N11" i="3" s="1" a="1"/>
  <c r="A11" i="3"/>
  <c r="C11" i="3" s="1"/>
  <c r="D11" i="3" s="1"/>
  <c r="BB10" i="3"/>
  <c r="P10" i="3"/>
  <c r="M10" i="3"/>
  <c r="N10" i="3" s="1" a="1"/>
  <c r="A10" i="3"/>
  <c r="C10" i="3" s="1"/>
  <c r="D10" i="3" s="1"/>
  <c r="BB9" i="3"/>
  <c r="P9" i="3"/>
  <c r="M9" i="3"/>
  <c r="N9" i="3" s="1" a="1"/>
  <c r="A9" i="3"/>
  <c r="C9" i="3" s="1"/>
  <c r="D9" i="3" s="1"/>
  <c r="A8" i="3"/>
  <c r="C8" i="3" s="1"/>
  <c r="D8" i="3" s="1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A3" i="3"/>
  <c r="C3" i="3" s="1"/>
  <c r="D3" i="3" s="1"/>
  <c r="P83" i="11"/>
  <c r="M83" i="11" s="1"/>
  <c r="N83" i="11" s="1" a="1"/>
  <c r="C83" i="11"/>
  <c r="D83" i="11" s="1"/>
  <c r="P82" i="11"/>
  <c r="M82" i="11" s="1"/>
  <c r="N82" i="11" s="1" a="1"/>
  <c r="C82" i="11"/>
  <c r="D82" i="11" s="1"/>
  <c r="P81" i="11"/>
  <c r="M81" i="11" s="1"/>
  <c r="N81" i="11" s="1" a="1"/>
  <c r="C81" i="11"/>
  <c r="D81" i="11" s="1"/>
  <c r="P80" i="11"/>
  <c r="M80" i="11" s="1"/>
  <c r="N80" i="11" s="1" a="1"/>
  <c r="C80" i="11"/>
  <c r="D80" i="11" s="1"/>
  <c r="P79" i="11"/>
  <c r="M79" i="11"/>
  <c r="N79" i="11" s="1" a="1"/>
  <c r="C79" i="11"/>
  <c r="D79" i="11" s="1"/>
  <c r="P78" i="11"/>
  <c r="M78" i="11" s="1"/>
  <c r="N78" i="11" s="1" a="1"/>
  <c r="C78" i="11"/>
  <c r="D78" i="11" s="1"/>
  <c r="P77" i="11"/>
  <c r="M77" i="11"/>
  <c r="N77" i="11" s="1" a="1"/>
  <c r="C77" i="11"/>
  <c r="D77" i="11" s="1"/>
  <c r="P76" i="11"/>
  <c r="M76" i="11" s="1"/>
  <c r="N76" i="11" s="1" a="1"/>
  <c r="C76" i="11"/>
  <c r="D76" i="11" s="1"/>
  <c r="P75" i="11"/>
  <c r="M75" i="11" s="1"/>
  <c r="N75" i="11" s="1" a="1"/>
  <c r="C75" i="11"/>
  <c r="D75" i="11" s="1"/>
  <c r="P74" i="11"/>
  <c r="M74" i="11" s="1"/>
  <c r="N74" i="11" s="1" a="1"/>
  <c r="C74" i="11"/>
  <c r="D74" i="11" s="1"/>
  <c r="P73" i="11"/>
  <c r="M73" i="11" s="1"/>
  <c r="N73" i="11" s="1" a="1"/>
  <c r="C73" i="11"/>
  <c r="D73" i="11" s="1"/>
  <c r="P72" i="11"/>
  <c r="M72" i="11" s="1"/>
  <c r="N72" i="11" s="1" a="1"/>
  <c r="C72" i="11"/>
  <c r="D72" i="11" s="1"/>
  <c r="P71" i="11"/>
  <c r="M71" i="11" s="1"/>
  <c r="N71" i="11" s="1" a="1"/>
  <c r="C71" i="11"/>
  <c r="D71" i="11" s="1"/>
  <c r="P70" i="11"/>
  <c r="M70" i="11"/>
  <c r="N70" i="11" s="1" a="1"/>
  <c r="C70" i="11"/>
  <c r="D70" i="11" s="1"/>
  <c r="P69" i="11"/>
  <c r="M69" i="11" s="1"/>
  <c r="N69" i="11" s="1" a="1"/>
  <c r="C69" i="11"/>
  <c r="D69" i="11" s="1"/>
  <c r="P68" i="11"/>
  <c r="M68" i="11"/>
  <c r="N68" i="11" s="1" a="1"/>
  <c r="C68" i="11"/>
  <c r="D68" i="11" s="1"/>
  <c r="P67" i="11"/>
  <c r="M67" i="11" s="1"/>
  <c r="N67" i="11" s="1" a="1"/>
  <c r="C67" i="11"/>
  <c r="D67" i="11" s="1"/>
  <c r="P66" i="11"/>
  <c r="M66" i="11" s="1"/>
  <c r="N66" i="11" s="1" a="1"/>
  <c r="C66" i="11"/>
  <c r="D66" i="11" s="1"/>
  <c r="P65" i="11"/>
  <c r="M65" i="11" s="1"/>
  <c r="N65" i="11" s="1" a="1"/>
  <c r="C65" i="11"/>
  <c r="D65" i="11" s="1"/>
  <c r="P64" i="11"/>
  <c r="M64" i="11" s="1"/>
  <c r="N64" i="11" s="1" a="1"/>
  <c r="C64" i="11"/>
  <c r="D64" i="11" s="1"/>
  <c r="P63" i="11"/>
  <c r="M63" i="11" s="1"/>
  <c r="N63" i="11" s="1" a="1"/>
  <c r="C63" i="11"/>
  <c r="D63" i="11" s="1"/>
  <c r="P62" i="11"/>
  <c r="M62" i="11" s="1"/>
  <c r="N62" i="11" s="1" a="1"/>
  <c r="C62" i="11"/>
  <c r="D62" i="11" s="1"/>
  <c r="P61" i="11"/>
  <c r="M61" i="11"/>
  <c r="N61" i="11" s="1" a="1"/>
  <c r="C61" i="11"/>
  <c r="D61" i="11" s="1"/>
  <c r="P60" i="11"/>
  <c r="M60" i="11" s="1"/>
  <c r="N60" i="11" s="1" a="1"/>
  <c r="C60" i="11"/>
  <c r="D60" i="11" s="1"/>
  <c r="P59" i="11"/>
  <c r="M59" i="11"/>
  <c r="N59" i="11" s="1" a="1"/>
  <c r="C59" i="11"/>
  <c r="D59" i="11" s="1"/>
  <c r="P58" i="11"/>
  <c r="M58" i="11"/>
  <c r="N58" i="11" s="1" a="1"/>
  <c r="C58" i="11"/>
  <c r="D58" i="11" s="1"/>
  <c r="P57" i="11"/>
  <c r="M57" i="11" s="1"/>
  <c r="N57" i="11" s="1" a="1"/>
  <c r="C57" i="11"/>
  <c r="D57" i="11" s="1"/>
  <c r="P56" i="11"/>
  <c r="M56" i="11"/>
  <c r="N56" i="11" s="1" a="1"/>
  <c r="C56" i="11"/>
  <c r="D56" i="11" s="1"/>
  <c r="P55" i="11"/>
  <c r="M55" i="11"/>
  <c r="N55" i="11" s="1" a="1"/>
  <c r="C55" i="11"/>
  <c r="D55" i="11" s="1"/>
  <c r="P54" i="11"/>
  <c r="M54" i="11" s="1"/>
  <c r="N54" i="11" s="1" a="1"/>
  <c r="C54" i="11"/>
  <c r="D54" i="11" s="1"/>
  <c r="P53" i="11"/>
  <c r="M53" i="11" s="1"/>
  <c r="N53" i="11" s="1" a="1"/>
  <c r="C53" i="11"/>
  <c r="D53" i="11" s="1"/>
  <c r="P52" i="11"/>
  <c r="M52" i="11" s="1"/>
  <c r="N52" i="11" s="1" a="1"/>
  <c r="C52" i="11"/>
  <c r="D52" i="11" s="1"/>
  <c r="P51" i="11"/>
  <c r="M51" i="11" s="1"/>
  <c r="N51" i="11" s="1" a="1"/>
  <c r="C51" i="11"/>
  <c r="D51" i="11" s="1"/>
  <c r="P50" i="11"/>
  <c r="M50" i="11"/>
  <c r="N50" i="11" s="1" a="1"/>
  <c r="C50" i="11"/>
  <c r="D50" i="11" s="1"/>
  <c r="P49" i="11"/>
  <c r="M49" i="11" s="1"/>
  <c r="N49" i="11" s="1" a="1"/>
  <c r="C49" i="11"/>
  <c r="D49" i="11" s="1"/>
  <c r="P48" i="11"/>
  <c r="M48" i="11" s="1"/>
  <c r="N48" i="11" s="1" a="1"/>
  <c r="C48" i="11"/>
  <c r="D48" i="11" s="1"/>
  <c r="P47" i="11"/>
  <c r="M47" i="11" s="1"/>
  <c r="N47" i="11" s="1" a="1"/>
  <c r="C47" i="11"/>
  <c r="D47" i="11" s="1"/>
  <c r="P46" i="11"/>
  <c r="M46" i="11" s="1"/>
  <c r="N46" i="11" s="1" a="1"/>
  <c r="C46" i="11"/>
  <c r="D46" i="11" s="1"/>
  <c r="P45" i="11"/>
  <c r="M45" i="11" s="1"/>
  <c r="N45" i="11" s="1" a="1"/>
  <c r="C45" i="11"/>
  <c r="D45" i="11" s="1"/>
  <c r="P44" i="11"/>
  <c r="M44" i="11" s="1"/>
  <c r="N44" i="11" s="1" a="1"/>
  <c r="C44" i="11"/>
  <c r="D44" i="11" s="1"/>
  <c r="P43" i="11"/>
  <c r="M43" i="11" s="1"/>
  <c r="N43" i="11" s="1" a="1"/>
  <c r="C43" i="11"/>
  <c r="D43" i="11" s="1"/>
  <c r="P42" i="11"/>
  <c r="M42" i="11" s="1"/>
  <c r="N42" i="11" s="1" a="1"/>
  <c r="C42" i="11"/>
  <c r="D42" i="11" s="1"/>
  <c r="P41" i="11"/>
  <c r="M41" i="11"/>
  <c r="N41" i="11" s="1" a="1"/>
  <c r="C41" i="11"/>
  <c r="D41" i="11" s="1"/>
  <c r="P40" i="11"/>
  <c r="M40" i="11" s="1"/>
  <c r="N40" i="11" s="1" a="1"/>
  <c r="C40" i="11"/>
  <c r="D40" i="11" s="1"/>
  <c r="P39" i="11"/>
  <c r="M39" i="11" s="1"/>
  <c r="N39" i="11" s="1" a="1"/>
  <c r="C39" i="11"/>
  <c r="D39" i="11" s="1"/>
  <c r="P38" i="11"/>
  <c r="M38" i="11"/>
  <c r="N38" i="11" s="1" a="1"/>
  <c r="C38" i="11"/>
  <c r="D38" i="11" s="1"/>
  <c r="P37" i="11"/>
  <c r="M37" i="11" s="1"/>
  <c r="N37" i="11" s="1" a="1"/>
  <c r="C37" i="11"/>
  <c r="D37" i="11" s="1"/>
  <c r="P36" i="11"/>
  <c r="M36" i="11" s="1"/>
  <c r="N36" i="11" s="1" a="1"/>
  <c r="C36" i="11"/>
  <c r="D36" i="11" s="1"/>
  <c r="P35" i="11"/>
  <c r="M35" i="11" s="1"/>
  <c r="N35" i="11" s="1" a="1"/>
  <c r="C35" i="11"/>
  <c r="D35" i="11" s="1"/>
  <c r="P34" i="11"/>
  <c r="M34" i="11" s="1"/>
  <c r="N34" i="11" s="1" a="1"/>
  <c r="C34" i="11"/>
  <c r="D34" i="11" s="1"/>
  <c r="P33" i="11"/>
  <c r="M33" i="11" s="1"/>
  <c r="N33" i="11" s="1" a="1"/>
  <c r="C33" i="11"/>
  <c r="D33" i="11" s="1"/>
  <c r="P32" i="11"/>
  <c r="M32" i="11" s="1"/>
  <c r="N32" i="11" s="1" a="1"/>
  <c r="C32" i="11"/>
  <c r="D32" i="11" s="1"/>
  <c r="P31" i="11"/>
  <c r="M31" i="11"/>
  <c r="N31" i="11" s="1" a="1"/>
  <c r="C31" i="11"/>
  <c r="D31" i="11" s="1"/>
  <c r="P30" i="11"/>
  <c r="M30" i="11" s="1"/>
  <c r="N30" i="11" s="1" a="1"/>
  <c r="C30" i="11"/>
  <c r="D30" i="11" s="1"/>
  <c r="P29" i="11"/>
  <c r="M29" i="11"/>
  <c r="N29" i="11" s="1" a="1"/>
  <c r="C29" i="11"/>
  <c r="D29" i="11" s="1"/>
  <c r="P28" i="11"/>
  <c r="M28" i="11" s="1"/>
  <c r="N28" i="11" s="1" a="1"/>
  <c r="C28" i="11"/>
  <c r="D28" i="11" s="1"/>
  <c r="P27" i="11"/>
  <c r="M27" i="11" s="1"/>
  <c r="N27" i="11" s="1" a="1"/>
  <c r="C27" i="11"/>
  <c r="D27" i="11" s="1"/>
  <c r="P26" i="11"/>
  <c r="M26" i="11" s="1"/>
  <c r="N26" i="11" s="1" a="1"/>
  <c r="C26" i="11"/>
  <c r="D26" i="11" s="1"/>
  <c r="P25" i="11"/>
  <c r="M25" i="11" s="1"/>
  <c r="N25" i="11" s="1" a="1"/>
  <c r="C25" i="11"/>
  <c r="D25" i="11" s="1"/>
  <c r="P24" i="11"/>
  <c r="M24" i="11" s="1"/>
  <c r="N24" i="11" s="1" a="1"/>
  <c r="C24" i="11"/>
  <c r="D24" i="11" s="1"/>
  <c r="P23" i="11"/>
  <c r="M23" i="11"/>
  <c r="N23" i="11" s="1" a="1"/>
  <c r="C23" i="11"/>
  <c r="D23" i="11" s="1"/>
  <c r="P22" i="11"/>
  <c r="M22" i="11" s="1"/>
  <c r="N22" i="11" s="1" a="1"/>
  <c r="C22" i="11"/>
  <c r="D22" i="11" s="1"/>
  <c r="P21" i="11"/>
  <c r="M21" i="11" s="1"/>
  <c r="N21" i="11" s="1" a="1"/>
  <c r="C21" i="11"/>
  <c r="D21" i="11" s="1"/>
  <c r="P20" i="11"/>
  <c r="M20" i="11"/>
  <c r="N20" i="11" s="1" a="1"/>
  <c r="C20" i="11"/>
  <c r="D20" i="11" s="1"/>
  <c r="P19" i="11"/>
  <c r="M19" i="11"/>
  <c r="N19" i="11" s="1" a="1"/>
  <c r="C19" i="11"/>
  <c r="D19" i="11" s="1"/>
  <c r="P18" i="11"/>
  <c r="M18" i="11" s="1"/>
  <c r="N18" i="11" s="1" a="1"/>
  <c r="C18" i="11"/>
  <c r="D18" i="11" s="1"/>
  <c r="P17" i="11"/>
  <c r="M17" i="11" s="1"/>
  <c r="N17" i="11" s="1" a="1"/>
  <c r="C17" i="11"/>
  <c r="D17" i="11" s="1"/>
  <c r="BB16" i="11"/>
  <c r="P16" i="11"/>
  <c r="M16" i="11"/>
  <c r="N16" i="11" s="1" a="1"/>
  <c r="C16" i="11"/>
  <c r="D16" i="11" s="1"/>
  <c r="BB15" i="11"/>
  <c r="P15" i="11"/>
  <c r="M15" i="11" s="1"/>
  <c r="N15" i="11" s="1" a="1"/>
  <c r="C15" i="11"/>
  <c r="D15" i="11" s="1"/>
  <c r="BB14" i="11"/>
  <c r="P14" i="11"/>
  <c r="M14" i="11" s="1"/>
  <c r="N14" i="11" s="1" a="1"/>
  <c r="C14" i="11"/>
  <c r="D14" i="11" s="1"/>
  <c r="BB13" i="11"/>
  <c r="P13" i="11"/>
  <c r="M13" i="11" s="1"/>
  <c r="N13" i="11" s="1" a="1"/>
  <c r="C13" i="11"/>
  <c r="D13" i="11" s="1"/>
  <c r="BB12" i="11"/>
  <c r="P12" i="11"/>
  <c r="M12" i="11" s="1"/>
  <c r="N12" i="11" s="1" a="1"/>
  <c r="C12" i="11"/>
  <c r="D12" i="11" s="1"/>
  <c r="BB11" i="11"/>
  <c r="P11" i="11"/>
  <c r="M11" i="11" s="1"/>
  <c r="N11" i="11" s="1" a="1"/>
  <c r="C11" i="11"/>
  <c r="D11" i="11" s="1"/>
  <c r="BB10" i="11"/>
  <c r="P10" i="11"/>
  <c r="M10" i="11" s="1"/>
  <c r="N10" i="11" s="1" a="1"/>
  <c r="C10" i="11"/>
  <c r="D10" i="11" s="1"/>
  <c r="BB9" i="11"/>
  <c r="P9" i="11"/>
  <c r="M9" i="11" s="1"/>
  <c r="N9" i="11" s="1" a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O54" i="17" l="1"/>
  <c r="O57" i="17"/>
  <c r="C52" i="17" a="1"/>
  <c r="C53" i="17" a="1"/>
  <c r="C51" i="17" a="1"/>
  <c r="C50" i="17" a="1"/>
  <c r="C38" i="17" a="1"/>
  <c r="C49" i="17" a="1"/>
  <c r="C57" i="36" a="1"/>
  <c r="C53" i="36" a="1"/>
  <c r="D53" i="36" s="1"/>
  <c r="C54" i="36" a="1"/>
  <c r="D54" i="36" s="1"/>
  <c r="C56" i="36" a="1"/>
  <c r="C55" i="36" a="1"/>
  <c r="D55" i="36" s="1"/>
  <c r="C52" i="36" a="1"/>
  <c r="D52" i="36" s="1"/>
  <c r="C37" i="17" a="1"/>
  <c r="D37" i="17" s="1"/>
  <c r="C42" i="17" a="1"/>
  <c r="C41" i="17" a="1"/>
  <c r="D41" i="17" s="1"/>
  <c r="C43" i="17" a="1"/>
  <c r="D43" i="17" s="1"/>
  <c r="AU13" i="36"/>
  <c r="AW13" i="36" s="1"/>
  <c r="AU12" i="36"/>
  <c r="AW12" i="36" s="1"/>
  <c r="AU11" i="36"/>
  <c r="AW11" i="36" s="1"/>
  <c r="AU10" i="36"/>
  <c r="AW10" i="36" s="1"/>
  <c r="AU9" i="36"/>
  <c r="AW9" i="36" s="1"/>
  <c r="AX13" i="35"/>
  <c r="AZ13" i="35" s="1"/>
  <c r="AX12" i="35"/>
  <c r="AZ12" i="35" s="1"/>
  <c r="AX11" i="35"/>
  <c r="AZ11" i="35" s="1"/>
  <c r="AX10" i="35"/>
  <c r="AZ10" i="35" s="1"/>
  <c r="AX9" i="35"/>
  <c r="AZ9" i="35" s="1"/>
  <c r="C45" i="17" a="1"/>
  <c r="D45" i="17" s="1"/>
  <c r="C47" i="36" a="1"/>
  <c r="C46" i="36" a="1"/>
  <c r="C45" i="36" a="1"/>
  <c r="C44" i="36" a="1"/>
  <c r="C43" i="36" a="1"/>
  <c r="C42" i="36" a="1"/>
  <c r="C41" i="36" a="1"/>
  <c r="Q54" i="36" s="1"/>
  <c r="M54" i="36" s="1"/>
  <c r="N54" i="36" s="1" a="1"/>
  <c r="C40" i="36" a="1"/>
  <c r="C39" i="36" a="1"/>
  <c r="C38" i="36" a="1"/>
  <c r="C37" i="36" a="1"/>
  <c r="Q56" i="36" s="1"/>
  <c r="M56" i="36" s="1"/>
  <c r="N56" i="36" s="1" a="1"/>
  <c r="C36" i="36" a="1"/>
  <c r="C35" i="36" a="1"/>
  <c r="C34" i="36" a="1"/>
  <c r="C33" i="36" a="1"/>
  <c r="C32" i="36" a="1"/>
  <c r="Q60" i="36" s="1"/>
  <c r="M60" i="36" s="1"/>
  <c r="N60" i="36" s="1" a="1"/>
  <c r="C31" i="36" a="1"/>
  <c r="C30" i="36" a="1"/>
  <c r="C29" i="36" a="1"/>
  <c r="C28" i="36" a="1"/>
  <c r="Q57" i="36" s="1"/>
  <c r="M57" i="36" s="1"/>
  <c r="N57" i="36" s="1" a="1"/>
  <c r="C27" i="36" a="1"/>
  <c r="C26" i="36" a="1"/>
  <c r="C25" i="36" a="1"/>
  <c r="C24" i="36" a="1"/>
  <c r="C23" i="36" a="1"/>
  <c r="C22" i="36" a="1"/>
  <c r="C21" i="36" a="1"/>
  <c r="C20" i="36" a="1"/>
  <c r="C19" i="36" a="1"/>
  <c r="C18" i="36" a="1"/>
  <c r="C17" i="36" a="1"/>
  <c r="C16" i="36" a="1"/>
  <c r="C15" i="36" a="1"/>
  <c r="C14" i="36" a="1"/>
  <c r="C13" i="36" a="1"/>
  <c r="C12" i="36" a="1"/>
  <c r="C11" i="36" a="1"/>
  <c r="C10" i="36" a="1"/>
  <c r="C9" i="36" a="1"/>
  <c r="C8" i="36" a="1"/>
  <c r="C7" i="36" a="1"/>
  <c r="C6" i="36" a="1"/>
  <c r="C5" i="36" a="1"/>
  <c r="C4" i="36" a="1"/>
  <c r="C3" i="36" a="1"/>
  <c r="C59" i="35" a="1"/>
  <c r="C58" i="35" a="1"/>
  <c r="C57" i="35" a="1"/>
  <c r="C56" i="35" a="1"/>
  <c r="C55" i="35" a="1"/>
  <c r="C54" i="35" a="1"/>
  <c r="C53" i="35" a="1"/>
  <c r="C52" i="35" a="1"/>
  <c r="C51" i="35" a="1"/>
  <c r="C50" i="35" a="1"/>
  <c r="C49" i="35" a="1"/>
  <c r="C48" i="35" a="1"/>
  <c r="C47" i="35" a="1"/>
  <c r="C46" i="35" a="1"/>
  <c r="C45" i="35" a="1"/>
  <c r="C44" i="35" a="1"/>
  <c r="C43" i="35" a="1"/>
  <c r="C42" i="35" a="1"/>
  <c r="C41" i="35" a="1"/>
  <c r="C40" i="35" a="1"/>
  <c r="C39" i="35" a="1"/>
  <c r="C38" i="35" a="1"/>
  <c r="C9" i="35" a="1"/>
  <c r="C8" i="35" a="1"/>
  <c r="C6" i="35" a="1"/>
  <c r="C5" i="35" a="1"/>
  <c r="C3" i="35" a="1"/>
  <c r="C48" i="17" a="1"/>
  <c r="C47" i="17" a="1"/>
  <c r="D47" i="17" s="1"/>
  <c r="C50" i="36" a="1"/>
  <c r="Q59" i="36" s="1"/>
  <c r="M59" i="36" s="1"/>
  <c r="N59" i="36" s="1" a="1"/>
  <c r="C49" i="36" a="1"/>
  <c r="C37" i="35" a="1"/>
  <c r="C36" i="35" a="1"/>
  <c r="C35" i="35" a="1"/>
  <c r="Q60" i="35" s="1"/>
  <c r="M60" i="35" s="1"/>
  <c r="N60" i="35" s="1" a="1"/>
  <c r="C34" i="35" a="1"/>
  <c r="C33" i="35" a="1"/>
  <c r="C32" i="35" a="1"/>
  <c r="Q57" i="35" s="1"/>
  <c r="M57" i="35" s="1"/>
  <c r="N57" i="35" s="1" a="1"/>
  <c r="C31" i="35" a="1"/>
  <c r="C30" i="35" a="1"/>
  <c r="C29" i="35" a="1"/>
  <c r="C28" i="35" a="1"/>
  <c r="C27" i="35" a="1"/>
  <c r="C26" i="35" a="1"/>
  <c r="Q59" i="35" s="1"/>
  <c r="M59" i="35" s="1"/>
  <c r="N59" i="35" s="1" a="1"/>
  <c r="C25" i="35" a="1"/>
  <c r="Q61" i="35" s="1"/>
  <c r="M61" i="35" s="1"/>
  <c r="N61" i="35" s="1" a="1"/>
  <c r="C24" i="35" a="1"/>
  <c r="C23" i="35" a="1"/>
  <c r="C22" i="35" a="1"/>
  <c r="C21" i="35" a="1"/>
  <c r="C20" i="35" a="1"/>
  <c r="C19" i="35" a="1"/>
  <c r="C18" i="35" a="1"/>
  <c r="C17" i="35" a="1"/>
  <c r="C16" i="35" a="1"/>
  <c r="C15" i="35" a="1"/>
  <c r="C14" i="35" a="1"/>
  <c r="C13" i="35" a="1"/>
  <c r="C12" i="35" a="1"/>
  <c r="C11" i="35" a="1"/>
  <c r="C10" i="35" a="1"/>
  <c r="Q58" i="35" s="1"/>
  <c r="M58" i="35" s="1"/>
  <c r="N58" i="35" s="1" a="1"/>
  <c r="C7" i="35" a="1"/>
  <c r="C4" i="35" a="1"/>
  <c r="C46" i="17" a="1"/>
  <c r="D46" i="17" s="1"/>
  <c r="C51" i="36" a="1"/>
  <c r="C48" i="36" a="1"/>
  <c r="C44" i="17" a="1"/>
  <c r="D44" i="17" s="1"/>
  <c r="C31" i="17" a="1"/>
  <c r="C21" i="17" a="1"/>
  <c r="C10" i="17" a="1"/>
  <c r="C27" i="17" a="1"/>
  <c r="C5" i="17" a="1"/>
  <c r="C4" i="17" a="1"/>
  <c r="C20" i="17" a="1"/>
  <c r="C16" i="17" a="1"/>
  <c r="C3" i="17" a="1"/>
  <c r="C8" i="17" a="1"/>
  <c r="C26" i="17" a="1"/>
  <c r="C9" i="17" a="1"/>
  <c r="C33" i="17" a="1"/>
  <c r="D33" i="17" s="1"/>
  <c r="C39" i="17" a="1"/>
  <c r="D39" i="17" s="1"/>
  <c r="C11" i="17" a="1"/>
  <c r="C30" i="17" a="1"/>
  <c r="C24" i="17" a="1"/>
  <c r="C12" i="17" a="1"/>
  <c r="C22" i="17" a="1"/>
  <c r="C36" i="17" a="1"/>
  <c r="D36" i="17" s="1"/>
  <c r="C35" i="17" a="1"/>
  <c r="C15" i="17" a="1"/>
  <c r="D15" i="17" s="1"/>
  <c r="C28" i="17" a="1"/>
  <c r="C17" i="17" a="1"/>
  <c r="C25" i="17" a="1"/>
  <c r="C23" i="17" a="1"/>
  <c r="C32" i="17" a="1"/>
  <c r="D32" i="17" s="1"/>
  <c r="C18" i="17" a="1"/>
  <c r="C7" i="17" a="1"/>
  <c r="C13" i="17" a="1"/>
  <c r="C14" i="17" a="1"/>
  <c r="C29" i="17" a="1"/>
  <c r="C19" i="17" a="1"/>
  <c r="AP11" i="17"/>
  <c r="AP12" i="17"/>
  <c r="AP13" i="17"/>
  <c r="AP9" i="17"/>
  <c r="AP10" i="17"/>
  <c r="C34" i="17" a="1"/>
  <c r="C6" i="17" a="1"/>
  <c r="C40" i="17" a="1"/>
  <c r="D40" i="17" s="1"/>
  <c r="E32" i="17"/>
  <c r="E31" i="17"/>
  <c r="C8" i="33"/>
  <c r="D8" i="33" s="1"/>
  <c r="C52" i="33"/>
  <c r="D52" i="33" s="1"/>
  <c r="C32" i="33"/>
  <c r="Q33" i="33" s="1"/>
  <c r="M33" i="33" s="1"/>
  <c r="N33" i="33" s="1" a="1"/>
  <c r="C46" i="33"/>
  <c r="D46" i="33" s="1"/>
  <c r="C40" i="33"/>
  <c r="Q41" i="33" s="1"/>
  <c r="M41" i="33" s="1"/>
  <c r="N41" i="33" s="1" a="1"/>
  <c r="C21" i="33"/>
  <c r="D21" i="33" s="1"/>
  <c r="C39" i="33"/>
  <c r="Q40" i="33" s="1"/>
  <c r="M40" i="33" s="1"/>
  <c r="N40" i="33" s="1" a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N37" i="33" s="1" a="1"/>
  <c r="C50" i="33"/>
  <c r="Q51" i="33" s="1"/>
  <c r="M51" i="33" s="1"/>
  <c r="N51" i="33" s="1" a="1"/>
  <c r="C17" i="33"/>
  <c r="D17" i="33" s="1"/>
  <c r="C9" i="33"/>
  <c r="D9" i="33" s="1"/>
  <c r="C48" i="33"/>
  <c r="D48" i="33" s="1"/>
  <c r="C16" i="33"/>
  <c r="Q17" i="33" s="1"/>
  <c r="M17" i="33" s="1"/>
  <c r="N17" i="33" s="1" a="1"/>
  <c r="C29" i="33"/>
  <c r="Q30" i="33" s="1"/>
  <c r="M30" i="33" s="1"/>
  <c r="N30" i="33" s="1" a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N52" i="33" s="1" a="1"/>
  <c r="Q35" i="33"/>
  <c r="M35" i="33" s="1"/>
  <c r="N35" i="33" s="1" a="1"/>
  <c r="Q38" i="33"/>
  <c r="M38" i="33" s="1"/>
  <c r="N38" i="33" s="1" a="1"/>
  <c r="Q56" i="33"/>
  <c r="M56" i="33" s="1"/>
  <c r="N56" i="33" s="1" a="1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M15" i="18"/>
  <c r="N15" i="18" s="1" a="1"/>
  <c r="M31" i="18"/>
  <c r="N31" i="18" s="1" a="1"/>
  <c r="M39" i="18"/>
  <c r="N39" i="18" s="1" a="1"/>
  <c r="M77" i="18"/>
  <c r="N77" i="18" s="1" a="1"/>
  <c r="M26" i="18"/>
  <c r="N26" i="18" s="1" a="1"/>
  <c r="M59" i="18"/>
  <c r="N59" i="18" s="1" a="1"/>
  <c r="M10" i="18"/>
  <c r="N10" i="18" s="1" a="1"/>
  <c r="M22" i="18"/>
  <c r="N22" i="18" s="1" a="1"/>
  <c r="M48" i="18"/>
  <c r="N48" i="18" s="1" a="1"/>
  <c r="M40" i="18"/>
  <c r="N40" i="18" s="1" a="1"/>
  <c r="M29" i="18"/>
  <c r="N29" i="18" s="1" a="1"/>
  <c r="M54" i="18"/>
  <c r="N54" i="18" s="1" a="1"/>
  <c r="M66" i="18"/>
  <c r="N66" i="18" s="1" a="1"/>
  <c r="M67" i="18"/>
  <c r="N67" i="18" s="1" a="1"/>
  <c r="M25" i="18"/>
  <c r="N25" i="18" s="1" a="1"/>
  <c r="M51" i="18"/>
  <c r="N51" i="18" s="1" a="1"/>
  <c r="M71" i="18"/>
  <c r="N71" i="18" s="1" a="1"/>
  <c r="M50" i="18"/>
  <c r="N50" i="18" s="1" a="1"/>
  <c r="M43" i="18"/>
  <c r="N43" i="18" s="1" a="1"/>
  <c r="M62" i="18"/>
  <c r="N62" i="18" s="1" a="1"/>
  <c r="M70" i="18"/>
  <c r="N70" i="18" s="1" a="1"/>
  <c r="M63" i="18"/>
  <c r="N63" i="18" s="1" a="1"/>
  <c r="M58" i="18"/>
  <c r="N58" i="18" s="1" a="1"/>
  <c r="M11" i="18"/>
  <c r="N11" i="18" s="1" a="1"/>
  <c r="M60" i="18"/>
  <c r="N60" i="18" s="1" a="1"/>
  <c r="M64" i="18"/>
  <c r="N64" i="18" s="1" a="1"/>
  <c r="M18" i="18"/>
  <c r="N18" i="18" s="1" a="1"/>
  <c r="M33" i="18"/>
  <c r="N33" i="18" s="1" a="1"/>
  <c r="M45" i="18"/>
  <c r="N45" i="18" s="1" a="1"/>
  <c r="M79" i="18"/>
  <c r="N79" i="18" s="1" a="1"/>
  <c r="M23" i="18"/>
  <c r="N23" i="18" s="1" a="1"/>
  <c r="M20" i="18"/>
  <c r="N20" i="18" s="1" a="1"/>
  <c r="M28" i="18"/>
  <c r="N28" i="18" s="1" a="1"/>
  <c r="M56" i="18"/>
  <c r="N56" i="18" s="1" a="1"/>
  <c r="M30" i="18"/>
  <c r="N30" i="18" s="1" a="1"/>
  <c r="M49" i="18"/>
  <c r="N49" i="18" s="1" a="1"/>
  <c r="M37" i="18"/>
  <c r="N37" i="18" s="1" a="1"/>
  <c r="M38" i="18"/>
  <c r="N38" i="18" s="1" a="1"/>
  <c r="M46" i="18"/>
  <c r="N46" i="18" s="1" a="1"/>
  <c r="M74" i="18"/>
  <c r="N74" i="18" s="1" a="1"/>
  <c r="M44" i="18"/>
  <c r="N44" i="18" s="1" a="1"/>
  <c r="M78" i="18"/>
  <c r="N78" i="18" s="1" a="1"/>
  <c r="M19" i="18"/>
  <c r="N19" i="18" s="1" a="1"/>
  <c r="M27" i="18"/>
  <c r="N27" i="18" s="1" a="1"/>
  <c r="M36" i="18"/>
  <c r="N36" i="18" s="1" a="1"/>
  <c r="M52" i="18"/>
  <c r="N52" i="18" s="1" a="1"/>
  <c r="M35" i="18"/>
  <c r="N35" i="18" s="1" a="1"/>
  <c r="M14" i="18"/>
  <c r="N14" i="18" s="1" a="1"/>
  <c r="M55" i="18"/>
  <c r="N55" i="18" s="1" a="1"/>
  <c r="M61" i="18"/>
  <c r="N61" i="18" s="1" a="1"/>
  <c r="M65" i="18"/>
  <c r="N65" i="18" s="1" a="1"/>
  <c r="M42" i="18"/>
  <c r="N42" i="18" s="1" a="1"/>
  <c r="M53" i="18"/>
  <c r="N53" i="18" s="1" a="1"/>
  <c r="M76" i="18"/>
  <c r="N76" i="18" s="1" a="1"/>
  <c r="M16" i="18"/>
  <c r="N16" i="18" s="1" a="1"/>
  <c r="M9" i="18"/>
  <c r="N9" i="18" s="1" a="1"/>
  <c r="M12" i="18"/>
  <c r="N12" i="18" s="1" a="1"/>
  <c r="M69" i="18"/>
  <c r="N69" i="18" s="1" a="1"/>
  <c r="M68" i="18"/>
  <c r="N68" i="18" s="1" a="1"/>
  <c r="M21" i="18"/>
  <c r="N21" i="18" s="1" a="1"/>
  <c r="M32" i="18"/>
  <c r="N32" i="18" s="1" a="1"/>
  <c r="M75" i="18"/>
  <c r="N75" i="18" s="1" a="1"/>
  <c r="M72" i="18"/>
  <c r="N72" i="18" s="1" a="1"/>
  <c r="M73" i="18"/>
  <c r="N73" i="18" s="1" a="1"/>
  <c r="M17" i="18"/>
  <c r="N17" i="18" s="1" a="1"/>
  <c r="M13" i="18"/>
  <c r="N13" i="18" s="1" a="1"/>
  <c r="M47" i="18"/>
  <c r="N47" i="18" s="1" a="1"/>
  <c r="M41" i="18"/>
  <c r="N41" i="18" s="1" a="1"/>
  <c r="E3" i="17"/>
  <c r="E5" i="17"/>
  <c r="E4" i="17"/>
  <c r="E30" i="17"/>
  <c r="E29" i="17"/>
  <c r="E28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D57" i="36" l="1"/>
  <c r="Q55" i="36"/>
  <c r="M55" i="36" s="1"/>
  <c r="N55" i="36" s="1" a="1"/>
  <c r="D56" i="36"/>
  <c r="Q58" i="36"/>
  <c r="M58" i="36" s="1"/>
  <c r="N58" i="36" s="1" a="1"/>
  <c r="D42" i="17"/>
  <c r="Q57" i="17"/>
  <c r="M57" i="17" s="1"/>
  <c r="N57" i="17" s="1" a="1"/>
  <c r="Q56" i="17"/>
  <c r="M56" i="17" s="1"/>
  <c r="N56" i="17" s="1" a="1"/>
  <c r="D38" i="17"/>
  <c r="Q53" i="17"/>
  <c r="M53" i="17" s="1"/>
  <c r="N53" i="17" s="1" a="1"/>
  <c r="D52" i="17"/>
  <c r="Q54" i="17"/>
  <c r="M54" i="17" s="1"/>
  <c r="N54" i="17" s="1" a="1"/>
  <c r="D53" i="17"/>
  <c r="Q51" i="17"/>
  <c r="M51" i="17" s="1"/>
  <c r="N51" i="17" s="1" a="1"/>
  <c r="D51" i="17"/>
  <c r="Q50" i="17"/>
  <c r="M50" i="17" s="1"/>
  <c r="N50" i="17" s="1" a="1"/>
  <c r="D50" i="17"/>
  <c r="Q52" i="17"/>
  <c r="M52" i="17" s="1"/>
  <c r="N52" i="17" s="1" a="1"/>
  <c r="D48" i="17"/>
  <c r="Q55" i="17"/>
  <c r="M55" i="17" s="1"/>
  <c r="N55" i="17" s="1" a="1"/>
  <c r="Q49" i="17"/>
  <c r="M49" i="17" s="1"/>
  <c r="N49" i="17" s="1" a="1"/>
  <c r="D49" i="17"/>
  <c r="Q48" i="17"/>
  <c r="M48" i="17" s="1"/>
  <c r="N48" i="17" s="1" a="1"/>
  <c r="Q46" i="17"/>
  <c r="M46" i="17" s="1"/>
  <c r="N46" i="17" s="1" a="1"/>
  <c r="Q11" i="36"/>
  <c r="M11" i="36" s="1"/>
  <c r="N11" i="36" s="1" a="1"/>
  <c r="D47" i="36"/>
  <c r="D46" i="36"/>
  <c r="D45" i="36"/>
  <c r="Q29" i="36"/>
  <c r="M29" i="36" s="1"/>
  <c r="N29" i="36" s="1" a="1"/>
  <c r="D44" i="36"/>
  <c r="Q27" i="36"/>
  <c r="M27" i="36" s="1"/>
  <c r="N27" i="36" s="1" a="1"/>
  <c r="Q26" i="36"/>
  <c r="M26" i="36" s="1"/>
  <c r="N26" i="36" s="1" a="1"/>
  <c r="D43" i="36"/>
  <c r="D42" i="36"/>
  <c r="Q24" i="36"/>
  <c r="M24" i="36" s="1"/>
  <c r="N24" i="36" s="1" a="1"/>
  <c r="Q25" i="36"/>
  <c r="M25" i="36" s="1"/>
  <c r="N25" i="36" s="1" a="1"/>
  <c r="D41" i="36"/>
  <c r="Q23" i="36"/>
  <c r="M23" i="36" s="1"/>
  <c r="N23" i="36" s="1" a="1"/>
  <c r="D40" i="36"/>
  <c r="Q22" i="36"/>
  <c r="M22" i="36" s="1"/>
  <c r="N22" i="36" s="1" a="1"/>
  <c r="Q21" i="36"/>
  <c r="M21" i="36" s="1"/>
  <c r="N21" i="36" s="1" a="1"/>
  <c r="D39" i="36"/>
  <c r="D38" i="36"/>
  <c r="Q28" i="36"/>
  <c r="M28" i="36" s="1"/>
  <c r="N28" i="36" s="1" a="1"/>
  <c r="Q20" i="36"/>
  <c r="M20" i="36" s="1"/>
  <c r="N20" i="36" s="1" a="1"/>
  <c r="D37" i="36"/>
  <c r="Q31" i="36"/>
  <c r="M31" i="36" s="1"/>
  <c r="N31" i="36" s="1" a="1"/>
  <c r="D36" i="36"/>
  <c r="Q34" i="36"/>
  <c r="M34" i="36" s="1"/>
  <c r="N34" i="36" s="1" a="1"/>
  <c r="Q32" i="36"/>
  <c r="M32" i="36" s="1"/>
  <c r="N32" i="36" s="1" a="1"/>
  <c r="D35" i="36"/>
  <c r="D34" i="36"/>
  <c r="Q30" i="36"/>
  <c r="M30" i="36" s="1"/>
  <c r="N30" i="36" s="1" a="1"/>
  <c r="D33" i="36"/>
  <c r="Q33" i="36"/>
  <c r="M33" i="36" s="1"/>
  <c r="N33" i="36" s="1" a="1"/>
  <c r="Q37" i="36"/>
  <c r="M37" i="36" s="1"/>
  <c r="N37" i="36" s="1" a="1"/>
  <c r="D32" i="36"/>
  <c r="D31" i="36"/>
  <c r="Q38" i="36"/>
  <c r="M38" i="36" s="1"/>
  <c r="N38" i="36" s="1" a="1"/>
  <c r="D30" i="36"/>
  <c r="Q39" i="36"/>
  <c r="M39" i="36" s="1"/>
  <c r="N39" i="36" s="1" a="1"/>
  <c r="D29" i="36"/>
  <c r="D28" i="36"/>
  <c r="Q36" i="36"/>
  <c r="M36" i="36" s="1"/>
  <c r="N36" i="36" s="1" a="1"/>
  <c r="D27" i="36"/>
  <c r="Q35" i="36"/>
  <c r="M35" i="36" s="1"/>
  <c r="N35" i="36" s="1" a="1"/>
  <c r="Q44" i="36"/>
  <c r="M44" i="36" s="1"/>
  <c r="N44" i="36" s="1" a="1"/>
  <c r="D26" i="36"/>
  <c r="D25" i="36"/>
  <c r="D24" i="36"/>
  <c r="Q43" i="36"/>
  <c r="M43" i="36" s="1"/>
  <c r="N43" i="36" s="1" a="1"/>
  <c r="D23" i="36"/>
  <c r="D22" i="36"/>
  <c r="Q42" i="36"/>
  <c r="M42" i="36" s="1"/>
  <c r="N42" i="36" s="1" a="1"/>
  <c r="D21" i="36"/>
  <c r="D20" i="36"/>
  <c r="Q41" i="36"/>
  <c r="M41" i="36" s="1"/>
  <c r="N41" i="36" s="1" a="1"/>
  <c r="D19" i="36"/>
  <c r="Q40" i="36"/>
  <c r="M40" i="36" s="1"/>
  <c r="N40" i="36" s="1" a="1"/>
  <c r="D18" i="36"/>
  <c r="D17" i="36"/>
  <c r="D16" i="36"/>
  <c r="Q52" i="36"/>
  <c r="M52" i="36" s="1"/>
  <c r="N52" i="36" s="1" a="1"/>
  <c r="Q49" i="36"/>
  <c r="M49" i="36" s="1"/>
  <c r="N49" i="36" s="1" a="1"/>
  <c r="D15" i="36"/>
  <c r="D14" i="36"/>
  <c r="Q48" i="36"/>
  <c r="M48" i="36" s="1"/>
  <c r="N48" i="36" s="1" a="1"/>
  <c r="Q51" i="36"/>
  <c r="M51" i="36" s="1"/>
  <c r="N51" i="36" s="1" a="1"/>
  <c r="D13" i="36"/>
  <c r="D12" i="36"/>
  <c r="Q50" i="36"/>
  <c r="M50" i="36" s="1"/>
  <c r="N50" i="36" s="1" a="1"/>
  <c r="D11" i="36"/>
  <c r="D10" i="36"/>
  <c r="Q53" i="36"/>
  <c r="M53" i="36" s="1"/>
  <c r="N53" i="36" s="1" a="1"/>
  <c r="D9" i="36"/>
  <c r="Q45" i="36"/>
  <c r="M45" i="36" s="1"/>
  <c r="N45" i="36" s="1" a="1"/>
  <c r="Q46" i="36"/>
  <c r="M46" i="36" s="1"/>
  <c r="N46" i="36" s="1" a="1"/>
  <c r="D8" i="36"/>
  <c r="D7" i="36"/>
  <c r="Q47" i="36"/>
  <c r="M47" i="36" s="1"/>
  <c r="N47" i="36" s="1" a="1"/>
  <c r="Q14" i="35"/>
  <c r="M14" i="35" s="1"/>
  <c r="N14" i="35" s="1" a="1"/>
  <c r="D59" i="35"/>
  <c r="D58" i="35"/>
  <c r="Q9" i="35"/>
  <c r="M9" i="35" s="1"/>
  <c r="N9" i="35" s="1" a="1"/>
  <c r="D57" i="35"/>
  <c r="Q18" i="35"/>
  <c r="M18" i="35" s="1"/>
  <c r="N18" i="35" s="1" a="1"/>
  <c r="D56" i="35"/>
  <c r="Q10" i="35"/>
  <c r="M10" i="35" s="1"/>
  <c r="N10" i="35" s="1" a="1"/>
  <c r="D55" i="35"/>
  <c r="Q12" i="35"/>
  <c r="M12" i="35" s="1"/>
  <c r="N12" i="35" s="1" a="1"/>
  <c r="D54" i="35"/>
  <c r="Q15" i="35"/>
  <c r="M15" i="35" s="1"/>
  <c r="N15" i="35" s="1" a="1"/>
  <c r="D53" i="35"/>
  <c r="Q17" i="35"/>
  <c r="M17" i="35" s="1"/>
  <c r="N17" i="35" s="1" a="1"/>
  <c r="D52" i="35"/>
  <c r="Q13" i="35"/>
  <c r="M13" i="35" s="1"/>
  <c r="N13" i="35" s="1" a="1"/>
  <c r="D51" i="35"/>
  <c r="Q16" i="35"/>
  <c r="M16" i="35" s="1"/>
  <c r="N16" i="35" s="1" a="1"/>
  <c r="D50" i="35"/>
  <c r="D49" i="35"/>
  <c r="Q11" i="35"/>
  <c r="M11" i="35" s="1"/>
  <c r="N11" i="35" s="1" a="1"/>
  <c r="D48" i="35"/>
  <c r="Q27" i="35"/>
  <c r="M27" i="35" s="1"/>
  <c r="N27" i="35" s="1" a="1"/>
  <c r="D47" i="35"/>
  <c r="Q29" i="35"/>
  <c r="M29" i="35" s="1"/>
  <c r="N29" i="35" s="1" a="1"/>
  <c r="D46" i="35"/>
  <c r="Q26" i="35"/>
  <c r="M26" i="35" s="1"/>
  <c r="N26" i="35" s="1" a="1"/>
  <c r="D45" i="35"/>
  <c r="Q25" i="35"/>
  <c r="M25" i="35" s="1"/>
  <c r="N25" i="35" s="1" a="1"/>
  <c r="D44" i="35"/>
  <c r="Q23" i="35"/>
  <c r="M23" i="35" s="1"/>
  <c r="N23" i="35" s="1" a="1"/>
  <c r="D43" i="35"/>
  <c r="Q24" i="35"/>
  <c r="M24" i="35" s="1"/>
  <c r="N24" i="35" s="1" a="1"/>
  <c r="D42" i="35"/>
  <c r="Q22" i="35"/>
  <c r="M22" i="35" s="1"/>
  <c r="N22" i="35" s="1" a="1"/>
  <c r="D41" i="35"/>
  <c r="Q21" i="35"/>
  <c r="M21" i="35" s="1"/>
  <c r="N21" i="35" s="1" a="1"/>
  <c r="D40" i="35"/>
  <c r="Q20" i="35"/>
  <c r="M20" i="35" s="1"/>
  <c r="N20" i="35" s="1" a="1"/>
  <c r="D39" i="35"/>
  <c r="Q28" i="35"/>
  <c r="M28" i="35" s="1"/>
  <c r="N28" i="35" s="1" a="1"/>
  <c r="D38" i="35"/>
  <c r="Q19" i="35"/>
  <c r="M19" i="35" s="1"/>
  <c r="N19" i="35" s="1" a="1"/>
  <c r="Q48" i="35"/>
  <c r="M48" i="35" s="1"/>
  <c r="N48" i="35" s="1" a="1"/>
  <c r="D9" i="35"/>
  <c r="D8" i="35"/>
  <c r="Q49" i="35"/>
  <c r="M49" i="35" s="1"/>
  <c r="N49" i="35" s="1" a="1"/>
  <c r="Q14" i="36"/>
  <c r="M14" i="36" s="1"/>
  <c r="N14" i="36" s="1" a="1"/>
  <c r="Q9" i="36"/>
  <c r="M9" i="36" s="1"/>
  <c r="N9" i="36" s="1" a="1"/>
  <c r="Q19" i="36"/>
  <c r="M19" i="36" s="1"/>
  <c r="N19" i="36" s="1" a="1"/>
  <c r="Q10" i="36"/>
  <c r="M10" i="36" s="1"/>
  <c r="N10" i="36" s="1" a="1"/>
  <c r="Q12" i="36"/>
  <c r="M12" i="36" s="1"/>
  <c r="N12" i="36" s="1" a="1"/>
  <c r="Q15" i="36"/>
  <c r="M15" i="36" s="1"/>
  <c r="N15" i="36" s="1" a="1"/>
  <c r="D50" i="36"/>
  <c r="Q13" i="36"/>
  <c r="M13" i="36" s="1"/>
  <c r="N13" i="36" s="1" a="1"/>
  <c r="Q16" i="36"/>
  <c r="M16" i="36" s="1"/>
  <c r="N16" i="36" s="1" a="1"/>
  <c r="D49" i="36"/>
  <c r="D37" i="35"/>
  <c r="Q31" i="35"/>
  <c r="M31" i="35" s="1"/>
  <c r="N31" i="35" s="1" a="1"/>
  <c r="D36" i="35"/>
  <c r="Q34" i="35"/>
  <c r="M34" i="35" s="1"/>
  <c r="N34" i="35" s="1" a="1"/>
  <c r="D35" i="35"/>
  <c r="Q32" i="35"/>
  <c r="M32" i="35" s="1"/>
  <c r="N32" i="35" s="1" a="1"/>
  <c r="D34" i="35"/>
  <c r="Q30" i="35"/>
  <c r="M30" i="35" s="1"/>
  <c r="N30" i="35" s="1" a="1"/>
  <c r="D33" i="35"/>
  <c r="Q33" i="35"/>
  <c r="M33" i="35" s="1"/>
  <c r="N33" i="35" s="1" a="1"/>
  <c r="D32" i="35"/>
  <c r="Q38" i="35"/>
  <c r="M38" i="35" s="1"/>
  <c r="N38" i="35" s="1" a="1"/>
  <c r="D31" i="35"/>
  <c r="Q39" i="35"/>
  <c r="M39" i="35" s="1"/>
  <c r="N39" i="35" s="1" a="1"/>
  <c r="D30" i="35"/>
  <c r="Q36" i="35"/>
  <c r="M36" i="35" s="1"/>
  <c r="N36" i="35" s="1" a="1"/>
  <c r="D29" i="35"/>
  <c r="Q40" i="35"/>
  <c r="M40" i="35" s="1"/>
  <c r="N40" i="35" s="1" a="1"/>
  <c r="Q37" i="35"/>
  <c r="M37" i="35" s="1"/>
  <c r="N37" i="35" s="1" a="1"/>
  <c r="D28" i="35"/>
  <c r="D27" i="35"/>
  <c r="Q35" i="35"/>
  <c r="M35" i="35" s="1"/>
  <c r="N35" i="35" s="1" a="1"/>
  <c r="D26" i="35"/>
  <c r="Q47" i="35"/>
  <c r="M47" i="35" s="1"/>
  <c r="N47" i="35" s="1" a="1"/>
  <c r="Q46" i="35"/>
  <c r="M46" i="35" s="1"/>
  <c r="N46" i="35" s="1" a="1"/>
  <c r="D25" i="35"/>
  <c r="D24" i="35"/>
  <c r="Q45" i="35"/>
  <c r="M45" i="35" s="1"/>
  <c r="N45" i="35" s="1" a="1"/>
  <c r="Q44" i="35"/>
  <c r="M44" i="35" s="1"/>
  <c r="N44" i="35" s="1" a="1"/>
  <c r="D23" i="35"/>
  <c r="D22" i="35"/>
  <c r="Q43" i="35"/>
  <c r="M43" i="35" s="1"/>
  <c r="N43" i="35" s="1" a="1"/>
  <c r="D21" i="35"/>
  <c r="Q42" i="35"/>
  <c r="M42" i="35" s="1"/>
  <c r="N42" i="35" s="1" a="1"/>
  <c r="D20" i="35"/>
  <c r="D19" i="35"/>
  <c r="D18" i="35"/>
  <c r="D17" i="35"/>
  <c r="Q41" i="35"/>
  <c r="M41" i="35" s="1"/>
  <c r="N41" i="35" s="1" a="1"/>
  <c r="Q55" i="35"/>
  <c r="M55" i="35" s="1"/>
  <c r="N55" i="35" s="1" a="1"/>
  <c r="D16" i="35"/>
  <c r="D15" i="35"/>
  <c r="Q51" i="35"/>
  <c r="M51" i="35" s="1"/>
  <c r="N51" i="35" s="1" a="1"/>
  <c r="D14" i="35"/>
  <c r="D13" i="35"/>
  <c r="Q54" i="35"/>
  <c r="M54" i="35" s="1"/>
  <c r="N54" i="35" s="1" a="1"/>
  <c r="D12" i="35"/>
  <c r="Q53" i="35"/>
  <c r="M53" i="35" s="1"/>
  <c r="N53" i="35" s="1" a="1"/>
  <c r="Q52" i="35"/>
  <c r="M52" i="35" s="1"/>
  <c r="N52" i="35" s="1" a="1"/>
  <c r="D11" i="35"/>
  <c r="D10" i="35"/>
  <c r="Q56" i="35"/>
  <c r="M56" i="35" s="1"/>
  <c r="N56" i="35" s="1" a="1"/>
  <c r="D7" i="35"/>
  <c r="Q50" i="35"/>
  <c r="M50" i="35" s="1"/>
  <c r="N50" i="35" s="1" a="1"/>
  <c r="Q17" i="36"/>
  <c r="M17" i="36" s="1"/>
  <c r="N17" i="36" s="1" a="1"/>
  <c r="D51" i="36"/>
  <c r="D48" i="36"/>
  <c r="Q18" i="36"/>
  <c r="M18" i="36" s="1"/>
  <c r="N18" i="36" s="1" a="1"/>
  <c r="Q39" i="17"/>
  <c r="M39" i="17" s="1"/>
  <c r="N39" i="17" s="1" a="1"/>
  <c r="Q36" i="17"/>
  <c r="M36" i="17" s="1"/>
  <c r="N36" i="17" s="1" a="1"/>
  <c r="Q40" i="17"/>
  <c r="M40" i="17" s="1"/>
  <c r="N40" i="17" s="1" a="1"/>
  <c r="Q37" i="17"/>
  <c r="M37" i="17" s="1"/>
  <c r="N37" i="17" s="1" a="1"/>
  <c r="Q35" i="17"/>
  <c r="M35" i="17" s="1"/>
  <c r="N35" i="17" s="1" a="1"/>
  <c r="Q34" i="17"/>
  <c r="M34" i="17" s="1"/>
  <c r="N34" i="17" s="1" a="1"/>
  <c r="Q38" i="17"/>
  <c r="M38" i="17" s="1"/>
  <c r="N38" i="17" s="1" a="1"/>
  <c r="D16" i="17"/>
  <c r="Q41" i="17"/>
  <c r="M41" i="17" s="1"/>
  <c r="N41" i="17" s="1" a="1"/>
  <c r="Q45" i="17"/>
  <c r="M45" i="17" s="1"/>
  <c r="N45" i="17" s="1" a="1"/>
  <c r="Q47" i="17"/>
  <c r="M47" i="17" s="1"/>
  <c r="N47" i="17" s="1" a="1"/>
  <c r="Q43" i="17"/>
  <c r="M43" i="17" s="1"/>
  <c r="N43" i="17" s="1" a="1"/>
  <c r="Q44" i="17"/>
  <c r="M44" i="17" s="1"/>
  <c r="N44" i="17" s="1" a="1"/>
  <c r="Q42" i="17"/>
  <c r="M42" i="17" s="1"/>
  <c r="N42" i="17" s="1" a="1"/>
  <c r="D34" i="17"/>
  <c r="D35" i="17"/>
  <c r="D31" i="17"/>
  <c r="E27" i="17"/>
  <c r="D27" i="17"/>
  <c r="D14" i="17"/>
  <c r="E22" i="17"/>
  <c r="D22" i="17"/>
  <c r="E18" i="17"/>
  <c r="D18" i="17"/>
  <c r="E26" i="17"/>
  <c r="D26" i="17"/>
  <c r="E24" i="17"/>
  <c r="D24" i="17"/>
  <c r="E17" i="17"/>
  <c r="D17" i="17"/>
  <c r="E23" i="17"/>
  <c r="D23" i="17"/>
  <c r="E20" i="17"/>
  <c r="E19" i="17"/>
  <c r="D19" i="17"/>
  <c r="E25" i="17"/>
  <c r="D25" i="17"/>
  <c r="D12" i="17"/>
  <c r="E21" i="17"/>
  <c r="D21" i="17"/>
  <c r="D13" i="17"/>
  <c r="D9" i="17"/>
  <c r="D11" i="17"/>
  <c r="D10" i="17"/>
  <c r="D8" i="17"/>
  <c r="D7" i="17"/>
  <c r="D30" i="17"/>
  <c r="Q9" i="33"/>
  <c r="M9" i="33" s="1"/>
  <c r="N9" i="33" s="1" a="1"/>
  <c r="D39" i="33"/>
  <c r="D16" i="33"/>
  <c r="BB13" i="33"/>
  <c r="D40" i="33"/>
  <c r="BB9" i="33"/>
  <c r="Q49" i="33"/>
  <c r="M49" i="33" s="1"/>
  <c r="N49" i="33" s="1" a="1"/>
  <c r="Q14" i="33"/>
  <c r="M14" i="33" s="1"/>
  <c r="N14" i="33" s="1" a="1"/>
  <c r="Q13" i="33"/>
  <c r="M13" i="33" s="1"/>
  <c r="N13" i="33" s="1" a="1"/>
  <c r="Q58" i="33"/>
  <c r="M58" i="33" s="1"/>
  <c r="N58" i="33" s="1" a="1"/>
  <c r="Q24" i="33"/>
  <c r="M24" i="33" s="1"/>
  <c r="N24" i="33" s="1" a="1"/>
  <c r="Q29" i="33"/>
  <c r="M29" i="33" s="1"/>
  <c r="N29" i="33" s="1" a="1"/>
  <c r="D29" i="33"/>
  <c r="Q12" i="33"/>
  <c r="M12" i="33" s="1"/>
  <c r="N12" i="33" s="1" a="1"/>
  <c r="Q45" i="33"/>
  <c r="M45" i="33" s="1"/>
  <c r="N45" i="33" s="1" a="1"/>
  <c r="D50" i="33"/>
  <c r="Q11" i="33"/>
  <c r="M11" i="33" s="1"/>
  <c r="N11" i="33" s="1" a="1"/>
  <c r="Q22" i="33"/>
  <c r="M22" i="33" s="1"/>
  <c r="N22" i="33" s="1" a="1"/>
  <c r="Q34" i="33"/>
  <c r="M34" i="33" s="1"/>
  <c r="N34" i="33" s="1" a="1"/>
  <c r="Q43" i="33"/>
  <c r="M43" i="33" s="1"/>
  <c r="N43" i="33" s="1" a="1"/>
  <c r="Q27" i="33"/>
  <c r="M27" i="33" s="1"/>
  <c r="N27" i="33" s="1" a="1"/>
  <c r="Q55" i="33"/>
  <c r="M55" i="33" s="1"/>
  <c r="N55" i="33" s="1" a="1"/>
  <c r="Q26" i="33"/>
  <c r="M26" i="33" s="1"/>
  <c r="N26" i="33" s="1" a="1"/>
  <c r="Q42" i="33"/>
  <c r="M42" i="33" s="1"/>
  <c r="N42" i="33" s="1" a="1"/>
  <c r="Q20" i="33"/>
  <c r="M20" i="33" s="1"/>
  <c r="N20" i="33" s="1" a="1"/>
  <c r="D36" i="33"/>
  <c r="Q19" i="33"/>
  <c r="M19" i="33" s="1"/>
  <c r="N19" i="33" s="1" a="1"/>
  <c r="Q54" i="33"/>
  <c r="M54" i="33" s="1"/>
  <c r="N54" i="33" s="1" a="1"/>
  <c r="Q50" i="33"/>
  <c r="M50" i="33" s="1"/>
  <c r="N50" i="33" s="1" a="1"/>
  <c r="D32" i="33"/>
  <c r="Q47" i="33"/>
  <c r="M47" i="33" s="1"/>
  <c r="N47" i="33" s="1" a="1"/>
  <c r="BB11" i="33"/>
  <c r="Q18" i="33"/>
  <c r="M18" i="33" s="1"/>
  <c r="N18" i="33" s="1" a="1"/>
  <c r="Q10" i="33"/>
  <c r="M10" i="33" s="1"/>
  <c r="N10" i="33" s="1" a="1"/>
  <c r="Q15" i="33"/>
  <c r="M15" i="33" s="1"/>
  <c r="N15" i="33" s="1" a="1"/>
  <c r="Q21" i="33"/>
  <c r="M21" i="33" s="1"/>
  <c r="N21" i="33" s="1" a="1"/>
  <c r="Q25" i="33"/>
  <c r="M25" i="33" s="1"/>
  <c r="N25" i="33" s="1" a="1"/>
  <c r="Q31" i="33"/>
  <c r="M31" i="33" s="1"/>
  <c r="N31" i="33" s="1" a="1"/>
  <c r="Q28" i="33"/>
  <c r="M28" i="33" s="1"/>
  <c r="N28" i="33" s="1" a="1"/>
  <c r="Q48" i="33"/>
  <c r="M48" i="33" s="1"/>
  <c r="N48" i="33" s="1" a="1"/>
  <c r="Q32" i="33"/>
  <c r="M32" i="33" s="1"/>
  <c r="N32" i="33" s="1" a="1"/>
  <c r="Q53" i="33"/>
  <c r="M53" i="33" s="1"/>
  <c r="N53" i="33" s="1" a="1"/>
  <c r="Q16" i="33"/>
  <c r="M16" i="33" s="1"/>
  <c r="N16" i="33" s="1" a="1"/>
  <c r="BB10" i="33"/>
  <c r="Q39" i="33"/>
  <c r="M39" i="33" s="1"/>
  <c r="N39" i="33" s="1" a="1"/>
  <c r="Q36" i="33"/>
  <c r="M36" i="33" s="1"/>
  <c r="N36" i="33" s="1" a="1"/>
  <c r="BB12" i="33"/>
  <c r="Q23" i="33"/>
  <c r="M23" i="33" s="1"/>
  <c r="N23" i="33" s="1" a="1"/>
  <c r="Q57" i="33"/>
  <c r="M57" i="33" s="1"/>
  <c r="N57" i="33" s="1" a="1"/>
  <c r="Q46" i="33"/>
  <c r="M46" i="33" s="1"/>
  <c r="N46" i="33" s="1" a="1"/>
  <c r="Q44" i="33"/>
  <c r="M44" i="33" s="1"/>
  <c r="N44" i="33" s="1" a="1"/>
  <c r="Q59" i="33"/>
  <c r="M59" i="33" s="1"/>
  <c r="N59" i="33" s="1" a="1"/>
  <c r="AR11" i="17"/>
  <c r="AR9" i="17"/>
  <c r="AR10" i="17"/>
  <c r="AR13" i="17"/>
  <c r="AR12" i="17"/>
  <c r="O43" i="17" l="1"/>
  <c r="O49" i="17"/>
  <c r="O38" i="17"/>
  <c r="O48" i="17"/>
  <c r="O47" i="17"/>
  <c r="O37" i="17"/>
  <c r="O40" i="17"/>
  <c r="O44" i="17"/>
  <c r="O36" i="17"/>
  <c r="O34" i="17"/>
  <c r="O46" i="17"/>
  <c r="O42" i="17"/>
  <c r="O39" i="17"/>
  <c r="O35" i="17"/>
  <c r="O41" i="17"/>
  <c r="O45" i="17"/>
  <c r="O18" i="17"/>
  <c r="O10" i="17"/>
  <c r="O32" i="17"/>
  <c r="O31" i="17"/>
  <c r="O33" i="17"/>
  <c r="O16" i="17"/>
  <c r="O14" i="17"/>
  <c r="O11" i="17"/>
  <c r="O30" i="17"/>
  <c r="O15" i="17"/>
  <c r="O20" i="17"/>
  <c r="O13" i="17"/>
  <c r="O24" i="17"/>
  <c r="O21" i="17"/>
  <c r="O19" i="17"/>
  <c r="O12" i="17"/>
  <c r="O23" i="17"/>
  <c r="O17" i="17"/>
  <c r="O22" i="17"/>
  <c r="O25" i="17"/>
  <c r="O27" i="17"/>
  <c r="O29" i="17"/>
  <c r="O26" i="17"/>
  <c r="O28" i="17"/>
  <c r="O9" i="17"/>
  <c r="Q33" i="17"/>
  <c r="M33" i="17" s="1"/>
  <c r="N33" i="17" s="1" a="1"/>
  <c r="D20" i="17"/>
  <c r="D28" i="17"/>
  <c r="D29" i="17"/>
  <c r="Q25" i="17"/>
  <c r="M25" i="17" s="1"/>
  <c r="N25" i="17" s="1" a="1"/>
  <c r="Q20" i="17"/>
  <c r="M20" i="17" s="1"/>
  <c r="N20" i="17" s="1" a="1"/>
  <c r="Q22" i="17"/>
  <c r="M22" i="17" s="1"/>
  <c r="N22" i="17" s="1" a="1"/>
  <c r="Q32" i="17"/>
  <c r="M32" i="17" s="1"/>
  <c r="N32" i="17" s="1" a="1"/>
  <c r="Q10" i="17"/>
  <c r="M10" i="17" s="1"/>
  <c r="N10" i="17" s="1" a="1"/>
  <c r="Q9" i="17"/>
  <c r="M9" i="17" s="1"/>
  <c r="N9" i="17" s="1" a="1"/>
  <c r="Q21" i="17"/>
  <c r="M21" i="17" s="1"/>
  <c r="N21" i="17" s="1" a="1"/>
  <c r="Q29" i="17"/>
  <c r="M29" i="17" s="1"/>
  <c r="N29" i="17" s="1" a="1"/>
  <c r="Q28" i="17"/>
  <c r="M28" i="17" s="1"/>
  <c r="N28" i="17" s="1" a="1"/>
  <c r="Q24" i="17"/>
  <c r="M24" i="17" s="1"/>
  <c r="N24" i="17" s="1" a="1"/>
  <c r="Q14" i="17"/>
  <c r="M14" i="17" s="1"/>
  <c r="N14" i="17" s="1" a="1"/>
  <c r="Q13" i="17"/>
  <c r="M13" i="17" s="1"/>
  <c r="N13" i="17" s="1" a="1"/>
  <c r="Q17" i="17"/>
  <c r="M17" i="17" s="1"/>
  <c r="N17" i="17" s="1" a="1"/>
  <c r="Q16" i="17"/>
  <c r="M16" i="17" s="1"/>
  <c r="N16" i="17" s="1" a="1"/>
  <c r="Q12" i="17"/>
  <c r="M12" i="17" s="1"/>
  <c r="N12" i="17" s="1" a="1"/>
  <c r="Q15" i="17"/>
  <c r="M15" i="17" s="1"/>
  <c r="N15" i="17" s="1" a="1"/>
  <c r="Q27" i="17"/>
  <c r="M27" i="17" s="1"/>
  <c r="N27" i="17" s="1" a="1"/>
  <c r="Q26" i="17"/>
  <c r="M26" i="17" s="1"/>
  <c r="N26" i="17" s="1" a="1"/>
  <c r="Q23" i="17"/>
  <c r="M23" i="17" s="1"/>
  <c r="N23" i="17" s="1" a="1"/>
  <c r="Q30" i="17"/>
  <c r="M30" i="17" s="1"/>
  <c r="N30" i="17" s="1" a="1"/>
  <c r="Q31" i="17"/>
  <c r="M31" i="17" s="1"/>
  <c r="N31" i="17" s="1" a="1"/>
  <c r="Q19" i="17"/>
  <c r="M19" i="17" s="1"/>
  <c r="N19" i="17" s="1" a="1"/>
  <c r="Q18" i="17"/>
  <c r="M18" i="17" s="1"/>
  <c r="N18" i="17" s="1" a="1"/>
  <c r="Q11" i="17"/>
  <c r="M11" i="17" s="1"/>
  <c r="N11" i="17" s="1" a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<sst xmlns="http://schemas.openxmlformats.org/spreadsheetml/2006/main" count="18055" uniqueCount="675">
  <si>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</si>
  <si>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</si>
  <si>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</si>
  <si>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</si>
  <si>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</si>
  <si>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</si>
  <si>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</si>
  <si>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</si>
  <si>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</si>
  <si>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</si>
  <si>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</si>
  <si>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</si>
  <si>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</si>
  <si>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</si>
  <si>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</si>
  <si>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</si>
  <si>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</si>
  <si>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</si>
  <si>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</si>
  <si>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</si>
  <si>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</si>
  <si>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</si>
  <si>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</si>
  <si>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</si>
  <si>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</si>
  <si>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</si>
  <si>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</si>
  <si>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</si>
  <si>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</si>
  <si>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</si>
  <si>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</si>
  <si>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</si>
  <si>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</si>
  <si>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</si>
  <si>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</si>
  <si>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</si>
  <si>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</si>
  <si>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</si>
  <si>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</si>
  <si>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</si>
  <si>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</si>
  <si>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</si>
  <si>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</si>
  <si>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</si>
  <si>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</si>
  <si>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</si>
  <si>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</si>
  <si>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</si>
  <si>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</si>
  <si>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</si>
  <si>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</si>
  <si>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</si>
  <si>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</si>
  <si>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</si>
  <si>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</si>
  <si>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</si>
  <si>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</si>
  <si>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</si>
  <si>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</si>
  <si>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</si>
  <si>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</si>
  <si>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</si>
  <si>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</si>
  <si>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</si>
  <si>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</si>
  <si>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</si>
  <si>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</si>
  <si>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</si>
  <si>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</si>
  <si>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</si>
  <si>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</si>
  <si>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</si>
  <si>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</si>
  <si>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</si>
  <si>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</si>
  <si>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</si>
  <si>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</si>
  <si>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</si>
  <si>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</si>
  <si>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</si>
  <si>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</si>
  <si>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</si>
  <si>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</si>
  <si>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</si>
  <si>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</si>
  <si>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</si>
  <si>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</si>
  <si>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</si>
  <si>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</si>
  <si>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</si>
  <si>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</si>
  <si>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</si>
  <si>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</si>
  <si>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</si>
  <si>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</si>
  <si>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</si>
  <si>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</si>
  <si>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</si>
  <si>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</si>
  <si>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</si>
  <si>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</si>
  <si>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</si>
  <si>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</si>
  <si>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</si>
  <si>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</si>
  <si>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</si>
  <si>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</si>
  <si>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</si>
  <si>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</si>
  <si>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</si>
  <si>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</si>
  <si>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</si>
  <si>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</si>
  <si>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</si>
  <si>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</si>
  <si>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</si>
  <si>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</si>
  <si>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</si>
  <si>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</si>
  <si>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</si>
  <si>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</si>
  <si>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</si>
  <si>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</si>
  <si>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</si>
  <si>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</si>
  <si>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</si>
  <si>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</si>
  <si>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</si>
  <si>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</si>
  <si>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</si>
  <si>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</si>
  <si>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</si>
  <si>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</si>
  <si>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</si>
  <si>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</si>
  <si>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</si>
  <si>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</si>
  <si>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</si>
  <si>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</si>
  <si>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</si>
  <si>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</si>
  <si>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</si>
  <si>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</si>
  <si>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</si>
  <si>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</si>
  <si>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</si>
  <si>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</si>
  <si>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</si>
  <si>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</si>
  <si>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</si>
  <si>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</si>
  <si>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</si>
  <si>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</si>
  <si>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</si>
  <si>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</si>
  <si>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</si>
  <si>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</si>
  <si>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</si>
  <si>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</si>
  <si>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</si>
  <si>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</si>
  <si>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</si>
  <si>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</si>
  <si>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</si>
  <si>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</si>
  <si>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</si>
  <si>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</si>
  <si>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</si>
  <si>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</si>
  <si>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</si>
  <si>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</si>
  <si>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</si>
  <si>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</si>
  <si>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</si>
  <si>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</si>
  <si>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</si>
  <si>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</si>
  <si>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</si>
  <si>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</si>
  <si>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</si>
  <si>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</si>
  <si>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</si>
  <si>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</si>
  <si>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</si>
  <si>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</si>
  <si>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</si>
  <si>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</si>
  <si>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</si>
  <si>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</si>
  <si>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</si>
  <si>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</si>
  <si>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</si>
  <si>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</si>
  <si>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</si>
  <si>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</si>
  <si>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</si>
  <si>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</si>
  <si>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</si>
  <si>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</si>
  <si>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</si>
  <si>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</si>
  <si>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</si>
  <si>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</si>
  <si>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</si>
  <si>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</si>
  <si>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</si>
  <si>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</si>
  <si>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</si>
  <si>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</si>
  <si>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</si>
  <si>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</si>
  <si>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</si>
  <si>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</si>
  <si>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</si>
  <si>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</si>
  <si>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</si>
  <si>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</si>
  <si>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</si>
  <si>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</si>
  <si>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</si>
  <si>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</si>
  <si>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</si>
  <si>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</si>
  <si>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</si>
  <si>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</si>
  <si>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</si>
  <si>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</si>
  <si>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</si>
  <si>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</si>
  <si>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</si>
  <si>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</si>
  <si>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</si>
  <si>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</si>
  <si>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</si>
  <si>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</si>
  <si>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</si>
  <si>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</si>
  <si>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</si>
  <si>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</si>
  <si>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</si>
  <si>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</si>
  <si>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</si>
  <si>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</si>
  <si>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</si>
  <si>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</si>
  <si>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</si>
  <si>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</si>
  <si>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</si>
  <si>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</si>
  <si>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</si>
  <si>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</si>
  <si>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</si>
  <si>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</si>
  <si>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</si>
  <si>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</si>
  <si>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</si>
  <si>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</si>
  <si>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</si>
  <si>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</si>
  <si>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</si>
  <si>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</si>
  <si>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</si>
  <si>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</si>
  <si>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</si>
  <si>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</si>
  <si>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</si>
  <si>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</si>
  <si>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</si>
  <si>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</si>
  <si>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</si>
  <si>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</si>
  <si>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</si>
  <si>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</si>
  <si>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</si>
  <si>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</si>
  <si>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</si>
  <si>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</si>
  <si>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</si>
  <si>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</si>
  <si>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</si>
  <si>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</si>
  <si>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</si>
  <si>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</si>
  <si>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</si>
  <si>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</si>
  <si>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</si>
  <si>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</si>
  <si>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</si>
  <si>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</si>
  <si>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</si>
  <si>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</si>
  <si>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</si>
  <si>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</si>
  <si>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</si>
  <si>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</si>
  <si>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</si>
  <si>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</si>
  <si>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</si>
  <si>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</si>
  <si>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</si>
  <si>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</si>
  <si>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</si>
  <si>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</si>
  <si>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</si>
  <si>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</si>
  <si>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</si>
  <si>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</si>
  <si>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</si>
  <si>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</si>
  <si>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</si>
  <si>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</si>
  <si>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</si>
  <si>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</si>
  <si>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</si>
  <si>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</si>
  <si>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</si>
  <si>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</si>
  <si>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</si>
  <si>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</si>
  <si>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</si>
  <si>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</si>
  <si>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</si>
  <si>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</si>
  <si>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</si>
  <si>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</si>
  <si>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</si>
  <si>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</si>
  <si>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</si>
  <si>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</si>
  <si>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</si>
  <si>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</si>
  <si>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</si>
  <si>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</si>
  <si>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</si>
  <si>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</si>
  <si>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</si>
  <si>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</si>
  <si>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</si>
  <si>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</si>
  <si>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</si>
  <si>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</si>
  <si>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</si>
  <si>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</si>
  <si>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</si>
  <si>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</si>
  <si>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</si>
  <si>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</si>
  <si>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</si>
  <si>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</si>
  <si>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</si>
  <si>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</si>
  <si>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</si>
  <si>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</si>
  <si>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</si>
  <si>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</si>
  <si>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</si>
  <si>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</si>
  <si>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</si>
  <si>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</si>
  <si>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</si>
  <si>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</si>
  <si>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</si>
  <si>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</si>
  <si>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</si>
  <si>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</si>
  <si>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</si>
  <si>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</si>
  <si>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</si>
  <si>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</si>
  <si>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</si>
  <si>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</si>
  <si>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</si>
  <si>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</si>
  <si>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</si>
  <si>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</si>
  <si>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</si>
  <si>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</si>
  <si>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</si>
  <si>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</si>
  <si>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</si>
  <si>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</si>
  <si>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</si>
  <si>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</si>
  <si>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</si>
  <si>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</si>
  <si>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</si>
  <si>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</si>
  <si>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</si>
  <si>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</si>
  <si>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</si>
  <si>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</si>
  <si>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</si>
  <si>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</si>
  <si>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</si>
  <si>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</si>
  <si>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</si>
  <si>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</si>
  <si>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</si>
  <si>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</si>
  <si>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</si>
  <si>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</si>
  <si>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</si>
  <si>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</si>
  <si>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</si>
  <si>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</si>
  <si>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</si>
  <si>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</si>
  <si>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</si>
  <si>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</si>
  <si>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</si>
  <si>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</si>
  <si>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</si>
  <si>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</si>
  <si>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</si>
  <si>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</si>
  <si>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</si>
  <si>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</si>
  <si>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</si>
  <si>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</si>
  <si>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</si>
  <si>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</si>
  <si>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</si>
  <si>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</si>
  <si>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</si>
  <si>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</si>
  <si>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</si>
  <si>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</si>
  <si>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</si>
  <si>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</si>
  <si>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</si>
  <si>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</si>
  <si>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</si>
  <si>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</si>
  <si>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</si>
  <si>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</si>
  <si>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</si>
  <si>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</si>
  <si>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</si>
  <si>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</si>
  <si>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</si>
  <si>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</si>
  <si>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</si>
  <si>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</si>
  <si>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</si>
  <si>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</si>
  <si>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</si>
  <si>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</si>
  <si>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</si>
  <si>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</si>
  <si>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</si>
  <si>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</si>
  <si>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</si>
  <si>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</si>
  <si>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</si>
  <si>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</si>
  <si>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</si>
  <si>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</si>
  <si>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</si>
  <si>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</si>
  <si>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</si>
  <si>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</si>
  <si>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</si>
  <si>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</si>
  <si>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</si>
  <si>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</si>
  <si>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</si>
  <si>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</si>
  <si>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</si>
  <si>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</si>
  <si>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</si>
  <si>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</si>
  <si>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</si>
  <si>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</si>
  <si>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</si>
  <si>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</si>
  <si>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</si>
  <si>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</si>
  <si>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</si>
  <si>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</si>
  <si>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</si>
  <si>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</si>
  <si>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</si>
  <si>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</si>
  <si>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</si>
  <si>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</si>
  <si>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</si>
  <si>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</si>
  <si>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</si>
  <si>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</si>
  <si>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</si>
  <si>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</si>
  <si>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</si>
  <si>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</si>
  <si>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</si>
  <si>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</si>
  <si>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</si>
  <si>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</si>
  <si>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</si>
  <si>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</si>
  <si>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</si>
  <si>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</si>
  <si>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</si>
  <si>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</si>
  <si>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</si>
  <si>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</si>
  <si>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</si>
  <si>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</si>
  <si>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</si>
  <si>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</si>
  <si>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</si>
  <si>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</si>
  <si>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</si>
  <si>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</si>
  <si>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</si>
  <si>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</si>
  <si>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</si>
  <si>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</si>
  <si>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</si>
  <si>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</si>
  <si>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</si>
  <si>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</si>
  <si>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</si>
  <si>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</si>
  <si>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</si>
  <si>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</si>
  <si>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</si>
  <si>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</si>
  <si>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</si>
  <si>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</si>
  <si>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</si>
  <si>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</si>
  <si>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</si>
  <si>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</si>
  <si>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</si>
  <si>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</si>
  <si>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</si>
  <si>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</si>
  <si>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</si>
  <si>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</si>
  <si>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</si>
  <si>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</si>
  <si>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</si>
  <si>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</si>
  <si>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</si>
  <si>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</si>
  <si>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</si>
  <si>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</si>
  <si>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</si>
  <si>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</si>
  <si>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</si>
  <si>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</si>
  <si>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</si>
  <si>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</si>
  <si>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</si>
  <si>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</si>
  <si>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</si>
  <si>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</si>
  <si>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</si>
  <si>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</si>
  <si>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</si>
  <si>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</si>
  <si>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</si>
  <si>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</si>
  <si>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</si>
  <si>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</si>
  <si>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</si>
  <si>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</si>
  <si>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</si>
  <si>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</si>
  <si>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</si>
  <si>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</si>
  <si>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</si>
  <si>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</si>
  <si>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</si>
  <si>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</si>
  <si>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</si>
  <si>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</si>
  <si>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</si>
  <si>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</si>
  <si>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</si>
  <si>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</si>
  <si>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</si>
  <si>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</si>
  <si>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</si>
  <si>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</si>
  <si>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</si>
  <si>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</si>
  <si>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</si>
  <si>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</si>
  <si>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</si>
  <si>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</si>
  <si>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</si>
  <si>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</si>
  <si>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</si>
  <si>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</si>
  <si>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</si>
  <si>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</si>
  <si>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</si>
  <si>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</si>
  <si>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</si>
  <si>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</si>
  <si>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</si>
  <si>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</si>
  <si>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</si>
  <si>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</si>
  <si>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</si>
  <si>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</si>
  <si>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</si>
  <si>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</si>
  <si>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</si>
  <si>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</si>
  <si>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</si>
  <si>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</si>
  <si>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</si>
  <si>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</si>
  <si>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</si>
  <si>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</si>
  <si>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</si>
  <si>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</si>
  <si>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</si>
  <si>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</si>
  <si>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</si>
  <si>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</si>
  <si>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</si>
  <si>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</si>
  <si>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</si>
  <si>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CONSTRUCCION</t>
  </si>
  <si>
    <t>VISTA</t>
  </si>
  <si>
    <t>2026_6</t>
  </si>
  <si>
    <t>COINVERSIÓN</t>
  </si>
  <si>
    <t>KATHERINE QUISPE</t>
  </si>
  <si>
    <t xml:space="preserve">JIMENA MEDINA </t>
  </si>
  <si>
    <t xml:space="preserve">JEREMY RODRIGUEZ </t>
  </si>
  <si>
    <t xml:space="preserve">URSULA CENTENO </t>
  </si>
  <si>
    <t xml:space="preserve">GERALDINE ARROYO </t>
  </si>
  <si>
    <t xml:space="preserve">KIARA CANEPA </t>
  </si>
  <si>
    <t xml:space="preserve">SARITA GARAY </t>
  </si>
  <si>
    <t xml:space="preserve">JOSELIN MONTALVO </t>
  </si>
  <si>
    <t>INDICADORES</t>
  </si>
  <si>
    <t>EXPERTIS</t>
  </si>
  <si>
    <t>Infinity</t>
  </si>
  <si>
    <t>JENY QUIÑONES</t>
  </si>
  <si>
    <t>IND_canal</t>
  </si>
  <si>
    <t>IND_Cargo</t>
  </si>
  <si>
    <t>IND_equipo</t>
  </si>
  <si>
    <t>IND_alias</t>
  </si>
  <si>
    <t>IND_Fecha</t>
  </si>
  <si>
    <t>IND_Cantidad Asesores</t>
  </si>
  <si>
    <t>IND_Días Lab</t>
  </si>
  <si>
    <t>IND_Tardanza</t>
  </si>
  <si>
    <t>IND_%puntualidad</t>
  </si>
  <si>
    <t>IND_%Falta</t>
  </si>
  <si>
    <t>IND_Tiempo Tardanza - Promedio</t>
  </si>
  <si>
    <t>IND_Tardanza Tiempo</t>
  </si>
  <si>
    <t>IND_Tiempo Manual</t>
  </si>
  <si>
    <t>IND_Tiempo Discador</t>
  </si>
  <si>
    <t>IND_Clientes Gestionados</t>
  </si>
  <si>
    <t>IND_Gestiones</t>
  </si>
  <si>
    <t>IND_CEF Unico</t>
  </si>
  <si>
    <t>IND_Intensidad CEF</t>
  </si>
  <si>
    <t>IND_Ticket CEF</t>
  </si>
  <si>
    <t>IND_Contactabilidad</t>
  </si>
  <si>
    <t>IND_PDP</t>
  </si>
  <si>
    <t>IND_Cierre</t>
  </si>
  <si>
    <t>IND_Monto PDP</t>
  </si>
  <si>
    <t>IND_Ticket PDP</t>
  </si>
  <si>
    <t>IND_Recupero</t>
  </si>
  <si>
    <t>IND_Ticket Pago</t>
  </si>
  <si>
    <t>IND_Calidad PDP</t>
  </si>
  <si>
    <t>IND_Condonacion</t>
  </si>
  <si>
    <t>IND_Score</t>
  </si>
  <si>
    <t>IND_MetaAsesor</t>
  </si>
  <si>
    <t>IND_Alcance Asesor</t>
  </si>
  <si>
    <t>IND_QUINTIL</t>
  </si>
  <si>
    <t>IND_SEGMENTO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</si>
</sst>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8" formatCode="&quot;S/&quot;\ #,##0.00;[Red]\-&quot;S/&quot;\ #,##0.00"/>
    <numFmt numFmtId="164" formatCode="[$-F400]h:mm:ss\ AM/PM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5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/>
    <xf numFmtId="164" fontId="0" fillId="0" borderId="0" xfId="0" applyNumberFormat="1"/>
    <xf numFmtId="8" fontId="7" fillId="13" borderId="0" xfId="0" applyNumberFormat="1" applyFont="1" applyFill="1"/>
    <xf numFmtId="3" fontId="0" fillId="0" borderId="17" xfId="0" applyNumberFormat="1" applyBorder="1"/>
    <xf numFmtId="0" fontId="0" fillId="0" borderId="17" xfId="0" applyBorder="1"/>
    <xf numFmtId="3" fontId="0" fillId="0" borderId="10" xfId="0" applyNumberFormat="1" applyBorder="1"/>
    <xf numFmtId="0" fontId="0" fillId="0" borderId="11" xfId="0" applyBorder="1"/>
  </cellXfs>
  <cellStyles count="2">
    <cellStyle name="Normal" xfId="0" builtinId="0"/>
    <cellStyle name="Porcentaje" xfId="1" builtinId="5"/>
  </cellStyles>
  <dxfs count="148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485"/>
    </tableStyle>
    <tableStyle name="Estilo de tabla dinámica 2" table="0" count="1" xr9:uid="{9E60CF16-845A-4669-9AA4-E5ACD7B8B1A8}">
      <tableStyleElement type="headerRow" dxfId="1484"/>
    </tableStyle>
    <tableStyle name="Estilo de tabla dinámica 3" table="0" count="1" xr9:uid="{A9F08836-5681-4078-A387-711930301837}">
      <tableStyleElement type="headerRow" dxfId="1483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8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395" tableBorderDxfId="1394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393">
      <calculatedColumnFormula>DATA_NOVIEMBRE_2024[[#This Row],[RECUPERO]]/DATA_NOVIEMBRE_2024[[#This Row],[META]]</calculatedColumnFormula>
    </tableColumn>
    <tableColumn id="2" xr3:uid="{8B46A38D-7233-499F-B1DE-FB511E519FF9}" name="CLASIFICACIÓN" dataDxfId="1392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391"/>
    <tableColumn id="1" xr3:uid="{6BE1DCAD-FFC1-41E5-BE9A-DDFCB075F86E}" name="RECUPERO" dataDxfId="1390">
      <calculatedColumnFormula>SUM(DATA_NOVIEMBRE_2024[[#This Row],[1]:[31]])</calculatedColumnFormula>
    </tableColumn>
    <tableColumn id="6" xr3:uid="{9DC6CD9E-A550-4452-954F-6EA70609499E}" name="META" dataDxfId="1389"/>
    <tableColumn id="7" xr3:uid="{253195A7-7D47-486A-80F6-796ADB20EC53}" name="ASER_" dataDxfId="1388"/>
    <tableColumn id="4" xr3:uid="{202FFDF7-B7CF-4672-95EA-680792362409}" name="1" dataDxfId="1387"/>
    <tableColumn id="8" xr3:uid="{72687A8D-B0F6-4DDB-88CE-1067530F054A}" name="2" dataDxfId="1386"/>
    <tableColumn id="9" xr3:uid="{F4E2F670-BFF9-4FD3-A0D4-C9CAB825BC0C}" name="3" dataDxfId="1385"/>
    <tableColumn id="10" xr3:uid="{DBA3AC26-F584-4CBE-8D86-75C4463192B1}" name="4" dataDxfId="1384"/>
    <tableColumn id="11" xr3:uid="{219202FB-F58A-440D-8D19-01059AA56BAB}" name="5" dataDxfId="1383"/>
    <tableColumn id="12" xr3:uid="{2AF7B6E4-01F3-401E-BF95-3CFAB27577BC}" name="6" dataDxfId="1382"/>
    <tableColumn id="13" xr3:uid="{24CA335A-580E-4429-A4F8-DFAB61DD23F8}" name="7" dataDxfId="1381"/>
    <tableColumn id="14" xr3:uid="{4A96EC6B-C7D3-4A7F-8B4B-F3D8AF9FE594}" name="8" dataDxfId="1380"/>
    <tableColumn id="15" xr3:uid="{BA9F52F9-841F-49D0-AFFC-4D571D566DE4}" name="9" dataDxfId="1379"/>
    <tableColumn id="16" xr3:uid="{409BE12D-B77E-48C5-951D-B87CB101AD44}" name="10" dataDxfId="1378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377"/>
    <tableColumn id="18" xr3:uid="{517449FB-ABB0-4312-822F-083501FE4456}" name="23" dataDxfId="1376"/>
    <tableColumn id="19" xr3:uid="{F22CE4E7-E04E-47AF-97E3-BEAFF6BC2F5E}" name="24" dataDxfId="1375"/>
    <tableColumn id="20" xr3:uid="{FE9C6881-7986-46E5-B896-D446A4BEF596}" name="25" dataDxfId="1374"/>
    <tableColumn id="21" xr3:uid="{32A09EFC-675D-4983-B360-4DBEAB2EE4FA}" name="26" dataDxfId="1373"/>
    <tableColumn id="22" xr3:uid="{02F89659-315D-4DE1-BE9C-A8C4FBB65511}" name="27" dataDxfId="1372"/>
    <tableColumn id="23" xr3:uid="{E556EC76-1435-4562-B8FF-767920C873C4}" name="28" dataDxfId="1371"/>
    <tableColumn id="24" xr3:uid="{E42123DE-6B43-4653-BF5B-323243D5FCAD}" name="29" dataDxfId="1370"/>
    <tableColumn id="25" xr3:uid="{71D65AF5-510E-457D-B0E2-F9582E783D67}" name="30" dataDxfId="1369"/>
    <tableColumn id="26" xr3:uid="{3E966EE9-5B51-4732-8107-B252301503A4}" name="31" dataDxfId="1368"/>
    <tableColumn id="27" xr3:uid="{6F804D29-D57D-4925-9B25-DD58FD9CD4C1}" name="CARTERA ASESOR" dataDxfId="136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366">
  <autoFilter ref="A2:K72" xr:uid="{AEA51657-9DFD-4518-856A-D830285E4602}"/>
  <tableColumns count="11">
    <tableColumn id="1" xr3:uid="{471651EC-762A-4439-9E09-36CE7484C7DB}" name="SUPER" dataDxfId="1365"/>
    <tableColumn id="2" xr3:uid="{85C17B1E-7CF3-4112-8B36-78A801EE3005}" name="ASESOR_CRR" dataDxfId="1364">
      <calculatedColumnFormula>D1_NOVIEMBRE_2024[[#This Row],[ASESOR]]</calculatedColumnFormula>
    </tableColumn>
    <tableColumn id="5" xr3:uid="{0BDBF623-DEA9-4A29-8D28-4030A786FE51}" name="META" dataDxfId="1363">
      <calculatedColumnFormula>VLOOKUP(D1_NOVIEMBRE_2024[[#This Row],[SUPER]],DATA_NOVIEMBRE_2024[[SUPERVISOR]:[META]],3,0)</calculatedColumnFormula>
    </tableColumn>
    <tableColumn id="6" xr3:uid="{C702AF9F-4896-48CF-895F-224FB32B617C}" name="ALCANCE" dataDxfId="1362">
      <calculatedColumnFormula>D1_NOVIEMBRE_2024[[#This Row],[RECUPERO]]/D1_NOVIEMBRE_2024[[#This Row],[META]]</calculatedColumnFormula>
    </tableColumn>
    <tableColumn id="7" xr3:uid="{D7917A8B-F33C-40CB-980B-776F1F99832F}" name="SUPER2" dataDxfId="1361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360"/>
    <tableColumn id="8" xr3:uid="{C288ADF8-0B7D-46E8-A515-7A398BFBAFF5}" name="DNI" dataDxfId="1359"/>
    <tableColumn id="9" xr3:uid="{9816B6C7-AE6F-49DA-A0C6-21A173A63635}" name="FECHA DE INICIO" dataDxfId="1358"/>
    <tableColumn id="10" xr3:uid="{342ACA45-E672-4A50-BD93-4F29AC6175A9}" name="ESTADO" dataDxfId="1357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356" dataDxfId="1354" headerRowBorderDxfId="1355" tableBorderDxfId="1353" totalsRowBorderDxfId="1352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351"/>
    <tableColumn id="3" xr3:uid="{734C6C88-3899-4B11-A8BB-68F60FEB745F}" name="RECUPERO SUPERVISOR" dataDxfId="1350">
      <calculatedColumnFormula>MAX(DITE_NOVIEMBRE_2024[[#This Row],[1]:[31]])</calculatedColumnFormula>
    </tableColumn>
    <tableColumn id="4" xr3:uid="{ECE5B99F-FD83-4520-9BD0-C6F22F1D89DE}" name="ALCANCE SUPERVISOR" dataDxfId="1349">
      <calculatedColumnFormula>DITE_NOVIEMBRE_2024[[#This Row],[RECUPERO SUPERVISOR]]/AZ9</calculatedColumnFormula>
    </tableColumn>
    <tableColumn id="1" xr3:uid="{3C6266ED-8A4A-4ABB-A9C5-F6D7C3A28E1C}" name="SUPER" dataDxfId="1348"/>
    <tableColumn id="6" xr3:uid="{8E1962E6-B227-403D-959C-EC0A84512E7F}" name="1" dataDxfId="1347"/>
    <tableColumn id="7" xr3:uid="{82013CDA-2013-412E-8FF7-7857EB3BAAEB}" name="2" dataDxfId="1346"/>
    <tableColumn id="36" xr3:uid="{F80449E7-9C09-4D54-AD2B-6D30BBE4BFFD}" name="3" dataDxfId="1345"/>
    <tableColumn id="8" xr3:uid="{6BAF72DE-4BC7-441F-A85E-9041EF3899D9}" name="4" dataDxfId="1344"/>
    <tableColumn id="9" xr3:uid="{3D9FCE7A-2F3D-4CC9-8A91-10BD16A7E640}" name="5" dataDxfId="1343"/>
    <tableColumn id="10" xr3:uid="{BEDD9763-065B-45CB-AE2B-710FA8B66ADE}" name="6" dataDxfId="1342"/>
    <tableColumn id="11" xr3:uid="{BC3C528B-42C9-4B2F-9619-B254969267D0}" name="7" dataDxfId="1341"/>
    <tableColumn id="12" xr3:uid="{0A48E3CB-F739-4C32-945D-648E7EB8070E}" name="8" dataDxfId="1340"/>
    <tableColumn id="13" xr3:uid="{B96192EF-9446-4291-B1F2-DB704B1D3A04}" name="9" dataDxfId="1339"/>
    <tableColumn id="14" xr3:uid="{604B61A4-751B-4BF0-9D80-954CAB1D08B0}" name="10" dataDxfId="1338"/>
    <tableColumn id="15" xr3:uid="{9BAD68A4-5571-4BDA-97CB-9067D42459EC}" name="11" dataDxfId="1337"/>
    <tableColumn id="32" xr3:uid="{D6886672-9386-4ADF-AED9-8A33D204EF56}" name="12" dataDxfId="1336"/>
    <tableColumn id="33" xr3:uid="{3D371433-AC3E-4391-8C88-2354E3462A27}" name="13" dataDxfId="1335"/>
    <tableColumn id="35" xr3:uid="{58EC2E80-FD81-492B-8002-FCEB99DCCCA5}" name="14" dataDxfId="1334"/>
    <tableColumn id="34" xr3:uid="{BBD59636-2F98-4BBE-8F44-00F7C13015FB}" name="15" dataDxfId="1333"/>
    <tableColumn id="29" xr3:uid="{DD6F0447-F620-4F38-AAE2-F94C7BD1301A}" name="16" dataDxfId="1332"/>
    <tableColumn id="30" xr3:uid="{AEA6202E-0E43-491B-9DE9-B12618DFE3C3}" name="17" dataDxfId="1331"/>
    <tableColumn id="31" xr3:uid="{7F0C4991-2DDA-47D6-8952-EF0420833FE2}" name="18" dataDxfId="1330"/>
    <tableColumn id="26" xr3:uid="{63319244-ED6C-4CB6-91C9-FD0B33FFFA44}" name="19" dataDxfId="1329"/>
    <tableColumn id="27" xr3:uid="{3ED47FDF-F24A-4EC8-9029-689369682758}" name="20" dataDxfId="1328"/>
    <tableColumn id="28" xr3:uid="{B5758593-5927-4B15-9EF3-08A6AA13FEE5}" name="21" dataDxfId="1327"/>
    <tableColumn id="16" xr3:uid="{A79A9DD4-74CF-4F17-A260-30A614552C96}" name="22" dataDxfId="1326"/>
    <tableColumn id="17" xr3:uid="{A3AD1A97-629C-494C-8C66-6BA86E905D7F}" name="23" dataDxfId="1325"/>
    <tableColumn id="18" xr3:uid="{BF0972B0-617B-4546-9271-F4E0D9F96151}" name="24" dataDxfId="1324"/>
    <tableColumn id="19" xr3:uid="{A9D6B970-56DB-403D-9EC5-9A1114D18DD8}" name="25" dataDxfId="1323"/>
    <tableColumn id="20" xr3:uid="{87CB9ADC-EDEB-4C07-8A41-D10A3E379763}" name="26" dataDxfId="1322"/>
    <tableColumn id="21" xr3:uid="{4E36C293-1144-4926-8E91-3475130D3D19}" name="27" dataDxfId="1321"/>
    <tableColumn id="22" xr3:uid="{ACDA0744-1D85-4327-BD2E-0D10C5E5827D}" name="28" dataDxfId="1320"/>
    <tableColumn id="23" xr3:uid="{A55279AC-F17C-48C7-B6F4-AFD7642F257E}" name="29" dataDxfId="1319"/>
    <tableColumn id="24" xr3:uid="{B30A56B6-4B82-41A1-BE7F-1D370BF48A8B}" name="30" dataDxfId="1318"/>
    <tableColumn id="25" xr3:uid="{2121F136-11EF-4DC1-9A0A-C968CE5BD71B}" name="31" dataDxfId="1317"/>
    <tableColumn id="5" xr3:uid="{9A6ECD1E-A39C-4D33-BBF6-B37C7AF2A67C}" name="CARTERA" dataDxfId="131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CDF1B0E-B565-40AD-B13D-954F56FEF342}" name="Tabla616566676870717273747563646976777879" displayName="Tabla616566676870717273747563646976777879" ref="CK8:CO15" totalsRowShown="0" headerRowDxfId="1315" dataDxfId="1314">
  <autoFilter ref="CK8:CO15" xr:uid="{BCDF1B0E-B565-40AD-B13D-954F56FEF342}"/>
  <tableColumns count="5">
    <tableColumn id="1" xr3:uid="{56A1DC4D-61B8-4DE5-8EBA-E8B6AF7E3173}" name="VISTA" dataDxfId="1313"/>
    <tableColumn id="2" xr3:uid="{61FB4102-E339-41D7-BB34-D69D937B8B44}" name="1" dataDxfId="1312"/>
    <tableColumn id="3" xr3:uid="{04DCF14E-F9BC-460D-B838-0AB55D9CDC21}" name="2" dataDxfId="1311"/>
    <tableColumn id="4" xr3:uid="{ADD5C1AF-2CF8-4EB7-AC07-FF2C676A2BED}" name="3" dataDxfId="1310"/>
    <tableColumn id="14" xr3:uid="{85D71B1A-9AFC-40D3-83DD-5F2A02A038A3}" name="4" dataDxfId="1309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308" tableBorderDxfId="1307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306">
      <calculatedColumnFormula>DATA_DICIEMBRE_2024[[#This Row],[RECUPERO]]/DATA_DICIEMBRE_2024[[#This Row],[META]]</calculatedColumnFormula>
    </tableColumn>
    <tableColumn id="2" xr3:uid="{AE497F25-36CD-42FB-B18F-59D419263CBC}" name="CLASIFICACIÓN" dataDxfId="1305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304"/>
    <tableColumn id="1" xr3:uid="{ACC31C15-573E-4606-A6FB-ECDC2B30F8A4}" name="RECUPERO" dataDxfId="1303">
      <calculatedColumnFormula>SUM(DATA_DICIEMBRE_2024[[#This Row],[1]:[31]])</calculatedColumnFormula>
    </tableColumn>
    <tableColumn id="6" xr3:uid="{0A0FD23F-3FE0-43BD-93B2-D5A21E0A8419}" name="META" dataDxfId="1302"/>
    <tableColumn id="7" xr3:uid="{BAAC5683-E69F-4D8D-9823-6A62CD920015}" name="ASER_" dataDxfId="1301"/>
    <tableColumn id="4" xr3:uid="{E80ABAB5-F841-47AC-9407-E06974270343}" name="1" dataDxfId="1300"/>
    <tableColumn id="8" xr3:uid="{38214265-844B-4AAB-9AAF-66AE68E1B01F}" name="2" dataDxfId="1299"/>
    <tableColumn id="9" xr3:uid="{9DE83FFA-F0EB-48A8-9B9B-94D3A5F4EA89}" name="3" dataDxfId="1298"/>
    <tableColumn id="10" xr3:uid="{F01FCEA0-C6B5-45DC-BF35-2E20D08D1987}" name="4" dataDxfId="1297"/>
    <tableColumn id="11" xr3:uid="{486A6BCD-590A-4F51-95FC-FF8E80EED672}" name="5" dataDxfId="1296"/>
    <tableColumn id="12" xr3:uid="{6A13993E-4132-4D1F-8103-9B935139982B}" name="6" dataDxfId="1295"/>
    <tableColumn id="13" xr3:uid="{24798E59-2FD3-45E0-9839-56EDF52F39D9}" name="7" dataDxfId="1294"/>
    <tableColumn id="14" xr3:uid="{0A505D6A-B620-43DD-BE95-5375CFEB2C9E}" name="8" dataDxfId="1293"/>
    <tableColumn id="15" xr3:uid="{B4A01763-2933-4990-84AC-2EE6364157A1}" name="9" dataDxfId="1292"/>
    <tableColumn id="16" xr3:uid="{BF1956FE-127F-474F-B12A-D74A62785650}" name="10" dataDxfId="1291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290"/>
    <tableColumn id="18" xr3:uid="{43369C00-795D-4124-B5FB-CE33A1429479}" name="23" dataDxfId="1289"/>
    <tableColumn id="19" xr3:uid="{34A49AC6-3FC3-4ACE-8C81-C9AB9CD6BF1C}" name="24" dataDxfId="1288"/>
    <tableColumn id="20" xr3:uid="{62E7E367-E664-47D4-A998-F69A442883A3}" name="25" dataDxfId="1287"/>
    <tableColumn id="21" xr3:uid="{38ED713F-D0AE-4A42-8586-07C0CFE7FD0D}" name="26" dataDxfId="1286"/>
    <tableColumn id="22" xr3:uid="{777A8FFE-C36F-4CC0-9736-E3B5572BB43B}" name="27" dataDxfId="1285"/>
    <tableColumn id="23" xr3:uid="{9793EF6D-52A7-486F-9DA0-5EC6B4742B0D}" name="28" dataDxfId="1284"/>
    <tableColumn id="24" xr3:uid="{8675AF28-0AC8-42A2-9C9D-B652E1F578AA}" name="29" dataDxfId="1283"/>
    <tableColumn id="25" xr3:uid="{69A4324E-C083-46F7-9045-4F5A0A8A7029}" name="30" dataDxfId="1282"/>
    <tableColumn id="26" xr3:uid="{DBC5694B-2026-414C-ACC6-93144006A162}" name="31" dataDxfId="1281"/>
    <tableColumn id="27" xr3:uid="{823ED1C1-B820-4301-889D-715B402B64AE}" name="CARTERA ASESOR" dataDxfId="1280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279">
  <autoFilter ref="A2:K76" xr:uid="{F6E10C3A-51B0-46B0-AC7A-178487A186FC}"/>
  <tableColumns count="11">
    <tableColumn id="1" xr3:uid="{27AC9715-D9AF-4425-8467-97D5ACDF32DB}" name="SUPER" dataDxfId="1278"/>
    <tableColumn id="2" xr3:uid="{60BCBFC1-6517-433B-923C-CCB32F89496C}" name="ASESOR_CRR" dataDxfId="1277">
      <calculatedColumnFormula>D1_DICIEMBRE_2024[[#This Row],[ASESOR]]</calculatedColumnFormula>
    </tableColumn>
    <tableColumn id="5" xr3:uid="{FE528A67-2FD9-481D-A3BD-D0593BF1728D}" name="META" dataDxfId="1276">
      <calculatedColumnFormula>VLOOKUP(D1_DICIEMBRE_2024[[#This Row],[SUPER]],DATA_DICIEMBRE_2024[[SUPERVISOR]:[META]],3,0)</calculatedColumnFormula>
    </tableColumn>
    <tableColumn id="6" xr3:uid="{9F920DCF-74DA-4A35-AEB6-9874EC115540}" name="ALCANCE" dataDxfId="1275">
      <calculatedColumnFormula>D1_DICIEMBRE_2024[[#This Row],[RECUPERO]]/D1_DICIEMBRE_2024[[#This Row],[META]]</calculatedColumnFormula>
    </tableColumn>
    <tableColumn id="7" xr3:uid="{A0A51D41-B7D6-4CCC-ACCB-42E0C653AD2F}" name="SUPER2" dataDxfId="1274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273"/>
    <tableColumn id="8" xr3:uid="{894A3BEA-774F-4F80-88D8-1B289CA5BA86}" name="DNI" dataDxfId="1272"/>
    <tableColumn id="9" xr3:uid="{803AE20B-2CCD-451D-A530-6F128D73F913}" name="FECHA DE INICIO" dataDxfId="1271"/>
    <tableColumn id="10" xr3:uid="{49EAA54F-6677-4846-BCD1-109279DB3A73}" name="ESTADO" dataDxfId="1270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269" dataDxfId="1267" headerRowBorderDxfId="1268" tableBorderDxfId="1266" totalsRowBorderDxfId="1265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264"/>
    <tableColumn id="3" xr3:uid="{ABE326D8-B04B-4CEC-9F6E-FE25C0EE8AA0}" name="RECUPERO SUPERVISOR" dataDxfId="1263">
      <calculatedColumnFormula>MAX(DITE_DICIEMBRE_2024[[#This Row],[1]:[31]])</calculatedColumnFormula>
    </tableColumn>
    <tableColumn id="4" xr3:uid="{9E55702C-7024-420F-8940-D2C1A0A3CA1D}" name="ALCANCE SUPERVISOR" dataDxfId="1262">
      <calculatedColumnFormula>DITE_DICIEMBRE_2024[[#This Row],[RECUPERO SUPERVISOR]]/AZ9</calculatedColumnFormula>
    </tableColumn>
    <tableColumn id="1" xr3:uid="{5009DC4C-3EA4-45D5-A15D-072373F4AE20}" name="SUPER" dataDxfId="1261"/>
    <tableColumn id="6" xr3:uid="{D0AF21FC-B7C0-49FB-B06D-CEE18869F451}" name="1" dataDxfId="1260"/>
    <tableColumn id="7" xr3:uid="{13740F97-8E6D-486C-956C-27845E43364F}" name="2" dataDxfId="1259"/>
    <tableColumn id="36" xr3:uid="{D8D06FB7-6376-4BDE-8C73-E14742A693D2}" name="3" dataDxfId="1258"/>
    <tableColumn id="8" xr3:uid="{6A7AE4CF-8204-4E27-89B3-519888750343}" name="4" dataDxfId="1257"/>
    <tableColumn id="9" xr3:uid="{E68D0942-B003-4636-896B-C7F7CC5DF30B}" name="5" dataDxfId="1256"/>
    <tableColumn id="10" xr3:uid="{A130D834-D24E-4226-8974-EAEEC5239084}" name="6" dataDxfId="1255"/>
    <tableColumn id="11" xr3:uid="{B74AC268-8591-43DA-A0A0-8EED3A99A7E6}" name="7" dataDxfId="1254"/>
    <tableColumn id="12" xr3:uid="{3E5A00D6-9077-4087-98FC-A1F995D9E85D}" name="8" dataDxfId="1253"/>
    <tableColumn id="13" xr3:uid="{1C1866E7-047F-4D10-9606-401FEC40FA49}" name="9" dataDxfId="1252"/>
    <tableColumn id="14" xr3:uid="{1A856C2F-9F0A-48E6-A1F8-02744BF96124}" name="10" dataDxfId="1251"/>
    <tableColumn id="15" xr3:uid="{4AF6AE1F-C32E-4098-A90E-906C45E577A6}" name="11" dataDxfId="1250"/>
    <tableColumn id="32" xr3:uid="{22F83872-EA87-4B20-AC9C-A5E2ACD10B99}" name="12" dataDxfId="1249"/>
    <tableColumn id="33" xr3:uid="{98BD9E2A-AADA-4033-A5CA-E179FF24557D}" name="13" dataDxfId="1248"/>
    <tableColumn id="35" xr3:uid="{700503A6-DBA0-45CB-A088-D89AE0558CCF}" name="14" dataDxfId="1247"/>
    <tableColumn id="34" xr3:uid="{C5A60DDC-0D8C-41E0-A0F0-FBB45535E86A}" name="15" dataDxfId="1246"/>
    <tableColumn id="29" xr3:uid="{D5EC2BDA-E6C3-4A4D-A6AD-950B2D0490AB}" name="16" dataDxfId="1245"/>
    <tableColumn id="30" xr3:uid="{349CB117-97C5-4862-848C-38A5D8F531C9}" name="17" dataDxfId="1244"/>
    <tableColumn id="31" xr3:uid="{C11D4844-CCFA-4F14-88FA-CE5B9B605A6F}" name="18" dataDxfId="1243"/>
    <tableColumn id="26" xr3:uid="{F17C536A-13C6-44BF-A1D0-9E0F529A2288}" name="19" dataDxfId="1242"/>
    <tableColumn id="27" xr3:uid="{784AEED1-4141-49AA-B4F6-24141E5B4FA4}" name="20" dataDxfId="1241"/>
    <tableColumn id="28" xr3:uid="{5FA3E61C-F996-45DB-8D68-7A355B9D9345}" name="21" dataDxfId="1240"/>
    <tableColumn id="16" xr3:uid="{3CDD7303-1AA0-4E13-B85B-07CCE6B3675D}" name="22" dataDxfId="1239"/>
    <tableColumn id="17" xr3:uid="{81F4684D-1734-49FB-8F57-68B80EB1FD1D}" name="23" dataDxfId="1238"/>
    <tableColumn id="18" xr3:uid="{9DA7B90E-288E-45A3-BD0A-31904382DB50}" name="24" dataDxfId="1237"/>
    <tableColumn id="19" xr3:uid="{A0AC125C-0C19-47E9-B7BD-9F657DD56BC2}" name="25" dataDxfId="1236"/>
    <tableColumn id="20" xr3:uid="{E1B67347-A852-4F21-A3C3-D6E44F51E9FF}" name="26" dataDxfId="1235"/>
    <tableColumn id="21" xr3:uid="{992748FE-9359-4D4E-B06A-59F7A48309B5}" name="27" dataDxfId="1234"/>
    <tableColumn id="22" xr3:uid="{3732AEA5-9CC9-4EE6-A93B-386050E291B1}" name="28" dataDxfId="1233"/>
    <tableColumn id="23" xr3:uid="{20A4F952-B20F-4E0E-95CC-77C648A54699}" name="29" dataDxfId="1232"/>
    <tableColumn id="24" xr3:uid="{26953009-23ED-4318-9CEE-07B704B9665A}" name="30" dataDxfId="1231"/>
    <tableColumn id="25" xr3:uid="{267CBC9B-29BE-4672-94C3-393B627CB1FD}" name="31" dataDxfId="1230"/>
    <tableColumn id="5" xr3:uid="{EE07FFF3-9A6D-4F12-ACF6-244205791333}" name="CARTERA" dataDxfId="1229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9AD021D7-7D86-458A-9ED4-B4154908A926}" name="Tabla6165666768707172737475636469767778" displayName="Tabla6165666768707172737475636469767778" ref="CK8:CO15" totalsRowShown="0" headerRowDxfId="1228" dataDxfId="1227">
  <autoFilter ref="CK8:CO15" xr:uid="{9AD021D7-7D86-458A-9ED4-B4154908A926}"/>
  <tableColumns count="5">
    <tableColumn id="1" xr3:uid="{EF280B0C-5AA9-4C98-8348-08142AD9CF12}" name="VISTA" dataDxfId="1226"/>
    <tableColumn id="2" xr3:uid="{852E579E-9FD0-46ED-9AF6-6DDE965B926B}" name="1" dataDxfId="1225"/>
    <tableColumn id="3" xr3:uid="{E6FD03E6-BDD9-4D85-95AE-4F26472C7EC7}" name="2" dataDxfId="1224"/>
    <tableColumn id="4" xr3:uid="{8654C69D-8F4B-4D69-9CDD-6E64ECCA9D09}" name="3" dataDxfId="1223"/>
    <tableColumn id="14" xr3:uid="{C3EC5E64-D5EB-407B-80F2-85558E14B19B}" name="4" dataDxfId="1222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221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220"/>
    <tableColumn id="5" xr3:uid="{42625339-8FE7-49A5-82AC-5EDD10C3C984}" name="ASESOR"/>
    <tableColumn id="6" xr3:uid="{BD1A5411-32FB-4DF7-B264-96C059BE5C56}" name="RECUPERO" dataDxfId="1219"/>
    <tableColumn id="8" xr3:uid="{8B3B2929-A591-41D7-9D44-B220287F0F2A}" name="DNI" dataDxfId="1218"/>
    <tableColumn id="9" xr3:uid="{AAABF626-1A15-4E7A-A444-7423611F1BB2}" name="FECHA DE INICIO" dataDxfId="1217"/>
    <tableColumn id="10" xr3:uid="{CACFA6D6-8D93-432C-AAD6-E9CBF58F5197}" name="ESTADO" dataDxfId="1216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215" headerRowBorderDxfId="1214" tableBorderDxfId="1213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212">
      <calculatedColumnFormula>DATA_ENERO_2025[[#This Row],[RECUPERO]]/DATA_ENERO_2025[[#This Row],[META]]</calculatedColumnFormula>
    </tableColumn>
    <tableColumn id="3" xr3:uid="{16F39E06-76AE-43AD-903E-9F641E37CB06}" name="CLASIFICACIÓN" dataDxfId="1211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1210"/>
    <tableColumn id="6" xr3:uid="{087774B2-9699-454D-B0E9-E9D62B239262}" name="RECUPERO" dataDxfId="1209">
      <calculatedColumnFormula>SUM(DATA_ENERO_2025[[#This Row],[1]:[31]])</calculatedColumnFormula>
    </tableColumn>
    <tableColumn id="7" xr3:uid="{B938E452-5678-4623-B9AD-47B290EB3B56}" name="META" dataDxfId="1208"/>
    <tableColumn id="5" xr3:uid="{A39094CA-883F-4450-A53A-370F0AE54B0C}" name="ASER_" dataDxfId="1207"/>
    <tableColumn id="28" xr3:uid="{BA402970-CDDC-479B-AF0C-DE6FB6DEA3A2}" name="1" dataDxfId="1206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205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204" dataDxfId="1202" headerRowBorderDxfId="1203" tableBorderDxfId="1201" totalsRowBorderDxfId="1200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199"/>
    <tableColumn id="1" xr3:uid="{5A7C4C9C-3E71-483D-9C6F-3AFA18F0B768}" name="RECUPERO SUPERVISOR" dataDxfId="1198">
      <calculatedColumnFormula>MAX(DITE_ENERO_2025[[#This Row],[1]:[31]])</calculatedColumnFormula>
    </tableColumn>
    <tableColumn id="2" xr3:uid="{1DBABE23-BC0D-4016-A3DE-102C34B93437}" name="ALCANCE SUPERVISOR" dataDxfId="1197">
      <calculatedColumnFormula>DITE_ENERO_2025[[#This Row],[RECUPERO SUPERVISOR]]/DITE_ENERO_2025[[#This Row],[META SUPER]]</calculatedColumnFormula>
    </tableColumn>
    <tableColumn id="4" xr3:uid="{AAFE5F6A-D443-4B76-896C-3012A63A21B1}" name="SUPER" dataDxfId="1196"/>
    <tableColumn id="6" xr3:uid="{CAC1468E-FE7F-46E8-8FA8-2EBFE78F55CF}" name="1" dataDxfId="1195"/>
    <tableColumn id="7" xr3:uid="{2C1F1DCC-5615-43E9-8493-73A6B92A7B8C}" name="2" dataDxfId="1194"/>
    <tableColumn id="8" xr3:uid="{CB1DD332-E0A5-4BEF-8B71-8820CA4A145B}" name="3" dataDxfId="1193"/>
    <tableColumn id="9" xr3:uid="{1BB0DD4F-A73A-4F8E-93FB-252CA932D637}" name="4" dataDxfId="1192"/>
    <tableColumn id="10" xr3:uid="{F4A27082-EDDE-411F-B0E7-C50309499B06}" name="5" dataDxfId="1191"/>
    <tableColumn id="11" xr3:uid="{DDC3545E-22B2-4DEC-A217-59650C8BAC95}" name="6" dataDxfId="1190"/>
    <tableColumn id="12" xr3:uid="{F4B5BD15-E4EF-4A2E-9071-FE5F69E48F1F}" name="7" dataDxfId="1189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188"/>
    <tableColumn id="14" xr3:uid="{1DE13FA2-B93D-487E-A105-3A5622C997DE}" name="18" dataDxfId="1187"/>
    <tableColumn id="15" xr3:uid="{6273FFBE-FC81-40C7-91CB-E95ECAD8BE5D}" name="19" dataDxfId="1186"/>
    <tableColumn id="16" xr3:uid="{35253537-0DA1-45D4-B9A3-D1CBC6E92B8B}" name="20" dataDxfId="1185"/>
    <tableColumn id="17" xr3:uid="{4BF3707C-841F-4140-B63C-5B47863B4CA4}" name="21" dataDxfId="1184"/>
    <tableColumn id="18" xr3:uid="{1F7B79C3-A22C-49D8-9C1F-629E6C41B955}" name="22" dataDxfId="1183"/>
    <tableColumn id="19" xr3:uid="{361B16CF-A887-4C9E-88B3-E8A7F4F314B0}" name="23" dataDxfId="1182"/>
    <tableColumn id="20" xr3:uid="{9B3EDA9C-6CB0-4D9F-965A-6EB0593C19D9}" name="24" dataDxfId="1181"/>
    <tableColumn id="21" xr3:uid="{B02655DA-D4F9-4926-88A4-5E8B2F4DF911}" name="25" dataDxfId="1180"/>
    <tableColumn id="22" xr3:uid="{43854B99-1BF7-4DF3-8A04-A277447DE3B8}" name="26" dataDxfId="1179"/>
    <tableColumn id="23" xr3:uid="{CAC2F677-42BD-4EFA-8E99-ABA2036DAF56}" name="27" dataDxfId="1178"/>
    <tableColumn id="24" xr3:uid="{20489B5B-5885-4E43-B5F0-4EAAEE4E8EB8}" name="28" dataDxfId="1177"/>
    <tableColumn id="25" xr3:uid="{B4D29A08-5206-4DCD-AF4C-9B7ABB8D3CFF}" name="29" dataDxfId="1176"/>
    <tableColumn id="26" xr3:uid="{7B49DBDA-317E-4CFB-B7FA-841DFC27E42B}" name="30" dataDxfId="1175"/>
    <tableColumn id="27" xr3:uid="{0126152E-7354-43DB-A75E-4841194C453D}" name="31" dataDxfId="1174"/>
    <tableColumn id="3" xr3:uid="{93315C06-D400-4502-BDDD-AC5886091EC6}" name="CARTERA" dataDxfId="1173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28F3242-7DD0-4B7D-BBF4-24BB03052117}" name="Tabla61656667687071727374756364697677" displayName="Tabla61656667687071727374756364697677" ref="CK8:CO15" totalsRowShown="0" headerRowDxfId="1172" dataDxfId="1171">
  <autoFilter ref="CK8:CO15" xr:uid="{628F3242-7DD0-4B7D-BBF4-24BB03052117}"/>
  <tableColumns count="5">
    <tableColumn id="1" xr3:uid="{AF9FE221-25FE-4ADA-80D0-7A04339E9BB1}" name="VISTA" dataDxfId="1170"/>
    <tableColumn id="2" xr3:uid="{B488B423-9458-4683-AA20-4A08180A5ACB}" name="1" dataDxfId="1169"/>
    <tableColumn id="3" xr3:uid="{4D9F7DD4-D75E-4BFC-873B-7FA8E13A86DE}" name="2" dataDxfId="1168"/>
    <tableColumn id="4" xr3:uid="{F6DB5598-2EF2-4C43-BD3D-FDED84C73969}" name="3" dataDxfId="1167"/>
    <tableColumn id="14" xr3:uid="{5A508F25-785E-4D54-9BD9-8B48775B6160}" name="4" dataDxfId="1166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165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164"/>
    <tableColumn id="5" xr3:uid="{44178C41-B41B-4820-A8E8-222FE453335F}" name="ASESOR" dataDxfId="1163"/>
    <tableColumn id="6" xr3:uid="{AC6EB590-A7E8-408F-A892-A1851BCCF0B5}" name="RECUPERO" dataDxfId="1162"/>
    <tableColumn id="8" xr3:uid="{9B60B527-D768-46F8-BB97-824B255159D2}" name="DNI" dataDxfId="1161"/>
    <tableColumn id="9" xr3:uid="{BDF8C571-22FC-498B-99CF-8D578B086437}" name="FECHA DE INICIO" dataDxfId="1160"/>
    <tableColumn id="10" xr3:uid="{4A0E2A05-69C0-48C2-B0D3-4D952F052DB2}" name="ESTADO" dataDxfId="1159"/>
    <tableColumn id="11" xr3:uid="{3D228EA7-2109-464D-B55C-85DBBA7EB19F}" name="SEGMENTO" dataDxfId="115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157" headerRowBorderDxfId="1156" tableBorderDxfId="1155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154">
      <calculatedColumnFormula>DATA_FEBRERO_2025[[#This Row],[RECUPERO]]/DATA_FEBRERO_2025[[#This Row],[META]]</calculatedColumnFormula>
    </tableColumn>
    <tableColumn id="3" xr3:uid="{AE4A1FA5-3083-4CA4-B657-D2D0F2E20004}" name="CLASIFICACIÓN" dataDxfId="1153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1152"/>
    <tableColumn id="6" xr3:uid="{2DE1A6CE-7493-4B20-83EE-59078393B5AF}" name="RECUPERO" dataDxfId="1151">
      <calculatedColumnFormula>SUM(DATA_FEBRERO_2025[[#This Row],[1]:[31]])</calculatedColumnFormula>
    </tableColumn>
    <tableColumn id="7" xr3:uid="{24FB90FB-A888-41AB-9B19-627A74DA2062}" name="META" dataDxfId="1150"/>
    <tableColumn id="5" xr3:uid="{E6A5C563-3502-4EF4-8D06-C88816E905A8}" name="ASER_" dataDxfId="1149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1148"/>
    <tableColumn id="8" xr3:uid="{E99C6359-BA67-4127-80B1-429613DA94CB}" name="31"/>
    <tableColumn id="4" xr3:uid="{1AB4C76D-3918-4961-B05E-216E9D0F2A8C}" name="CARTERA ASESOR" dataDxfId="1147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1146" dataDxfId="1144" headerRowBorderDxfId="1145" tableBorderDxfId="1143" totalsRowBorderDxfId="1142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1141"/>
    <tableColumn id="1" xr3:uid="{C46409A5-9201-4E30-A3EB-7B6FC2DAF473}" name="RECUPERO SUPERVISOR" dataDxfId="1140">
      <calculatedColumnFormula>MAX(DITE_FEBRERO_2025[[#This Row],[1]:[31]])</calculatedColumnFormula>
    </tableColumn>
    <tableColumn id="2" xr3:uid="{445C2C89-5F44-46FD-8C70-EF4EE30F232E}" name="ALCANCE SUPERVISOR" dataDxfId="1139">
      <calculatedColumnFormula>DITE_FEBRERO_2025[[#This Row],[RECUPERO SUPERVISOR]]/DITE_FEBRERO_2025[[#This Row],[META SUPER]]</calculatedColumnFormula>
    </tableColumn>
    <tableColumn id="4" xr3:uid="{55D4E2C7-B609-4C8C-A5DE-AABFFD74BEB8}" name="SUPER" dataDxfId="1138"/>
    <tableColumn id="6" xr3:uid="{29925D04-B597-415A-B40B-62A3FBA8B23D}" name="1" dataDxfId="1137"/>
    <tableColumn id="7" xr3:uid="{31865A72-E634-4CB8-8660-811FA8147632}" name="2" dataDxfId="1136"/>
    <tableColumn id="8" xr3:uid="{C70A98A0-1CB0-425B-975B-D4464009CDD0}" name="3" dataDxfId="1135"/>
    <tableColumn id="9" xr3:uid="{F56CF612-0AA5-44CB-878D-FA59D84052AD}" name="4" dataDxfId="1134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1133"/>
    <tableColumn id="11" xr3:uid="{A6DAF4DF-EAFF-47AB-9A6F-0B2896AE1A18}" name="17" dataDxfId="1132"/>
    <tableColumn id="12" xr3:uid="{3DC03FF0-BAC6-4F5D-B5DE-18A95E2C1B97}" name="18" dataDxfId="1131"/>
    <tableColumn id="13" xr3:uid="{A90729AA-CC5E-4236-924F-A736B7A4BE93}" name="19" dataDxfId="1130"/>
    <tableColumn id="14" xr3:uid="{B48B5FF0-5C49-4DDC-AC33-B45D349AD044}" name="20" dataDxfId="1129"/>
    <tableColumn id="15" xr3:uid="{D36E617E-0BBB-4BC1-BBF1-EB24E3C2CE90}" name="21" dataDxfId="1128"/>
    <tableColumn id="16" xr3:uid="{BD346F05-FCC2-4EA9-8F0F-B55AB2E68BE0}" name="22" dataDxfId="1127"/>
    <tableColumn id="17" xr3:uid="{F5BB9730-A5AE-4489-9CB0-182052BA6557}" name="23" dataDxfId="1126"/>
    <tableColumn id="18" xr3:uid="{B3DEF063-7A67-4F08-9D09-8310B4B64F2B}" name="24" dataDxfId="1125"/>
    <tableColumn id="19" xr3:uid="{558BE332-1E67-4EF7-9FF1-541A019A7066}" name="25" dataDxfId="1124"/>
    <tableColumn id="20" xr3:uid="{073BAAB2-EF92-4A82-B7FE-8339FF3A62EA}" name="26" dataDxfId="1123"/>
    <tableColumn id="21" xr3:uid="{6EC9D118-EB0A-4FDC-A694-0A630EB1048E}" name="27" dataDxfId="1122"/>
    <tableColumn id="22" xr3:uid="{DFF298CB-C24B-4F90-BD14-F99C28391208}" name="28" dataDxfId="1121"/>
    <tableColumn id="23" xr3:uid="{7EF0365B-2B81-4022-84F3-7A3859D35934}" name="29" dataDxfId="1120"/>
    <tableColumn id="24" xr3:uid="{D92D6A29-5A30-4405-A019-D7F8F39E4176}" name="30" dataDxfId="1119"/>
    <tableColumn id="25" xr3:uid="{9BFA1186-4A61-452A-8EAC-4FE410743029}" name="31" dataDxfId="1118"/>
    <tableColumn id="3" xr3:uid="{5EBD9DD4-78E3-4E78-8FD5-A71A2DE2CBE8}" name="CARTERA" dataDxfId="1117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CD951E0C-6BAC-4E04-975A-04769F8000A5}" name="Tabla616566676870717273747563646976" displayName="Tabla616566676870717273747563646976" ref="CK8:CO15" totalsRowShown="0" headerRowDxfId="1116" dataDxfId="1115">
  <autoFilter ref="CK8:CO15" xr:uid="{CD951E0C-6BAC-4E04-975A-04769F8000A5}"/>
  <tableColumns count="5">
    <tableColumn id="1" xr3:uid="{47C2FEF6-5357-4549-8005-DD8EC3539863}" name="VISTA" dataDxfId="1114"/>
    <tableColumn id="2" xr3:uid="{CCD006F3-5A71-4D0D-9DFD-11B037CD91D8}" name="1" dataDxfId="1113"/>
    <tableColumn id="3" xr3:uid="{98E7E65E-122C-4175-82F1-624865A7A2D3}" name="2" dataDxfId="1112"/>
    <tableColumn id="4" xr3:uid="{A4BE2A42-080D-4657-9FCF-3468BE3AF8C2}" name="3" dataDxfId="1111"/>
    <tableColumn id="14" xr3:uid="{D44E4FEF-5EE4-46FB-BEEE-A11B8A1BE670}" name="4" dataDxfId="1110"/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1109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1108">
      <calculatedColumnFormula>D1_MARZO_2025[[#This Row],[RECUPERO]]/D1_MARZO_2025[[#This Row],[META]]</calculatedColumnFormula>
    </tableColumn>
    <tableColumn id="7" xr3:uid="{7155E541-BC22-41C0-914A-E54D790D436D}" name="SUPER2" dataDxfId="1107"/>
    <tableColumn id="5" xr3:uid="{C9BC0167-A73A-4B66-AB0E-BCC22F3CD7BF}" name="ASESOR" dataDxfId="1106"/>
    <tableColumn id="6" xr3:uid="{32E44CF1-7B46-45AA-916C-7D5322097EFD}" name="RECUPERO" dataDxfId="1105"/>
    <tableColumn id="8" xr3:uid="{5504CD70-2376-413C-9DD9-7E1FC1D78F37}" name="DNI" dataDxfId="1104"/>
    <tableColumn id="9" xr3:uid="{27659D49-6FC1-457B-BF33-A19DBF78CDF2}" name="FECHA DE INICIO" dataDxfId="1103"/>
    <tableColumn id="10" xr3:uid="{79E50096-FDE3-4403-8568-FF008447BCC2}" name="ESTADO" dataDxfId="1102"/>
    <tableColumn id="11" xr3:uid="{0DDDAC11-10AB-4791-8916-A8A4E78A7D35}" name="SEGMENTO" dataDxfId="1101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1100" headerRowBorderDxfId="1099" tableBorderDxfId="1098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1097">
      <calculatedColumnFormula>DATA_MARZO_2025[[#This Row],[RECUPERO]]/DATA_MARZO_2025[[#This Row],[META]]</calculatedColumnFormula>
    </tableColumn>
    <tableColumn id="3" xr3:uid="{6050B278-B3D2-4B4C-8475-D701C9B8AB17}" name="CLASIFICACIÓN" dataDxfId="1096"/>
    <tableColumn id="1" xr3:uid="{A94CCC19-556A-4124-8949-24896CDBE45E}" name="SUPERVISOR" dataDxfId="1095"/>
    <tableColumn id="6" xr3:uid="{EBBFD24C-8909-45B0-B8CB-4ED73B62F2AB}" name="RECUPERO" dataDxfId="1094">
      <calculatedColumnFormula>SUM(DATA_MARZO_2025[[#This Row],[1]:[31]])</calculatedColumnFormula>
    </tableColumn>
    <tableColumn id="7" xr3:uid="{D5702432-6067-40C7-B647-63D5EBDD13C2}" name="META" dataDxfId="1093"/>
    <tableColumn id="5" xr3:uid="{40A208DF-2D8B-4D71-B923-6BFFA76CDA11}" name="ASER_" dataDxfId="1092"/>
    <tableColumn id="38" xr3:uid="{1F074B40-AB13-4BEE-BC21-9D178D274909}" name="1"/>
    <tableColumn id="41" xr3:uid="{936D83D8-C85E-4C4D-9E8D-BA3D7C54F99A}" name="2" dataDxfId="1091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1090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1089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1088" dataDxfId="1086" headerRowBorderDxfId="1087" tableBorderDxfId="1085" totalsRowBorderDxfId="1084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1083"/>
    <tableColumn id="1" xr3:uid="{23B67F77-728E-46C0-B5B1-11CE8E08D862}" name="RECUPERO SUPERVISOR" dataDxfId="1082">
      <calculatedColumnFormula>MAX(DITE_MARZO_2025[[#This Row],[1]:[31]])</calculatedColumnFormula>
    </tableColumn>
    <tableColumn id="2" xr3:uid="{0BAE08AE-6A16-447E-9DDD-8800D68BFFA3}" name="ALCANCE SUPERVISOR" dataDxfId="1081">
      <calculatedColumnFormula>DITE_MARZO_2025[[#This Row],[RECUPERO SUPERVISOR]]/DITE_MARZO_2025[[#This Row],[META SUPER]]</calculatedColumnFormula>
    </tableColumn>
    <tableColumn id="4" xr3:uid="{663301EA-2B77-4C76-B8E0-713CAAD1AC41}" name="SUPER" dataDxfId="1080"/>
    <tableColumn id="6" xr3:uid="{9A6FEB31-48E4-456F-8C1F-14055131E9D6}" name="1" dataDxfId="1079"/>
    <tableColumn id="7" xr3:uid="{B8154FAF-39D2-4ED9-8DD7-C179156ECA39}" name="2" dataDxfId="1078"/>
    <tableColumn id="8" xr3:uid="{E58A14C1-44D1-46A4-9137-21E70261FA76}" name="3" dataDxfId="1077"/>
    <tableColumn id="9" xr3:uid="{EFDA2093-809C-4DA2-80F9-0388CCC5E290}" name="4" dataDxfId="1076"/>
    <tableColumn id="10" xr3:uid="{634CF5F0-F36D-4B26-8143-8C3A6FB59216}" name="5" dataDxfId="1075"/>
    <tableColumn id="11" xr3:uid="{77A0553B-7BDF-49B7-B459-701A77496BEA}" name="6" dataDxfId="1074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1073"/>
    <tableColumn id="13" xr3:uid="{C6D91E97-E16B-4E76-BE55-A08C2A1131DD}" name="18" dataDxfId="1072"/>
    <tableColumn id="14" xr3:uid="{2A5F1078-A097-4171-BD28-7B9B623471D0}" name="19" dataDxfId="1071"/>
    <tableColumn id="15" xr3:uid="{5E883D61-775A-4AD4-A304-156DCFD9F825}" name="20" dataDxfId="1070"/>
    <tableColumn id="16" xr3:uid="{BEFB5788-590D-4EFA-8707-20BAAF7026F1}" name="21" dataDxfId="1069"/>
    <tableColumn id="17" xr3:uid="{8FC06E69-FAE9-4DBE-9C75-7A6598DE29C6}" name="22" dataDxfId="1068"/>
    <tableColumn id="18" xr3:uid="{966EC934-1D25-407E-AE13-8147AC3FF531}" name="23" dataDxfId="1067"/>
    <tableColumn id="19" xr3:uid="{5437FF24-6F5D-412D-82EE-8C668C7DC853}" name="24" dataDxfId="1066"/>
    <tableColumn id="20" xr3:uid="{204A7CBC-2C07-4027-851F-021033B930C1}" name="25" dataDxfId="1065"/>
    <tableColumn id="21" xr3:uid="{DF491418-AC74-4C6A-852F-F0797487D11C}" name="26" dataDxfId="1064"/>
    <tableColumn id="22" xr3:uid="{E184F0A4-EF1A-48F5-8166-10085FC40D13}" name="27" dataDxfId="1063"/>
    <tableColumn id="23" xr3:uid="{66C12B87-BC6D-46BE-AF31-D0C68A22BC7E}" name="28" dataDxfId="1062"/>
    <tableColumn id="24" xr3:uid="{A2DB9C74-4CB6-4BBF-A230-DF50FDE9380D}" name="29" dataDxfId="1061"/>
    <tableColumn id="25" xr3:uid="{D54E02BE-AA16-43C7-ABD3-89326740EA63}" name="30" dataDxfId="1060"/>
    <tableColumn id="26" xr3:uid="{11172EA7-856A-4297-8329-62917B649E9A}" name="31" dataDxfId="1059"/>
    <tableColumn id="3" xr3:uid="{42C6AD34-2DFF-436B-BB22-6DE170226F44}" name="CARTERA" dataDxfId="1058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5CC39DC1-38AA-4FD7-8618-9D1757C063BF}" name="Tabla6165666768707172737475636469" displayName="Tabla6165666768707172737475636469" ref="CK8:CO15" totalsRowShown="0" headerRowDxfId="1057" dataDxfId="1056">
  <autoFilter ref="CK8:CO15" xr:uid="{5CC39DC1-38AA-4FD7-8618-9D1757C063BF}"/>
  <tableColumns count="5">
    <tableColumn id="1" xr3:uid="{199AD204-98F5-4357-9EC8-563E6CC4C321}" name="VISTA" dataDxfId="1055"/>
    <tableColumn id="2" xr3:uid="{BFF1F734-4111-4DDD-8CA0-5198DC585DA1}" name="1" dataDxfId="1054"/>
    <tableColumn id="3" xr3:uid="{E52B6FFD-0DE7-46BA-A600-8E50FF6CEDED}" name="2" dataDxfId="1053"/>
    <tableColumn id="4" xr3:uid="{5F9675DE-09FF-4EA0-A369-BBECA620B87D}" name="3" dataDxfId="1052"/>
    <tableColumn id="14" xr3:uid="{DA0EFF7B-8E6A-466A-B17D-365D82C21948}" name="4" dataDxfId="1051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1050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1049"/>
    <tableColumn id="5" xr3:uid="{D789E66F-CC8C-4715-A998-7AE532E85E8A}" name="ASESOR" dataDxfId="1048"/>
    <tableColumn id="6" xr3:uid="{3455DB8A-5A64-4A8F-8153-2471763CA60D}" name="RECUPERO" dataDxfId="1047"/>
    <tableColumn id="8" xr3:uid="{F8575E1F-78C1-4E15-B505-1AECE8857345}" name="DNI" dataDxfId="1046"/>
    <tableColumn id="9" xr3:uid="{BE130F2A-9B67-45D5-AA49-051D2F0A515B}" name="FECHA DE INICIO" dataDxfId="1045"/>
    <tableColumn id="10" xr3:uid="{31096FEC-094E-478E-A9F3-0023192798F0}" name="ESTADO" dataDxfId="1044"/>
    <tableColumn id="11" xr3:uid="{CD53B1C2-5C16-4E04-B510-37D1EE2D9C67}" name="SEGMENTO" dataDxfId="104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1042" headerRowBorderDxfId="1041" tableBorderDxfId="1040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1039">
      <calculatedColumnFormula>DATA_ABRIL_2025[[#This Row],[RECUPERO]]/DATA_ABRIL_2025[[#This Row],[META]]</calculatedColumnFormula>
    </tableColumn>
    <tableColumn id="3" xr3:uid="{1B1E8B7A-D562-46FD-89DE-12ADBC7146F2}" name="CLASIFICACIÓN" dataDxfId="1038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1037"/>
    <tableColumn id="6" xr3:uid="{9C2D93B7-85A2-4E07-8DD4-3C81F7BF7EBF}" name="RECUPERO" dataDxfId="1036">
      <calculatedColumnFormula>SUM(DATA_ABRIL_2025[[#This Row],[1]:[31]])</calculatedColumnFormula>
    </tableColumn>
    <tableColumn id="7" xr3:uid="{8F4173FF-BB8D-4C61-A5E9-1B6F872C619C}" name="META" dataDxfId="1035"/>
    <tableColumn id="5" xr3:uid="{64151D2C-B822-41DF-8964-343214960730}" name="ASER_" dataDxfId="1034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1033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1032" dataDxfId="1030" headerRowBorderDxfId="1031" tableBorderDxfId="1029" totalsRowBorderDxfId="1028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1027"/>
    <tableColumn id="1" xr3:uid="{56AD13BC-F67F-4EBC-8601-073AD9D41E5D}" name="RECUPERO SUPERVISOR" dataDxfId="1026">
      <calculatedColumnFormula>MAX(DITE_ABRIL_2025[[#This Row],[1]:[31]])</calculatedColumnFormula>
    </tableColumn>
    <tableColumn id="2" xr3:uid="{B40C8394-DA7A-4DDD-89EA-AE757C76DD20}" name="ALCANCE SUPERVISOR" dataDxfId="1025">
      <calculatedColumnFormula>BA9/DITE_ABRIL_2025[[#This Row],[META SUPER]]</calculatedColumnFormula>
    </tableColumn>
    <tableColumn id="4" xr3:uid="{B71408F8-B985-4B11-8661-52EFC6FA8097}" name="SUPER" dataDxfId="1024"/>
    <tableColumn id="6" xr3:uid="{9E37ADBB-A64C-4E4B-9AF4-6087C797FB5E}" name="1" dataDxfId="1023"/>
    <tableColumn id="7" xr3:uid="{09E3EE83-45B5-4808-842B-71D4652DE46A}" name="2" dataDxfId="1022"/>
    <tableColumn id="8" xr3:uid="{243F9102-2670-48D4-B25D-8432658D89F6}" name="3" dataDxfId="1021"/>
    <tableColumn id="9" xr3:uid="{06003E0F-B470-4925-ACE4-1381347B3E87}" name="4" dataDxfId="1020"/>
    <tableColumn id="10" xr3:uid="{DF8C4E72-181D-4E2F-A34D-2BB7FD231520}" name="5" dataDxfId="1019"/>
    <tableColumn id="11" xr3:uid="{56E37C44-85E9-4431-A560-A54606105B9D}" name="6" dataDxfId="1018"/>
    <tableColumn id="12" xr3:uid="{9ADEA573-5E4A-46C0-8569-AFED61AE0141}" name="7" dataDxfId="1017"/>
    <tableColumn id="13" xr3:uid="{D44E56ED-D810-4F08-ACAA-0850A2CBA861}" name="8" dataDxfId="1016"/>
    <tableColumn id="14" xr3:uid="{4F1A46EB-156C-42BB-A090-307A483EDA59}" name="9" dataDxfId="1015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1014"/>
    <tableColumn id="16" xr3:uid="{C78E77EC-88A1-4EFD-AD1A-7DF788C46683}" name="22" dataDxfId="1013"/>
    <tableColumn id="17" xr3:uid="{D5FD8172-0B95-4406-9239-1ABAD08F1B45}" name="23" dataDxfId="1012"/>
    <tableColumn id="18" xr3:uid="{8E9BAC3F-3B04-449B-88EE-DBF57FA626AC}" name="24" dataDxfId="1011"/>
    <tableColumn id="19" xr3:uid="{BFA3B7EB-0BC7-4311-8FCE-7C69A9357A03}" name="25" dataDxfId="1010"/>
    <tableColumn id="20" xr3:uid="{D2BE25CA-961F-40EE-9EC1-A49EEA4DDB5A}" name="26" dataDxfId="1009"/>
    <tableColumn id="21" xr3:uid="{77AAB025-517F-4236-B11B-AEE9B7399348}" name="27" dataDxfId="1008"/>
    <tableColumn id="22" xr3:uid="{E35C7392-A09A-482A-9C37-79B0D6711E60}" name="28" dataDxfId="1007"/>
    <tableColumn id="23" xr3:uid="{B9F1E360-1FEC-4978-B5DB-3DECA1925AE9}" name="29" dataDxfId="1006"/>
    <tableColumn id="24" xr3:uid="{89A20735-1F9D-4A38-9BEB-B3BD56D1FD35}" name="30" dataDxfId="1005"/>
    <tableColumn id="25" xr3:uid="{4BE1A809-8A7F-4933-9AB7-B0E4C9CDDD7E}" name="31" dataDxfId="1004"/>
    <tableColumn id="3" xr3:uid="{8BAF39B2-F0EB-433E-8F3A-FEAC89C5F9BF}" name="CARTERA" dataDxfId="1003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A098A3B8-3C17-4FC2-BD2A-EA8EA6D3503A}" name="Tabla61656667687071727374756364" displayName="Tabla61656667687071727374756364" ref="CK8:CO16" totalsRowShown="0" headerRowDxfId="1002" dataDxfId="1001">
  <autoFilter ref="CK8:CO16" xr:uid="{A098A3B8-3C17-4FC2-BD2A-EA8EA6D3503A}"/>
  <tableColumns count="5">
    <tableColumn id="1" xr3:uid="{EEB56793-AB81-4365-A4E5-C06A780CA295}" name="VISTA" dataDxfId="1000"/>
    <tableColumn id="2" xr3:uid="{54EC6886-D858-4D08-95BC-9CB64C69785F}" name="1" dataDxfId="999"/>
    <tableColumn id="3" xr3:uid="{29622426-510D-41D8-BAAB-33B75A3032DA}" name="2" dataDxfId="998"/>
    <tableColumn id="4" xr3:uid="{10D8188B-45F2-4371-9D53-44980E950C48}" name="3" dataDxfId="997"/>
    <tableColumn id="14" xr3:uid="{88B5AB80-A8EA-41B5-BA7B-E57AF885CB41}" name="4" dataDxfId="996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995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994">
      <calculatedColumnFormula>D1_MAYO_2025[[#This Row],[RECUPERO]]/D1_MAYO_2025[[#This Row],[META]]</calculatedColumnFormula>
    </tableColumn>
    <tableColumn id="7" xr3:uid="{7C5F88F0-9FF3-49CF-BE68-2D455D9DEE81}" name="SUPER2" dataDxfId="993"/>
    <tableColumn id="5" xr3:uid="{5FAC7613-1036-4D50-9A09-AB4F41D88D12}" name="ASESOR" dataDxfId="992"/>
    <tableColumn id="6" xr3:uid="{373B07DA-C176-4486-843D-36C5A3043867}" name="RECUPERO" dataDxfId="991"/>
    <tableColumn id="8" xr3:uid="{CDBFB8A5-E15E-4513-B245-3523278CBBD2}" name="DNI" dataDxfId="990"/>
    <tableColumn id="9" xr3:uid="{64A6BF66-DB3B-4ED3-B1A9-2DF71B8D1ACE}" name="FECHA DE INICIO" dataDxfId="989"/>
    <tableColumn id="10" xr3:uid="{9DD10A75-AE91-4226-BF53-FBC3A38A3094}" name="ESTADO" dataDxfId="988"/>
    <tableColumn id="11" xr3:uid="{E457A2EF-C26E-43DE-BDB2-64E1BFF451C1}" name="SEGMENTO" dataDxfId="987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986" headerRowBorderDxfId="985" tableBorderDxfId="984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983">
      <calculatedColumnFormula>DATA_MAYO_2025[[#This Row],[RECUPERO]]/DATA_MAYO_2025[[#This Row],[META]]</calculatedColumnFormula>
    </tableColumn>
    <tableColumn id="3" xr3:uid="{8551335D-BE40-494B-A806-42FAA211C207}" name="CLASIFICACIÓN" dataDxfId="982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981"/>
    <tableColumn id="6" xr3:uid="{85DC5B94-4FF7-4224-A993-E56A00A5F6DA}" name="RECUPERO" dataDxfId="980">
      <calculatedColumnFormula>SUM(DATA_MAYO_2025[[#This Row],[1]:[31]])</calculatedColumnFormula>
    </tableColumn>
    <tableColumn id="7" xr3:uid="{E2EB46E1-D5BC-46B2-859F-8C05EBBE26F5}" name="META" dataDxfId="979"/>
    <tableColumn id="5" xr3:uid="{A8ED42EF-7F3D-47A1-A928-02CDC650D596}" name="ASER_" dataDxfId="978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977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976" dataDxfId="974" headerRowBorderDxfId="975" tableBorderDxfId="973" totalsRowBorderDxfId="972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971"/>
    <tableColumn id="1" xr3:uid="{E8B4D119-C811-4392-9EE6-8F0C79BEE9E9}" name="RECUPERO SUPERVISOR" dataDxfId="970">
      <calculatedColumnFormula>MAX(DITE_MAYO_2025[[#This Row],[1]:[31]])</calculatedColumnFormula>
    </tableColumn>
    <tableColumn id="2" xr3:uid="{B44E621C-D444-4670-8FB8-CA1A1E3293FE}" name="ALCANCE SUPERVISOR" dataDxfId="969">
      <calculatedColumnFormula>DITE_MAYO_2025[[#This Row],[RECUPERO SUPERVISOR]]/DITE_MAYO_2025[[#This Row],[META SUPER]]</calculatedColumnFormula>
    </tableColumn>
    <tableColumn id="4" xr3:uid="{63B60F11-ECE7-4839-BADE-F875CF35D6C8}" name="SUPER" dataDxfId="968"/>
    <tableColumn id="6" xr3:uid="{795F9848-930D-4B49-893D-00DA36A6069C}" name="1" dataDxfId="967"/>
    <tableColumn id="7" xr3:uid="{A0F1B09B-45CD-4449-B0E0-2A746353F5F6}" name="2" dataDxfId="966"/>
    <tableColumn id="8" xr3:uid="{42485F8E-3938-40CB-B75A-E12120AF085D}" name="3" dataDxfId="965"/>
    <tableColumn id="9" xr3:uid="{16CE59CD-D621-412D-8F6E-F5B8FEEFCBB4}" name="4" dataDxfId="964"/>
    <tableColumn id="10" xr3:uid="{D1B5939A-E95A-4BE2-BA16-796CFB62C7BB}" name="5" dataDxfId="963"/>
    <tableColumn id="11" xr3:uid="{42606FA2-25C4-48F7-BC25-B75CFBF93D7E}" name="6" dataDxfId="962"/>
    <tableColumn id="12" xr3:uid="{91DD2662-D657-4CF0-B378-5B3D9B374F80}" name="7" dataDxfId="961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960"/>
    <tableColumn id="14" xr3:uid="{FDAEFC46-2A8B-451E-929D-76EC4BC7CA39}" name="19" dataDxfId="959"/>
    <tableColumn id="15" xr3:uid="{1F944C9F-2359-45A9-8922-617195550B92}" name="20" dataDxfId="958"/>
    <tableColumn id="16" xr3:uid="{D023EA95-922B-4435-8A92-F165E2F3A560}" name="21" dataDxfId="957"/>
    <tableColumn id="17" xr3:uid="{7AC3BA92-E630-483B-B27E-18C40869116B}" name="22" dataDxfId="956"/>
    <tableColumn id="18" xr3:uid="{3609A57C-B1DB-4D87-9574-007183221000}" name="23" dataDxfId="955"/>
    <tableColumn id="19" xr3:uid="{98740490-1047-4343-85C8-834AE6AF935A}" name="24" dataDxfId="954"/>
    <tableColumn id="20" xr3:uid="{CE682DBD-B5A8-49C9-8A73-515C0BB553A8}" name="25" dataDxfId="953"/>
    <tableColumn id="21" xr3:uid="{2C63A6DB-A36B-488F-8D7C-F86E11CED59A}" name="26" dataDxfId="952"/>
    <tableColumn id="22" xr3:uid="{01511E88-F7F3-4FDD-998C-292B28698241}" name="27" dataDxfId="951"/>
    <tableColumn id="23" xr3:uid="{B0CE642E-7F10-4E00-9DD1-FC5CF0499DC2}" name="28" dataDxfId="950"/>
    <tableColumn id="24" xr3:uid="{EE9469B0-D486-4046-8AA2-36629B9D9667}" name="29" dataDxfId="949"/>
    <tableColumn id="25" xr3:uid="{D05B2A45-8E05-43BB-9FFA-CC56C7D8C31E}" name="30" dataDxfId="948"/>
    <tableColumn id="26" xr3:uid="{AE78D865-FDC9-4B75-AADF-A48F19C319DC}" name="31" dataDxfId="947"/>
    <tableColumn id="3" xr3:uid="{0887DE9C-F035-4EEC-B2F4-4C2CEB11922C}" name="CARTERA" dataDxfId="946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2E1714BA-AA31-40C3-A8A8-8F7AF2BE18D3}" name="Tabla616566676870717273747563" displayName="Tabla616566676870717273747563" ref="CK8:CO16" totalsRowShown="0" headerRowDxfId="945" dataDxfId="944">
  <autoFilter ref="CK8:CO16" xr:uid="{2E1714BA-AA31-40C3-A8A8-8F7AF2BE18D3}"/>
  <tableColumns count="5">
    <tableColumn id="1" xr3:uid="{FD8B1FFA-2501-4004-A802-184E80D06B91}" name="VISTA" dataDxfId="943"/>
    <tableColumn id="2" xr3:uid="{429A3B8D-50F1-4374-8637-AB41E24A51D7}" name="1" dataDxfId="942"/>
    <tableColumn id="3" xr3:uid="{DF889198-ABC0-4D54-8703-0B6A785ACBEB}" name="2" dataDxfId="941"/>
    <tableColumn id="4" xr3:uid="{441DAF2A-F2AF-4DE9-A31B-DB40B0EF364E}" name="3" dataDxfId="940"/>
    <tableColumn id="14" xr3:uid="{13BCF5FE-8355-4BAE-9E87-9F83B0CDD4C1}" name="4" dataDxfId="939"/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938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937"/>
    <tableColumn id="5" xr3:uid="{1BF578D9-FB1B-48B0-B732-40F721FD7C19}" name="ASESOR" dataDxfId="936"/>
    <tableColumn id="6" xr3:uid="{CA995F17-DCA5-4D19-B2E1-FD9362121A39}" name="RECUPERO"/>
    <tableColumn id="8" xr3:uid="{9BC620F7-3E10-4417-B0EA-F37D1F039447}" name="DNI" dataDxfId="935"/>
    <tableColumn id="9" xr3:uid="{0CBCBA61-9BA1-4E3D-B6CE-38E6C9A1078C}" name="FECHA DE INICIO" dataDxfId="934"/>
    <tableColumn id="10" xr3:uid="{3A23F58F-8B92-4D7C-82D9-23C8B3B51E6F}" name="ESTADO" dataDxfId="933"/>
    <tableColumn id="11" xr3:uid="{2E50347E-4858-4527-938D-F94ED2AB3BED}" name="SEGMENTO" dataDxfId="932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931" headerRowBorderDxfId="930" tableBorderDxfId="929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928">
      <calculatedColumnFormula>DATA_JUNIO_2025[[#This Row],[RECUPERO]]/DATA_JUNIO_2025[[#This Row],[META]]</calculatedColumnFormula>
    </tableColumn>
    <tableColumn id="3" xr3:uid="{78E201C6-658E-4437-AC52-3D0E669D8389}" name="CLASIFICACIÓN" dataDxfId="927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926"/>
    <tableColumn id="6" xr3:uid="{3AD4A449-DB0B-4879-AD61-28FA40E45717}" name="RECUPERO" dataDxfId="925">
      <calculatedColumnFormula>SUM(DATA_JUNIO_2025[[#This Row],[1]:[31]])</calculatedColumnFormula>
    </tableColumn>
    <tableColumn id="7" xr3:uid="{2BD9FB92-38FC-44A8-B5F2-890569E48C37}" name="META" dataDxfId="924"/>
    <tableColumn id="5" xr3:uid="{9812F1F1-AB5A-41A6-A84D-86B290FCB7E7}" name="ASER_" dataDxfId="923"/>
    <tableColumn id="37" xr3:uid="{834796BA-53F4-4194-919E-D8B97FEA7F3F}" name="1" dataDxfId="922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921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920" dataDxfId="918" headerRowBorderDxfId="919" tableBorderDxfId="917" totalsRowBorderDxfId="916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915"/>
    <tableColumn id="1" xr3:uid="{1A75BF93-811F-4AFA-86B4-9AD496200913}" name="RECUPERO SUPERVISOR" dataDxfId="914"/>
    <tableColumn id="2" xr3:uid="{60B107BC-0938-4363-BE59-47C4E7777D14}" name="ALCANCE SUPERVISOR" dataDxfId="913">
      <calculatedColumnFormula>DITE_JUNIO_2025[[#This Row],[RECUPERO SUPERVISOR]]/DITE_JUNIO_2025[[#This Row],[META SUPER]]</calculatedColumnFormula>
    </tableColumn>
    <tableColumn id="4" xr3:uid="{846684E8-1F2C-4021-AB12-AFBE9E56FAA4}" name="SUPER" dataDxfId="912"/>
    <tableColumn id="6" xr3:uid="{A217DEAD-ACD7-4C63-A622-E2E01ECF328C}" name="1" dataDxfId="911"/>
    <tableColumn id="7" xr3:uid="{5CA18C0A-7D47-455B-B153-EFA8D01D32D6}" name="2" dataDxfId="910"/>
    <tableColumn id="8" xr3:uid="{3CBBE086-E28B-4224-AF45-5A4E7A009E3F}" name="3" dataDxfId="909"/>
    <tableColumn id="9" xr3:uid="{4B327145-F7C9-4ABC-A911-6EB2E553C986}" name="4" dataDxfId="908"/>
    <tableColumn id="10" xr3:uid="{C644450F-2149-4D87-8E04-D3DD6B99C066}" name="5" dataDxfId="907"/>
    <tableColumn id="11" xr3:uid="{92D6DA00-2083-479D-96F6-4B48312C9C12}" name="6" dataDxfId="906"/>
    <tableColumn id="12" xr3:uid="{2EC613D6-BDCD-416F-817F-42C8018B90FE}" name="7" dataDxfId="905"/>
    <tableColumn id="13" xr3:uid="{B55C5834-2D46-4D83-8429-14D18D9B95EF}" name="8" dataDxfId="904"/>
    <tableColumn id="14" xr3:uid="{5C6DF4C8-EDC0-4827-AA8B-9C2B7202A4DA}" name="9" dataDxfId="903"/>
    <tableColumn id="15" xr3:uid="{764D7AA1-F3E2-4E06-A4A9-952B47F95E76}" name="10" dataDxfId="902"/>
    <tableColumn id="16" xr3:uid="{6D896E44-118D-4124-BF4A-2E06B8568517}" name="11" dataDxfId="901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900"/>
    <tableColumn id="18" xr3:uid="{E97C32F3-7B30-46E7-B4CD-72B412E48E28}" name="22" dataDxfId="899"/>
    <tableColumn id="19" xr3:uid="{FD784BF8-211E-4275-A9B4-168979C2AFD1}" name="23" dataDxfId="898"/>
    <tableColumn id="20" xr3:uid="{766DA9FA-C407-4AC5-BFFB-BF6A1B6D5B26}" name="24" dataDxfId="897"/>
    <tableColumn id="21" xr3:uid="{CD1B765C-53CF-4C5C-A708-487BC53AF68A}" name="25" dataDxfId="896"/>
    <tableColumn id="22" xr3:uid="{2800A805-A560-4CF0-B47E-4486A92755E4}" name="26" dataDxfId="895"/>
    <tableColumn id="23" xr3:uid="{7067EFFA-F2EA-4FFF-A281-8E3E0E718C87}" name="27" dataDxfId="894"/>
    <tableColumn id="24" xr3:uid="{BB01C4B5-FEB4-44E1-BF58-4C9BF81261B1}" name="28" dataDxfId="893"/>
    <tableColumn id="25" xr3:uid="{2116D7DE-6632-4314-9539-6B4BA9407512}" name="29" dataDxfId="892"/>
    <tableColumn id="37" xr3:uid="{CBFA4429-3DA2-46C7-A9A0-49B669AE33A6}" name="30"/>
    <tableColumn id="26" xr3:uid="{B0D188FD-F41F-4C43-A42F-87048D9F3347}" name="31" dataDxfId="891"/>
    <tableColumn id="3" xr3:uid="{153A774F-FA3D-4DE9-A743-A193E9EC2BE7}" name="CARTERA" dataDxfId="890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9FB21D9-7D2B-4B44-80D1-3C8656081B59}" name="Tabla6165666768707172737475" displayName="Tabla6165666768707172737475" ref="CK8:CO16" totalsRowShown="0" headerRowDxfId="889" dataDxfId="888">
  <autoFilter ref="CK8:CO16" xr:uid="{D9FB21D9-7D2B-4B44-80D1-3C8656081B59}"/>
  <tableColumns count="5">
    <tableColumn id="1" xr3:uid="{55CC47EE-B5EB-4C22-912A-314A0C4A22CD}" name="VISTA" dataDxfId="887"/>
    <tableColumn id="2" xr3:uid="{68D27FF1-F05E-4881-A0C1-4566D81A7430}" name="1" dataDxfId="886"/>
    <tableColumn id="3" xr3:uid="{E7DA3F7B-A434-4EEC-A6F7-AC22B5F4CAE6}" name="2" dataDxfId="885"/>
    <tableColumn id="4" xr3:uid="{B8418D52-AA16-49C2-A8AA-75631794246B}" name="3" dataDxfId="884"/>
    <tableColumn id="14" xr3:uid="{5C3F1E9C-C0C1-4E39-B365-91CF22966878}" name="4" dataDxfId="883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882" headerRowBorderDxfId="881" tableBorderDxfId="880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879">
      <calculatedColumnFormula>DATA_JULIO_2025[[#This Row],[RECUPERO]]/DATA_JULIO_2025[[#This Row],[META]]</calculatedColumnFormula>
    </tableColumn>
    <tableColumn id="3" xr3:uid="{1754C817-3C23-490F-BEA3-3ACD2AC34A65}" name="CLASIFICACIÓN" dataDxfId="878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877"/>
    <tableColumn id="6" xr3:uid="{BCDF5A35-E274-481A-8FAA-7585E0413D78}" name="RECUPERO" dataDxfId="876">
      <calculatedColumnFormula>SUM(DATA_JULIO_2025[[#This Row],[1]:[31]])</calculatedColumnFormula>
    </tableColumn>
    <tableColumn id="7" xr3:uid="{8DE1FEE0-51D3-4EA8-A46E-89BEBA12056E}" name="META" dataDxfId="875"/>
    <tableColumn id="1" xr3:uid="{3C41F150-757E-4673-8594-D891B2820E33}" name="ASER_" dataDxfId="874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873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871" headerRowBorderDxfId="872" tableBorderDxfId="870">
  <autoFilter ref="A2:K85" xr:uid="{F460AB3C-55A7-4610-B74D-44400B82E396}"/>
  <tableColumns count="11">
    <tableColumn id="1" xr3:uid="{174E92CC-5FBB-42E6-ABBA-A2148115201A}" name="SUPER" dataDxfId="869">
      <calculatedColumnFormula>D1_JULIO_2025[[#This Row],[SUPER2]]</calculatedColumnFormula>
    </tableColumn>
    <tableColumn id="6" xr3:uid="{D87E1435-21B2-485D-8BCD-1C27FC523EEA}" name="ASESOR_CRR" dataDxfId="868"/>
    <tableColumn id="2" xr3:uid="{FC570054-965C-4F29-B04A-C58608AEAECA}" name="META" dataDxfId="867">
      <calculatedColumnFormula>VLOOKUP(D1_JULIO_2025[[#This Row],[SUPER]],DATA_JULIO_2025[[SUPERVISOR]:[META]],3,0)</calculatedColumnFormula>
    </tableColumn>
    <tableColumn id="3" xr3:uid="{CF023A93-4AFB-4349-9235-179A60BC2249}" name="ALCANCE" dataDxfId="866">
      <calculatedColumnFormula>D1_JULIO_2025[[#This Row],[RECUPERO]]/C3</calculatedColumnFormula>
    </tableColumn>
    <tableColumn id="7" xr3:uid="{59576C9E-00A8-419A-8EFC-86D74D6B4B3F}" name="SUPER2" dataDxfId="865"/>
    <tableColumn id="4" xr3:uid="{6F567985-92B6-498E-BDE9-81AA438ECD22}" name="ASESOR" dataDxfId="864"/>
    <tableColumn id="5" xr3:uid="{2DFC340F-6B74-4E64-B475-782D4A5F8B3E}" name="RECUPERO" dataDxfId="863"/>
    <tableColumn id="8" xr3:uid="{D42D0BDD-24C5-4390-9867-D5F3D45952CE}" name="DNI" dataDxfId="862"/>
    <tableColumn id="9" xr3:uid="{A9555617-B6CF-4123-9AD8-5E9DB6528E74}" name="FECHA DE INICIO" dataDxfId="861"/>
    <tableColumn id="10" xr3:uid="{1C792B0A-E0F3-406D-8123-75E932FC95A1}" name="ESTADO" dataDxfId="860"/>
    <tableColumn id="11" xr3:uid="{9C7DD975-8CE5-47A7-9055-3D889431846F}" name="SEGMENTO" dataDxfId="859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858" dataDxfId="856" headerRowBorderDxfId="857" tableBorderDxfId="855" totalsRowBorderDxfId="854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853"/>
    <tableColumn id="1" xr3:uid="{4CE2BFB4-C324-4ECE-B3B7-77A433373BEC}" name="RECUPERO SUPERVISOR" dataDxfId="852"/>
    <tableColumn id="2" xr3:uid="{76C6BCA1-6820-46A6-B790-01B3E88F6266}" name="ALCANCE SUPERVISOR" dataDxfId="851">
      <calculatedColumnFormula>BA9/DITE_JULIO_2025[[#This Row],[META SUPER]]</calculatedColumnFormula>
    </tableColumn>
    <tableColumn id="4" xr3:uid="{FE9C5289-6F21-4D71-92B6-F36B6C9748E7}" name="SUPER" dataDxfId="850"/>
    <tableColumn id="6" xr3:uid="{A5188244-D142-4196-92CC-15B237C3E734}" name="1" dataDxfId="849"/>
    <tableColumn id="7" xr3:uid="{9754BD88-AFD1-4BCB-AF69-DA7B55E3A053}" name="2" dataDxfId="848"/>
    <tableColumn id="8" xr3:uid="{851C8CA8-D257-4BFB-B6BE-D82354200CA7}" name="3" dataDxfId="847"/>
    <tableColumn id="9" xr3:uid="{AE769B63-903F-46E5-A3F0-8DA27C689974}" name="4" dataDxfId="846"/>
    <tableColumn id="10" xr3:uid="{D09A5961-EE10-491A-BFFE-C5ABD80598A8}" name="5" dataDxfId="845"/>
    <tableColumn id="11" xr3:uid="{EC4AF483-303E-4488-AFA2-DD9A058F071A}" name="6" dataDxfId="844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843"/>
    <tableColumn id="13" xr3:uid="{377D024A-00DD-4A77-A549-5C6BEBE894D0}" name="19" dataDxfId="842"/>
    <tableColumn id="14" xr3:uid="{8FABF999-C8BA-4B7D-980A-2659F766178B}" name="20" dataDxfId="841"/>
    <tableColumn id="15" xr3:uid="{06AC6AD7-A191-47DD-AE3F-9A0525AF8DD6}" name="21" dataDxfId="840"/>
    <tableColumn id="16" xr3:uid="{BB465107-63D7-443B-8989-EF197F62D322}" name="22" dataDxfId="839"/>
    <tableColumn id="17" xr3:uid="{3DFE5CBD-1315-4CBA-A14E-1763583D7BEC}" name="23" dataDxfId="838"/>
    <tableColumn id="18" xr3:uid="{5DB3135E-36A1-4F0D-890E-50AC461B96C4}" name="24" dataDxfId="837"/>
    <tableColumn id="19" xr3:uid="{57CA79FE-F6A3-4697-8926-36322AD1BC6C}" name="25" dataDxfId="836"/>
    <tableColumn id="20" xr3:uid="{A99C4302-A806-4344-ABAF-AF753E7EF30D}" name="26" dataDxfId="835"/>
    <tableColumn id="21" xr3:uid="{D1C3F20A-0988-4CC4-8D06-ED3EE15A7AB1}" name="27" dataDxfId="834"/>
    <tableColumn id="22" xr3:uid="{ECEC5739-F3E4-44C4-9408-4DAA6DE5069C}" name="28" dataDxfId="833"/>
    <tableColumn id="23" xr3:uid="{CD77FB96-6C17-47A0-82BA-2ABEA1725A41}" name="29" dataDxfId="832"/>
    <tableColumn id="24" xr3:uid="{87D0EFA1-B9FB-444F-B737-EE4C1B838FBC}" name="30" dataDxfId="831"/>
    <tableColumn id="25" xr3:uid="{BF0F5A29-80D1-482F-9C53-48E4478A5F1D}" name="31" dataDxfId="830"/>
    <tableColumn id="3" xr3:uid="{51B2E01F-098B-4EAB-AB37-99A7A456DDF6}" name="CARTERA" dataDxfId="829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48E2B3F9-662F-43E3-B2D7-EF047720147C}" name="Tabla61656667687071727374" displayName="Tabla61656667687071727374" ref="CK8:CO16" totalsRowShown="0" headerRowDxfId="828" dataDxfId="827">
  <autoFilter ref="CK8:CO16" xr:uid="{48E2B3F9-662F-43E3-B2D7-EF047720147C}"/>
  <tableColumns count="5">
    <tableColumn id="1" xr3:uid="{31EE75DE-2574-4FED-AE5C-102BACD54839}" name="VISTA" dataDxfId="826"/>
    <tableColumn id="2" xr3:uid="{5D48C081-2B85-4A2C-B334-4EFE9F1D31D4}" name="1" dataDxfId="825"/>
    <tableColumn id="3" xr3:uid="{48F2F8E6-86C2-4EB7-B42C-6C436443A10C}" name="2" dataDxfId="824"/>
    <tableColumn id="4" xr3:uid="{F2194CAB-7275-4416-B293-5EB972058E9D}" name="3" dataDxfId="823"/>
    <tableColumn id="14" xr3:uid="{00A2B7A6-F441-48AC-9C48-2016F4FEC44D}" name="4" dataDxfId="822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820" headerRowBorderDxfId="821" tableBorderDxfId="819">
  <autoFilter ref="A2:K91" xr:uid="{816CEBCE-101B-42C2-A45C-8113A647428A}"/>
  <tableColumns count="11">
    <tableColumn id="1" xr3:uid="{596664E6-24CF-4AF3-A84D-121AC4745B4C}" name="SUPER" dataDxfId="818"/>
    <tableColumn id="6" xr3:uid="{CA4B13E9-2CAB-42E2-A028-4DFB844CF726}" name="ASESOR_CRR" dataDxfId="817"/>
    <tableColumn id="2" xr3:uid="{B3C2F90C-6F59-4998-9F82-960596BF09D8}" name="META" dataDxfId="816">
      <calculatedColumnFormula>VLOOKUP(D1_AGOSTO_2025[[#This Row],[SUPER]],DATA_AGOSTO_2025[[SUPERVISOR]:[META]],3,0)</calculatedColumnFormula>
    </tableColumn>
    <tableColumn id="3" xr3:uid="{6CE379C4-19C8-4C90-81DB-EA83E873B03A}" name="ALCANCE" dataDxfId="815"/>
    <tableColumn id="7" xr3:uid="{28AC502F-3113-4B59-AA88-4F9E0E7D938B}" name="SUPER2" dataDxfId="814"/>
    <tableColumn id="4" xr3:uid="{9AE19661-0B03-4D03-9661-4B81FCE456D3}" name="ASESOR" dataDxfId="813"/>
    <tableColumn id="5" xr3:uid="{9CCAC285-FD2E-415B-BE6E-AD7E20CECF29}" name="RECUPERO" dataDxfId="812">
      <calculatedColumnFormula>VLOOKUP(D1_AGOSTO_2025[[#This Row],[ASESOR]],$E$95:$F$176,2,0)</calculatedColumnFormula>
    </tableColumn>
    <tableColumn id="8" xr3:uid="{043E81D5-B688-480A-9A28-C451E6CC8ACE}" name="DNI" dataDxfId="811"/>
    <tableColumn id="9" xr3:uid="{1F9CE105-EFA8-4FFE-9C5C-0AB581B961DE}" name="FECHA DE INICIO" dataDxfId="810"/>
    <tableColumn id="10" xr3:uid="{6CA7DA08-8CCF-441D-AE86-422E2259780A}" name="ESTADO" dataDxfId="809"/>
    <tableColumn id="11" xr3:uid="{9109CC4D-CC03-42BB-8F60-09A0400B4073}" name="SEGMENTO" dataDxfId="808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807" headerRowBorderDxfId="806" tableBorderDxfId="805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804">
      <calculatedColumnFormula>DATA_AGOSTO_2025[[#This Row],[RECUPERO]]/DATA_AGOSTO_2025[[#This Row],[META]]</calculatedColumnFormula>
    </tableColumn>
    <tableColumn id="3" xr3:uid="{88C3CECE-F881-4C05-BA2B-95B253894A39}" name="CLASIFICACIÓN" dataDxfId="803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802"/>
    <tableColumn id="6" xr3:uid="{40820BC6-7E2D-416A-AC23-B4520FC0957D}" name="RECUPERO" dataDxfId="801">
      <calculatedColumnFormula>SUM(DATA_AGOSTO_2025[[#This Row],[1]:[31]])</calculatedColumnFormula>
    </tableColumn>
    <tableColumn id="7" xr3:uid="{F7BC8835-EC2E-4047-8AE9-C742ABE03445}" name="META" dataDxfId="800"/>
    <tableColumn id="5" xr3:uid="{22298E20-98EB-421A-8978-F019348D2A10}" name="ASER_" dataDxfId="799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798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797" dataDxfId="795" headerRowBorderDxfId="796" tableBorderDxfId="794" totalsRowBorderDxfId="793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792"/>
    <tableColumn id="1" xr3:uid="{D853C78B-294B-4C5B-87F9-8B837DBCA858}" name="RECUPERO SUPERVISOR" dataDxfId="791">
      <calculatedColumnFormula>MAX(DITE_AGOSTO_2025[[#This Row],[1]:[31]])</calculatedColumnFormula>
    </tableColumn>
    <tableColumn id="2" xr3:uid="{A6B49739-8C7F-42B7-AB2B-2D9B8785D8A7}" name="ALCANCE SUPERVISOR" dataDxfId="790">
      <calculatedColumnFormula>DITE_AGOSTO_2025[[#This Row],[RECUPERO SUPERVISOR]]/DITE_AGOSTO_2025[[#This Row],[META SUPER]]</calculatedColumnFormula>
    </tableColumn>
    <tableColumn id="4" xr3:uid="{96D2A1C2-9EA3-4132-B41A-8B57BBB00DD3}" name="SUPER" dataDxfId="789"/>
    <tableColumn id="6" xr3:uid="{49EEE6CA-AF7B-4615-AE46-CA713F4E9209}" name="1" dataDxfId="788"/>
    <tableColumn id="7" xr3:uid="{61649C96-BFE5-4D18-BCE1-727E2E74D883}" name="2" dataDxfId="787"/>
    <tableColumn id="8" xr3:uid="{3D095B63-6086-4E9E-85B2-511507890CD8}" name="3" dataDxfId="786"/>
    <tableColumn id="9" xr3:uid="{36CD21E6-51F3-49C9-8448-36B269029EF6}" name="4" dataDxfId="785"/>
    <tableColumn id="10" xr3:uid="{D4DBAD01-5AE1-474A-AF64-A98DFD56153A}" name="5" dataDxfId="784"/>
    <tableColumn id="11" xr3:uid="{FDF3CA30-E7DF-4684-9747-03744CC16AAE}" name="6" dataDxfId="783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782"/>
    <tableColumn id="13" xr3:uid="{55EA3D15-E74B-4AB3-B0D5-B387C3EAAB83}" name="19" dataDxfId="781"/>
    <tableColumn id="14" xr3:uid="{507E3CA9-692F-4A2D-BA96-B401D04EEDD0}" name="20" dataDxfId="780"/>
    <tableColumn id="15" xr3:uid="{E5F719C0-0646-408A-976E-C57966E876F4}" name="21" dataDxfId="779"/>
    <tableColumn id="16" xr3:uid="{8AC2AE0D-50EC-4387-A0A4-A1F2DF092A3C}" name="22" dataDxfId="778"/>
    <tableColumn id="17" xr3:uid="{7B1EE470-E258-4B37-BEC3-E798950632D8}" name="23" dataDxfId="777"/>
    <tableColumn id="18" xr3:uid="{F77C3800-E94B-4C32-A796-122D364094EA}" name="24" dataDxfId="776"/>
    <tableColumn id="19" xr3:uid="{0DA4161D-30F3-4E97-BCBB-4C1E891B36FB}" name="25" dataDxfId="775"/>
    <tableColumn id="20" xr3:uid="{94B916D9-415F-4F66-A6C0-0EE398A152E9}" name="26" dataDxfId="774"/>
    <tableColumn id="21" xr3:uid="{D814BC25-89A4-4A6B-B889-6BF06DD3D2EC}" name="27" dataDxfId="773"/>
    <tableColumn id="22" xr3:uid="{7DEFEDE7-498F-4CCF-A7C2-F63ACE1BA092}" name="28" dataDxfId="772"/>
    <tableColumn id="23" xr3:uid="{CA36A7C5-BBBD-47FB-AAB4-1F5CBDA1EE93}" name="29" dataDxfId="771"/>
    <tableColumn id="24" xr3:uid="{958DFD93-9566-47EC-807E-E21861CB1F39}" name="30" dataDxfId="770"/>
    <tableColumn id="25" xr3:uid="{C690FBB6-6A9F-4B4D-AEF8-49C27DFF4FCF}" name="31" dataDxfId="769"/>
    <tableColumn id="3" xr3:uid="{C5283215-E8BB-41D8-B093-AA31F8252394}" name="CARTERA" dataDxfId="768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7BB197-1AE0-4BDF-9FA2-D3F0B9DD04D0}" name="Tabla616566676870717273" displayName="Tabla616566676870717273" ref="CK8:CO16" totalsRowShown="0" headerRowDxfId="767" dataDxfId="766">
  <autoFilter ref="CK8:CO16" xr:uid="{F87BB197-1AE0-4BDF-9FA2-D3F0B9DD04D0}"/>
  <tableColumns count="5">
    <tableColumn id="1" xr3:uid="{AA5ECB22-5212-4662-845A-8A24E801A51F}" name="VISTA" dataDxfId="765"/>
    <tableColumn id="2" xr3:uid="{78D9D13B-EF75-45F0-93B7-BAA08E0B7ABC}" name="1" dataDxfId="764"/>
    <tableColumn id="3" xr3:uid="{3CE791BD-7328-44DB-9BFA-5D8BF570A949}" name="2" dataDxfId="763"/>
    <tableColumn id="4" xr3:uid="{49E31886-56A4-42DE-B2AE-EAB0409A548C}" name="3" dataDxfId="762"/>
    <tableColumn id="14" xr3:uid="{F061C5EE-AFA6-4BE4-B2E0-EA41297C9692}" name="4" dataDxfId="761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759" headerRowBorderDxfId="760" tableBorderDxfId="758">
  <autoFilter ref="A2:I80" xr:uid="{111BC5E6-A71D-437E-ABD5-0E09FCDEF3FD}"/>
  <tableColumns count="9">
    <tableColumn id="1" xr3:uid="{EABDBA5F-3C1B-4AC8-8F40-8C9EED5560F3}" name="SUPER" dataDxfId="757"/>
    <tableColumn id="6" xr3:uid="{C37701A2-99CA-45B9-AA89-63D54C88C5B9}" name="ASESOR_CRR" dataDxfId="756"/>
    <tableColumn id="2" xr3:uid="{8360BA59-782B-4699-ABEA-458A3C9299AD}" name="RECUP" dataDxfId="755"/>
    <tableColumn id="3" xr3:uid="{BD5C8833-8CBB-40D9-BC66-F164208CFEC0}" name="ALCANCE" dataDxfId="754"/>
    <tableColumn id="7" xr3:uid="{07FA8551-F17A-4D20-BAC6-4B128B0ECF57}" name="SUPER2" dataDxfId="753"/>
    <tableColumn id="4" xr3:uid="{91470BB1-1A8E-4802-9D93-28E5A1DF6790}" name="ASESOR" dataDxfId="752"/>
    <tableColumn id="5" xr3:uid="{2B49EE5D-87EB-458C-99B1-7F94B8EDDE4B}" name="RECUPERO" dataDxfId="751"/>
    <tableColumn id="8" xr3:uid="{1A69791E-D827-4498-A9B8-C02ED9E8C0C0}" name="DNI" dataDxfId="750"/>
    <tableColumn id="9" xr3:uid="{17EC964E-623C-4526-9375-D1DFD0BBB147}" name="FECHA DE INGRESO" dataDxfId="749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748" headerRowBorderDxfId="747" tableBorderDxfId="746">
  <autoFilter ref="J8:O86" xr:uid="{91775BD2-E36D-479B-95DE-48127C3410BC}"/>
  <tableColumns count="6">
    <tableColumn id="2" xr3:uid="{033A6CF7-EC22-4EEE-8FF0-8C343161421D}" name="AL_AC" dataDxfId="745"/>
    <tableColumn id="3" xr3:uid="{2234E43A-FB04-4BD5-A5FB-BE681630D39D}" name="CLASIFICACIÓN" dataDxfId="744"/>
    <tableColumn id="1" xr3:uid="{E68E03C4-584B-48EC-AA41-D10E171DF6E2}" name="SUPERVISOR" dataDxfId="743"/>
    <tableColumn id="6" xr3:uid="{8FEE60A3-7153-47ED-82A3-25E3E95BD5B9}" name="RECUPERO" dataDxfId="742"/>
    <tableColumn id="5" xr3:uid="{96DEFE26-B796-4F9F-BB26-62A9B1295009}" name="META" dataDxfId="741"/>
    <tableColumn id="4" xr3:uid="{98491906-C3E6-4CCF-96D0-36184A648156}" name="ASER_" dataDxfId="740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739" dataDxfId="737" headerRowBorderDxfId="738" tableBorderDxfId="736" totalsRowBorderDxfId="735">
  <autoFilter ref="Q8:AQ16" xr:uid="{B03330B9-97D2-48C8-8B43-740321917DA5}"/>
  <tableColumns count="27">
    <tableColumn id="5" xr3:uid="{4E3B6BB8-3B21-487C-8667-D21D7F0B0DDF}" name="META SUPER" dataDxfId="734"/>
    <tableColumn id="1" xr3:uid="{C390EAAF-612A-443A-A32B-07A66CB5EF93}" name="RECUPERO SUPERVISOR" dataDxfId="733"/>
    <tableColumn id="2" xr3:uid="{BF66D468-0BA9-433F-A558-DB3EB49638C0}" name="ALCANCE SUPERVISOR" dataDxfId="732"/>
    <tableColumn id="4" xr3:uid="{833C2FF4-09CC-46A1-B127-078899129ED2}" name="SUPER" dataDxfId="731"/>
    <tableColumn id="6" xr3:uid="{7268ABE3-61CC-4084-9F8D-F9F866838337}" name="1-Set" dataDxfId="730"/>
    <tableColumn id="7" xr3:uid="{934984E8-2516-4844-B21B-29330A07EEE9}" name="2-Set" dataDxfId="729"/>
    <tableColumn id="8" xr3:uid="{5F8B97B9-8D43-4455-9D8F-E58FD0EDAC17}" name="3-Set" dataDxfId="728"/>
    <tableColumn id="9" xr3:uid="{85D24C9E-9252-4D30-9E54-18DBF77A6C70}" name="4-Set" dataDxfId="727"/>
    <tableColumn id="10" xr3:uid="{5A78F08C-1794-450A-88A4-F02CE65D2409}" name="5-Set" dataDxfId="726"/>
    <tableColumn id="11" xr3:uid="{C9868C58-D704-4A31-95DB-6D8FBCC63D90}" name="8-Set" dataDxfId="725"/>
    <tableColumn id="12" xr3:uid="{5A69AB6F-1CBE-456F-9AB1-9CFA02551564}" name="9-Set" dataDxfId="724"/>
    <tableColumn id="13" xr3:uid="{2FB09AC7-C3A6-45CD-8892-0B683DF946C3}" name="10-Set" dataDxfId="723"/>
    <tableColumn id="14" xr3:uid="{B8720ED9-AC2B-41EC-BFA3-A12BF9C966CC}" name="11-Set" dataDxfId="722"/>
    <tableColumn id="15" xr3:uid="{31CBBA73-A7BD-468C-BD0B-435687D2ACAD}" name="12-Set" dataDxfId="721"/>
    <tableColumn id="16" xr3:uid="{02C13EA1-381F-4C2D-B917-AF0FF1A9F773}" name="15-Set" dataDxfId="720"/>
    <tableColumn id="17" xr3:uid="{E6B04D90-5126-40CD-BDA1-E2B120BAD73C}" name="16-Set" dataDxfId="719"/>
    <tableColumn id="18" xr3:uid="{7CB5014E-CB0D-4F8A-A9D7-BD9A166A1B37}" name="17-Set" dataDxfId="718"/>
    <tableColumn id="19" xr3:uid="{040ABF10-1BFC-447A-AE21-D052CBC2ED82}" name="18-Set" dataDxfId="717"/>
    <tableColumn id="20" xr3:uid="{44DFBCB9-0C1E-48F5-ACC2-AC0990D1520D}" name="19-Set" dataDxfId="716"/>
    <tableColumn id="21" xr3:uid="{AFFC2ABC-F24F-4F16-B5DD-03747097DBCC}" name="22-Set" dataDxfId="715"/>
    <tableColumn id="22" xr3:uid="{E8A652BF-A601-498B-965E-DF95F032A19E}" name="23-Set" dataDxfId="714"/>
    <tableColumn id="23" xr3:uid="{E1A1F3EC-A932-4B54-BD80-6B3004BAC18C}" name="24-Set" dataDxfId="713"/>
    <tableColumn id="24" xr3:uid="{7F5C1B88-4DF8-4775-AEFB-F5F5D12AD778}" name="25-Set" dataDxfId="712"/>
    <tableColumn id="25" xr3:uid="{B40C371A-A255-4AD7-B43D-47350B1FF421}" name="26-Set" dataDxfId="711"/>
    <tableColumn id="26" xr3:uid="{AFFE8D31-2DD6-4039-8ED5-AD63D5758F88}" name="29-Set" dataDxfId="710"/>
    <tableColumn id="27" xr3:uid="{041693B7-E11C-4B55-8C93-8CFB39922E84}" name="30-Set" dataDxfId="709"/>
    <tableColumn id="3" xr3:uid="{1DAB60E5-FA3D-4422-89D0-AD46643BF45E}" name="CARTERA" dataDxfId="708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707"/>
    <tableColumn id="5" xr3:uid="{2D06A3B4-3271-49A3-9C7C-FFC311CAB0D8}" name="ASESOR"/>
    <tableColumn id="6" xr3:uid="{7C83291E-5126-4377-B991-EBB23328360F}" name="RECUPERO" dataDxfId="706">
      <calculatedColumnFormula>VLOOKUP(D1_OCTUBRE_2025[[#This Row],[ASESOR]],F78:$G$155,2,0)</calculatedColumnFormula>
    </tableColumn>
    <tableColumn id="8" xr3:uid="{7F2D2756-92A6-4522-A15C-2F10A82AAD95}" name="DNI" dataDxfId="705"/>
    <tableColumn id="9" xr3:uid="{B01E98C6-A76C-417B-B7FA-B0F1C8C2C7C6}" name="FECHA DE INICIO" dataDxfId="704"/>
    <tableColumn id="10" xr3:uid="{DEB6156D-2B0C-4157-8EE4-0EE1578CCF4A}" name="ESTADO" dataDxfId="703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702" tableBorderDxfId="701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700">
      <calculatedColumnFormula>DATA_OCTUBRE_2025[[#This Row],[RECUPERO]]/DATA_OCTUBRE_2025[[#This Row],[META]]</calculatedColumnFormula>
    </tableColumn>
    <tableColumn id="3" xr3:uid="{EE681579-D463-48E9-A57F-B73D04925E37}" name="CLASIFICACIÓN" dataDxfId="699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698"/>
    <tableColumn id="6" xr3:uid="{3B45E8CF-4BCD-492C-B1A3-3E157855AA4E}" name="RECUPERO" dataDxfId="697">
      <calculatedColumnFormula>SUM(DATA_OCTUBRE_2025[[#This Row],[1]:[31]])</calculatedColumnFormula>
    </tableColumn>
    <tableColumn id="7" xr3:uid="{2D762908-0860-493B-A482-9514EAD41E9B}" name="META" dataDxfId="696"/>
    <tableColumn id="4" xr3:uid="{B03F71B4-D73E-47CB-8F19-B1EBCB980D51}" name="ASER_" dataDxfId="695"/>
    <tableColumn id="8" xr3:uid="{DADEF8E1-B4EF-4A54-BDEA-772F65B2659B}" name="1" dataDxfId="694"/>
    <tableColumn id="9" xr3:uid="{09759773-B387-4885-980B-3377FCF2784C}" name="2" dataDxfId="693"/>
    <tableColumn id="10" xr3:uid="{0BEF3C74-7822-4935-9DEF-DBB8EF94B2E8}" name="3" dataDxfId="692"/>
    <tableColumn id="11" xr3:uid="{AB623BA8-8BC3-4899-82B4-0D2F75C64AC1}" name="4" dataDxfId="691"/>
    <tableColumn id="12" xr3:uid="{F3FF380C-FA1C-400D-953D-2426EC1D78FF}" name="5" dataDxfId="690"/>
    <tableColumn id="13" xr3:uid="{513A526B-B8DC-4F0A-BB71-A3C5DCBEE598}" name="6" dataDxfId="689"/>
    <tableColumn id="14" xr3:uid="{FE79AC7F-62E7-4115-BE1B-AAF936521653}" name="7" dataDxfId="688"/>
    <tableColumn id="15" xr3:uid="{68C170E4-F271-468B-91F8-3408D287CC52}" name="8" dataDxfId="687"/>
    <tableColumn id="16" xr3:uid="{AD7DCB27-1227-49CE-B962-67316F312A49}" name="9" dataDxfId="686"/>
    <tableColumn id="17" xr3:uid="{A28A426F-20DF-4E28-817D-D45F6DE67B10}" name="10" dataDxfId="685"/>
    <tableColumn id="18" xr3:uid="{E8A185AF-1E28-4F0F-9855-74F54DBD006B}" name="11" dataDxfId="684"/>
    <tableColumn id="19" xr3:uid="{63732328-29EA-40C6-ACD8-4B4DD4B4CF86}" name="12" dataDxfId="683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682"/>
    <tableColumn id="21" xr3:uid="{C17C4587-18F5-4FBD-868F-EBEC86A07A20}" name="23" dataDxfId="681"/>
    <tableColumn id="22" xr3:uid="{A943FEC5-F867-455B-820F-28C4395DB276}" name="24" dataDxfId="680"/>
    <tableColumn id="23" xr3:uid="{A8FFD2FC-7F1E-4386-AF41-D5EEEF19CDD0}" name="25" dataDxfId="679"/>
    <tableColumn id="24" xr3:uid="{ADF6FE87-D285-4286-AA45-3909EFB078E5}" name="26" dataDxfId="678"/>
    <tableColumn id="25" xr3:uid="{2F0BE83F-F151-4F99-839F-143CA77B5B85}" name="27" dataDxfId="677"/>
    <tableColumn id="26" xr3:uid="{380107E6-E719-4EEB-80BE-3FC920AAB0D8}" name="28" dataDxfId="676"/>
    <tableColumn id="27" xr3:uid="{E4578405-DBB6-4571-976F-D9686E90472D}" name="29" dataDxfId="675"/>
    <tableColumn id="28" xr3:uid="{C03A0B6A-D740-474A-B5C0-16AD1C50D0EF}" name="30" dataDxfId="674"/>
    <tableColumn id="29" xr3:uid="{ABC45238-95B8-44E1-B32D-323E0E09BD1E}" name="31" dataDxfId="673"/>
    <tableColumn id="5" xr3:uid="{DFC53255-43CA-45C9-9269-4215B54AB062}" name="CARTERA ASESOR" dataDxfId="672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671" dataDxfId="669" headerRowBorderDxfId="670" tableBorderDxfId="668" totalsRowBorderDxfId="667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666">
      <calculatedColumnFormula>VLOOKUP($M$3&amp;$N$3&amp;DITE_OCTUBRE_2025[[#This Row],[SUPER]],TablaMeta[],5,0)</calculatedColumnFormula>
    </tableColumn>
    <tableColumn id="1" xr3:uid="{2B34CFC4-0C9F-41CE-999A-2588C7446A9F}" name="RECUPERO SUPERVISOR" dataDxfId="665">
      <calculatedColumnFormula>MAX(DITE_OCTUBRE_2025[[#This Row],[1]:[31]])</calculatedColumnFormula>
    </tableColumn>
    <tableColumn id="2" xr3:uid="{12F44D75-C159-4886-875E-F84E5B64A541}" name="ALCANCE SUPERVISOR" dataDxfId="664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663"/>
    <tableColumn id="6" xr3:uid="{949DC2F4-4585-4646-A396-157D2DF8052D}" name="1" dataDxfId="662"/>
    <tableColumn id="7" xr3:uid="{97391D14-7779-42A7-9DB8-C0989C430B43}" name="2" dataDxfId="661"/>
    <tableColumn id="8" xr3:uid="{6354D769-4310-45AC-8145-E44CED72B4A9}" name="3" dataDxfId="660"/>
    <tableColumn id="9" xr3:uid="{4656D04C-0F05-4626-AF66-C82B40AEFAD8}" name="4" dataDxfId="659"/>
    <tableColumn id="10" xr3:uid="{7D1ED70B-0155-4C0E-8A2F-37B332A6F313}" name="5" dataDxfId="658"/>
    <tableColumn id="11" xr3:uid="{0111FAC8-499F-4CC3-8375-0BF99A4C35FA}" name="6" dataDxfId="657"/>
    <tableColumn id="12" xr3:uid="{C0C00B80-78A4-43E2-93D4-3EE00B3626FF}" name="7" dataDxfId="656"/>
    <tableColumn id="13" xr3:uid="{83880E56-1497-4302-8CA7-1D39E0DC1A97}" name="8" dataDxfId="655"/>
    <tableColumn id="14" xr3:uid="{BE01EA14-2F15-437D-A238-21FF4B75A0DE}" name="9" dataDxfId="654"/>
    <tableColumn id="15" xr3:uid="{EB92F6CE-8ACE-4537-AECA-46B61474948E}" name="10" dataDxfId="653"/>
    <tableColumn id="16" xr3:uid="{6D6490DB-3DEB-438C-AB40-C97EC626F0BE}" name="11" dataDxfId="652"/>
    <tableColumn id="17" xr3:uid="{0392FF10-F85D-41D2-8460-C3A186218696}" name="12" dataDxfId="651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650"/>
    <tableColumn id="19" xr3:uid="{3D252296-5BDD-4576-BACF-EBAA4EDD5204}" name="23" dataDxfId="649"/>
    <tableColumn id="20" xr3:uid="{23EB3C4F-7D5A-4D3B-8B24-D8DE6128BA5F}" name="24" dataDxfId="648"/>
    <tableColumn id="21" xr3:uid="{129CAF30-1851-4238-9880-454B24575BB9}" name="25" dataDxfId="647"/>
    <tableColumn id="22" xr3:uid="{72C02609-42DC-4EDE-B4E1-44D533A24355}" name="26" dataDxfId="646"/>
    <tableColumn id="23" xr3:uid="{9123D15C-9492-4356-8328-1BE17F140523}" name="27" dataDxfId="645"/>
    <tableColumn id="24" xr3:uid="{9D5D7ED1-F248-4C81-8326-BBA9C067C915}" name="28" dataDxfId="644"/>
    <tableColumn id="25" xr3:uid="{AF14494A-3DA5-4A85-BD20-353698E70147}" name="29" dataDxfId="643"/>
    <tableColumn id="26" xr3:uid="{B48EAE26-54B8-4E0C-A4A1-6956DA0D148E}" name="30" dataDxfId="642"/>
    <tableColumn id="27" xr3:uid="{85AC05C5-FE82-41A6-837C-F1F547FD8C2F}" name="31" dataDxfId="641"/>
    <tableColumn id="3" xr3:uid="{1CA2638D-96F9-4A0C-980A-6DAE6545AFFA}" name="CARTERA" dataDxfId="640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211B4A0-902C-4BD4-A5DB-E687501CE08A}" name="Tabla6165666768707172" displayName="Tabla6165666768707172" ref="CK8:CO16" totalsRowShown="0" headerRowDxfId="639" dataDxfId="638">
  <autoFilter ref="CK8:CO16" xr:uid="{9211B4A0-902C-4BD4-A5DB-E687501CE08A}"/>
  <tableColumns count="5">
    <tableColumn id="1" xr3:uid="{111A7011-E44E-4F30-B98C-C0F34C3642DB}" name="VISTA" dataDxfId="637"/>
    <tableColumn id="2" xr3:uid="{F44EAF0F-2208-4452-BDDF-B94BD519A138}" name="1" dataDxfId="636"/>
    <tableColumn id="3" xr3:uid="{7EA4C9C8-2C33-470C-B984-F87BB3B73DF4}" name="2" dataDxfId="635"/>
    <tableColumn id="4" xr3:uid="{41503B16-3616-416B-B675-DF94EA59F0E4}" name="3" dataDxfId="634"/>
    <tableColumn id="14" xr3:uid="{93119638-8316-4F94-859F-6035DCD3F8B8}" name="4" dataDxfId="633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632" tableBorderDxfId="631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630">
      <calculatedColumnFormula>DATA_NOVIEMBRE_2025[[#This Row],[RECUPERO]]/DATA_NOVIEMBRE_2025[[#This Row],[META]]</calculatedColumnFormula>
    </tableColumn>
    <tableColumn id="3" xr3:uid="{855F5F44-294A-4871-9840-A24614956994}" name="CLASIFICACIÓN" dataDxfId="629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628"/>
    <tableColumn id="6" xr3:uid="{C0A22187-40B7-435A-ABDA-27944F0D7030}" name="RECUPERO" dataDxfId="627">
      <calculatedColumnFormula>SUM(DATA_NOVIEMBRE_2025[[#This Row],[1]:[31]])</calculatedColumnFormula>
    </tableColumn>
    <tableColumn id="7" xr3:uid="{72E7F13E-9273-4AED-98D2-5508FB4A326C}" name="META" dataDxfId="626"/>
    <tableColumn id="30" xr3:uid="{CFEB99FE-9EED-4763-A696-5BC3DA916AC5}" name="ASER_"/>
    <tableColumn id="8" xr3:uid="{00AE5065-FE4D-45E6-A294-E826836A1E33}" name="1" dataDxfId="625"/>
    <tableColumn id="9" xr3:uid="{EF6C35AD-ACD8-4C7F-8937-91D53147656D}" name="2" dataDxfId="624"/>
    <tableColumn id="10" xr3:uid="{CF32F196-CA95-4750-A946-3E0AC1A85184}" name="3" dataDxfId="623"/>
    <tableColumn id="11" xr3:uid="{9F563EAD-A249-4851-B979-F5575DE957AB}" name="4" dataDxfId="622"/>
    <tableColumn id="12" xr3:uid="{D6A6323F-D160-499D-BD7C-7C323AE07CB0}" name="5" dataDxfId="621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620"/>
    <tableColumn id="14" xr3:uid="{46BCBBD6-EB67-46A1-A356-989FA4845EF7}" name="17" dataDxfId="619"/>
    <tableColumn id="15" xr3:uid="{B50A5F7B-5C7E-48C1-80DA-278B6510B811}" name="18" dataDxfId="618"/>
    <tableColumn id="16" xr3:uid="{05796B28-1DD1-422E-9658-78C2FB73FD83}" name="19" dataDxfId="617"/>
    <tableColumn id="17" xr3:uid="{DB0D6520-FFC2-440C-B97F-9604384ED84D}" name="20" dataDxfId="616"/>
    <tableColumn id="18" xr3:uid="{50423629-1D31-4CC8-B9D0-046394DFED68}" name="21" dataDxfId="615"/>
    <tableColumn id="19" xr3:uid="{80B70DB0-A059-4A28-A799-0529D6BF1263}" name="22" dataDxfId="614"/>
    <tableColumn id="20" xr3:uid="{CE0AE96C-2D78-4B18-ADD7-C86E26CE69AB}" name="23" dataDxfId="613"/>
    <tableColumn id="21" xr3:uid="{D6CA8ADF-F50B-4822-B7AD-A49AC8CD28E8}" name="24" dataDxfId="612"/>
    <tableColumn id="22" xr3:uid="{8D2522DF-F1BC-4031-89AD-8B4B3515396A}" name="25" dataDxfId="611"/>
    <tableColumn id="23" xr3:uid="{293ABA54-17AB-40AD-A5F9-E0308A358390}" name="26" dataDxfId="610"/>
    <tableColumn id="24" xr3:uid="{099B62F0-F67D-4CF2-8C6A-AD383B297F15}" name="27" dataDxfId="609"/>
    <tableColumn id="25" xr3:uid="{104E6C24-1381-41DA-BF76-0DD6D49DF0C1}" name="28" dataDxfId="608"/>
    <tableColumn id="26" xr3:uid="{095F601D-F187-4396-A356-C09936718FF5}" name="29" dataDxfId="607"/>
    <tableColumn id="27" xr3:uid="{4F9FCA77-406D-4319-913A-82D308726F04}" name="30" dataDxfId="606"/>
    <tableColumn id="28" xr3:uid="{5825F9EE-936A-4C38-B210-9DA3DA553F75}" name="31" dataDxfId="605"/>
    <tableColumn id="1" xr3:uid="{D8CEB774-F634-4903-AC1C-0BF18BDD3A03}" name="CARTERA ASESOR" dataDxfId="604"/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603"/>
    <tableColumn id="2" xr3:uid="{7E004A30-FB94-4ABB-88FD-3005F8FA00C6}" name="ASESOR_CRR" dataDxfId="602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601"/>
    <tableColumn id="7" xr3:uid="{AA9D9715-8EBE-4ECB-8BB4-3F41AF689173}" name="SUPER2" dataDxfId="600"/>
    <tableColumn id="5" xr3:uid="{DDD5C800-04E2-4D8A-8C83-C410D5DF7F70}" name="ASESOR" dataDxfId="599"/>
    <tableColumn id="6" xr3:uid="{88DDFA81-E306-4531-9C28-1EEEFB91AC37}" name="RECUPERO" dataDxfId="598">
      <calculatedColumnFormula>VLOOKUP(D1_NOVIEMBRE_2025[[#This Row],[ASESOR]],$F$70:$G$130,2,0)</calculatedColumnFormula>
    </tableColumn>
    <tableColumn id="9" xr3:uid="{B4E0C179-9219-4DFF-AA71-3C7E15DC0CCB}" name="DNI" dataDxfId="597"/>
    <tableColumn id="10" xr3:uid="{A57DDDED-46A0-4CB6-B58A-B5F5FD8B6714}" name="FECHA DE INICIO" dataDxfId="596"/>
    <tableColumn id="8" xr3:uid="{6D0B725E-AD90-4FB1-ACD9-0C7E61DBD30D}" name="ESTADO" dataDxfId="595"/>
    <tableColumn id="11" xr3:uid="{14A41DD1-83BC-4380-9872-12E024A570EF}" name="SEGMENTO" dataDxfId="594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593" dataDxfId="592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591"/>
    <tableColumn id="2" xr3:uid="{39564DF7-490C-4B42-BA0D-A0C7965369AD}" name="RECUPERO SUPERVISOR" dataDxfId="590">
      <calculatedColumnFormula>MAX(DITE_NOVIEMBRE_2025[[#This Row],[1]:[31]])</calculatedColumnFormula>
    </tableColumn>
    <tableColumn id="3" xr3:uid="{714DADEA-706C-4919-B3C2-F0BF1111E161}" name="ALCANCE SUPERVISOR" dataDxfId="589">
      <calculatedColumnFormula>DITE_NOVIEMBRE_2025[[#This Row],[RECUPERO SUPERVISOR]]/DITE_NOVIEMBRE_2025[[#This Row],[META SUPER]]</calculatedColumnFormula>
    </tableColumn>
    <tableColumn id="1" xr3:uid="{9452BB90-F5DE-4B57-AF8A-BBAB41BDA625}" name="SUPER" dataDxfId="588"/>
    <tableColumn id="6" xr3:uid="{87C598B5-62D4-4EE7-861E-EEAA52C00585}" name="1" dataDxfId="587"/>
    <tableColumn id="7" xr3:uid="{633891A0-1EBF-4F76-A7F4-F66318664C43}" name="2" dataDxfId="586"/>
    <tableColumn id="8" xr3:uid="{0592F328-9F13-4B6C-80C9-E9F1845891CB}" name="3" dataDxfId="585"/>
    <tableColumn id="9" xr3:uid="{AE7882D8-BBFD-45AE-B2CB-28F66322BAEE}" name="4" dataDxfId="584"/>
    <tableColumn id="10" xr3:uid="{05F48497-7C3E-4EF2-8908-E3DDE502B309}" name="5" dataDxfId="583"/>
    <tableColumn id="11" xr3:uid="{BD05847D-8156-476D-9D43-53BF9B333675}" name="6" dataDxfId="582"/>
    <tableColumn id="12" xr3:uid="{407098C8-B89E-46C0-9B9A-DA4AD2929032}" name="7" dataDxfId="581"/>
    <tableColumn id="13" xr3:uid="{91FC56B9-68A8-46E6-AF86-C055E5241ADE}" name="8" dataDxfId="580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579"/>
    <tableColumn id="15" xr3:uid="{6D9CB553-B7A7-4211-8DDF-E67D0F75BD0A}" name="20" dataDxfId="578"/>
    <tableColumn id="16" xr3:uid="{C060B537-6CE4-430B-8A22-7A540BACE464}" name="21" dataDxfId="577"/>
    <tableColumn id="17" xr3:uid="{4C8D59DE-F0E8-4B3F-8552-A394ADA4C013}" name="22" dataDxfId="576"/>
    <tableColumn id="18" xr3:uid="{3AB7DFB9-4558-4621-AB3C-3891ECC67DB4}" name="23" dataDxfId="575"/>
    <tableColumn id="19" xr3:uid="{ECC2D027-50E3-4374-BA37-6384A463E763}" name="24" dataDxfId="574"/>
    <tableColumn id="20" xr3:uid="{03C4446D-2883-4E24-87C6-489668916C57}" name="25" dataDxfId="573"/>
    <tableColumn id="21" xr3:uid="{1D103BD3-6849-47BB-B1AD-9FF31C3432E4}" name="26" dataDxfId="572"/>
    <tableColumn id="22" xr3:uid="{E2A6B954-BE7E-4918-9A92-245143E3726C}" name="27" dataDxfId="571"/>
    <tableColumn id="23" xr3:uid="{3BE5D700-08A4-480A-8651-AFBBD596763A}" name="28" dataDxfId="570"/>
    <tableColumn id="24" xr3:uid="{16A1ECF5-0D22-4B11-B95E-D5BF2A42B1A3}" name="29" dataDxfId="569"/>
    <tableColumn id="25" xr3:uid="{AACA19B9-FD00-4B90-8B58-181F058F24E3}" name="30" dataDxfId="568"/>
    <tableColumn id="26" xr3:uid="{2DE2D547-EE6E-49C4-858B-C4D674245BFC}" name="31" dataDxfId="567"/>
    <tableColumn id="4" xr3:uid="{9AD4619F-F825-4B54-8AE2-92E8B9E9E57F}" name="CARTERA" dataDxfId="566"/>
  </tableColumns>
  <tableStyleInfo name="TableStyleMedium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6E83772-E4B6-4FD1-9ECE-DCCBF28CF7CD}" name="Tabla61656667687071" displayName="Tabla61656667687071" ref="CK8:CO14" totalsRowShown="0" headerRowDxfId="565" dataDxfId="564">
  <autoFilter ref="CK8:CO14" xr:uid="{96E83772-E4B6-4FD1-9ECE-DCCBF28CF7CD}"/>
  <tableColumns count="5">
    <tableColumn id="1" xr3:uid="{2855C0CD-CB2A-4ACC-B370-173F5DBABB01}" name="VISTA" dataDxfId="563"/>
    <tableColumn id="2" xr3:uid="{228AFD6E-187A-4EBB-BF34-D7779E779363}" name="1" dataDxfId="562"/>
    <tableColumn id="3" xr3:uid="{148FC5F6-DAD8-45B9-935B-3B693689C46F}" name="2" dataDxfId="561"/>
    <tableColumn id="4" xr3:uid="{721DA333-5229-49B4-BF78-EF0709817BC7}" name="3" dataDxfId="560"/>
    <tableColumn id="14" xr3:uid="{0D6C8DF6-EA57-41A5-9990-B6483171A71F}" name="4" dataDxfId="559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558" tableBorderDxfId="557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556">
      <calculatedColumnFormula>DATA_DICIEMBRE_2025[[#This Row],[RECUPERO]]/DATA_DICIEMBRE_2025[[#This Row],[META]]</calculatedColumnFormula>
    </tableColumn>
    <tableColumn id="2" xr3:uid="{B5D97F6A-AE7C-4FC3-8428-5737699DFEB1}" name="CLASIFICACIÓN" dataDxfId="555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554"/>
    <tableColumn id="1" xr3:uid="{47FCFB9B-5515-45CC-BFF9-2785144AD854}" name="RECUPERO" dataDxfId="553">
      <calculatedColumnFormula>SUM(DATA_DICIEMBRE_2025[[#This Row],[1]:[31]])</calculatedColumnFormula>
    </tableColumn>
    <tableColumn id="6" xr3:uid="{ED7BE75E-3624-4159-BFE7-645CEA862C3E}" name="META" dataDxfId="552"/>
    <tableColumn id="7" xr3:uid="{AD05A858-B012-4836-80E5-BF630A338442}" name="ASER_" dataDxfId="551"/>
    <tableColumn id="4" xr3:uid="{6792E8BB-5B6A-4E20-BC71-7F342FD1DE33}" name="1" dataDxfId="550"/>
    <tableColumn id="8" xr3:uid="{AFF95CFC-A6A6-4F82-9A47-D8F9735B080F}" name="2" dataDxfId="549"/>
    <tableColumn id="9" xr3:uid="{3EE2031A-4396-4C20-9B21-B423FD7A4983}" name="3" dataDxfId="548"/>
    <tableColumn id="10" xr3:uid="{98A61AE3-7932-414B-AE75-E4B9F37090B7}" name="4" dataDxfId="547"/>
    <tableColumn id="11" xr3:uid="{2B37FA03-0832-40E1-966B-188EC131A687}" name="5" dataDxfId="546"/>
    <tableColumn id="12" xr3:uid="{9A4E011C-C4A7-4F49-AD1B-BB28BEA4BF8C}" name="6" dataDxfId="545"/>
    <tableColumn id="13" xr3:uid="{EFB94F58-F00C-45C8-B4D0-E0C1802DF92E}" name="7" dataDxfId="544"/>
    <tableColumn id="14" xr3:uid="{F8800705-9DF6-4EEA-8D67-8321AE1E80D1}" name="8" dataDxfId="543"/>
    <tableColumn id="15" xr3:uid="{7B6D79FE-5D1B-462C-8037-0CACAB6F3911}" name="9" dataDxfId="542"/>
    <tableColumn id="16" xr3:uid="{E0E24420-1BF8-4BED-A5CC-D5EF1C7DF685}" name="10" dataDxfId="541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540"/>
    <tableColumn id="18" xr3:uid="{388429A9-C1D2-4EE1-BB12-A7C9C48AA9F0}" name="23" dataDxfId="539"/>
    <tableColumn id="19" xr3:uid="{6D1522B5-D820-4F42-ADD5-A6062E68E06A}" name="24" dataDxfId="538"/>
    <tableColumn id="20" xr3:uid="{A78EF6CB-6A5A-488F-8EC5-34C0267191BD}" name="25" dataDxfId="537"/>
    <tableColumn id="21" xr3:uid="{0817989E-B5E4-435D-99FF-C9E1A1D429CD}" name="26" dataDxfId="536"/>
    <tableColumn id="22" xr3:uid="{5AE7BF00-6E17-4434-AFC3-A082971963E9}" name="27" dataDxfId="535"/>
    <tableColumn id="23" xr3:uid="{AC4528BB-516C-4650-8587-2267B9400C8D}" name="28" dataDxfId="534"/>
    <tableColumn id="24" xr3:uid="{AB7921F2-B36A-4ABC-9DBC-BB0EC20ACC62}" name="29" dataDxfId="533"/>
    <tableColumn id="25" xr3:uid="{5D1446EA-3DB7-4807-AE25-EB2149040D6D}" name="30" dataDxfId="532"/>
    <tableColumn id="26" xr3:uid="{B5F2A170-57DC-49D6-9752-24386332D295}" name="31" dataDxfId="531"/>
    <tableColumn id="27" xr3:uid="{D1831881-0F77-44D4-82FA-57779D5E74BA}" name="CARTERA ASESOR" dataDxfId="530"/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529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528"/>
    <tableColumn id="2" xr3:uid="{C1D8B208-A530-42D3-A6B3-202247844AC6}" name="ASESOR_CRR" dataDxfId="527"/>
    <tableColumn id="5" xr3:uid="{0E2E2A96-2FDE-425E-A454-24F26F26F817}" name="META" dataDxfId="526">
      <calculatedColumnFormula>VLOOKUP(D1_DICIEMBRE_2025[[#This Row],[SUPER]],DATA_DICIEMBRE_2025[[SUPERVISOR]:[META]],3,0)</calculatedColumnFormula>
    </tableColumn>
    <tableColumn id="6" xr3:uid="{99265ED5-3CFF-4A20-97B4-3560EE99C717}" name="ALCANCE" dataDxfId="525">
      <calculatedColumnFormula>D1_DICIEMBRE_2025[[#This Row],[RECUPERO]]/D1_DICIEMBRE_2025[[#This Row],[META]]</calculatedColumnFormula>
    </tableColumn>
    <tableColumn id="7" xr3:uid="{374D40BE-0CEA-496A-A350-4762CACC979E}" name="SUPER2" dataDxfId="524"/>
    <tableColumn id="3" xr3:uid="{CE2FC99C-C2FA-4CF8-B4D5-38DB34F6C4C0}" name="ASESOR"/>
    <tableColumn id="4" xr3:uid="{1034AC9B-8A72-4332-A474-8471A1B8C391}" name="RECUPERO" dataDxfId="523"/>
    <tableColumn id="8" xr3:uid="{51D1D4C9-F574-4F9F-BB5F-619CFC8367F6}" name="DNI" dataDxfId="522"/>
    <tableColumn id="9" xr3:uid="{1F94989E-BD68-4711-BF6F-AABBC6D00AD3}" name="FECHA DE INICIO" dataDxfId="521"/>
    <tableColumn id="10" xr3:uid="{26BBC886-44C6-4729-85D8-0B926A843BA1}" name="ESTADO" dataDxfId="520"/>
    <tableColumn id="11" xr3:uid="{B8649A5B-760E-4178-AFFE-25BA3537578F}" name="SEGMENTO" dataDxfId="519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518" dataDxfId="516" headerRowBorderDxfId="517" tableBorderDxfId="515" totalsRowBorderDxfId="514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513"/>
    <tableColumn id="3" xr3:uid="{DED03312-7BDA-4CEA-9273-AA5DB2237A5F}" name="RECUPERO SUPERVISOR" dataDxfId="512">
      <calculatedColumnFormula>MAX(DITE_DICIEMBRE_2025[[#This Row],[1]:[31]])</calculatedColumnFormula>
    </tableColumn>
    <tableColumn id="4" xr3:uid="{5A956735-F760-4B1F-B874-402D928B71EA}" name="ALCANCE SUPERVISOR" dataDxfId="511">
      <calculatedColumnFormula>DITE_DICIEMBRE_2025[[#This Row],[RECUPERO SUPERVISOR]]/AZ9</calculatedColumnFormula>
    </tableColumn>
    <tableColumn id="1" xr3:uid="{ED2A948C-9442-4C47-9BE9-277A3D6239D3}" name="SUPER" dataDxfId="510"/>
    <tableColumn id="6" xr3:uid="{6E784300-7704-4F45-8E90-F7C2D4F71F66}" name="1" dataDxfId="509"/>
    <tableColumn id="7" xr3:uid="{EA789C05-CA47-4D66-B493-7D6222022389}" name="2" dataDxfId="508"/>
    <tableColumn id="36" xr3:uid="{E83A454A-CB07-409E-B2F9-FEFD108C0456}" name="3" dataDxfId="507"/>
    <tableColumn id="8" xr3:uid="{4ACB3C1D-600B-4503-9368-987BC1B3B0EA}" name="4" dataDxfId="506"/>
    <tableColumn id="9" xr3:uid="{B5C8B277-5A83-47A1-95FD-A620D749E785}" name="5" dataDxfId="505"/>
    <tableColumn id="10" xr3:uid="{FB101921-E892-41E0-B8B7-4141F51A83BB}" name="6" dataDxfId="504"/>
    <tableColumn id="11" xr3:uid="{C777EEA2-F048-439C-9EA1-0C4C731AA6E9}" name="7" dataDxfId="503"/>
    <tableColumn id="12" xr3:uid="{7AA80CD7-0570-4507-8C49-9CF331F01C83}" name="8" dataDxfId="502"/>
    <tableColumn id="13" xr3:uid="{F115F6D4-E69D-46D7-AD4B-F13AFDF74268}" name="9" dataDxfId="501"/>
    <tableColumn id="14" xr3:uid="{393E1035-13E1-4131-B853-53B4CA536CF0}" name="10" dataDxfId="500"/>
    <tableColumn id="15" xr3:uid="{7FF1CB48-1402-460C-BDDE-C67F81F66807}" name="11" dataDxfId="499"/>
    <tableColumn id="32" xr3:uid="{8F13018F-0746-40A8-8063-7F1351A273EA}" name="12" dataDxfId="498"/>
    <tableColumn id="33" xr3:uid="{5FD9BED8-7FEA-4B06-9B27-A0BFD046EB49}" name="13" dataDxfId="497"/>
    <tableColumn id="35" xr3:uid="{8D88E3F7-E581-49D0-B55A-812661F85CB6}" name="14" dataDxfId="496"/>
    <tableColumn id="34" xr3:uid="{98E6CACB-4217-4732-B54A-899D22A2EAF6}" name="15" dataDxfId="495"/>
    <tableColumn id="29" xr3:uid="{7C19F65B-AFA4-4BDB-849B-78B44514C8F1}" name="16" dataDxfId="494"/>
    <tableColumn id="30" xr3:uid="{5B8DAC84-4B56-4ED2-BCA8-C8513518494E}" name="17" dataDxfId="493"/>
    <tableColumn id="31" xr3:uid="{6135134A-5BCC-4221-AD87-B5C8D80AB6D3}" name="18" dataDxfId="492"/>
    <tableColumn id="26" xr3:uid="{2569A07A-57D5-45E4-94CF-9442436AFDAE}" name="19" dataDxfId="491"/>
    <tableColumn id="27" xr3:uid="{828CBD1E-742A-4B46-99B1-A5B0163441D5}" name="20" dataDxfId="490"/>
    <tableColumn id="28" xr3:uid="{773F208D-F15B-4823-A2FA-144A370D1B7A}" name="21" dataDxfId="489"/>
    <tableColumn id="16" xr3:uid="{419173FA-3C44-4167-9CA2-3C07CF180C9B}" name="22" dataDxfId="488"/>
    <tableColumn id="17" xr3:uid="{A8A10E2B-AFD7-46D0-8149-9A05D1EC2C03}" name="23" dataDxfId="487"/>
    <tableColumn id="18" xr3:uid="{CF29209E-568F-4788-AE4E-864CF179A3F5}" name="24" dataDxfId="486"/>
    <tableColumn id="19" xr3:uid="{C33D5154-B635-4235-8170-2F374C119543}" name="25" dataDxfId="485"/>
    <tableColumn id="20" xr3:uid="{70E870EC-47B5-4461-AC8F-7662212D49E0}" name="26" dataDxfId="484"/>
    <tableColumn id="21" xr3:uid="{2215DAF3-2DFC-47A4-940A-DC348054A7EB}" name="27" dataDxfId="483"/>
    <tableColumn id="22" xr3:uid="{BE707551-BD9D-4E46-9F38-1BF8DA272627}" name="28" dataDxfId="482"/>
    <tableColumn id="23" xr3:uid="{BA6108F0-3F12-4B54-8E19-7FF232FA9893}" name="29" dataDxfId="481"/>
    <tableColumn id="24" xr3:uid="{B18366FB-64C7-4779-8DB9-91A30E111223}" name="30" dataDxfId="480"/>
    <tableColumn id="25" xr3:uid="{8BD30A4B-DE19-4C3A-8A9E-7FFE10B8C56B}" name="31" dataDxfId="479"/>
    <tableColumn id="5" xr3:uid="{1A8ADD20-D8A3-4981-B322-7C16CBD19ABB}" name="CARTERA" dataDxfId="478"/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214D59-F384-46CE-88F8-40557144A34E}" name="Tabla616566676870" displayName="Tabla616566676870" ref="CK8:CO13" totalsRowShown="0" headerRowDxfId="477" dataDxfId="476">
  <autoFilter ref="CK8:CO13" xr:uid="{1A214D59-F384-46CE-88F8-40557144A34E}"/>
  <tableColumns count="5">
    <tableColumn id="1" xr3:uid="{D3CB4ECD-F878-4B0D-8FCB-43BA8EF1DB82}" name="VISTA" dataDxfId="475"/>
    <tableColumn id="2" xr3:uid="{2659E221-4103-45DB-BB56-1145F59010E9}" name="1" dataDxfId="474"/>
    <tableColumn id="3" xr3:uid="{D56A80FA-EF8F-4611-92E7-3C97B2F91FF9}" name="2" dataDxfId="473"/>
    <tableColumn id="4" xr3:uid="{F2943E7B-95D9-4CE4-87FE-A4FC2FF8FD11}" name="3" dataDxfId="472"/>
    <tableColumn id="14" xr3:uid="{35C66B64-4DC0-4EE5-9B07-32721DCA6429}" name="4" dataDxfId="471"/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470"/>
    <tableColumn id="2" xr3:uid="{09FFA9EA-077A-4B1E-BBB0-BEFE3719755F}" name="ASESOR_CRR" dataDxfId="469"/>
    <tableColumn id="3" xr3:uid="{B2B98848-02EC-4CE4-B2C4-CF726670ADA0}" name="META" dataDxfId="468"/>
    <tableColumn id="4" xr3:uid="{843076CD-455D-4677-9B9B-753164881BDC}" name="ALCANCE" dataDxfId="467"/>
    <tableColumn id="5" xr3:uid="{27191708-D634-47D0-B6EF-7903B523F721}" name="SUPER2" dataDxfId="466"/>
    <tableColumn id="6" xr3:uid="{F95ADB27-E512-47F7-962C-D178A524B971}" name="ASESOR"/>
    <tableColumn id="7" xr3:uid="{32C145E4-25CE-4365-A7D9-EB2FB110C794}" name="RECUPERO" dataDxfId="465"/>
    <tableColumn id="8" xr3:uid="{20773954-0FEB-4980-9B49-FA8A9DD97C3C}" name="DNI" dataDxfId="464"/>
    <tableColumn id="9" xr3:uid="{0ACD1DB4-5167-41A6-9528-D0663730532D}" name="FECHA DE INICIO" dataDxfId="463"/>
    <tableColumn id="10" xr3:uid="{4C5570D8-15F0-4535-849A-56408975F639}" name="ESTADO" dataDxfId="462"/>
    <tableColumn id="11" xr3:uid="{2AF8D525-4A26-4F67-9B32-FE9919E49C0C}" name="SEGMENTO" dataDxfId="461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460" headerRowBorderDxfId="459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458">
      <calculatedColumnFormula>DATA_ENERO_2026[[#This Row],[RECUPERO]]/DATA_ENERO_2026[[#This Row],[META]]</calculatedColumnFormula>
    </tableColumn>
    <tableColumn id="2" xr3:uid="{7E513578-A5D7-4721-8AB2-4CF3CDD2FC39}" name="CLASIFICACIÓN" dataDxfId="457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456"/>
    <tableColumn id="4" xr3:uid="{41268A33-B17E-413A-B074-C6D8798C61CA}" name="RECUPERO" dataDxfId="455">
      <calculatedColumnFormula>SUM(DATA_ENERO_2026[[#This Row],[1]:[31]])</calculatedColumnFormula>
    </tableColumn>
    <tableColumn id="5" xr3:uid="{62F2A8A0-46E7-4D7F-AB57-24AB0CDE4B51}" name="META" dataDxfId="454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453" headerRowBorderDxfId="452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451"/>
    <tableColumn id="2" xr3:uid="{15ACA161-61F0-4530-82A1-17E6DBF20240}" name="RECUPERO SUPERVISOR" dataDxfId="450">
      <calculatedColumnFormula>MAX(DITE_ENERO_2026[[#This Row],[1]:[31]])</calculatedColumnFormula>
    </tableColumn>
    <tableColumn id="3" xr3:uid="{778859E8-B3B0-4937-8B5F-DE4BE24B1DFD}" name="ALCANCE SUPERVISOR" dataDxfId="449">
      <calculatedColumnFormula>DITE_ENERO_2026[[#This Row],[RECUPERO SUPERVISOR]]/DITE_ENERO_2026[[#This Row],[META SUPER]]</calculatedColumnFormula>
    </tableColumn>
    <tableColumn id="4" xr3:uid="{2A98F79A-DD24-4D83-8BA6-82D08E13FF65}" name="SUPER" dataDxfId="448"/>
    <tableColumn id="5" xr3:uid="{3F9C0B21-F246-40F5-B83B-6E1442CF2131}" name="1" dataDxfId="447"/>
    <tableColumn id="6" xr3:uid="{82FC80A9-9A41-42BE-ADC0-0CD59C900786}" name="2" dataDxfId="446"/>
    <tableColumn id="36" xr3:uid="{CA81CA44-827C-45E8-AC06-DC9981750310}" name="3" dataDxfId="445"/>
    <tableColumn id="35" xr3:uid="{4D1DEC94-6331-4F09-BA9E-B7A8C033B218}" name="4" dataDxfId="444"/>
    <tableColumn id="34" xr3:uid="{DB9BA0C3-7EE6-4EF0-BFE4-DFA6138CC954}" name="5" dataDxfId="443"/>
    <tableColumn id="33" xr3:uid="{555EB36D-2BD4-463A-AA30-BC4E2AF59577}" name="6" dataDxfId="442"/>
    <tableColumn id="32" xr3:uid="{CD594F14-E668-4171-B224-2D1EB8F12904}" name="7" dataDxfId="441"/>
    <tableColumn id="31" xr3:uid="{CE1693BC-730F-4221-A5EC-B12B2C08D967}" name="8" dataDxfId="440"/>
    <tableColumn id="30" xr3:uid="{D62E1F60-4782-4F2D-B690-7D11A373BFEE}" name="9" dataDxfId="439"/>
    <tableColumn id="29" xr3:uid="{67AA1F0E-6FD5-4227-8FC3-54350952F274}" name="10" dataDxfId="438"/>
    <tableColumn id="28" xr3:uid="{D4CCC202-871A-430E-A7C4-8C2E1F633660}" name="11" dataDxfId="437"/>
    <tableColumn id="7" xr3:uid="{77D5DF82-95A0-430A-9509-AA047E6F6BB6}" name="12" dataDxfId="436"/>
    <tableColumn id="8" xr3:uid="{45052ACC-BEA6-4143-B55C-D2927C794547}" name="13" dataDxfId="435"/>
    <tableColumn id="9" xr3:uid="{A76A60E2-ABB3-4CA9-876C-F0E146A4EE28}" name="14" dataDxfId="434"/>
    <tableColumn id="10" xr3:uid="{5361F0A7-C153-4400-A683-ADB185B2D1E4}" name="15" dataDxfId="433"/>
    <tableColumn id="11" xr3:uid="{5C1E0CB3-E70D-4999-8E10-8E327EB2D410}" name="16" dataDxfId="432"/>
    <tableColumn id="12" xr3:uid="{4E264E92-011A-4E01-B78E-20B2B900F7FB}" name="17" dataDxfId="431"/>
    <tableColumn id="13" xr3:uid="{4DE23C2E-4F9B-4579-9BCE-93EAD290F9A8}" name="18" dataDxfId="430"/>
    <tableColumn id="14" xr3:uid="{ADE81A92-9983-4367-83CB-C4FA26CF8415}" name="19" dataDxfId="429"/>
    <tableColumn id="15" xr3:uid="{28467DBF-6C6B-430A-98CA-67317F73CD23}" name="20" dataDxfId="428"/>
    <tableColumn id="16" xr3:uid="{19E54854-D1FF-45D4-94D2-82215DE354F0}" name="21" dataDxfId="427"/>
    <tableColumn id="17" xr3:uid="{1F67BAFC-1AE0-4A70-9864-2C684E0743C1}" name="22" dataDxfId="426"/>
    <tableColumn id="18" xr3:uid="{4887B78E-B1D4-490D-BDE4-66011785EB0B}" name="23" dataDxfId="425"/>
    <tableColumn id="19" xr3:uid="{A4E77FFD-C128-4F89-ACB7-5A19C9AC8068}" name="24" dataDxfId="424"/>
    <tableColumn id="20" xr3:uid="{3166AEA9-9CE1-49E0-85A7-B06251784AF0}" name="25" dataDxfId="423"/>
    <tableColumn id="21" xr3:uid="{D0F8CB31-F152-441F-95C0-C8F116F8FBD4}" name="26" dataDxfId="422"/>
    <tableColumn id="22" xr3:uid="{F8CD3E26-00FA-4CB1-AB01-D0E528D7E8B4}" name="27" dataDxfId="421"/>
    <tableColumn id="23" xr3:uid="{19608BA9-8EEF-49C7-B4A7-B9B3571F8643}" name="28" dataDxfId="420"/>
    <tableColumn id="24" xr3:uid="{FAD90248-66B1-421C-B230-68841EB2A0B9}" name="29" dataDxfId="419"/>
    <tableColumn id="25" xr3:uid="{9307F5B0-B35B-4416-BE7C-74E539966F44}" name="30" dataDxfId="418"/>
    <tableColumn id="26" xr3:uid="{0FA7DA7F-AD3E-4DD3-B407-DD15600893BE}" name="31" dataDxfId="417"/>
    <tableColumn id="27" xr3:uid="{CAD2B4E3-016B-42FA-AD88-18A28731A184}" name="CARTERA" dataDxfId="416"/>
  </tableColumns>
  <tableStyleInfo name="TableStyleMedium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95694E91-A22D-4122-A773-319764DCFE1C}" name="Tabla6165666768" displayName="Tabla6165666768" ref="CK8:CO13" totalsRowShown="0" headerRowDxfId="415" dataDxfId="414">
  <autoFilter ref="CK8:CO13" xr:uid="{95694E91-A22D-4122-A773-319764DCFE1C}"/>
  <tableColumns count="5">
    <tableColumn id="1" xr3:uid="{C2641825-D096-486F-999E-4CE77F417527}" name="VISTA" dataDxfId="413"/>
    <tableColumn id="2" xr3:uid="{C7669EDB-9258-4E82-A7BF-4F674531F2F1}" name="1" dataDxfId="412"/>
    <tableColumn id="3" xr3:uid="{363EBF77-47FF-4F55-A442-DDF5E5A8C002}" name="2" dataDxfId="411"/>
    <tableColumn id="4" xr3:uid="{58EEA049-99C0-4E09-A82C-D96BDA89432E}" name="3" dataDxfId="410"/>
    <tableColumn id="14" xr3:uid="{33A8CBF3-2A19-4EE0-B3BD-9D8DFCA943AB}" name="4" dataDxfId="409"/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408" tableBorderDxfId="407">
  <autoFilter ref="M8:AX59" xr:uid="{D9CF28BD-D91E-4BE6-BD3B-BCADCA049C93}"/>
  <tableColumns count="38">
    <tableColumn id="5" xr3:uid="{A121E4E8-FA4D-47D4-9A77-06F28AAE4E54}" name="AL_AC" dataDxfId="406">
      <calculatedColumnFormula>DATA_FEBRERO_2026[[#This Row],[RECUPERO]]/DATA_FEBRERO_2026[[#This Row],[META]]</calculatedColumnFormula>
    </tableColumn>
    <tableColumn id="2" xr3:uid="{34ED75F7-6C69-4661-9178-0FEC57ED1324}" name="CLASIFICACIÓN" dataDxfId="405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404">
      <calculatedColumnFormula>IFERROR(VLOOKUP(DATA_FEBRERO_2026[[#This Row],[ASER_]],$B:$G,4,0),"")</calculatedColumnFormula>
    </tableColumn>
    <tableColumn id="1" xr3:uid="{9BC79FD6-44BC-4708-987B-14B90F71C5E5}" name="RECUPERO" dataDxfId="403">
      <calculatedColumnFormula>SUM(DATA_FEBRERO_2026[[#This Row],[1]:[31]])</calculatedColumnFormula>
    </tableColumn>
    <tableColumn id="6" xr3:uid="{018AE36B-77F5-47D3-A72E-855E3B4EA24D}" name="META" dataDxfId="402">
      <calculatedColumnFormula>VLOOKUP(DATA_FEBRERO_2026[[#This Row],[ASER_]],D1_FEBRERO_2026[[ASESOR_CRR]:[META]],2,0)</calculatedColumnFormula>
    </tableColumn>
    <tableColumn id="7" xr3:uid="{D07B538A-1223-4282-911D-0D8C6D33F252}" name="ASER_" dataDxfId="401"/>
    <tableColumn id="4" xr3:uid="{978EBDF4-AB0F-45EB-8F17-7A1040F8BBBE}" name="1" dataDxfId="400"/>
    <tableColumn id="8" xr3:uid="{1276421E-A9BD-4193-946B-2B02A7972B4A}" name="2" dataDxfId="399"/>
    <tableColumn id="9" xr3:uid="{31AFF576-CA16-4044-A433-CF00527C2D07}" name="3" dataDxfId="398"/>
    <tableColumn id="10" xr3:uid="{E8F5F7F4-A4CF-4AAC-A43C-A3FCD8C1BC19}" name="4" dataDxfId="397"/>
    <tableColumn id="11" xr3:uid="{188BA638-2000-41D9-B5E6-9165523ED42D}" name="5" dataDxfId="396"/>
    <tableColumn id="12" xr3:uid="{C225C63B-52FC-44AB-96F6-9151E73D6699}" name="6" dataDxfId="395"/>
    <tableColumn id="13" xr3:uid="{67E1F5CE-2C28-4FA3-9034-A737F1B2D7A4}" name="7" dataDxfId="394"/>
    <tableColumn id="14" xr3:uid="{BF6E4C42-64F4-4C86-87D7-0EB0DF723F0A}" name="8" dataDxfId="393"/>
    <tableColumn id="15" xr3:uid="{77DEB661-03C1-4274-9B6F-379D81B3710E}" name="9" dataDxfId="392"/>
    <tableColumn id="35" xr3:uid="{A13630BC-1BB6-4707-83E3-E2A6FD2FAFF3}" name="10" dataDxfId="391"/>
    <tableColumn id="36" xr3:uid="{5B83E5AF-B52C-4B3F-9B8E-974AD7242CB6}" name="11" dataDxfId="390"/>
    <tableColumn id="38" xr3:uid="{EFCD2EF3-DC69-46DB-8A4C-D03EFA19868F}" name="12" dataDxfId="389"/>
    <tableColumn id="37" xr3:uid="{283914E6-F846-42D8-BFA5-7E5CF71F8E39}" name="13" dataDxfId="388"/>
    <tableColumn id="32" xr3:uid="{506D1094-3E71-477B-9E3B-FD71CD452A13}" name="14" dataDxfId="387"/>
    <tableColumn id="33" xr3:uid="{51A0C186-4F1F-4B6E-A04E-6DA5B01E5817}" name="15" dataDxfId="386"/>
    <tableColumn id="34" xr3:uid="{83A09A26-D26C-4BF1-9870-7E24692CCAB5}" name="16" dataDxfId="385"/>
    <tableColumn id="26" xr3:uid="{F0CECF60-FD0C-487B-964E-F3D195A081A6}" name="17" dataDxfId="384"/>
    <tableColumn id="30" xr3:uid="{87E5481D-2747-411F-8715-2B1A58E5072E}" name="18" dataDxfId="383"/>
    <tableColumn id="31" xr3:uid="{56B820E5-7529-456B-BFFB-66FC13160FC7}" name="19" dataDxfId="382"/>
    <tableColumn id="16" xr3:uid="{943E3451-A77C-49F4-A8CD-FB3A234BB921}" name="20" dataDxfId="381"/>
    <tableColumn id="17" xr3:uid="{08A06D07-4057-4995-AD95-02726747926A}" name="21" dataDxfId="380"/>
    <tableColumn id="18" xr3:uid="{3CA4B4CF-845B-4625-A447-E9930B6C4C90}" name="22" dataDxfId="379"/>
    <tableColumn id="19" xr3:uid="{E2FCBDE7-CAF6-4719-A2E2-E3DFA5938EA9}" name="23" dataDxfId="378"/>
    <tableColumn id="20" xr3:uid="{8D68A4E9-C605-423B-B28C-8947CEDED2E3}" name="24" dataDxfId="377"/>
    <tableColumn id="21" xr3:uid="{E2A95743-C4CF-4116-BC14-7F1E8AF5B934}" name="25" dataDxfId="376"/>
    <tableColumn id="22" xr3:uid="{D4E75B42-4A90-4E6B-91F6-47924749D8CD}" name="26" dataDxfId="375"/>
    <tableColumn id="23" xr3:uid="{24EC0407-9580-4B34-8870-6246EA8347AA}" name="27" dataDxfId="374"/>
    <tableColumn id="24" xr3:uid="{9A472190-4164-4FC7-BF8C-D0120ACA1D92}" name="28" dataDxfId="373"/>
    <tableColumn id="25" xr3:uid="{67A0A5BC-662A-45DE-932F-9EB3EAF965DB}" name="29" dataDxfId="372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371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370">
  <autoFilter ref="A2:K58" xr:uid="{09401265-E178-4F26-958C-8E013ABD7F63}"/>
  <tableColumns count="11">
    <tableColumn id="1" xr3:uid="{FF4304D3-C1B3-4117-B1D1-7473C26439FA}" name="SUPER" dataDxfId="369">
      <calculatedColumnFormula>D1_FEBRERO_2026[[#This Row],[SUPER2]]</calculatedColumnFormula>
    </tableColumn>
    <tableColumn id="2" xr3:uid="{67ED5510-50EF-4F29-9E94-9FBEBF9785CA}" name="ASESOR_CRR" dataDxfId="368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367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366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365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364"/>
    <tableColumn id="11" xr3:uid="{43FBB121-21C6-4560-8A31-396504B80F85}" name="DNI" dataDxfId="363"/>
    <tableColumn id="12" xr3:uid="{050FC1E9-9233-41A1-8E92-B7BA6485722C}" name="FECHA DE INICIO" dataDxfId="362"/>
    <tableColumn id="8" xr3:uid="{5BBA9A50-BA4F-49CE-B7C8-1095BCBFEC60}" name="ESTADO" dataDxfId="361"/>
    <tableColumn id="9" xr3:uid="{898E5137-590F-493E-82A2-9DB1422BE516}" name="SEGMENTO" dataDxfId="360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359" dataDxfId="357" headerRowBorderDxfId="358" tableBorderDxfId="356" totalsRowBorderDxfId="355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354">
      <calculatedColumnFormula>VLOOKUP($M$3&amp;$N$3&amp;DITE_FEBRERO_2026[[#This Row],[SUPER]],TablaMeta[],5,0)</calculatedColumnFormula>
    </tableColumn>
    <tableColumn id="3" xr3:uid="{6B6BAC5B-8599-4731-A182-2C4F7DEEFEAE}" name="RECUPERO SUPERVISOR" dataDxfId="353">
      <calculatedColumnFormula>MAX(DITE_FEBRERO_2026[[#This Row],[SUPER]:[CARTERA]])</calculatedColumnFormula>
    </tableColumn>
    <tableColumn id="4" xr3:uid="{4933F2AB-4AE8-41EB-9B81-DB478EB8720C}" name="ALCANCE SUPERVISOR" dataDxfId="352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351"/>
    <tableColumn id="6" xr3:uid="{1385D33D-7CDB-4253-9C4B-559ACF4D4DAA}" name="1" dataDxfId="350"/>
    <tableColumn id="7" xr3:uid="{51AE8FE4-77E7-44A5-9C70-47F9BABA0830}" name="2" dataDxfId="349"/>
    <tableColumn id="27" xr3:uid="{1D246E4C-3547-4D3F-8436-3907FD9391BF}" name="3" dataDxfId="348"/>
    <tableColumn id="26" xr3:uid="{ACC21055-7F68-4EBE-A98E-8B2EBA670DAF}" name="4" dataDxfId="347"/>
    <tableColumn id="8" xr3:uid="{0453D1F4-77C1-4D27-8BF6-C892F06D8037}" name="5" dataDxfId="346"/>
    <tableColumn id="9" xr3:uid="{7FE05B03-2694-4042-93D1-1E8A18BEC10D}" name="6" dataDxfId="345"/>
    <tableColumn id="10" xr3:uid="{07F638D2-254F-4B29-9B2B-FA43C127E0CD}" name="7" dataDxfId="344"/>
    <tableColumn id="11" xr3:uid="{F53CCC3D-E418-4E84-9766-30CCCCAEF94C}" name="8" dataDxfId="343"/>
    <tableColumn id="12" xr3:uid="{9789EB55-C896-45E1-8B38-057DF9C6F8FF}" name="9" dataDxfId="342"/>
    <tableColumn id="13" xr3:uid="{2F4E85B1-BA28-448A-A8F3-8873A4197781}" name="10" dataDxfId="341"/>
    <tableColumn id="14" xr3:uid="{E386891B-028C-4934-99EC-39A6D8E87A77}" name="11" dataDxfId="340"/>
    <tableColumn id="15" xr3:uid="{3F90131C-5E3B-4375-AAC9-BE39D3073700}" name="12" dataDxfId="339"/>
    <tableColumn id="16" xr3:uid="{176424CB-4A73-4E0A-BAEC-1B002E427751}" name="13" dataDxfId="338"/>
    <tableColumn id="17" xr3:uid="{20013F01-EA55-4DBF-93AD-78228648A78B}" name="14" dataDxfId="337"/>
    <tableColumn id="18" xr3:uid="{A3E1B7CD-FD3B-4A3B-BA09-FB0B2522F474}" name="15" dataDxfId="336"/>
    <tableColumn id="19" xr3:uid="{25BB1268-DEAB-4394-AB3D-5028E517E118}" name="16" dataDxfId="335"/>
    <tableColumn id="20" xr3:uid="{1E99825A-7369-447C-81C1-6F57CF76B414}" name="17" dataDxfId="334"/>
    <tableColumn id="21" xr3:uid="{A76460CB-F28F-4034-BFB5-822E2F8ACDEE}" name="18" dataDxfId="333"/>
    <tableColumn id="22" xr3:uid="{45579674-F34E-4238-9155-A84E93C0EEDC}" name="19" dataDxfId="332"/>
    <tableColumn id="23" xr3:uid="{4A9727A5-6162-4A6C-980C-9485FB632B2C}" name="20" dataDxfId="331"/>
    <tableColumn id="24" xr3:uid="{839F012E-3965-47C4-A48B-B6ACC97A3F38}" name="21" dataDxfId="330"/>
    <tableColumn id="36" xr3:uid="{1C64A10A-7FC4-4258-A62B-43B06212544A}" name="22" dataDxfId="329"/>
    <tableColumn id="35" xr3:uid="{FFBDF276-626A-447A-A0F4-E7E78EDC17B4}" name="23" dataDxfId="328"/>
    <tableColumn id="34" xr3:uid="{7E693F8F-B376-48A1-9691-2B1EFFEC77E7}" name="24" dataDxfId="327"/>
    <tableColumn id="33" xr3:uid="{BBD3ABB0-0FEA-4DF0-B0B7-E417E6BF40E1}" name="25" dataDxfId="326"/>
    <tableColumn id="32" xr3:uid="{6F3706DA-AAB4-46A8-B7AB-36C461B04704}" name="26" dataDxfId="325"/>
    <tableColumn id="31" xr3:uid="{8771DA1E-DC48-4640-98D0-9BF514ABF088}" name="27" dataDxfId="324"/>
    <tableColumn id="30" xr3:uid="{F6F48FE7-4B31-45F6-9C90-C56A1AFDE462}" name="28" dataDxfId="323"/>
    <tableColumn id="29" xr3:uid="{7BDABDE2-32A4-4ABF-AF09-62502F6B7D68}" name="29" dataDxfId="322"/>
    <tableColumn id="28" xr3:uid="{552C8688-2A69-47D3-AFF3-7B94E4A5A563}" name="30" dataDxfId="321"/>
    <tableColumn id="25" xr3:uid="{7D18929B-B74F-4405-83F4-DF4F5C13E3E8}" name="31" dataDxfId="320"/>
    <tableColumn id="5" xr3:uid="{AE5733E5-56DE-4157-A3B4-7F889627B2A1}" name="CARTERA" dataDxfId="319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7374107-EF62-492E-86AF-6DF3F7708C53}" name="Tabla61656667" displayName="Tabla61656667" ref="CK8:CO13" totalsRowShown="0" headerRowDxfId="318" dataDxfId="317">
  <autoFilter ref="CK8:CO13" xr:uid="{C7374107-EF62-492E-86AF-6DF3F7708C53}"/>
  <tableColumns count="5">
    <tableColumn id="1" xr3:uid="{041D6CB1-E7ED-47A3-859B-2D4329D91665}" name="VISTA" dataDxfId="316"/>
    <tableColumn id="2" xr3:uid="{0A01B3FA-CC3F-4AFA-A784-F69B00A114D0}" name="1" dataDxfId="315"/>
    <tableColumn id="3" xr3:uid="{90C8A7AE-C8FA-4CB3-9866-23B9F56015C3}" name="2" dataDxfId="314"/>
    <tableColumn id="4" xr3:uid="{00CC8F61-FE80-4AA3-8F50-6C7F93F5C8B7}" name="3" dataDxfId="313"/>
    <tableColumn id="14" xr3:uid="{72F60B70-B948-42FF-8BA2-6325A239D71B}" name="4" dataDxfId="312"/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V61" totalsRowShown="0" headerRowBorderDxfId="311" tableBorderDxfId="310">
  <autoFilter ref="M8:AV61" xr:uid="{10D9C722-BC82-4CBD-88CB-CD727BC4895B}"/>
  <tableColumns count="36">
    <tableColumn id="5" xr3:uid="{3EA8D04F-B731-4091-B799-92E6E8A12619}" name="AL_AC" dataDxfId="309">
      <calculatedColumnFormula>DATA_MARZO_202651[[#This Row],[RECUPERO]]/DATA_MARZO_202651[[#This Row],[META]]</calculatedColumnFormula>
    </tableColumn>
    <tableColumn id="2" xr3:uid="{7E499EF6-2412-4A87-8A0C-22E06B524D4F}" name="CLASIFICACIÓN" dataDxfId="308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307">
      <calculatedColumnFormula>IFERROR(VLOOKUP(DATA_MARZO_202651[[#This Row],[ASER_]],$B:$G,4,0),"")</calculatedColumnFormula>
    </tableColumn>
    <tableColumn id="1" xr3:uid="{60303CD3-4613-4145-8342-86D502299A8B}" name="RECUPERO" dataDxfId="306">
      <calculatedColumnFormula>SUM(DATA_MARZO_202651[[#This Row],[1]:[30]])</calculatedColumnFormula>
    </tableColumn>
    <tableColumn id="6" xr3:uid="{856379E9-6B44-4AE2-9624-4D2FD560D923}" name="META" dataDxfId="305">
      <calculatedColumnFormula>VLOOKUP(DATA_MARZO_202651[[#This Row],[ASER_]],D1_MARZO_202655[[ASESOR_CRR]:[META]],2,0)</calculatedColumnFormula>
    </tableColumn>
    <tableColumn id="7" xr3:uid="{973ABAA2-566A-4673-AFE7-72D690F359B0}" name="ASER_" dataDxfId="304"/>
    <tableColumn id="4" xr3:uid="{6267F15F-68D8-4064-A7C3-4A95739D7D7D}" name="1" dataDxfId="303"/>
    <tableColumn id="8" xr3:uid="{617297D4-5DE5-468D-9D9E-3D5450B8C283}" name="2" dataDxfId="302"/>
    <tableColumn id="9" xr3:uid="{17C8DC6A-03F3-4202-83C1-46E923A2D1DF}" name="3" dataDxfId="301"/>
    <tableColumn id="10" xr3:uid="{4C96E5CA-D293-4DC5-A37E-3DBF6149890A}" name="4" dataDxfId="300"/>
    <tableColumn id="11" xr3:uid="{B792BD3F-46D9-40C4-A2FA-531E9E6115A9}" name="5" dataDxfId="299"/>
    <tableColumn id="12" xr3:uid="{648B1B03-D21B-4A18-881A-71E7191DF504}" name="6" dataDxfId="298"/>
    <tableColumn id="13" xr3:uid="{6EBA52BB-1706-4B79-A879-FE3268ED0BBF}" name="7" dataDxfId="297"/>
    <tableColumn id="14" xr3:uid="{2B12EC67-A932-4DD4-BD48-E7353960E2BF}" name="9" dataDxfId="296"/>
    <tableColumn id="15" xr3:uid="{D7F1E0B7-4D6E-49BF-9418-24F5297694EE}" name="10" dataDxfId="295"/>
    <tableColumn id="19" xr3:uid="{56857386-1DA3-4909-89E8-4507141B1D9E}" name="11" dataDxfId="294"/>
    <tableColumn id="20" xr3:uid="{D4018347-5F78-4817-9F75-25F11416A495}" name="12" dataDxfId="293"/>
    <tableColumn id="21" xr3:uid="{FC9A77B1-87D5-4C5C-9A8A-BA739407A621}" name="13" dataDxfId="292"/>
    <tableColumn id="22" xr3:uid="{BC437EB7-66F3-427D-BCC5-C7D632259C84}" name="14" dataDxfId="291"/>
    <tableColumn id="23" xr3:uid="{F03BBA1E-25FC-4285-A1C4-38F67EC97EBE}" name="15" dataDxfId="290"/>
    <tableColumn id="24" xr3:uid="{0DE66777-8AD0-422A-83F5-529557ED7384}" name="16" dataDxfId="289"/>
    <tableColumn id="25" xr3:uid="{0927E02F-BAFD-4B0F-8DCD-75495CBF9E66}" name="17" dataDxfId="288"/>
    <tableColumn id="35" xr3:uid="{01749D29-46CC-47AC-8AA5-5B3159FC3624}" name="18" dataDxfId="287"/>
    <tableColumn id="36" xr3:uid="{D98199A8-307D-4EA2-AB10-B2B924BF4D53}" name="19" dataDxfId="286"/>
    <tableColumn id="38" xr3:uid="{6512BCB2-C1CC-4DF5-907A-4D7BDBE273C0}" name="20" dataDxfId="285"/>
    <tableColumn id="37" xr3:uid="{48DFBBB8-0BEB-4F05-A9DF-B6D5FEFA7922}" name="21" dataDxfId="284"/>
    <tableColumn id="32" xr3:uid="{DF7F0AD1-F0A8-4092-80DD-52B3202986C6}" name="22" dataDxfId="283"/>
    <tableColumn id="33" xr3:uid="{31379DCE-58EA-49E7-A093-1D4D11F4D719}" name="23" dataDxfId="282"/>
    <tableColumn id="34" xr3:uid="{AF028C85-0295-4506-BD52-A8C2D61B4263}" name="24" dataDxfId="281"/>
    <tableColumn id="26" xr3:uid="{C9F08C31-4D7A-4980-AAF5-AFB091013679}" name="25" dataDxfId="280"/>
    <tableColumn id="30" xr3:uid="{0EA87D7E-6026-4B22-AB9B-1ACD3E4A585C}" name="26" dataDxfId="279"/>
    <tableColumn id="31" xr3:uid="{F68B6077-5CFC-42ED-923A-AF0D719251AB}" name="27" dataDxfId="278"/>
    <tableColumn id="16" xr3:uid="{1C3C20D8-9CDD-4BE1-A12E-4E057E8F52D9}" name="28" dataDxfId="277"/>
    <tableColumn id="17" xr3:uid="{FE4352AA-AED9-41FA-B8EF-EDAF69656302}" name="29" dataDxfId="276"/>
    <tableColumn id="18" xr3:uid="{D67830D0-9348-49E3-8552-7C2C1F60368B}" name="30" dataDxfId="275"/>
    <tableColumn id="29" xr3:uid="{17BA8B4D-6786-4535-AB74-674976645F34}" name="CARTERA ASESOR" dataDxfId="274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273">
  <autoFilter ref="A2:K59" xr:uid="{E01CE6AA-C36B-4BD4-93EB-8762B2545E1A}"/>
  <tableColumns count="11">
    <tableColumn id="1" xr3:uid="{2131FF24-1653-4821-B8CB-2994A6FD2B90}" name="SUPER" dataDxfId="27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271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270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269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268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267">
      <calculatedColumnFormula>VLOOKUP(D1_MARZO_202655[[#This Row],[ASESOR]],#REF!,2,0)</calculatedColumnFormula>
    </tableColumn>
    <tableColumn id="11" xr3:uid="{BD3DF0C1-1E9B-4EE4-A539-1F0A1F585CE9}" name="DNI" dataDxfId="266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265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264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263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X8:CE13" totalsRowShown="0" headerRowDxfId="262" dataDxfId="260" headerRowBorderDxfId="261" tableBorderDxfId="259" totalsRowBorderDxfId="258">
  <autoFilter ref="AX8:CE13" xr:uid="{34204DE1-942A-4677-A277-D1BE5E11C76A}"/>
  <sortState xmlns:xlrd2="http://schemas.microsoft.com/office/spreadsheetml/2017/richdata2" ref="AX9:CE13">
    <sortCondition descending="1" ref="BA8:BA13"/>
  </sortState>
  <tableColumns count="34">
    <tableColumn id="2" xr3:uid="{5C47B921-B29C-496C-9618-0D4EA850186A}" name="META SUPER" dataDxfId="257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256">
      <calculatedColumnFormula>MAX(DITE_MARZO_202656[[#This Row],[SUPER]:[CARTERA]])</calculatedColumnFormula>
    </tableColumn>
    <tableColumn id="4" xr3:uid="{7CD6A40B-DE50-4B4C-8FE0-D559C24C5B7C}" name="ALCANCE SUPERVISOR" dataDxfId="255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254"/>
    <tableColumn id="6" xr3:uid="{15A19F2D-93B5-40FA-93BC-49CBD3FFA864}" name="1" dataDxfId="253"/>
    <tableColumn id="25" xr3:uid="{0131E759-F953-4B4F-9B6F-62D557EA1564}" name="2" dataDxfId="252"/>
    <tableColumn id="28" xr3:uid="{1B8CCED0-9089-4C64-9B52-E51A4D36FD02}" name="3" dataDxfId="251"/>
    <tableColumn id="29" xr3:uid="{5F15056A-AC3D-41D9-A094-8E92EF01C61B}" name="4" dataDxfId="250"/>
    <tableColumn id="30" xr3:uid="{07537EFC-BC67-40BD-89D6-9C32B3231D84}" name="5" dataDxfId="249"/>
    <tableColumn id="31" xr3:uid="{545CA3D7-78C4-4FD8-A39E-07A4D58E98F5}" name="6" dataDxfId="248"/>
    <tableColumn id="32" xr3:uid="{9F2A86FC-1EDC-418E-810B-373F7164A6A6}" name="7" dataDxfId="247"/>
    <tableColumn id="33" xr3:uid="{D891A683-322C-4993-81DB-EFF757D62DDA}" name="9" dataDxfId="246"/>
    <tableColumn id="7" xr3:uid="{CF50FCAC-3D6E-4766-8052-F687DB2D3BB2}" name="10" dataDxfId="245"/>
    <tableColumn id="27" xr3:uid="{973979CD-2F5D-4B04-B9B4-B8CF351AC4DD}" name="11" dataDxfId="244"/>
    <tableColumn id="26" xr3:uid="{ACFB9B4D-96FE-4EA7-A28D-2C76FAD3B7FE}" name="12" dataDxfId="243"/>
    <tableColumn id="8" xr3:uid="{C4769E61-F413-4D8E-B1E9-C99CC43BC51E}" name="13" dataDxfId="242"/>
    <tableColumn id="9" xr3:uid="{0B5D79D1-0957-4379-BD0F-09EC6003DABC}" name="14" dataDxfId="241"/>
    <tableColumn id="10" xr3:uid="{7ED4553D-C770-4010-AE78-79CEED9E3688}" name="15" dataDxfId="240"/>
    <tableColumn id="11" xr3:uid="{B5B3A3E3-86EA-4A28-9341-4446DA4EC86F}" name="16" dataDxfId="239"/>
    <tableColumn id="12" xr3:uid="{20F7C89E-C0EA-4863-AD2C-ECE11F3C914C}" name="17" dataDxfId="238"/>
    <tableColumn id="13" xr3:uid="{CB3A9ADF-2A71-4315-9EED-921F3BC80E0B}" name="18" dataDxfId="237"/>
    <tableColumn id="14" xr3:uid="{AB466201-0021-4374-9E9C-FBC6912E7D00}" name="19" dataDxfId="236"/>
    <tableColumn id="15" xr3:uid="{CF0930AA-3683-412F-BB0C-0879E8AA45CA}" name="20" dataDxfId="235"/>
    <tableColumn id="16" xr3:uid="{B6819525-02E5-44DB-9161-5AE240527B5A}" name="21" dataDxfId="234"/>
    <tableColumn id="17" xr3:uid="{EF34C9D6-8F40-4817-8C4C-D79F58BCD150}" name="22" dataDxfId="233"/>
    <tableColumn id="18" xr3:uid="{3E376577-6CA4-4ABE-96FE-93C18911296B}" name="23" dataDxfId="232"/>
    <tableColumn id="19" xr3:uid="{12DC978E-AB73-4385-8B31-891E8DF1BDED}" name="24" dataDxfId="231"/>
    <tableColumn id="20" xr3:uid="{ED0D4DA8-BBB6-4210-8918-15057CC5B929}" name="25" dataDxfId="230"/>
    <tableColumn id="21" xr3:uid="{1D5B24BE-80A3-4E59-9BB5-8887D00E5479}" name="26" dataDxfId="229"/>
    <tableColumn id="22" xr3:uid="{1019D822-005E-4FAA-8B65-BB1C11AF450B}" name="27" dataDxfId="228"/>
    <tableColumn id="23" xr3:uid="{D5474EFB-00D1-4351-A34C-735E9FD53A78}" name="28" dataDxfId="227"/>
    <tableColumn id="34" xr3:uid="{60C3BF83-C82C-4796-AADB-E62F86A12BBA}" name="29" dataDxfId="226"/>
    <tableColumn id="24" xr3:uid="{EF9744F2-C4EC-45E4-8844-AE1CA94D83A6}" name="30" dataDxfId="225"/>
    <tableColumn id="5" xr3:uid="{75CF2EC1-6198-4A79-A7CA-D258FCB6701B}" name="CARTERA" dataDxfId="224">
      <calculatedColumnFormula>VLOOKUP($M$3&amp;$N$3&amp;DITE_MARZO_202656[[#This Row],[SUPER]],TablaMeta[],7,0)</calculatedColumnFormula>
    </tableColumn>
  </tableColumns>
  <tableStyleInfo name="TableStyleMedium1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4FD1991-0C08-40B6-BA01-224E94C39EEF}" name="Tabla616566" displayName="Tabla616566" ref="CG8:CK13" totalsRowShown="0" headerRowDxfId="223" dataDxfId="222">
  <autoFilter ref="CG8:CK13" xr:uid="{14FD1991-0C08-40B6-BA01-224E94C39EEF}"/>
  <tableColumns count="5">
    <tableColumn id="1" xr3:uid="{1B90371C-7E36-4D9A-98B4-8A9074D071F5}" name="VISTA" dataDxfId="221"/>
    <tableColumn id="2" xr3:uid="{CFB2843E-FF0C-4C03-A3A8-DC5F321295BC}" name="1" dataDxfId="220"/>
    <tableColumn id="3" xr3:uid="{A1FBA42F-8A7A-41A4-A8EF-20A008AF07E4}" name="2" dataDxfId="219"/>
    <tableColumn id="4" xr3:uid="{21A28C40-F4BF-4DCC-9046-E9D71906D1CA}" name="3" dataDxfId="218"/>
    <tableColumn id="14" xr3:uid="{BC083383-0C4B-4C67-938E-9492D789F90D}" name="4" dataDxfId="217"/>
  </tableColumns>
  <tableStyleInfo name="TableStyleMedium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ABRIL_2026" displayName="DATA_ABRIL_2026" ref="M8:AS60" totalsRowShown="0" headerRowBorderDxfId="216" tableBorderDxfId="215">
  <autoFilter ref="M8:AS60" xr:uid="{4674D711-8FDA-49B8-91E7-8E8BFE600256}"/>
  <tableColumns count="33">
    <tableColumn id="5" xr3:uid="{5F132C86-FD60-4105-A05E-7399F10522E1}" name="AL_AC" dataDxfId="214">
      <calculatedColumnFormula>DATA_ABRIL_2026[[#This Row],[RECUPERO]]/DATA_ABRIL_2026[[#This Row],[META]]</calculatedColumnFormula>
    </tableColumn>
    <tableColumn id="2" xr3:uid="{26123EEE-E738-4097-B64F-DE727558F2E9}" name="CLASIFICACIÓN" dataDxfId="213">
      <calculatedColumnFormula array="1">IF(DATA_ABRIL_2026[[#This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212">
      <calculatedColumnFormula>IFERROR(VLOOKUP(DATA_ABRIL_2026[[#This Row],[ASER_]],$B:$G,4,0),"")</calculatedColumnFormula>
    </tableColumn>
    <tableColumn id="1" xr3:uid="{2446915D-352F-48FC-A54B-86B7E0D937FA}" name="RECUPERO" dataDxfId="211">
      <calculatedColumnFormula>SUM(DATA_ABRIL_2026[[#This Row],[1]:[29]])</calculatedColumnFormula>
    </tableColumn>
    <tableColumn id="6" xr3:uid="{A25A8AC3-9CC7-4A3A-A8D9-212FD3F93687}" name="META" dataDxfId="210">
      <calculatedColumnFormula>VLOOKUP(DATA_ABRIL_2026[[#This Row],[ASER_]],D1_ABRIL_2026[[ASESOR_CRR]:[META]],2,0)</calculatedColumnFormula>
    </tableColumn>
    <tableColumn id="7" xr3:uid="{C52D2491-CDFB-40B5-A884-909C5FEC445B}" name="ASER_" dataDxfId="209"/>
    <tableColumn id="4" xr3:uid="{DE600806-870A-4C0D-9101-49AAF5AC383F}" name="1" dataDxfId="208"/>
    <tableColumn id="8" xr3:uid="{BE4BC420-81EA-43E8-8BBA-609D8B0F8C88}" name="3" dataDxfId="207"/>
    <tableColumn id="9" xr3:uid="{39C08C78-15AF-4E44-B050-F5D4532C00EE}" name="4" dataDxfId="206"/>
    <tableColumn id="10" xr3:uid="{3A0A15B8-0910-483C-BCCA-F8F4651DA25E}" name="6" dataDxfId="205"/>
    <tableColumn id="11" xr3:uid="{B4BA1A21-248B-4AFC-B040-D29D15754499}" name="7" dataDxfId="204"/>
    <tableColumn id="12" xr3:uid="{14108850-D364-4CF0-976B-8E53F6DE4877}" name="8" dataDxfId="203"/>
    <tableColumn id="13" xr3:uid="{7F673FC8-FC0A-4A15-87D6-B7F1A000710C}" name="9" dataDxfId="202"/>
    <tableColumn id="14" xr3:uid="{3CFB96DE-4D9D-4AFC-8AD0-816CCD4832BD}" name="10" dataDxfId="201"/>
    <tableColumn id="15" xr3:uid="{1BE8AE05-90F3-4DD0-9A61-33DCCF63D95C}" name="11" dataDxfId="200"/>
    <tableColumn id="35" xr3:uid="{4ECF85FD-1D61-48B3-8984-C16A39A2E49F}" name="13" dataDxfId="199"/>
    <tableColumn id="22" xr3:uid="{B78A6A02-65D7-44AB-8F25-CBB1359F2BEF}" name="14" dataDxfId="198"/>
    <tableColumn id="21" xr3:uid="{B1DB23EB-45AD-499D-B247-7B4F3552FBF7}" name="15" dataDxfId="197"/>
    <tableColumn id="20" xr3:uid="{7288DA27-CDAF-42C4-9A33-E4328C3823BB}" name="16" dataDxfId="196"/>
    <tableColumn id="19" xr3:uid="{9E3DAACD-64FB-4BF2-BFCA-23FA1192DC0A}" name="17" dataDxfId="195"/>
    <tableColumn id="18" xr3:uid="{2A3C0CE0-4246-4785-8F14-48E9F546C6B1}" name="18" dataDxfId="194"/>
    <tableColumn id="17" xr3:uid="{9E0DD208-AF6A-4C14-A78D-92404F50CC62}" name="19" dataDxfId="193"/>
    <tableColumn id="36" xr3:uid="{6663D018-7D0B-4581-A6C2-472754649147}" name="20" dataDxfId="192"/>
    <tableColumn id="38" xr3:uid="{B0110345-7E4C-400C-9AE3-B09313D7CC7C}" name="21" dataDxfId="191"/>
    <tableColumn id="37" xr3:uid="{F0B0FB80-9213-45D7-B0D1-0CEC84136504}" name="22" dataDxfId="190"/>
    <tableColumn id="32" xr3:uid="{3A771CC6-AD9B-421B-AAF1-4E32683000ED}" name="23" dataDxfId="189"/>
    <tableColumn id="33" xr3:uid="{734026D2-0E34-449A-A227-F1A23D2EB1DC}" name="24" dataDxfId="188"/>
    <tableColumn id="34" xr3:uid="{E9E90DE3-01F9-45DB-84EB-C6B787DCB978}" name="25" dataDxfId="187"/>
    <tableColumn id="26" xr3:uid="{7EBC28C2-37A3-4E16-A29B-DB94F8B90247}" name="26" dataDxfId="186"/>
    <tableColumn id="30" xr3:uid="{9EF77477-FA4C-46E8-BA9C-307B5604C40C}" name="27" dataDxfId="185"/>
    <tableColumn id="31" xr3:uid="{0F9E2ED5-E2DC-4A69-AE18-8B9CF2D84585}" name="28" dataDxfId="184"/>
    <tableColumn id="16" xr3:uid="{24C06BFB-17B1-4C60-983A-E34808ADEEDC}" name="29" dataDxfId="183"/>
    <tableColumn id="29" xr3:uid="{9A87A5C0-7BE6-4BFF-85E2-0BBBD687F508}" name="CARTERA ASESOR" dataDxfId="182">
      <calculatedColumnFormula array="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ABRIL_2026" displayName="D1_ABRIL_2026" ref="A2:K58" totalsRowShown="0" headerRowDxfId="181">
  <autoFilter ref="A2:K58" xr:uid="{57141373-C5A3-4BA8-9D78-B5F778D82FB5}"/>
  <tableColumns count="11">
    <tableColumn id="1" xr3:uid="{164AF3BC-0626-49DF-9139-7226B478255C}" name="SUPER" dataDxfId="180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179">
      <calculatedColumnFormula array="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calculatedColumnFormula>
    </tableColumn>
    <tableColumn id="5" xr3:uid="{363DCB6C-830E-47BB-BFA7-498371112AE6}" name="META" dataDxfId="178">
      <calculatedColumnFormula array="1">_xlfn.XLOOKUP(1,(TablaMeta[CONCAT]=$M$3&amp;$N$3&amp;D1_ABRIL_2026[[#This Row],[SUPER]])*(TablaMeta[SEGG]=D1_ABRIL_2026[[#This Row],[SEGMENTO]]),TablaMeta[Meta_Asesor])</calculatedColumnFormula>
    </tableColumn>
    <tableColumn id="6" xr3:uid="{4A5A5A0F-DE79-48F9-A98B-B28CE2C7A239}" name="ALCANCE" dataDxfId="177">
      <calculatedColumnFormula>IF(D1_ABRIL_2026[[#This Row],[RECUPERO]]="VACACIONES","VACACIONES",IFERROR(D1_ABRIL_2026[[#This Row],[RECUPERO]]/D1_ABRIL_2026[[#This Row],[META]],""))</calculatedColumnFormula>
    </tableColumn>
    <tableColumn id="7" xr3:uid="{99815128-5D81-4990-A4AF-830D22421999}" name="SUPER2" dataDxfId="176">
      <calculatedColumnFormula>D1_ABRIL_2026[[#This Row],[SUPER]]</calculatedColumnFormula>
    </tableColumn>
    <tableColumn id="3" xr3:uid="{5ED351F1-0A06-4F20-8827-6BDDE51C372E}" name="ASESOR"/>
    <tableColumn id="4" xr3:uid="{2F69DCD0-23FA-4780-A6E4-AA6B2D6E4271}" name="RECUPERO" dataDxfId="175"/>
    <tableColumn id="11" xr3:uid="{DF180A98-FB1C-4258-A98D-429BF8C95154}" name="DNI" dataDxfId="174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173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172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171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ABRIL_2026" displayName="DITE_ABRIL_2026" ref="AU8:BY13" totalsRowShown="0" headerRowDxfId="170" dataDxfId="168" headerRowBorderDxfId="169" tableBorderDxfId="167" totalsRowBorderDxfId="166">
  <autoFilter ref="AU8:BY13" xr:uid="{54966179-DC81-455C-9A1F-61B9CE313F3E}"/>
  <sortState xmlns:xlrd2="http://schemas.microsoft.com/office/spreadsheetml/2017/richdata2" ref="AU9:BY13">
    <sortCondition descending="1" ref="AX8:AX13"/>
  </sortState>
  <tableColumns count="31">
    <tableColumn id="2" xr3:uid="{FB4F3DD3-A063-4466-A46C-344301D0C698}" name="META SUPER" dataDxfId="165">
      <calculatedColumnFormula>SUMIFS(TablaMeta[Meta_Equipo],TablaMeta[CONCAT],$M$3&amp;$N$3&amp;DITE_ABRIL_2026[[#This Row],[SUPER]])</calculatedColumnFormula>
    </tableColumn>
    <tableColumn id="3" xr3:uid="{17264EC2-69C2-429C-9471-F9037DEE491A}" name="RECUPERO SUPERVISOR" dataDxfId="164">
      <calculatedColumnFormula>MAX(DITE_ABRIL_2026[[#This Row],[SUPER]:[CARTERA]])</calculatedColumnFormula>
    </tableColumn>
    <tableColumn id="4" xr3:uid="{F34C5336-6862-41A0-A409-0FB6019105D8}" name="ALCANCE SUPERVISOR" dataDxfId="163">
      <calculatedColumnFormula>IFERROR(DITE_ABRIL_2026[[#This Row],[RECUPERO SUPERVISOR]]/DITE_ABRIL_2026[[#This Row],[META SUPER]],"")</calculatedColumnFormula>
    </tableColumn>
    <tableColumn id="1" xr3:uid="{88C47E52-E4B0-4B86-818E-8DAED5A5EFF4}" name="SUPER" dataDxfId="162"/>
    <tableColumn id="6" xr3:uid="{F2748BC7-F61B-4028-B30C-9B7CFD4C1F43}" name="1" dataDxfId="161"/>
    <tableColumn id="7" xr3:uid="{F1653157-4532-4F05-98E2-0D0A5D116EBD}" name="3" dataDxfId="160"/>
    <tableColumn id="27" xr3:uid="{A0D73469-0ADD-4583-A690-120FBE5A5C22}" name="4" dataDxfId="159"/>
    <tableColumn id="26" xr3:uid="{43AEAD0D-21F8-4C47-A5C4-7018DC41F18D}" name="6" dataDxfId="158"/>
    <tableColumn id="24" xr3:uid="{D29FF61C-5CBB-4734-9C14-FEB2A8F85537}" name="7" dataDxfId="157"/>
    <tableColumn id="25" xr3:uid="{B0C46C49-5FF3-47BF-A9AE-6C0A8820ACB6}" name="8" dataDxfId="156"/>
    <tableColumn id="28" xr3:uid="{270C1466-85D7-44B7-9DF5-5350ABCF636F}" name="9" dataDxfId="155"/>
    <tableColumn id="29" xr3:uid="{EE58BF5E-4FAB-4320-AD22-496EBA0A8CC6}" name="10" dataDxfId="154"/>
    <tableColumn id="30" xr3:uid="{A7088926-934C-4E8D-88A7-2B9F683EFD3B}" name="11" dataDxfId="153"/>
    <tableColumn id="31" xr3:uid="{C3400A21-BB5F-443F-A43C-96F0D0E994CD}" name="13" dataDxfId="152"/>
    <tableColumn id="8" xr3:uid="{97E91656-58E1-4629-A463-25DCC7CFA3B0}" name="14" dataDxfId="151"/>
    <tableColumn id="9" xr3:uid="{4E0A9486-6527-4A6B-ACC7-8B01636917F5}" name="15" dataDxfId="150"/>
    <tableColumn id="10" xr3:uid="{0EE2F553-0C54-499A-9ACC-F4DCDCFBBBEA}" name="16" dataDxfId="149"/>
    <tableColumn id="11" xr3:uid="{7289F0C7-72E7-4C8A-A0E7-531EF74F9254}" name="17" dataDxfId="148"/>
    <tableColumn id="12" xr3:uid="{EC9696F2-D4A5-4042-BBE1-E3C64FE72AED}" name="18" dataDxfId="147"/>
    <tableColumn id="13" xr3:uid="{C75045C6-B3C5-407C-B3A9-0F1F46535BC0}" name="19" dataDxfId="146"/>
    <tableColumn id="14" xr3:uid="{B0653272-6948-4A69-B7F5-9DADCB29A13E}" name="20" dataDxfId="145"/>
    <tableColumn id="15" xr3:uid="{0F1968FB-6B80-44F8-BE1A-C368F94B3C13}" name="21" dataDxfId="144"/>
    <tableColumn id="16" xr3:uid="{6D36DBEB-4AF5-426F-A752-698A5D1C3B62}" name="22" dataDxfId="143"/>
    <tableColumn id="17" xr3:uid="{0207C6D9-8D97-4852-BFED-C445D736D0DB}" name="23" dataDxfId="142"/>
    <tableColumn id="18" xr3:uid="{7DDAA5A2-633B-4C3F-B0EE-5FDD92815DC8}" name="24" dataDxfId="141"/>
    <tableColumn id="19" xr3:uid="{44AE6AAE-F0AD-4A2F-BFFB-98D8D3BA8E3C}" name="25" dataDxfId="140"/>
    <tableColumn id="20" xr3:uid="{B3CF3923-DF8A-4F76-B0EB-9BCF1BEB99D7}" name="26" dataDxfId="139"/>
    <tableColumn id="21" xr3:uid="{D1C5440B-A3AC-4083-9DEA-3C61BD3AA4BA}" name="27" dataDxfId="138"/>
    <tableColumn id="22" xr3:uid="{B9DADE9A-D31C-405D-B512-FA0C75505FD3}" name="28" dataDxfId="137"/>
    <tableColumn id="23" xr3:uid="{DDC02FAB-2145-4E5A-A691-0B443835F534}" name="29" dataDxfId="136"/>
    <tableColumn id="5" xr3:uid="{D4A0BEAA-FF12-423C-A01E-2E19D1AD53FF}" name="CARTERA" dataDxfId="135">
      <calculatedColumnFormula array="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32F2C0DF-608D-4449-86C3-ED0D601B4CAB}" name="Tabla6165" displayName="Tabla6165" ref="CA8:CE13" totalsRowShown="0" headerRowDxfId="134" dataDxfId="133">
  <autoFilter ref="CA8:CE13" xr:uid="{32F2C0DF-608D-4449-86C3-ED0D601B4CAB}"/>
  <tableColumns count="5">
    <tableColumn id="1" xr3:uid="{3CE00A77-7414-4C4C-8A91-68EF49780B65}" name="VISTA" dataDxfId="132"/>
    <tableColumn id="2" xr3:uid="{56B0F96B-21BA-4827-B2B1-B18358246F09}" name="1" dataDxfId="131"/>
    <tableColumn id="3" xr3:uid="{1E4D191E-FF72-4608-80E3-C9FEAF37BDCC}" name="2" dataDxfId="130"/>
    <tableColumn id="4" xr3:uid="{C83CA394-AE26-46CE-A122-E8F3B2632CBE}" name="3" dataDxfId="129"/>
    <tableColumn id="14" xr3:uid="{6F542B49-75AA-4A9E-8EF8-DB967DF24F23}" name="4" dataDxfId="128"/>
  </tableColumns>
  <tableStyleInfo name="TableStyleMedium1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CEADAD3D-0C27-4778-BBDF-CD1636DD9E90}" name="D1_MAYO_202681" displayName="D1_MAYO_202681" ref="A2:K57" totalsRowShown="0" headerRowDxfId="1482">
  <autoFilter ref="A2:K57" xr:uid="{CEADAD3D-0C27-4778-BBDF-CD1636DD9E90}"/>
  <tableColumns count="11">
    <tableColumn id="1" xr3:uid="{4A64A390-AB89-48FF-B540-1CCF03489458}" name="SUPER" dataDxfId="1481"/>
    <tableColumn id="2" xr3:uid="{45101E4F-DB4B-4554-B6B5-ADB5F0B1770F}" name="ASESOR_CRR" dataDxfId="1480"/>
    <tableColumn id="5" xr3:uid="{E8ED1EF9-2793-4A14-9FB0-C2C88FAAF77A}" name="META" dataDxfId="1479"/>
    <tableColumn id="6" xr3:uid="{9A1D0047-70F8-4EF2-B183-E872A9F6E0D4}" name="ALCANCE" dataDxfId="1478"/>
    <tableColumn id="7" xr3:uid="{DB2D050C-1682-4246-A04F-385DB2970EEC}" name="SUPER2" dataDxfId="1477"/>
    <tableColumn id="3" xr3:uid="{3432E335-BE7B-4784-A694-9F2A48385AC0}" name="ASESOR"/>
    <tableColumn id="4" xr3:uid="{267B73DC-69BA-4ECE-83A5-7572A6145E6D}" name="RECUPERO" dataDxfId="1476"/>
    <tableColumn id="11" xr3:uid="{881B540A-A1A2-4344-A3DD-35C5E8D9728F}" name="DNI" dataDxfId="1475"/>
    <tableColumn id="12" xr3:uid="{319F9868-3DC8-43BB-B95D-50902B671ECD}" name="FECHA DE INICIO" dataDxfId="1474"/>
    <tableColumn id="8" xr3:uid="{CFF0EDA1-6698-4F60-A351-0F390F5F97C2}" name="ESTADO" dataDxfId="1473"/>
    <tableColumn id="9" xr3:uid="{7B85EA5D-A52D-4E16-BAAE-ABE3F31106B9}" name="SEGMENTO" dataDxfId="1472"/>
  </tableColumns>
  <tableStyleInfo name="TableStyleMedium2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99EC4EFF-C4F5-47B9-B9CA-C539D3E1DA6A}" name="DATA_MAYO_202684" displayName="DATA_MAYO_202684" ref="M8:AW58" totalsRowShown="0" headerRowBorderDxfId="1471" tableBorderDxfId="1470">
  <autoFilter ref="M8:AW58" xr:uid="{99EC4EFF-C4F5-47B9-B9CA-C539D3E1DA6A}"/>
  <tableColumns count="37">
    <tableColumn id="5" xr3:uid="{7D4E3052-A2A5-45E4-91B9-517C4637DCB1}" name="AL_AC" dataDxfId="1469"/>
    <tableColumn id="2" xr3:uid="{A35BC57C-E121-4AEE-9DD5-5E00BD1723E4}" name="CLASIFICACIÓN" dataDxfId="1468"/>
    <tableColumn id="3" xr3:uid="{5017548B-527B-4318-AA2A-51FA1DE29854}" name="SUPERVISOR" dataDxfId="1467"/>
    <tableColumn id="1" xr3:uid="{6D53B6EC-2DC5-49C1-8E40-1AD9A3C0E8BF}" name="RECUPERO" dataDxfId="1466">
      <calculatedColumnFormula>SUM(#REF!)</calculatedColumnFormula>
    </tableColumn>
    <tableColumn id="6" xr3:uid="{69340D94-209B-4BC0-AC07-C87931DE975C}" name="META" dataDxfId="1465">
      <calculatedColumnFormula>VLOOKUP(DATA_MAYO_202684[[#This Row],[ASER_]],D1_MAYO_202681[[ASESOR_CRR]:[META]],2,0)</calculatedColumnFormula>
    </tableColumn>
    <tableColumn id="7" xr3:uid="{B8C4559C-F742-49D3-962B-6456909CF17B}" name="ASER_" dataDxfId="1464"/>
    <tableColumn id="8" xr3:uid="{5556AB1B-7833-4E23-8AB5-D539848D6383}" name="2" dataDxfId="1463"/>
    <tableColumn id="9" xr3:uid="{C5734845-9EDA-4C5F-89EA-F080D98A8239}" name="3" dataDxfId="1462"/>
    <tableColumn id="18" xr3:uid="{D29F5486-5BB5-4845-AC59-26534416CDE0}" name="4"/>
    <tableColumn id="19" xr3:uid="{9911A996-A08B-45C6-A835-26FD089335B9}" name="5"/>
    <tableColumn id="20" xr3:uid="{1CA4B4B1-B02E-4AF1-B884-E0781A72C7BD}" name="6"/>
    <tableColumn id="21" xr3:uid="{7DC99F03-984A-4486-8C09-A2C4C29381F2}" name="7"/>
    <tableColumn id="22" xr3:uid="{D48D929C-200D-4C3D-92BE-0CBF276AC8E4}" name="8"/>
    <tableColumn id="23" xr3:uid="{E6CCD608-7E46-40A9-9B56-AF2D44A97D2F}" name="9"/>
    <tableColumn id="24" xr3:uid="{F06A466C-E12F-4426-969D-B8AD3076954A}" name="10"/>
    <tableColumn id="25" xr3:uid="{56058F91-9D70-405D-8417-54A15548B7F5}" name="11"/>
    <tableColumn id="27" xr3:uid="{C8D42F4A-B489-4D0B-9584-CFB3A5F8E8DF}" name="12"/>
    <tableColumn id="28" xr3:uid="{34714BDF-C0C9-497F-9E93-4AD5A5858327}" name="13"/>
    <tableColumn id="10" xr3:uid="{1787F0B7-7514-41B6-A063-2E9817BDD209}" name="14" dataDxfId="1461"/>
    <tableColumn id="11" xr3:uid="{502C75B1-4204-4753-96FD-DF400011296A}" name="15" dataDxfId="1460"/>
    <tableColumn id="12" xr3:uid="{0A6F4D7B-8E06-4B62-8294-5D8F05A8CB0A}" name="16" dataDxfId="1459"/>
    <tableColumn id="13" xr3:uid="{A9CA6C72-9D2E-4C2B-BAAE-3A7ACDFEEA4B}" name="17" dataDxfId="1458"/>
    <tableColumn id="14" xr3:uid="{BA7BFB3C-8A7A-4F64-B9DB-4A638E309109}" name="18" dataDxfId="1457"/>
    <tableColumn id="15" xr3:uid="{4D649C8E-48CA-4509-BFE1-60D3F323CD73}" name="19" dataDxfId="1456"/>
    <tableColumn id="35" xr3:uid="{1290719A-B443-4CB4-8E81-B6D3D13267BD}" name="20" dataDxfId="1455"/>
    <tableColumn id="36" xr3:uid="{F4A801E4-9557-413D-BEF6-08675AB9E824}" name="21" dataDxfId="1454"/>
    <tableColumn id="38" xr3:uid="{9ADEDB42-FBDC-466B-A80E-100DAAC1E533}" name="22" dataDxfId="1453"/>
    <tableColumn id="37" xr3:uid="{C5A7C01F-4B4D-4858-A0C5-80590A65D0D9}" name="23" dataDxfId="1452"/>
    <tableColumn id="32" xr3:uid="{34FB8588-1641-468D-8A9C-CE05703D6D8A}" name="24" dataDxfId="1451"/>
    <tableColumn id="33" xr3:uid="{3EC631B2-B479-4B54-B367-7F04C010ADF8}" name="25" dataDxfId="1450"/>
    <tableColumn id="34" xr3:uid="{81C745CF-6C9F-41AD-910D-BF4C140A845E}" name="26" dataDxfId="1449"/>
    <tableColumn id="26" xr3:uid="{CEA0AFFE-054C-4B9C-9EAB-5D0AFC7D2E4D}" name="27" dataDxfId="1448"/>
    <tableColumn id="30" xr3:uid="{18AF48FD-9B2C-4DC4-ABA7-2E8C8E44BE7D}" name="28" dataDxfId="1447"/>
    <tableColumn id="31" xr3:uid="{8D03E2DA-BC26-4007-85DF-8A561242C9DF}" name="29" dataDxfId="1446"/>
    <tableColumn id="16" xr3:uid="{DCA40FF9-CF3B-4DFE-A664-963D7B4A36C1}" name="30" dataDxfId="1445"/>
    <tableColumn id="17" xr3:uid="{47EFE678-2E07-48FF-B66F-12E198D87A66}" name="31" dataDxfId="1444"/>
    <tableColumn id="29" xr3:uid="{3FE111A9-252B-47CB-BAAC-E0952DF12A10}" name="CARTERA ASESOR" dataDxfId="1443">
      <calculatedColumnFormula array="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ACCC8997-AD88-48E1-8E55-FAFAE7D6A0A2}" name="DITE_MAYO_202685" displayName="DITE_MAYO_202685" ref="AY8:CG13" totalsRowShown="0" headerRowDxfId="1442" dataDxfId="1440" headerRowBorderDxfId="1441" tableBorderDxfId="1439" totalsRowBorderDxfId="1438">
  <autoFilter ref="AY8:CG13" xr:uid="{ACCC8997-AD88-48E1-8E55-FAFAE7D6A0A2}"/>
  <sortState xmlns:xlrd2="http://schemas.microsoft.com/office/spreadsheetml/2017/richdata2" ref="AY9:CG13">
    <sortCondition descending="1" ref="BB8:BB13"/>
  </sortState>
  <tableColumns count="35">
    <tableColumn id="2" xr3:uid="{B3F89A57-FAF6-4B9C-8100-C2101A360C23}" name="META SUPER" dataDxfId="1437">
      <calculatedColumnFormula>SUMIFS(TablaMeta[Meta_Equipo],TablaMeta[CONCAT],$M$3&amp;$N$3&amp;DITE_MAYO_202685[[#This Row],[SUPER]])</calculatedColumnFormula>
    </tableColumn>
    <tableColumn id="3" xr3:uid="{8704DF31-E2F5-496F-8E14-9B19DB4AE2AE}" name="RECUPERO SUPERVISOR" dataDxfId="1436">
      <calculatedColumnFormula>MAX(DITE_MAYO_202685[[#This Row],[SUPER]:[CARTERA]])</calculatedColumnFormula>
    </tableColumn>
    <tableColumn id="4" xr3:uid="{97F5BE93-4CF2-44FA-A977-F098658E2535}" name="ALCANCE SUPERVISOR" dataDxfId="1435">
      <calculatedColumnFormula>IFERROR(DITE_MAYO_202685[[#This Row],[RECUPERO SUPERVISOR]]/DITE_MAYO_202685[[#This Row],[META SUPER]],"")</calculatedColumnFormula>
    </tableColumn>
    <tableColumn id="1" xr3:uid="{EFE838F8-24F6-436F-ACEA-EF88C3C03F4E}" name="SUPER" dataDxfId="1434"/>
    <tableColumn id="7" xr3:uid="{2784BC62-1DE5-4506-B637-74149480FC40}" name="2" dataDxfId="1433"/>
    <tableColumn id="27" xr3:uid="{A815FAB3-0A3D-47A4-8A84-0827A96FA900}" name="3" dataDxfId="1432"/>
    <tableColumn id="26" xr3:uid="{00E49E0E-3D8A-4E02-93BA-F06EF5E524A6}" name="4" dataDxfId="1431"/>
    <tableColumn id="8" xr3:uid="{4FA69ECA-2769-4837-B0A9-2A77529734C5}" name="5" dataDxfId="1430"/>
    <tableColumn id="25" xr3:uid="{37F3CC89-64AB-4B8F-93ED-BBA3B22999C7}" name="6" dataDxfId="1429"/>
    <tableColumn id="28" xr3:uid="{2FD87C1A-74A8-4FD9-8F05-7C2D3A81F7BF}" name="7" dataDxfId="1428"/>
    <tableColumn id="29" xr3:uid="{07F5EB57-BDBC-4241-B319-19531224375C}" name="8" dataDxfId="1427"/>
    <tableColumn id="30" xr3:uid="{EADCA0DB-F6A8-42AF-A886-EE9FE8258510}" name="9" dataDxfId="1426"/>
    <tableColumn id="31" xr3:uid="{4543F4E9-083A-4822-BA2F-185A0F98FBAD}" name="10" dataDxfId="1425"/>
    <tableColumn id="32" xr3:uid="{F623200B-FF62-415E-96E9-BF29AD96FBCD}" name="11" dataDxfId="1424"/>
    <tableColumn id="33" xr3:uid="{B1C9A457-C914-48E7-9B89-4E324CC37215}" name="12" dataDxfId="1423"/>
    <tableColumn id="34" xr3:uid="{29A35C22-4AC9-4526-AC7F-B959F19EEF7A}" name="13" dataDxfId="1422"/>
    <tableColumn id="35" xr3:uid="{AE59CA8E-0D11-42BC-90D3-98FB863B930A}" name="14" dataDxfId="1421"/>
    <tableColumn id="36" xr3:uid="{1B8E1F06-A6CC-46EA-A06E-959E5B5F3650}" name="15" dataDxfId="1420"/>
    <tableColumn id="9" xr3:uid="{236FB28A-D0BC-4549-AACF-DF2DC6EA3B00}" name="16" dataDxfId="1419"/>
    <tableColumn id="10" xr3:uid="{EE15861B-D0A7-4A31-8DB1-BD88685DAA17}" name="17" dataDxfId="1418"/>
    <tableColumn id="11" xr3:uid="{1FB86A47-3B16-4C03-B440-9E25AB66C3EE}" name="18" dataDxfId="1417"/>
    <tableColumn id="12" xr3:uid="{C942E9E0-6CDD-4A0A-B1C1-C8558750820D}" name="19" dataDxfId="1416"/>
    <tableColumn id="13" xr3:uid="{6928162A-9065-47CE-8C1B-4EF16CE8AFFE}" name="20" dataDxfId="1415"/>
    <tableColumn id="14" xr3:uid="{D3ABC4C5-278D-4A76-8B33-9CF4632077DA}" name="21" dataDxfId="1414"/>
    <tableColumn id="15" xr3:uid="{5D617563-FB40-4BB2-A012-A3710427A6B5}" name="22" dataDxfId="1413"/>
    <tableColumn id="16" xr3:uid="{D0253AAF-BDF5-4176-B0CE-EA507BBA0DD8}" name="23" dataDxfId="1412"/>
    <tableColumn id="17" xr3:uid="{EBB5E4B5-E2B2-4210-9DF9-B6C235B5DD20}" name="24" dataDxfId="1411"/>
    <tableColumn id="18" xr3:uid="{190C9D96-D142-49D6-8A87-8C8A6489CC6E}" name="25" dataDxfId="1410"/>
    <tableColumn id="19" xr3:uid="{F6CE2D74-54EB-4D6E-B006-29B78E00B956}" name="26" dataDxfId="1409"/>
    <tableColumn id="20" xr3:uid="{FA09505D-E5DD-4041-8124-23A2BC1A34E6}" name="27" dataDxfId="1408"/>
    <tableColumn id="21" xr3:uid="{FCE405CC-978E-47A4-B9A9-9484D7649714}" name="28" dataDxfId="1407"/>
    <tableColumn id="22" xr3:uid="{F00C44AE-506F-4BB4-90B1-25E3A5370980}" name="29" dataDxfId="1406"/>
    <tableColumn id="23" xr3:uid="{85629680-93C9-4151-8AF4-4E814AFF502F}" name="30" dataDxfId="1405"/>
    <tableColumn id="24" xr3:uid="{B32A0522-105D-4219-8A74-2FF6BA7BE363}" name="31" dataDxfId="1404"/>
    <tableColumn id="5" xr3:uid="{68D5371C-E40A-415D-BEBB-02E2D98BFFF0}" name="CARTERA" dataDxfId="1403"/>
  </tableColumns>
  <tableStyleInfo name="TableStyleMedium1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6A23029B-24FA-409E-A5D3-C14C1CED561D}" name="Tabla6186" displayName="Tabla6186" ref="CI8:CM13" totalsRowShown="0" headerRowDxfId="1402" dataDxfId="1401">
  <autoFilter ref="CI8:CM13" xr:uid="{6A23029B-24FA-409E-A5D3-C14C1CED561D}"/>
  <tableColumns count="5">
    <tableColumn id="1" xr3:uid="{5A64E687-6603-4C1D-A60E-6EA92192BA1C}" name="VISTA" dataDxfId="1400"/>
    <tableColumn id="2" xr3:uid="{356C54C9-5E0A-4E89-9455-FB3E249A49F5}" name="1" dataDxfId="1399"/>
    <tableColumn id="3" xr3:uid="{E36B4FAA-F4DE-4844-A6B9-D151405BB942}" name="2" dataDxfId="1398"/>
    <tableColumn id="4" xr3:uid="{3BE37E62-6390-46D5-95BA-EED63D9055C8}" name="3" dataDxfId="1397"/>
    <tableColumn id="14" xr3:uid="{AC914FEC-5036-4985-9CBF-12C32BB6AC18}" name="4" dataDxfId="1396"/>
  </tableColumns>
  <tableStyleInfo name="TableStyleMedium1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YO_2026" displayName="DATA_MAYO_2026" ref="M8:AN57" totalsRowShown="0" headerRowBorderDxfId="127" tableBorderDxfId="126">
  <autoFilter ref="M8:AN57" xr:uid="{C43AC382-896C-48E3-967E-003D8C3BB4E1}"/>
  <tableColumns count="28">
    <tableColumn id="5" xr3:uid="{3070F4BF-8DA0-42C9-A329-60BF3937C6CD}" name="AL_AC" dataDxfId="125">
      <calculatedColumnFormula>DATA_MAYO_2026[[#This Row],[RECUPERO]]/DATA_MAYO_2026[[#This Row],[META]]</calculatedColumnFormula>
    </tableColumn>
    <tableColumn id="2" xr3:uid="{6F4F1AB6-BBA7-498F-8826-77193C5F7DE1}" name="CLASIFICACIÓN" dataDxfId="124">
      <calculatedColumnFormula array="1">IF(DATA_MAYO_2026[[#This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23">
      <calculatedColumnFormula>IFERROR(VLOOKUP(DATA_MAYO_2026[[#This Row],[ASER_]],$B:$G,4,0),"")</calculatedColumnFormula>
    </tableColumn>
    <tableColumn id="1" xr3:uid="{9CEE94D1-F610-44F2-BECC-051BA76BFF42}" name="RECUPERO" dataDxfId="122">
      <calculatedColumnFormula>VLOOKUP(DATA_MAYO_2026[[#This Row],[ASER_]],D1_MAYO_2026[[ASESOR_CRR]:[RECUPERO]],6,0)</calculatedColumnFormula>
    </tableColumn>
    <tableColumn id="6" xr3:uid="{3562AB11-2CE4-4155-B81B-115DFB69AAAB}" name="META" dataDxfId="121">
      <calculatedColumnFormula>VLOOKUP(DATA_MAYO_2026[[#This Row],[ASER_]],D1_MAYO_2026[[ASESOR_CRR]:[META]],2,0)</calculatedColumnFormula>
    </tableColumn>
    <tableColumn id="7" xr3:uid="{AC7A2592-ACAD-4ED6-8351-E4B65FF33302}" name="ASER_" dataDxfId="120"/>
    <tableColumn id="4" xr3:uid="{DA0D3C8E-070D-4088-AECD-5F2EBC6508EA}" name="1" dataDxfId="119"/>
    <tableColumn id="8" xr3:uid="{D7FBF1F2-5A46-485F-925D-86EC9088EE46}" name="2" dataDxfId="118"/>
    <tableColumn id="9" xr3:uid="{98D48677-E650-4067-8686-1CC9080B6D71}" name="3" dataDxfId="117"/>
    <tableColumn id="10" xr3:uid="{A974A4A9-21AF-43B2-9C93-C6F103E8C411}" name="4" dataDxfId="116"/>
    <tableColumn id="11" xr3:uid="{D058D028-4AAB-47B9-A7D3-876CEDD146AA}" name="5" dataDxfId="115"/>
    <tableColumn id="12" xr3:uid="{307618CA-E43D-42A3-8C03-88388003A5BF}" name="8" dataDxfId="114"/>
    <tableColumn id="13" xr3:uid="{65D16E27-3C15-4385-9A4F-B28821EF4DF6}" name="9" dataDxfId="113"/>
    <tableColumn id="14" xr3:uid="{5A29EA5C-756B-4F6D-B764-BBEF2AB98C7D}" name="10" dataDxfId="112"/>
    <tableColumn id="15" xr3:uid="{3B9CE493-BFF8-40F7-8EBA-E6D80D76579A}" name="11" dataDxfId="111"/>
    <tableColumn id="35" xr3:uid="{937A2A56-212E-4F5D-82A6-A611A736B874}" name="12" dataDxfId="110"/>
    <tableColumn id="36" xr3:uid="{BDD4E521-FEB6-4C6D-A99C-4DEF1151ECB2}" name="15" dataDxfId="109"/>
    <tableColumn id="38" xr3:uid="{8A3F13C2-2724-40B9-B643-549845061201}" name="16" dataDxfId="108"/>
    <tableColumn id="37" xr3:uid="{1B44AA59-76C8-45D9-8D04-DE465519029A}" name="17" dataDxfId="107"/>
    <tableColumn id="32" xr3:uid="{671123B0-2D4B-4251-A9E4-5E6081CC9B0D}" name="18" dataDxfId="106"/>
    <tableColumn id="33" xr3:uid="{60129480-1A31-44E0-9812-1991A66734F8}" name="19" dataDxfId="105"/>
    <tableColumn id="34" xr3:uid="{FDFC525F-FDF7-4915-B1C4-C85C973F5DA2}" name="22" dataDxfId="104"/>
    <tableColumn id="26" xr3:uid="{B6EB21BB-98AE-4702-A51D-97935B8D2065}" name="23" dataDxfId="103"/>
    <tableColumn id="30" xr3:uid="{60395B11-6EC8-498F-AE14-A906778E013B}" name="24" dataDxfId="102"/>
    <tableColumn id="31" xr3:uid="{D6095057-15EB-4616-A6CE-8131684C14BF}" name="25" dataDxfId="101"/>
    <tableColumn id="16" xr3:uid="{AEBDE2A8-76B9-42D9-9059-4EA0D9C9EF1E}" name="26" dataDxfId="100"/>
    <tableColumn id="17" xr3:uid="{0874DB56-268A-4369-AFDE-AC61ECA55C23}" name="30" dataDxfId="99"/>
    <tableColumn id="29" xr3:uid="{D20EC82C-02AB-47E1-8B4F-0454088553EB}" name="CARTERA ASESOR" dataDxfId="98"/>
  </tableColumns>
  <tableStyleInfo name="TableStyleMedium1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YO_2026" displayName="D1_MAYO_2026" ref="A2:K55" totalsRowShown="0" headerRowDxfId="97">
  <autoFilter ref="A2:K55" xr:uid="{AB1967BC-98FE-49B9-B96E-7F91454A75DF}"/>
  <tableColumns count="11">
    <tableColumn id="1" xr3:uid="{E8C9BFA3-A821-4545-B3F0-1D85338E10F0}" name="SUPER" dataDxfId="96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95">
      <calculatedColumnFormula array="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calculatedColumnFormula>
    </tableColumn>
    <tableColumn id="5" xr3:uid="{7C7088C3-8DB2-45AA-8DFC-FF615EA517B7}" name="META" dataDxfId="94">
      <calculatedColumnFormula array="1">_xlfn.XLOOKUP(1,(TablaMeta[CONCAT]=$M$3&amp;$N$3&amp;D1_MAYO_2026[[#This Row],[SUPER]])*(TablaMeta[SEGG]=D1_MAYO_2026[[#This Row],[SEGMENTO]]),TablaMeta[Meta_Asesor])</calculatedColumnFormula>
    </tableColumn>
    <tableColumn id="6" xr3:uid="{504193EF-8C81-4E3C-85B4-7DDC31010511}" name="ALCANCE" dataDxfId="93">
      <calculatedColumnFormula>IF(D1_MAYO_2026[[#This Row],[RECUPERO]]="VACACIONES","VACACIONES",IFERROR(D1_MAYO_2026[[#This Row],[RECUPERO]]/D1_MAYO_2026[[#This Row],[META]],""))</calculatedColumnFormula>
    </tableColumn>
    <tableColumn id="7" xr3:uid="{25385F42-9373-4DE6-B5E8-9588BC79D17B}" name="SUPER2" dataDxfId="92">
      <calculatedColumnFormula>D1_MAYO_2026[[#This Row],[SUPER]]</calculatedColumnFormula>
    </tableColumn>
    <tableColumn id="3" xr3:uid="{F1B64A76-95A5-4F5B-B635-6563315B9D26}" name="ASESOR"/>
    <tableColumn id="4" xr3:uid="{5F21D798-6962-4BF2-AAD7-57B722912C07}" name="RECUPERO" dataDxfId="91"/>
    <tableColumn id="11" xr3:uid="{F601E667-9F29-4288-9F5A-767AD7CB84C9}" name="DNI" dataDxfId="90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89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88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87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YO_2026" displayName="DITE_MAYO_2026" ref="AP8:BO13" totalsRowShown="0" headerRowDxfId="86" dataDxfId="84" headerRowBorderDxfId="85" tableBorderDxfId="83" totalsRowBorderDxfId="82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81">
      <calculatedColumnFormula>SUMIFS(TablaMeta[Meta_Equipo],TablaMeta[CONCAT],$M$3&amp;$N$3&amp;DITE_MAYO_2026[[#This Row],[SUPER]])</calculatedColumnFormula>
    </tableColumn>
    <tableColumn id="3" xr3:uid="{FDF7E5B8-6E43-422A-BFC9-1CCD7EE7F4E8}" name="RECUPERO SUPERVISOR" dataDxfId="80">
      <calculatedColumnFormula>MAX(DITE_MAYO_2026[[#This Row],[SUPER]:[CARTERA]])</calculatedColumnFormula>
    </tableColumn>
    <tableColumn id="4" xr3:uid="{F9F9E33D-CF47-4A7B-B383-5185C72E6DBF}" name="ALCANCE SUPERVISOR" dataDxfId="79">
      <calculatedColumnFormula>IFERROR(DITE_MAYO_2026[[#This Row],[RECUPERO SUPERVISOR]]/DITE_MAYO_2026[[#This Row],[META SUPER]],"")</calculatedColumnFormula>
    </tableColumn>
    <tableColumn id="1" xr3:uid="{DBDA7BCD-711C-4C13-A756-EF3802486FB8}" name="SUPER" dataDxfId="78"/>
    <tableColumn id="6" xr3:uid="{C6BD95E9-37E9-4C3B-8FAC-71C063D3CCCF}" name="1" dataDxfId="77"/>
    <tableColumn id="7" xr3:uid="{154D80CB-9358-4F70-B790-869141CEED69}" name="2" dataDxfId="76"/>
    <tableColumn id="27" xr3:uid="{B1E200F5-8C17-45BD-9A07-4B3CFCF2F55B}" name="3" dataDxfId="75"/>
    <tableColumn id="26" xr3:uid="{C4A34376-F48F-4D30-891F-680F0DC972B5}" name="4" dataDxfId="74"/>
    <tableColumn id="8" xr3:uid="{B8634A52-4E10-47C7-A2E2-7268D75FF3B1}" name="5" dataDxfId="73"/>
    <tableColumn id="9" xr3:uid="{50F52F97-2FFF-429B-8205-9821B5E2DDA3}" name="8" dataDxfId="72"/>
    <tableColumn id="10" xr3:uid="{6CA0D076-C021-4ECD-9708-296693BD3D20}" name="9" dataDxfId="71"/>
    <tableColumn id="11" xr3:uid="{60AC6543-9932-43CA-8508-68010867604A}" name="10" dataDxfId="70"/>
    <tableColumn id="12" xr3:uid="{0838B302-CF6C-41FA-9981-2C61DC3D728B}" name="11" dataDxfId="69"/>
    <tableColumn id="13" xr3:uid="{26042530-89B3-48FD-877D-23191B67C000}" name="12" dataDxfId="68"/>
    <tableColumn id="14" xr3:uid="{995CAE1C-81F5-4376-9FBF-9057F92CEBA2}" name="15" dataDxfId="67"/>
    <tableColumn id="15" xr3:uid="{CE078F22-32E6-477A-8610-B39D8802D198}" name="16" dataDxfId="66"/>
    <tableColumn id="16" xr3:uid="{E61DEB3E-541F-4914-B1D0-C31E52B10974}" name="17" dataDxfId="65"/>
    <tableColumn id="17" xr3:uid="{EC1E57C1-8228-4A17-A0ED-ACC28C9F0842}" name="18" dataDxfId="64"/>
    <tableColumn id="18" xr3:uid="{2DA8EC35-62DF-44D7-9B0C-1DA9FD7CFD91}" name="19" dataDxfId="63"/>
    <tableColumn id="19" xr3:uid="{302180D2-EA42-43C4-9FEA-201681FA861E}" name="22" dataDxfId="62"/>
    <tableColumn id="20" xr3:uid="{451825B8-387D-40FA-8E98-2EFAE991267E}" name="23" dataDxfId="61"/>
    <tableColumn id="21" xr3:uid="{026C2977-2F45-419E-AE54-92E82A6FE474}" name="24" dataDxfId="60"/>
    <tableColumn id="22" xr3:uid="{3BBAF7E2-3A2C-4E90-AE74-EEF9947AB60E}" name="25" dataDxfId="59"/>
    <tableColumn id="23" xr3:uid="{8879B076-C842-409F-9B19-61F59EF05584}" name="26" dataDxfId="58"/>
    <tableColumn id="24" xr3:uid="{AF13A28F-47F7-4494-B809-B096327E1B45}" name="30" dataDxfId="57"/>
    <tableColumn id="5" xr3:uid="{E0FECB44-CCD1-447F-A9BF-090DD9D8B323}" name="CARTERA" dataDxfId="56">
      <calculatedColumnFormula array="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C9FCF86D-1275-4B72-BE74-6F156A04A60F}" name="Tabla61" displayName="Tabla61" ref="BQ8:BU13" totalsRowShown="0" headerRowDxfId="55" dataDxfId="54">
  <autoFilter ref="BQ8:BU13" xr:uid="{C9FCF86D-1275-4B72-BE74-6F156A04A60F}"/>
  <tableColumns count="5">
    <tableColumn id="1" xr3:uid="{D4A2D135-5FEA-4A06-89AF-37C3FE1C2F48}" name="VISTA" dataDxfId="53"/>
    <tableColumn id="2" xr3:uid="{4FF6DB9A-B454-446F-997B-A00F368BEC51}" name="1" dataDxfId="52"/>
    <tableColumn id="3" xr3:uid="{8B26053F-A062-4D4B-AAC8-2984C8D90026}" name="2" dataDxfId="51"/>
    <tableColumn id="4" xr3:uid="{70518B20-4375-4037-8000-83326D8CF440}" name="3" dataDxfId="50"/>
    <tableColumn id="14" xr3:uid="{28C3DE23-A40F-42FD-9BED-2CB4EF12CD03}" name="4" dataDxfId="49"/>
  </tableColumns>
  <tableStyleInfo name="TableStyleMedium1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7732273-9C8F-4AC2-BC62-0740738A037D}" name="Tabla79" displayName="Tabla79" ref="BW8:DC247" totalsRowShown="0">
  <autoFilter ref="BW8:DC247" xr:uid="{97732273-9C8F-4AC2-BC62-0740738A037D}"/>
  <tableColumns count="33">
    <tableColumn id="2" xr3:uid="{E555384C-3B5D-4D07-B45C-C92E10F6425B}" name="IND_canal"/>
    <tableColumn id="3" xr3:uid="{3A4AD051-7FCD-4447-89B0-08AC37C5B061}" name="IND_Cargo"/>
    <tableColumn id="4" xr3:uid="{945BBCE1-0420-47C1-A2E3-DD67E2EFCAE2}" name="IND_equipo"/>
    <tableColumn id="5" xr3:uid="{CE11D16E-7958-41F6-9CA3-C2BD0618B141}" name="IND_alias"/>
    <tableColumn id="6" xr3:uid="{D19F1D05-0DDC-4820-B6D4-9FE679248BAC}" name="IND_Fecha" dataDxfId="48"/>
    <tableColumn id="7" xr3:uid="{67D94DA3-F519-4699-85D5-558C5514BD76}" name="IND_Cantidad Asesores"/>
    <tableColumn id="8" xr3:uid="{E6F997E3-2312-41B7-BD23-8912D69F6C2A}" name="IND_Días Lab"/>
    <tableColumn id="9" xr3:uid="{70964BAD-B096-4E57-A0EB-9F350DFC0159}" name="IND_Tardanza"/>
    <tableColumn id="10" xr3:uid="{3AF6230B-3E1F-4FAD-96C4-C243F587FFF3}" name="IND_%puntualidad"/>
    <tableColumn id="11" xr3:uid="{C91BC21B-7DE2-4D32-B481-2EE7BB19756A}" name="IND_%Falta"/>
    <tableColumn id="12" xr3:uid="{7225E131-0708-4A18-860C-3E994103E8B9}" name="IND_Tiempo Tardanza - Promedio" dataDxfId="47"/>
    <tableColumn id="13" xr3:uid="{2D7990E4-A896-4572-9D14-3FF5B35B7400}" name="IND_Tardanza Tiempo" dataDxfId="46"/>
    <tableColumn id="14" xr3:uid="{0709BCC0-721A-4783-8476-818F0240D126}" name="IND_Tiempo Manual" dataDxfId="45"/>
    <tableColumn id="15" xr3:uid="{CB205A1D-4524-4C50-9DC3-BDBB92D67A0E}" name="IND_Tiempo Discador" dataDxfId="44"/>
    <tableColumn id="16" xr3:uid="{99C45160-3EC8-443D-9B40-35383C35C711}" name="IND_Clientes Gestionados"/>
    <tableColumn id="17" xr3:uid="{DBFF08B0-DA34-42D8-9E31-90D1AA3C9702}" name="IND_Gestiones"/>
    <tableColumn id="18" xr3:uid="{7DB95710-AE14-4A10-ABB1-1AD8F703D03F}" name="IND_CEF Unico"/>
    <tableColumn id="19" xr3:uid="{BEDB0108-7984-4738-8F85-C670822A092B}" name="IND_Intensidad CEF"/>
    <tableColumn id="20" xr3:uid="{371EB064-64DE-4919-9E0E-92F21EF2ED46}" name="IND_Ticket CEF"/>
    <tableColumn id="21" xr3:uid="{F1CDDFEC-5091-40AA-8E18-AD64F0824D11}" name="IND_Contactabilidad" dataDxfId="43"/>
    <tableColumn id="22" xr3:uid="{63C5C944-18A2-4B99-B231-BCB43D95719E}" name="IND_PDP"/>
    <tableColumn id="23" xr3:uid="{5E955A18-24FE-4493-B2DE-F47259904D65}" name="IND_Cierre" dataDxfId="42"/>
    <tableColumn id="24" xr3:uid="{2CA55536-592D-490B-B88E-9C1733B932CF}" name="IND_Monto PDP"/>
    <tableColumn id="25" xr3:uid="{EFA200EC-0158-4790-AFBE-CB7CCBF953D2}" name="IND_Ticket PDP"/>
    <tableColumn id="26" xr3:uid="{A0EDD6F3-A0A3-48BB-B05D-59D9DCCC5499}" name="IND_Recupero"/>
    <tableColumn id="27" xr3:uid="{C01628D4-7A2A-435B-9255-0989064A8436}" name="IND_Ticket Pago"/>
    <tableColumn id="28" xr3:uid="{3694482F-814B-40F0-83B5-AE3E673B89DA}" name="IND_Calidad PDP" dataDxfId="41"/>
    <tableColumn id="29" xr3:uid="{891E1417-CEC1-4367-9EEA-4002ED580706}" name="IND_Condonacion" dataDxfId="40"/>
    <tableColumn id="30" xr3:uid="{FC0FD1F6-9CB3-4C1D-8DF8-F22561EE9752}" name="IND_Score"/>
    <tableColumn id="31" xr3:uid="{38E771BA-5413-4796-B166-F155C235DDA7}" name="IND_MetaAsesor"/>
    <tableColumn id="32" xr3:uid="{ED60BE4E-0ECB-430D-B478-9AAEA714ADEB}" name="IND_Alcance Asesor" dataDxfId="39"/>
    <tableColumn id="33" xr3:uid="{DD451FC7-E450-4E1D-B2AC-BDCFBEB86370}" name="IND_QUINTIL"/>
    <tableColumn id="34" xr3:uid="{8343F30A-6D25-497F-83DF-1D3965606BEE}" name="IND_SEGMENTO"/>
  </tableColumns>
  <tableStyleInfo name="TableStyleMedium20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38"/>
    <tableColumn id="2" xr3:uid="{4006F32F-EE4A-427A-AF49-74D52FBF6D53}" uniqueName="2" name="PUESTO REAL" queryTableFieldId="10"/>
    <tableColumn id="3" xr3:uid="{E33DD98B-2314-40D0-9DFA-F987324F30A3}" uniqueName="3" name="FEC_NAC" queryTableFieldId="3" dataDxfId="37"/>
    <tableColumn id="4" xr3:uid="{8397B954-43F8-46B6-880D-47B541CAB0B9}" uniqueName="4" name="NOMBRE" queryTableFieldId="4" dataDxfId="36"/>
    <tableColumn id="8" xr3:uid="{C558150D-EEDC-4907-8F09-51F784EDF9BF}" uniqueName="8" name="PUESTO" queryTableFieldId="8" dataDxfId="35"/>
    <tableColumn id="7" xr3:uid="{C74AABE2-4219-45A4-BAE7-8D08B65D7B0D}" uniqueName="7" name="MES" queryTableFieldId="7" dataDxfId="34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3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87" tableType="queryTable" totalsRowShown="0">
  <autoFilter ref="A1:J587" xr:uid="{D00BB622-375D-40B1-BDB9-BF21F38BF1B6}"/>
  <tableColumns count="10">
    <tableColumn id="1" xr3:uid="{74DC8A6E-5A2D-484F-A76B-6E9216604DDA}" uniqueName="1" name="FECHA" queryTableFieldId="1" dataDxfId="32"/>
    <tableColumn id="2" xr3:uid="{4CE5A949-AEFE-46EE-A6C7-63B5F40645ED}" uniqueName="2" name="ASESOR" queryTableFieldId="2" dataDxfId="31"/>
    <tableColumn id="3" xr3:uid="{FC855FAD-67D1-4191-8099-B240DE5A7E19}" uniqueName="3" name="DNI" queryTableFieldId="3"/>
    <tableColumn id="4" xr3:uid="{B28762A1-8785-4BA1-B48A-2105A7540479}" uniqueName="4" name="EQUIPO" queryTableFieldId="4" dataDxfId="30"/>
    <tableColumn id="5" xr3:uid="{4F3B4D22-3444-4707-91B7-A75F49F6498B}" uniqueName="5" name="CONDICION" queryTableFieldId="5" dataDxfId="29"/>
    <tableColumn id="6" xr3:uid="{8D887E6F-5C9F-49FF-A6D9-8DCCAC8D9020}" uniqueName="6" name="TIPO" queryTableFieldId="6" dataDxfId="28"/>
    <tableColumn id="7" xr3:uid="{36632EEE-E592-453A-A97A-3195965F4742}" uniqueName="7" name="FECHA DE INGRESO" queryTableFieldId="7" dataDxfId="27"/>
    <tableColumn id="8" xr3:uid="{D33CB618-ED5B-4D3C-80A3-516C71713539}" uniqueName="8" name="MESES ANTIGÜEDAD" queryTableFieldId="8"/>
    <tableColumn id="9" xr3:uid="{705D9621-0524-4854-8C27-BF2096F130C6}" uniqueName="9" name="SEGMENTO" queryTableFieldId="9" dataDxfId="26"/>
    <tableColumn id="10" xr3:uid="{EA137E28-70F4-408B-9000-9FD7EB104A9B}" uniqueName="10" name="FECHA DE CESE" queryTableFieldId="10" dataDxfId="25"/>
  </tableColumns>
  <tableStyleInfo name="TableStyleLight14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14" totalsRowShown="0" headerRowDxfId="24" headerRowBorderDxfId="23" tableBorderDxfId="22" totalsRowBorderDxfId="21">
  <autoFilter ref="A1:G214" xr:uid="{C41E08BB-0323-438E-BFE0-76BBB5F11D04}"/>
  <tableColumns count="7">
    <tableColumn id="1" xr3:uid="{392AC838-52ED-4D24-AEEF-DBB8AB8874AD}" name="CONCAT" dataDxfId="20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9"/>
    <tableColumn id="2" xr3:uid="{6AF5A16E-DFBE-42B7-BDA1-6E8694A629C3}" name="mes" dataDxfId="18"/>
    <tableColumn id="4" xr3:uid="{10D1F902-532A-4C8C-AB27-C2F522F14EA7}" name="Equipo" dataDxfId="17"/>
    <tableColumn id="5" xr3:uid="{75A35478-8934-432E-843B-D174D5C58C71}" name="Meta_Equipo" dataDxfId="16"/>
    <tableColumn id="6" xr3:uid="{C4DF57EE-8F57-44C8-ABE6-43EEF1F9DA62}" name="Meta_Asesor" dataDxfId="15"/>
    <tableColumn id="3" xr3:uid="{95E3CE54-9C14-4F51-963D-FFEEB667B07A}" name="SEGG" dataDxfId="14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Relationship Id="rId4" Type="http://schemas.openxmlformats.org/officeDocument/2006/relationships/table" Target="../tables/table2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4" Type="http://schemas.openxmlformats.org/officeDocument/2006/relationships/table" Target="../tables/table2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4" Type="http://schemas.openxmlformats.org/officeDocument/2006/relationships/table" Target="../tables/table4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Relationship Id="rId4" Type="http://schemas.openxmlformats.org/officeDocument/2006/relationships/table" Target="../tables/table5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4" Type="http://schemas.openxmlformats.org/officeDocument/2006/relationships/table" Target="../tables/table5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8.xml"/><Relationship Id="rId2" Type="http://schemas.openxmlformats.org/officeDocument/2006/relationships/table" Target="../tables/table57.xml"/><Relationship Id="rId1" Type="http://schemas.openxmlformats.org/officeDocument/2006/relationships/table" Target="../tables/table56.xml"/><Relationship Id="rId4" Type="http://schemas.openxmlformats.org/officeDocument/2006/relationships/table" Target="../tables/table5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4" Type="http://schemas.openxmlformats.org/officeDocument/2006/relationships/table" Target="../tables/table6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6.xml"/><Relationship Id="rId2" Type="http://schemas.openxmlformats.org/officeDocument/2006/relationships/table" Target="../tables/table65.xml"/><Relationship Id="rId1" Type="http://schemas.openxmlformats.org/officeDocument/2006/relationships/table" Target="../tables/table64.xml"/><Relationship Id="rId4" Type="http://schemas.openxmlformats.org/officeDocument/2006/relationships/table" Target="../tables/table67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0.xml"/><Relationship Id="rId2" Type="http://schemas.openxmlformats.org/officeDocument/2006/relationships/table" Target="../tables/table69.xml"/><Relationship Id="rId1" Type="http://schemas.openxmlformats.org/officeDocument/2006/relationships/table" Target="../tables/table68.xml"/><Relationship Id="rId4" Type="http://schemas.openxmlformats.org/officeDocument/2006/relationships/table" Target="../tables/table71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4.xml"/><Relationship Id="rId2" Type="http://schemas.openxmlformats.org/officeDocument/2006/relationships/table" Target="../tables/table73.xml"/><Relationship Id="rId1" Type="http://schemas.openxmlformats.org/officeDocument/2006/relationships/table" Target="../tables/table72.xml"/><Relationship Id="rId4" Type="http://schemas.openxmlformats.org/officeDocument/2006/relationships/table" Target="../tables/table75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7.xml"/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80.xml"/><Relationship Id="rId5" Type="http://schemas.openxmlformats.org/officeDocument/2006/relationships/table" Target="../tables/table79.xml"/><Relationship Id="rId4" Type="http://schemas.openxmlformats.org/officeDocument/2006/relationships/table" Target="../tables/table7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O78"/>
  <sheetViews>
    <sheetView zoomScale="85" zoomScaleNormal="85" workbookViewId="0">
      <selection activeCell="CN18" sqref="CN1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93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626</v>
      </c>
      <c r="CO7" t="s">
        <v>149</v>
      </c>
    </row>
    <row r="8" spans="1:93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  <c r="CK9" t="s">
        <v>5</v>
      </c>
      <c r="CO9" t="s">
        <v>5</v>
      </c>
    </row>
    <row r="10" spans="1:93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  <c r="CK10" t="s">
        <v>2</v>
      </c>
      <c r="CO10" t="s">
        <v>2</v>
      </c>
    </row>
    <row r="11" spans="1:93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  <c r="CK11" t="s">
        <v>6</v>
      </c>
      <c r="CO11" t="s">
        <v>6</v>
      </c>
    </row>
    <row r="12" spans="1:93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  <c r="CK12" t="s">
        <v>9</v>
      </c>
      <c r="CO12" t="s">
        <v>9</v>
      </c>
    </row>
    <row r="13" spans="1:93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  <c r="CK13" t="s">
        <v>4</v>
      </c>
      <c r="CO13" t="s">
        <v>4</v>
      </c>
    </row>
    <row r="14" spans="1:93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  <c r="CK14" t="s">
        <v>115</v>
      </c>
      <c r="CO14" t="s">
        <v>115</v>
      </c>
    </row>
    <row r="15" spans="1:93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  <c r="CK15" t="s">
        <v>3</v>
      </c>
      <c r="CO15" t="s">
        <v>3</v>
      </c>
    </row>
    <row r="16" spans="1:93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3" priority="10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O82"/>
  <sheetViews>
    <sheetView topLeftCell="BX1" zoomScale="85" zoomScaleNormal="85" workbookViewId="0">
      <selection activeCell="CK7" sqref="CK7:CO15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93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  <c r="CK7" t="s">
        <v>626</v>
      </c>
      <c r="CN7" t="s">
        <v>149</v>
      </c>
      <c r="CO7" t="s">
        <v>176</v>
      </c>
    </row>
    <row r="8" spans="1:93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  <c r="CK9" t="s">
        <v>5</v>
      </c>
      <c r="CN9" t="s">
        <v>5</v>
      </c>
      <c r="CO9" t="s">
        <v>5</v>
      </c>
    </row>
    <row r="10" spans="1:93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  <c r="CK10" t="s">
        <v>2</v>
      </c>
      <c r="CN10" t="s">
        <v>2</v>
      </c>
      <c r="CO10" t="s">
        <v>2</v>
      </c>
    </row>
    <row r="11" spans="1:93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  <c r="CK11" t="s">
        <v>6</v>
      </c>
      <c r="CN11" t="s">
        <v>6</v>
      </c>
      <c r="CO11" t="s">
        <v>6</v>
      </c>
    </row>
    <row r="12" spans="1:93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  <c r="CK12" t="s">
        <v>9</v>
      </c>
      <c r="CN12" t="s">
        <v>9</v>
      </c>
      <c r="CO12" t="s">
        <v>9</v>
      </c>
    </row>
    <row r="13" spans="1:93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  <c r="CK13" t="s">
        <v>4</v>
      </c>
      <c r="CN13" t="s">
        <v>4</v>
      </c>
      <c r="CO13" t="s">
        <v>4</v>
      </c>
    </row>
    <row r="14" spans="1:93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  <c r="CK14" t="s">
        <v>115</v>
      </c>
      <c r="CN14" t="s">
        <v>115</v>
      </c>
      <c r="CO14" t="s">
        <v>115</v>
      </c>
    </row>
    <row r="15" spans="1:93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  <c r="CK15" t="s">
        <v>3</v>
      </c>
      <c r="CN15" t="s">
        <v>3</v>
      </c>
      <c r="CO15" t="s">
        <v>3</v>
      </c>
    </row>
    <row r="16" spans="1:93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2" priority="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O82"/>
  <sheetViews>
    <sheetView topLeftCell="BT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93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93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93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93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  <c r="CK7" t="s">
        <v>626</v>
      </c>
      <c r="CM7" t="s">
        <v>149</v>
      </c>
      <c r="CN7" t="s">
        <v>176</v>
      </c>
      <c r="CO7" t="s">
        <v>139</v>
      </c>
    </row>
    <row r="8" spans="1:93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  <c r="CK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  <c r="CK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  <c r="CK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  <c r="CK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  <c r="CK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  <c r="CK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  <c r="CK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O78"/>
  <sheetViews>
    <sheetView topLeftCell="BV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89" max="89" width="17.7109375" bestFit="1" customWidth="1"/>
    <col min="90" max="90" width="12" bestFit="1" customWidth="1"/>
    <col min="91" max="91" width="10.7109375" bestFit="1" customWidth="1"/>
    <col min="92" max="92" width="11" bestFit="1" customWidth="1"/>
    <col min="93" max="93" width="10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93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93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93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O85"/>
  <sheetViews>
    <sheetView topLeftCell="CB1" zoomScale="85" zoomScaleNormal="85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93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93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93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  <c r="CK7" t="s">
        <v>626</v>
      </c>
      <c r="CL7" t="s">
        <v>176</v>
      </c>
      <c r="CM7" t="s">
        <v>139</v>
      </c>
      <c r="CN7" t="s">
        <v>140</v>
      </c>
      <c r="CO7" t="s">
        <v>141</v>
      </c>
    </row>
    <row r="8" spans="1:93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O75"/>
  <sheetViews>
    <sheetView topLeftCell="BU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93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93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  <c r="CK7" t="s">
        <v>626</v>
      </c>
      <c r="CL7" t="s">
        <v>139</v>
      </c>
      <c r="CM7" t="s">
        <v>140</v>
      </c>
      <c r="CN7" t="s">
        <v>141</v>
      </c>
      <c r="CO7" t="s">
        <v>142</v>
      </c>
    </row>
    <row r="8" spans="1:93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  <c r="CK9" t="s">
        <v>8</v>
      </c>
      <c r="CL9" t="s">
        <v>115</v>
      </c>
      <c r="CM9" t="s">
        <v>115</v>
      </c>
      <c r="CN9" t="s">
        <v>115</v>
      </c>
      <c r="CO9" t="s">
        <v>8</v>
      </c>
    </row>
    <row r="10" spans="1:93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115</v>
      </c>
      <c r="CO10" t="s">
        <v>125</v>
      </c>
    </row>
    <row r="11" spans="1:93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  <c r="CK15" t="s">
        <v>4</v>
      </c>
      <c r="CL15" t="s">
        <v>4</v>
      </c>
      <c r="CM15" t="s">
        <v>4</v>
      </c>
      <c r="CN15" t="s">
        <v>4</v>
      </c>
      <c r="CO15" t="s">
        <v>124</v>
      </c>
    </row>
    <row r="16" spans="1:93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O84"/>
  <sheetViews>
    <sheetView topLeftCell="BV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93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93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  <c r="CK7" t="s">
        <v>626</v>
      </c>
      <c r="CL7" t="s">
        <v>140</v>
      </c>
      <c r="CM7" t="s">
        <v>141</v>
      </c>
      <c r="CN7" t="s">
        <v>142</v>
      </c>
      <c r="CO7" t="s">
        <v>143</v>
      </c>
    </row>
    <row r="8" spans="1:93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  <c r="CK9" t="s">
        <v>8</v>
      </c>
      <c r="CL9" t="s">
        <v>115</v>
      </c>
      <c r="CM9" t="s">
        <v>115</v>
      </c>
      <c r="CN9" t="s">
        <v>8</v>
      </c>
      <c r="CO9" t="s">
        <v>8</v>
      </c>
    </row>
    <row r="10" spans="1:93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125</v>
      </c>
      <c r="CO10" t="s">
        <v>125</v>
      </c>
    </row>
    <row r="11" spans="1:93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  <c r="CK15" t="s">
        <v>4</v>
      </c>
      <c r="CL15" t="s">
        <v>4</v>
      </c>
      <c r="CM15" t="s">
        <v>4</v>
      </c>
      <c r="CN15" t="s">
        <v>124</v>
      </c>
      <c r="CO15" t="s">
        <v>4</v>
      </c>
    </row>
    <row r="16" spans="1:93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O83"/>
  <sheetViews>
    <sheetView topLeftCell="BS1" zoomScale="70" zoomScaleNormal="70" workbookViewId="0">
      <selection activeCell="CK7" sqref="CK7:CO16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93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93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93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93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  <c r="CK7" t="s">
        <v>626</v>
      </c>
      <c r="CL7" t="s">
        <v>141</v>
      </c>
      <c r="CM7" t="s">
        <v>142</v>
      </c>
      <c r="CN7" t="s">
        <v>143</v>
      </c>
      <c r="CO7" t="s">
        <v>144</v>
      </c>
    </row>
    <row r="8" spans="1:93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  <c r="CK9" t="s">
        <v>8</v>
      </c>
      <c r="CL9" t="s">
        <v>115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  <c r="CK10" t="s">
        <v>125</v>
      </c>
      <c r="CL10" t="s">
        <v>115</v>
      </c>
      <c r="CM10" t="s">
        <v>125</v>
      </c>
      <c r="CN10" t="s">
        <v>125</v>
      </c>
      <c r="CO10" t="s">
        <v>125</v>
      </c>
    </row>
    <row r="11" spans="1:93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  <c r="CK15" t="s">
        <v>4</v>
      </c>
      <c r="CL15" t="s">
        <v>4</v>
      </c>
      <c r="CM15" t="s">
        <v>124</v>
      </c>
      <c r="CN15" t="s">
        <v>4</v>
      </c>
      <c r="CO15" t="s">
        <v>4</v>
      </c>
    </row>
    <row r="16" spans="1:93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O89"/>
  <sheetViews>
    <sheetView topLeftCell="BZ1" zoomScale="70" zoomScaleNormal="70" workbookViewId="0">
      <selection activeCell="CN13" sqref="CN13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93" ht="15" customHeight="1" x14ac:dyDescent="0.25">
      <c r="L1" s="56"/>
    </row>
    <row r="2" spans="1:93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93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93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93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  <c r="CK7" t="s">
        <v>626</v>
      </c>
      <c r="CL7" t="s">
        <v>142</v>
      </c>
      <c r="CM7" t="s">
        <v>143</v>
      </c>
      <c r="CN7" t="s">
        <v>144</v>
      </c>
      <c r="CO7" t="s">
        <v>145</v>
      </c>
    </row>
    <row r="8" spans="1:93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  <c r="CK10" t="s">
        <v>5</v>
      </c>
      <c r="CL10" t="s">
        <v>5</v>
      </c>
      <c r="CM10" t="s">
        <v>5</v>
      </c>
      <c r="CN10" t="s">
        <v>5</v>
      </c>
      <c r="CO10" t="s">
        <v>5</v>
      </c>
    </row>
    <row r="11" spans="1:93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  <c r="CK13" t="s">
        <v>7</v>
      </c>
      <c r="CL13" t="s">
        <v>125</v>
      </c>
      <c r="CM13" t="s">
        <v>125</v>
      </c>
      <c r="CN13" t="s">
        <v>125</v>
      </c>
      <c r="CO13" t="s">
        <v>7</v>
      </c>
    </row>
    <row r="14" spans="1:93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  <c r="CK15" t="s">
        <v>4</v>
      </c>
      <c r="CL15" t="s">
        <v>124</v>
      </c>
      <c r="CM15" t="s">
        <v>4</v>
      </c>
      <c r="CN15" t="s">
        <v>4</v>
      </c>
      <c r="CO15" t="s">
        <v>4</v>
      </c>
    </row>
    <row r="16" spans="1:93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O91"/>
  <sheetViews>
    <sheetView topLeftCell="BY1" zoomScale="70" zoomScaleNormal="70" workbookViewId="0">
      <selection activeCell="CK7" sqref="CK7:CO16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93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93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93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93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  <c r="CK7" t="s">
        <v>626</v>
      </c>
      <c r="CL7" t="s">
        <v>143</v>
      </c>
      <c r="CM7" t="s">
        <v>144</v>
      </c>
      <c r="CN7" t="s">
        <v>145</v>
      </c>
      <c r="CO7" t="s">
        <v>146</v>
      </c>
    </row>
    <row r="8" spans="1:93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  <c r="CK10" t="s">
        <v>125</v>
      </c>
      <c r="CL10" t="s">
        <v>3</v>
      </c>
      <c r="CM10" t="s">
        <v>3</v>
      </c>
      <c r="CN10" t="s">
        <v>3</v>
      </c>
      <c r="CO10" t="s">
        <v>125</v>
      </c>
    </row>
    <row r="11" spans="1:93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  <c r="CK14" t="s">
        <v>7</v>
      </c>
      <c r="CL14" t="s">
        <v>125</v>
      </c>
      <c r="CM14" t="s">
        <v>125</v>
      </c>
      <c r="CN14" t="s">
        <v>7</v>
      </c>
      <c r="CO14" t="s">
        <v>7</v>
      </c>
    </row>
    <row r="15" spans="1:93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  <c r="CK15" t="s">
        <v>9</v>
      </c>
      <c r="CL15" t="s">
        <v>9</v>
      </c>
      <c r="CM15" t="s">
        <v>9</v>
      </c>
      <c r="CN15" t="s">
        <v>9</v>
      </c>
      <c r="CO15" t="s">
        <v>9</v>
      </c>
    </row>
    <row r="16" spans="1:93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  <c r="CK16" t="s">
        <v>4</v>
      </c>
      <c r="CL16" t="s">
        <v>4</v>
      </c>
      <c r="CM16" t="s">
        <v>4</v>
      </c>
      <c r="CN16" t="s">
        <v>4</v>
      </c>
      <c r="CO16" t="s">
        <v>4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O159"/>
  <sheetViews>
    <sheetView topLeftCell="BX1" zoomScale="70" zoomScaleNormal="70" workbookViewId="0">
      <selection activeCell="CK7" sqref="CK7:CO16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93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93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93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93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  <c r="CK7" t="s">
        <v>626</v>
      </c>
      <c r="CL7" t="s">
        <v>144</v>
      </c>
      <c r="CM7" t="s">
        <v>145</v>
      </c>
      <c r="CN7" t="s">
        <v>146</v>
      </c>
      <c r="CO7" t="s">
        <v>148</v>
      </c>
    </row>
    <row r="8" spans="1:93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  <c r="CK13" t="s">
        <v>7</v>
      </c>
      <c r="CL13" t="s">
        <v>125</v>
      </c>
      <c r="CM13" t="s">
        <v>7</v>
      </c>
      <c r="CN13" t="s">
        <v>7</v>
      </c>
      <c r="CO13" t="s">
        <v>7</v>
      </c>
    </row>
    <row r="14" spans="1:93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  <c r="CK15" t="s">
        <v>4</v>
      </c>
      <c r="CL15" t="s">
        <v>4</v>
      </c>
      <c r="CM15" t="s">
        <v>4</v>
      </c>
      <c r="CN15" t="s">
        <v>4</v>
      </c>
      <c r="CO15" t="s">
        <v>4</v>
      </c>
    </row>
    <row r="16" spans="1:93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  <c r="CK16" t="s">
        <v>3</v>
      </c>
      <c r="CL16" t="s">
        <v>3</v>
      </c>
      <c r="CM16" t="s">
        <v>3</v>
      </c>
      <c r="CN16" t="s">
        <v>125</v>
      </c>
      <c r="CO16" t="s">
        <v>3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O68"/>
  <sheetViews>
    <sheetView topLeftCell="BU1" zoomScale="70" zoomScaleNormal="70" workbookViewId="0">
      <selection activeCell="CL19" sqref="CL1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93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93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93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93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  <c r="CK7" t="s">
        <v>626</v>
      </c>
      <c r="CL7" t="s">
        <v>145</v>
      </c>
      <c r="CM7" t="s">
        <v>146</v>
      </c>
      <c r="CN7" t="s">
        <v>148</v>
      </c>
      <c r="CO7" t="s">
        <v>149</v>
      </c>
    </row>
    <row r="8" spans="1:93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J8" s="78"/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  <c r="CK10" t="s">
        <v>2</v>
      </c>
      <c r="CL10" t="s">
        <v>2</v>
      </c>
      <c r="CM10" t="s">
        <v>2</v>
      </c>
      <c r="CN10" t="s">
        <v>125</v>
      </c>
      <c r="CO10" t="s">
        <v>2</v>
      </c>
    </row>
    <row r="11" spans="1:93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  <c r="CK12" t="s">
        <v>7</v>
      </c>
      <c r="CL12" t="s">
        <v>7</v>
      </c>
      <c r="CM12" t="s">
        <v>7</v>
      </c>
      <c r="CN12" t="s">
        <v>7</v>
      </c>
      <c r="CO12" t="s">
        <v>7</v>
      </c>
    </row>
    <row r="13" spans="1:93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  <c r="CK14" t="s">
        <v>3</v>
      </c>
      <c r="CL14" t="s">
        <v>3</v>
      </c>
      <c r="CM14" t="s">
        <v>125</v>
      </c>
      <c r="CN14" t="s">
        <v>3</v>
      </c>
      <c r="CO14" t="s">
        <v>3</v>
      </c>
    </row>
    <row r="15" spans="1:93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93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O62"/>
  <sheetViews>
    <sheetView topLeftCell="CA1" zoomScale="70" zoomScaleNormal="70" workbookViewId="0">
      <selection activeCell="CN20" sqref="CN20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  <col min="89" max="89" width="17.7109375" bestFit="1" customWidth="1"/>
  </cols>
  <sheetData>
    <row r="1" spans="1:93" x14ac:dyDescent="0.25">
      <c r="A1" s="34"/>
      <c r="B1" s="34"/>
      <c r="C1" s="35"/>
      <c r="D1" s="35"/>
      <c r="E1" s="35"/>
      <c r="H1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93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93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626</v>
      </c>
      <c r="CL7" t="s">
        <v>146</v>
      </c>
      <c r="CM7" t="s">
        <v>148</v>
      </c>
      <c r="CN7" t="s">
        <v>149</v>
      </c>
      <c r="CO7" t="s">
        <v>176</v>
      </c>
    </row>
    <row r="8" spans="1:93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  <c r="CK9" t="s">
        <v>2</v>
      </c>
      <c r="CL9" t="s">
        <v>2</v>
      </c>
      <c r="CM9" t="s">
        <v>125</v>
      </c>
      <c r="CN9" t="s">
        <v>2</v>
      </c>
      <c r="CO9" t="s">
        <v>2</v>
      </c>
    </row>
    <row r="10" spans="1:93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  <c r="CK11" t="s">
        <v>7</v>
      </c>
      <c r="CL11" t="s">
        <v>5</v>
      </c>
      <c r="CM11" t="s">
        <v>5</v>
      </c>
      <c r="CN11" t="s">
        <v>5</v>
      </c>
      <c r="CO11" t="s">
        <v>7</v>
      </c>
    </row>
    <row r="12" spans="1:93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  <c r="CK13" t="s">
        <v>3</v>
      </c>
      <c r="CL13" t="s">
        <v>125</v>
      </c>
      <c r="CM13" t="s">
        <v>3</v>
      </c>
      <c r="CN13" t="s">
        <v>3</v>
      </c>
      <c r="CO13" t="s">
        <v>3</v>
      </c>
    </row>
    <row r="14" spans="1:93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93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93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1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O66"/>
  <sheetViews>
    <sheetView topLeftCell="BR1" zoomScale="70" zoomScaleNormal="70" workbookViewId="0">
      <selection activeCell="CH23" sqref="BS23:CH2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  <col min="89" max="89" width="17.7109375" bestFit="1" customWidth="1"/>
    <col min="90" max="90" width="11.140625" bestFit="1" customWidth="1"/>
    <col min="91" max="91" width="13.140625" bestFit="1" customWidth="1"/>
    <col min="92" max="92" width="12" bestFit="1" customWidth="1"/>
    <col min="93" max="93" width="10.710937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93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93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93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93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  <c r="CK7" t="s">
        <v>626</v>
      </c>
      <c r="CL7" t="s">
        <v>148</v>
      </c>
      <c r="CM7" t="s">
        <v>149</v>
      </c>
      <c r="CN7" t="s">
        <v>176</v>
      </c>
      <c r="CO7" t="s">
        <v>139</v>
      </c>
    </row>
    <row r="8" spans="1:93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  <c r="CK9" t="s">
        <v>125</v>
      </c>
      <c r="CL9" t="s">
        <v>5</v>
      </c>
      <c r="CM9" t="s">
        <v>5</v>
      </c>
      <c r="CN9" t="s">
        <v>7</v>
      </c>
      <c r="CO9" t="s">
        <v>125</v>
      </c>
    </row>
    <row r="10" spans="1:93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  <c r="CK10" t="s">
        <v>2</v>
      </c>
      <c r="CL10" t="s">
        <v>125</v>
      </c>
      <c r="CM10" t="s">
        <v>2</v>
      </c>
      <c r="CN10" t="s">
        <v>2</v>
      </c>
      <c r="CO10" t="s">
        <v>2</v>
      </c>
    </row>
    <row r="11" spans="1:93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  <c r="CK13" t="s">
        <v>3</v>
      </c>
      <c r="CL13" t="s">
        <v>3</v>
      </c>
      <c r="CM13" t="s">
        <v>3</v>
      </c>
      <c r="CN13" t="s">
        <v>3</v>
      </c>
      <c r="CO13" t="s">
        <v>3</v>
      </c>
    </row>
    <row r="14" spans="1:93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93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93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10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O59"/>
  <sheetViews>
    <sheetView topLeftCell="BH1" zoomScale="70" zoomScaleNormal="70" workbookViewId="0">
      <selection activeCell="CI9" sqref="CI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  <col min="89" max="89" width="17.7109375" bestFit="1" customWidth="1"/>
    <col min="90" max="90" width="13.140625" bestFit="1" customWidth="1"/>
    <col min="91" max="91" width="12" bestFit="1" customWidth="1"/>
    <col min="92" max="92" width="10.7109375" bestFit="1" customWidth="1"/>
    <col min="93" max="93" width="11.570312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93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93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93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93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  <c r="CK9" t="s">
        <v>3</v>
      </c>
      <c r="CL9" t="s">
        <v>3</v>
      </c>
      <c r="CM9" t="s">
        <v>3</v>
      </c>
      <c r="CN9" t="s">
        <v>3</v>
      </c>
      <c r="CO9" t="s">
        <v>3</v>
      </c>
    </row>
    <row r="10" spans="1:93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  <c r="CK12" t="s">
        <v>125</v>
      </c>
      <c r="CL12" t="s">
        <v>4</v>
      </c>
      <c r="CM12" t="s">
        <v>4</v>
      </c>
      <c r="CN12" t="s">
        <v>4</v>
      </c>
      <c r="CO12" t="s">
        <v>125</v>
      </c>
    </row>
    <row r="13" spans="1:93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  <c r="CK13" t="s">
        <v>124</v>
      </c>
      <c r="CL13" t="s">
        <v>5</v>
      </c>
      <c r="CM13" t="s">
        <v>7</v>
      </c>
      <c r="CN13" t="s">
        <v>125</v>
      </c>
      <c r="CO13" t="s">
        <v>124</v>
      </c>
    </row>
    <row r="14" spans="1:93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93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</row>
    <row r="16" spans="1:93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</sheetData>
  <conditionalFormatting sqref="E3:E58">
    <cfRule type="containsText" dxfId="9" priority="1" operator="containsText" text="kenneth">
      <formula>NOT(ISERROR(SEARCH("kenneth",E3)))</formula>
    </cfRule>
  </conditionalFormatting>
  <conditionalFormatting sqref="R9:R59">
    <cfRule type="duplicateValues" dxfId="8" priority="2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CL61"/>
  <sheetViews>
    <sheetView topLeftCell="AK1" zoomScale="70" zoomScaleNormal="70" workbookViewId="0">
      <selection activeCell="AZ23" sqref="AZ23"/>
    </sheetView>
  </sheetViews>
  <sheetFormatPr baseColWidth="10" defaultRowHeight="15" x14ac:dyDescent="0.25"/>
  <cols>
    <col min="7" max="7" width="14.42578125" bestFit="1" customWidth="1"/>
    <col min="86" max="86" width="17.7109375" bestFit="1" customWidth="1"/>
    <col min="87" max="87" width="12" bestFit="1" customWidth="1"/>
    <col min="88" max="88" width="11.5703125" bestFit="1" customWidth="1"/>
    <col min="89" max="89" width="11" bestFit="1" customWidth="1"/>
    <col min="90" max="90" width="10.7109375" bestFit="1" customWidth="1"/>
  </cols>
  <sheetData>
    <row r="1" spans="1:90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0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0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80" t="e">
        <f>VLOOKUP(D1_MARZO_202655[[#This Row],[ASESOR]],#REF!,2,0)</f>
        <v>#REF!</v>
      </c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90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80" t="e">
        <f>VLOOKUP(D1_MARZO_202655[[#This Row],[ASESOR]],#REF!,2,0)</f>
        <v>#REF!</v>
      </c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90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80" t="e">
        <f>VLOOKUP(D1_MARZO_202655[[#This Row],[ASESOR]],#REF!,2,0)</f>
        <v>#REF!</v>
      </c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V5" s="45"/>
    </row>
    <row r="6" spans="1:90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 t="e">
        <f>VLOOKUP(D1_MARZO_202655[[#This Row],[ASESOR]],#REF!,2,0)</f>
        <v>#REF!</v>
      </c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90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1.2169767441860466</v>
      </c>
      <c r="E7" s="35" t="str">
        <f>D1_MARZO_202655[[#This Row],[SUPER]]</f>
        <v>KENNETH</v>
      </c>
      <c r="F7" s="34" t="s">
        <v>97</v>
      </c>
      <c r="G7" s="36">
        <v>104660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  <c r="CH7" t="s">
        <v>626</v>
      </c>
      <c r="CI7" t="s">
        <v>176</v>
      </c>
      <c r="CJ7" t="s">
        <v>139</v>
      </c>
      <c r="CK7" t="s">
        <v>140</v>
      </c>
      <c r="CL7" t="s">
        <v>141</v>
      </c>
    </row>
    <row r="8" spans="1:90" x14ac:dyDescent="0.25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0.58436046511627904</v>
      </c>
      <c r="E8" s="35" t="str">
        <f>D1_MARZO_202655[[#This Row],[SUPER]]</f>
        <v>KENNETH</v>
      </c>
      <c r="F8" s="34" t="s">
        <v>35</v>
      </c>
      <c r="G8" s="36">
        <v>50255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t="s">
        <v>533</v>
      </c>
      <c r="T8" t="s">
        <v>503</v>
      </c>
      <c r="U8" t="s">
        <v>525</v>
      </c>
      <c r="V8" t="s">
        <v>529</v>
      </c>
      <c r="W8" t="s">
        <v>504</v>
      </c>
      <c r="X8" t="s">
        <v>505</v>
      </c>
      <c r="Y8" t="s">
        <v>506</v>
      </c>
      <c r="Z8" t="s">
        <v>508</v>
      </c>
      <c r="AA8" t="s">
        <v>526</v>
      </c>
      <c r="AB8" t="s">
        <v>530</v>
      </c>
      <c r="AC8" t="s">
        <v>509</v>
      </c>
      <c r="AD8" t="s">
        <v>510</v>
      </c>
      <c r="AE8" t="s">
        <v>511</v>
      </c>
      <c r="AF8" t="s">
        <v>512</v>
      </c>
      <c r="AG8" t="s">
        <v>513</v>
      </c>
      <c r="AH8" t="s">
        <v>527</v>
      </c>
      <c r="AI8" t="s">
        <v>531</v>
      </c>
      <c r="AJ8" t="s">
        <v>514</v>
      </c>
      <c r="AK8" t="s">
        <v>515</v>
      </c>
      <c r="AL8" t="s">
        <v>516</v>
      </c>
      <c r="AM8" t="s">
        <v>517</v>
      </c>
      <c r="AN8" t="s">
        <v>518</v>
      </c>
      <c r="AO8" t="s">
        <v>528</v>
      </c>
      <c r="AP8" t="s">
        <v>532</v>
      </c>
      <c r="AQ8" t="s">
        <v>519</v>
      </c>
      <c r="AR8" t="s">
        <v>520</v>
      </c>
      <c r="AS8" t="s">
        <v>521</v>
      </c>
      <c r="AT8" t="s">
        <v>522</v>
      </c>
      <c r="AU8" t="s">
        <v>523</v>
      </c>
      <c r="AV8" s="14" t="s">
        <v>502</v>
      </c>
      <c r="AX8" s="18" t="s">
        <v>135</v>
      </c>
      <c r="AY8" s="18" t="s">
        <v>137</v>
      </c>
      <c r="AZ8" s="18" t="s">
        <v>138</v>
      </c>
      <c r="BA8" s="19" t="s">
        <v>94</v>
      </c>
      <c r="BB8" s="19" t="s">
        <v>533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508</v>
      </c>
      <c r="BJ8" s="19" t="s">
        <v>526</v>
      </c>
      <c r="BK8" s="19" t="s">
        <v>530</v>
      </c>
      <c r="BL8" s="19" t="s">
        <v>509</v>
      </c>
      <c r="BM8" s="19" t="s">
        <v>510</v>
      </c>
      <c r="BN8" s="19" t="s">
        <v>511</v>
      </c>
      <c r="BO8" s="19" t="s">
        <v>512</v>
      </c>
      <c r="BP8" s="19" t="s">
        <v>513</v>
      </c>
      <c r="BQ8" s="19" t="s">
        <v>527</v>
      </c>
      <c r="BR8" s="19" t="s">
        <v>531</v>
      </c>
      <c r="BS8" s="19" t="s">
        <v>514</v>
      </c>
      <c r="BT8" s="19" t="s">
        <v>515</v>
      </c>
      <c r="BU8" s="19" t="s">
        <v>516</v>
      </c>
      <c r="BV8" s="19" t="s">
        <v>517</v>
      </c>
      <c r="BW8" s="19" t="s">
        <v>518</v>
      </c>
      <c r="BX8" s="19" t="s">
        <v>528</v>
      </c>
      <c r="BY8" s="19" t="s">
        <v>532</v>
      </c>
      <c r="BZ8" s="19" t="s">
        <v>519</v>
      </c>
      <c r="CA8" s="19" t="s">
        <v>520</v>
      </c>
      <c r="CB8" s="19" t="s">
        <v>521</v>
      </c>
      <c r="CC8" s="19" t="s">
        <v>522</v>
      </c>
      <c r="CD8" s="19" t="s">
        <v>523</v>
      </c>
      <c r="CE8" s="18" t="s">
        <v>134</v>
      </c>
      <c r="CG8" s="74" t="s">
        <v>627</v>
      </c>
      <c r="CH8" s="74" t="s">
        <v>533</v>
      </c>
      <c r="CI8" s="74" t="s">
        <v>503</v>
      </c>
      <c r="CJ8" s="74" t="s">
        <v>525</v>
      </c>
      <c r="CK8" s="74" t="s">
        <v>529</v>
      </c>
    </row>
    <row r="9" spans="1:90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0.40381976744186049</v>
      </c>
      <c r="E9" s="35" t="str">
        <f>D1_MARZO_202655[[#This Row],[SUPER]]</f>
        <v>KENNETH</v>
      </c>
      <c r="F9" s="34" t="s">
        <v>37</v>
      </c>
      <c r="G9" s="36">
        <v>34728.5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0.70901785714285714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IFERROR(VLOOKUP(DATA_MARZO_202651[[#This Row],[ASER_]],$B:$G,4,0),"")</f>
        <v>JOHAN</v>
      </c>
      <c r="P9" s="6">
        <f>SUM(DATA_MARZO_202651[[#This Row],[1]:[30]])</f>
        <v>39705</v>
      </c>
      <c r="Q9" s="6">
        <f>VLOOKUP(DATA_MARZO_202651[[#This Row],[ASER_]],D1_MARZO_202655[[ASESOR_CRR]:[META]],2,0)</f>
        <v>56000</v>
      </c>
      <c r="R9" t="s">
        <v>18</v>
      </c>
      <c r="S9">
        <v>0</v>
      </c>
      <c r="W9">
        <v>4900</v>
      </c>
      <c r="AA9">
        <v>8000</v>
      </c>
      <c r="AD9">
        <v>2000</v>
      </c>
      <c r="AK9">
        <v>16600</v>
      </c>
      <c r="AN9">
        <v>3000</v>
      </c>
      <c r="AO9">
        <v>4000</v>
      </c>
      <c r="AU9">
        <v>1205</v>
      </c>
      <c r="AV9" s="55" t="str" cm="1">
        <f t="array" ref="AV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9" s="10">
        <f>SUMIFS(TablaMeta[Meta_Equipo],TablaMeta[CONCAT],$M$3&amp;$N$3&amp;DITE_MARZO_202656[[#This Row],[SUPER]])</f>
        <v>504401</v>
      </c>
      <c r="AY9" s="10">
        <f>MAX(DITE_MARZO_202656[[#This Row],[SUPER]:[CARTERA]])</f>
        <v>648361.04</v>
      </c>
      <c r="AZ9" s="16">
        <f>IFERROR(DITE_MARZO_202656[[#This Row],[RECUPERO SUPERVISOR]]/DITE_MARZO_202656[[#This Row],[META SUPER]],"")</f>
        <v>1.285407919492626</v>
      </c>
      <c r="BA9" s="10" t="s">
        <v>3</v>
      </c>
      <c r="BB9" s="46">
        <v>1000</v>
      </c>
      <c r="BC9" s="46">
        <v>7083.4</v>
      </c>
      <c r="BD9" s="46">
        <v>34238.26</v>
      </c>
      <c r="BE9" s="46">
        <v>75348.420000000013</v>
      </c>
      <c r="BF9" s="46">
        <v>124259.78000000001</v>
      </c>
      <c r="BG9" s="46">
        <v>138813.78000000003</v>
      </c>
      <c r="BH9" s="46">
        <v>138813.78000000003</v>
      </c>
      <c r="BI9" s="46">
        <v>207416.18000000002</v>
      </c>
      <c r="BJ9" s="46">
        <v>217809.18000000002</v>
      </c>
      <c r="BK9" s="46">
        <v>229975.18000000002</v>
      </c>
      <c r="BL9" s="46">
        <v>268950.18000000005</v>
      </c>
      <c r="BM9" s="46">
        <v>279415.94000000006</v>
      </c>
      <c r="BN9" s="46">
        <v>281625.94000000006</v>
      </c>
      <c r="BO9" s="46">
        <v>281625.94000000006</v>
      </c>
      <c r="BP9" s="46">
        <v>306678.94000000006</v>
      </c>
      <c r="BQ9" s="46">
        <v>345244.04000000004</v>
      </c>
      <c r="BR9" s="46">
        <v>386284.04000000004</v>
      </c>
      <c r="BS9" s="46">
        <v>404004.04000000004</v>
      </c>
      <c r="BT9" s="46">
        <v>428939.04000000004</v>
      </c>
      <c r="BU9" s="46">
        <v>433321.04000000004</v>
      </c>
      <c r="BV9" s="46">
        <v>434291.04000000004</v>
      </c>
      <c r="BW9" s="46">
        <v>454911.04000000004</v>
      </c>
      <c r="BX9" s="46">
        <v>468206.04000000004</v>
      </c>
      <c r="BY9" s="46">
        <v>512071.04000000004</v>
      </c>
      <c r="BZ9" s="46">
        <v>536986.04</v>
      </c>
      <c r="CA9" s="46">
        <v>563806.04</v>
      </c>
      <c r="CB9" s="46">
        <v>569876.04</v>
      </c>
      <c r="CC9" s="46">
        <v>572876.04</v>
      </c>
      <c r="CD9" s="81">
        <v>648361.04</v>
      </c>
      <c r="CE9" s="82" t="str">
        <f>VLOOKUP($M$3&amp;$N$3&amp;DITE_MARZO_202656[[#This Row],[SUPER]],TablaMeta[],7,0)</f>
        <v>S0 - IBK</v>
      </c>
      <c r="CG9" t="s">
        <v>3</v>
      </c>
      <c r="CH9" t="s">
        <v>2</v>
      </c>
      <c r="CI9" t="s">
        <v>2</v>
      </c>
      <c r="CJ9" t="s">
        <v>2</v>
      </c>
      <c r="CK9" t="s">
        <v>3</v>
      </c>
    </row>
    <row r="10" spans="1:90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1.8985245901639345</v>
      </c>
      <c r="E10" s="35" t="str">
        <f>D1_MARZO_202655[[#This Row],[SUPER]]</f>
        <v>KENNETH</v>
      </c>
      <c r="F10" s="34" t="s">
        <v>34</v>
      </c>
      <c r="G10" s="36">
        <v>57905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0.26267857142857143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IFERROR(VLOOKUP(DATA_MARZO_202651[[#This Row],[ASER_]],$B:$G,4,0),"")</f>
        <v>JOHAN</v>
      </c>
      <c r="P10" s="6">
        <f>SUM(DATA_MARZO_202651[[#This Row],[1]:[30]])</f>
        <v>14710</v>
      </c>
      <c r="Q10" s="6">
        <f>VLOOKUP(DATA_MARZO_202651[[#This Row],[ASER_]],D1_MARZO_202655[[ASESOR_CRR]:[META]],2,0)</f>
        <v>56000</v>
      </c>
      <c r="R10" t="s">
        <v>109</v>
      </c>
      <c r="S10">
        <v>0</v>
      </c>
      <c r="U10">
        <v>1000</v>
      </c>
      <c r="AA10">
        <v>610</v>
      </c>
      <c r="AG10">
        <v>375</v>
      </c>
      <c r="AH10">
        <v>8000</v>
      </c>
      <c r="AP10">
        <v>375</v>
      </c>
      <c r="AQ10">
        <v>850</v>
      </c>
      <c r="AU10">
        <v>3500</v>
      </c>
      <c r="AV10" s="55" t="str" cm="1">
        <f t="array" ref="AV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0" s="11">
        <f>SUMIFS(TablaMeta[Meta_Equipo],TablaMeta[CONCAT],$M$3&amp;$N$3&amp;DITE_MARZO_202656[[#This Row],[SUPER]])</f>
        <v>466781</v>
      </c>
      <c r="AY10" s="11">
        <f>MAX(DITE_MARZO_202656[[#This Row],[SUPER]:[CARTERA]])</f>
        <v>435619.15</v>
      </c>
      <c r="AZ10" s="17">
        <f>IFERROR(DITE_MARZO_202656[[#This Row],[RECUPERO SUPERVISOR]]/DITE_MARZO_202656[[#This Row],[META SUPER]],"")</f>
        <v>0.93324096310689597</v>
      </c>
      <c r="BA10" s="11" t="s">
        <v>6</v>
      </c>
      <c r="BB10" s="46">
        <v>266.5</v>
      </c>
      <c r="BC10" s="46">
        <v>2575.5</v>
      </c>
      <c r="BD10" s="46">
        <v>9375.5</v>
      </c>
      <c r="BE10" s="46">
        <v>14215.5</v>
      </c>
      <c r="BF10" s="46">
        <v>31878</v>
      </c>
      <c r="BG10" s="46">
        <v>43119</v>
      </c>
      <c r="BH10" s="46">
        <v>46619</v>
      </c>
      <c r="BI10" s="46">
        <v>65147</v>
      </c>
      <c r="BJ10" s="46">
        <v>83118</v>
      </c>
      <c r="BK10" s="46">
        <v>103268</v>
      </c>
      <c r="BL10" s="46">
        <v>118199</v>
      </c>
      <c r="BM10" s="46">
        <v>136879</v>
      </c>
      <c r="BN10" s="46">
        <v>137854</v>
      </c>
      <c r="BO10" s="46">
        <v>137854</v>
      </c>
      <c r="BP10" s="46">
        <v>152387</v>
      </c>
      <c r="BQ10" s="46">
        <v>191907</v>
      </c>
      <c r="BR10" s="46">
        <v>216647</v>
      </c>
      <c r="BS10" s="46">
        <v>231249.15</v>
      </c>
      <c r="BT10" s="46">
        <v>259081.15</v>
      </c>
      <c r="BU10" s="46">
        <v>259531.15</v>
      </c>
      <c r="BV10" s="46">
        <v>259531.15</v>
      </c>
      <c r="BW10" s="46">
        <v>275761.15000000002</v>
      </c>
      <c r="BX10" s="46">
        <v>290061.15000000002</v>
      </c>
      <c r="BY10" s="46">
        <v>311806.15000000002</v>
      </c>
      <c r="BZ10" s="46">
        <v>334506.15000000002</v>
      </c>
      <c r="CA10" s="46">
        <v>383255.15</v>
      </c>
      <c r="CB10" s="46">
        <v>383255.15</v>
      </c>
      <c r="CC10" s="46">
        <v>383255.15</v>
      </c>
      <c r="CD10" s="83">
        <v>435619.15</v>
      </c>
      <c r="CE10" s="11" t="str">
        <f>VLOOKUP($M$3&amp;$N$3&amp;DITE_MARZO_202656[[#This Row],[SUPER]],TablaMeta[],7,0)</f>
        <v>S0 - IBK</v>
      </c>
      <c r="CG10" t="s">
        <v>6</v>
      </c>
      <c r="CH10" t="s">
        <v>6</v>
      </c>
      <c r="CI10" t="s">
        <v>6</v>
      </c>
      <c r="CJ10" t="s">
        <v>6</v>
      </c>
      <c r="CK10" t="s">
        <v>6</v>
      </c>
    </row>
    <row r="11" spans="1:90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1.5744639344262295</v>
      </c>
      <c r="E11" s="35" t="str">
        <f>D1_MARZO_202655[[#This Row],[SUPER]]</f>
        <v>KENNETH</v>
      </c>
      <c r="F11" t="s">
        <v>19</v>
      </c>
      <c r="G11" s="3">
        <v>48021.15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1.1518928571428571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JOHAN</v>
      </c>
      <c r="P11" s="6">
        <f>SUM(DATA_MARZO_202651[[#This Row],[1]:[30]])</f>
        <v>64506</v>
      </c>
      <c r="Q11" s="6">
        <f>VLOOKUP(DATA_MARZO_202651[[#This Row],[ASER_]],D1_MARZO_202655[[ASESOR_CRR]:[META]],2,0)</f>
        <v>56000</v>
      </c>
      <c r="R11" t="s">
        <v>60</v>
      </c>
      <c r="S11">
        <v>0</v>
      </c>
      <c r="T11">
        <v>1377</v>
      </c>
      <c r="U11">
        <v>1370</v>
      </c>
      <c r="W11">
        <v>1900</v>
      </c>
      <c r="X11">
        <v>3200</v>
      </c>
      <c r="AA11">
        <v>3600</v>
      </c>
      <c r="AD11">
        <v>3300</v>
      </c>
      <c r="AH11">
        <v>7400</v>
      </c>
      <c r="AI11">
        <v>4800</v>
      </c>
      <c r="AK11">
        <v>21426</v>
      </c>
      <c r="AP11">
        <v>700</v>
      </c>
      <c r="AR11">
        <v>3230</v>
      </c>
      <c r="AU11">
        <v>12203</v>
      </c>
      <c r="AV11" s="55" t="str" cm="1">
        <f t="array" ref="AV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1" s="10">
        <f>SUMIFS(TablaMeta[Meta_Equipo],TablaMeta[CONCAT],$M$3&amp;$N$3&amp;DITE_MARZO_202656[[#This Row],[SUPER]])</f>
        <v>609835</v>
      </c>
      <c r="AY11" s="10">
        <f>MAX(DITE_MARZO_202656[[#This Row],[SUPER]:[CARTERA]])</f>
        <v>360924.15</v>
      </c>
      <c r="AZ11" s="16">
        <f>IFERROR(DITE_MARZO_202656[[#This Row],[RECUPERO SUPERVISOR]]/DITE_MARZO_202656[[#This Row],[META SUPER]],"")</f>
        <v>0.59183902203054928</v>
      </c>
      <c r="BA11" s="10" t="s">
        <v>2</v>
      </c>
      <c r="BB11" s="46">
        <v>420</v>
      </c>
      <c r="BC11" s="46">
        <v>5117</v>
      </c>
      <c r="BD11" s="46">
        <v>24722</v>
      </c>
      <c r="BE11" s="46">
        <v>43930</v>
      </c>
      <c r="BF11" s="46">
        <v>69813</v>
      </c>
      <c r="BG11" s="46">
        <v>76028</v>
      </c>
      <c r="BH11" s="46">
        <v>76028</v>
      </c>
      <c r="BI11" s="46">
        <v>91059.65</v>
      </c>
      <c r="BJ11" s="46">
        <v>101935.65</v>
      </c>
      <c r="BK11" s="46">
        <v>112635.65</v>
      </c>
      <c r="BL11" s="46">
        <v>118227.65</v>
      </c>
      <c r="BM11" s="46">
        <v>121737.65</v>
      </c>
      <c r="BN11" s="46">
        <v>140893.65</v>
      </c>
      <c r="BO11" s="46">
        <v>142393.65</v>
      </c>
      <c r="BP11" s="46">
        <v>164613.65</v>
      </c>
      <c r="BQ11" s="46">
        <v>196313.65</v>
      </c>
      <c r="BR11" s="46">
        <v>219413.65</v>
      </c>
      <c r="BS11" s="46">
        <v>233811.15</v>
      </c>
      <c r="BT11" s="46">
        <v>243886.15</v>
      </c>
      <c r="BU11" s="46">
        <v>244486.15</v>
      </c>
      <c r="BV11" s="46">
        <v>244486.15</v>
      </c>
      <c r="BW11" s="46">
        <v>271039.15000000002</v>
      </c>
      <c r="BX11" s="46">
        <v>297119.15000000002</v>
      </c>
      <c r="BY11" s="46">
        <v>308559.15000000002</v>
      </c>
      <c r="BZ11" s="46">
        <v>317109.15000000002</v>
      </c>
      <c r="CA11" s="46">
        <v>333067.15000000002</v>
      </c>
      <c r="CB11" s="46">
        <v>333967.15000000002</v>
      </c>
      <c r="CC11" s="46">
        <v>333967.15000000002</v>
      </c>
      <c r="CD11" s="83">
        <v>360924.15</v>
      </c>
      <c r="CE11" s="11" t="str">
        <f>VLOOKUP($M$3&amp;$N$3&amp;DITE_MARZO_202656[[#This Row],[SUPER]],TablaMeta[],7,0)</f>
        <v>S1</v>
      </c>
      <c r="CG11" t="s">
        <v>2</v>
      </c>
      <c r="CH11" t="s">
        <v>3</v>
      </c>
      <c r="CI11" t="s">
        <v>3</v>
      </c>
      <c r="CJ11" t="s">
        <v>3</v>
      </c>
      <c r="CK11" t="s">
        <v>2</v>
      </c>
    </row>
    <row r="12" spans="1:90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1.1982295081967214</v>
      </c>
      <c r="E12" s="35" t="str">
        <f>D1_MARZO_202655[[#This Row],[SUPER]]</f>
        <v>KENNETH</v>
      </c>
      <c r="F12" t="s">
        <v>50</v>
      </c>
      <c r="G12" s="3">
        <v>36546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0.74501785714285718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&gt;70%</v>
      </c>
      <c r="O12" s="55" t="str">
        <f>IFERROR(VLOOKUP(DATA_MARZO_202651[[#This Row],[ASER_]],$B:$G,4,0),"")</f>
        <v>JORGE</v>
      </c>
      <c r="P12" s="6">
        <f>SUM(DATA_MARZO_202651[[#This Row],[1]:[30]])</f>
        <v>41721</v>
      </c>
      <c r="Q12" s="6">
        <f>VLOOKUP(DATA_MARZO_202651[[#This Row],[ASER_]],D1_MARZO_202655[[ASESOR_CRR]:[META]],2,0)</f>
        <v>56000</v>
      </c>
      <c r="R12" t="s">
        <v>15</v>
      </c>
      <c r="S12">
        <v>0</v>
      </c>
      <c r="T12">
        <v>3000</v>
      </c>
      <c r="U12">
        <v>6000</v>
      </c>
      <c r="Z12">
        <v>720</v>
      </c>
      <c r="AD12">
        <v>500</v>
      </c>
      <c r="AG12">
        <v>15600</v>
      </c>
      <c r="AJ12">
        <v>325</v>
      </c>
      <c r="AN12">
        <v>5500</v>
      </c>
      <c r="AQ12">
        <v>500</v>
      </c>
      <c r="AU12">
        <v>9576</v>
      </c>
      <c r="AV12" s="55" t="str" cm="1">
        <f t="array" ref="AV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2" s="11">
        <f>SUMIFS(TablaMeta[Meta_Equipo],TablaMeta[CONCAT],$M$3&amp;$N$3&amp;DITE_MARZO_202656[[#This Row],[SUPER]])</f>
        <v>609835</v>
      </c>
      <c r="AY12" s="11">
        <f>MAX(DITE_MARZO_202656[[#This Row],[SUPER]:[CARTERA]])</f>
        <v>429130.3</v>
      </c>
      <c r="AZ12" s="17">
        <f>IFERROR(DITE_MARZO_202656[[#This Row],[RECUPERO SUPERVISOR]]/DITE_MARZO_202656[[#This Row],[META SUPER]],"")</f>
        <v>0.70368263546697052</v>
      </c>
      <c r="BA12" s="11" t="s">
        <v>125</v>
      </c>
      <c r="BB12" s="46">
        <v>800</v>
      </c>
      <c r="BC12" s="46">
        <v>21427</v>
      </c>
      <c r="BD12" s="46">
        <v>29865</v>
      </c>
      <c r="BE12" s="46">
        <v>35665</v>
      </c>
      <c r="BF12" s="46">
        <v>44315</v>
      </c>
      <c r="BG12" s="46">
        <v>57815</v>
      </c>
      <c r="BH12" s="46">
        <v>57815</v>
      </c>
      <c r="BI12" s="46">
        <v>69765</v>
      </c>
      <c r="BJ12" s="46">
        <v>87775</v>
      </c>
      <c r="BK12" s="46">
        <v>95975</v>
      </c>
      <c r="BL12" s="46">
        <v>113190</v>
      </c>
      <c r="BM12" s="46">
        <v>133490</v>
      </c>
      <c r="BN12" s="46">
        <v>133490</v>
      </c>
      <c r="BO12" s="46">
        <v>133490</v>
      </c>
      <c r="BP12" s="46">
        <v>171865</v>
      </c>
      <c r="BQ12" s="46">
        <v>198633</v>
      </c>
      <c r="BR12" s="46">
        <v>236310</v>
      </c>
      <c r="BS12" s="46">
        <v>244870.3</v>
      </c>
      <c r="BT12" s="46">
        <v>295465.3</v>
      </c>
      <c r="BU12" s="46">
        <v>316565.3</v>
      </c>
      <c r="BV12" s="46">
        <v>316565.3</v>
      </c>
      <c r="BW12" s="46">
        <v>334785.3</v>
      </c>
      <c r="BX12" s="46">
        <v>352394.3</v>
      </c>
      <c r="BY12" s="46">
        <v>357519.3</v>
      </c>
      <c r="BZ12" s="46">
        <v>365799.3</v>
      </c>
      <c r="CA12" s="46">
        <v>399590.3</v>
      </c>
      <c r="CB12" s="46">
        <v>399990.3</v>
      </c>
      <c r="CC12" s="46">
        <v>399990.3</v>
      </c>
      <c r="CD12" s="83">
        <v>429130.3</v>
      </c>
      <c r="CE12" s="11" t="str">
        <f>VLOOKUP($M$3&amp;$N$3&amp;DITE_MARZO_202656[[#This Row],[SUPER]],TablaMeta[],7,0)</f>
        <v>S1</v>
      </c>
      <c r="CG12" t="s">
        <v>125</v>
      </c>
      <c r="CH12" t="s">
        <v>4</v>
      </c>
      <c r="CI12" t="s">
        <v>4</v>
      </c>
      <c r="CJ12" t="s">
        <v>125</v>
      </c>
      <c r="CK12" t="s">
        <v>125</v>
      </c>
    </row>
    <row r="13" spans="1:90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0.81859016393442618</v>
      </c>
      <c r="E13" s="35" t="str">
        <f>D1_MARZO_202655[[#This Row],[SUPER]]</f>
        <v>KENNETH</v>
      </c>
      <c r="F13" t="s">
        <v>11</v>
      </c>
      <c r="G13" s="3">
        <v>24967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0.27348214285714284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IFERROR(VLOOKUP(DATA_MARZO_202651[[#This Row],[ASER_]],$B:$G,4,0),"")</f>
        <v>JOHAN</v>
      </c>
      <c r="P13" s="6">
        <f>SUM(DATA_MARZO_202651[[#This Row],[1]:[30]])</f>
        <v>15315</v>
      </c>
      <c r="Q13" s="6">
        <f>VLOOKUP(DATA_MARZO_202651[[#This Row],[ASER_]],D1_MARZO_202655[[ASESOR_CRR]:[META]],2,0)</f>
        <v>56000</v>
      </c>
      <c r="R13" t="s">
        <v>85</v>
      </c>
      <c r="S13" s="47">
        <v>0</v>
      </c>
      <c r="T13">
        <v>4000</v>
      </c>
      <c r="W13">
        <v>315</v>
      </c>
      <c r="X13">
        <v>1000</v>
      </c>
      <c r="Z13">
        <v>1150</v>
      </c>
      <c r="AO13">
        <v>8500</v>
      </c>
      <c r="AP13">
        <v>350</v>
      </c>
      <c r="AV13" s="55" t="str" cm="1">
        <f t="array" ref="AV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3" s="10">
        <f>SUMIFS(TablaMeta[Meta_Equipo],TablaMeta[CONCAT],$M$3&amp;$N$3&amp;DITE_MARZO_202656[[#This Row],[SUPER]])</f>
        <v>268288</v>
      </c>
      <c r="AY13" s="10">
        <f>MAX(DITE_MARZO_202656[[#This Row],[SUPER]:[CARTERA]])</f>
        <v>210779.56</v>
      </c>
      <c r="AZ13" s="16">
        <f>IFERROR(DITE_MARZO_202656[[#This Row],[RECUPERO SUPERVISOR]]/DITE_MARZO_202656[[#This Row],[META SUPER]],"")</f>
        <v>0.78564661855916029</v>
      </c>
      <c r="BA13" s="10" t="s">
        <v>7</v>
      </c>
      <c r="BB13" s="46">
        <v>1000</v>
      </c>
      <c r="BC13" s="46">
        <v>6050</v>
      </c>
      <c r="BD13" s="46">
        <v>10006</v>
      </c>
      <c r="BE13" s="46">
        <v>12850</v>
      </c>
      <c r="BF13" s="46">
        <v>19706</v>
      </c>
      <c r="BG13" s="46">
        <v>28294</v>
      </c>
      <c r="BH13" s="46">
        <v>28294</v>
      </c>
      <c r="BI13" s="46">
        <v>48677</v>
      </c>
      <c r="BJ13" s="46">
        <v>59626</v>
      </c>
      <c r="BK13" s="45">
        <v>65226</v>
      </c>
      <c r="BL13" s="46">
        <v>75526</v>
      </c>
      <c r="BM13" s="46">
        <v>82476</v>
      </c>
      <c r="BN13" s="46">
        <v>82476</v>
      </c>
      <c r="BO13" s="46">
        <v>82676</v>
      </c>
      <c r="BP13" s="45">
        <v>92006</v>
      </c>
      <c r="BQ13" s="46">
        <v>106767</v>
      </c>
      <c r="BR13" s="46">
        <v>115584.13</v>
      </c>
      <c r="BS13" s="46">
        <v>129408.13</v>
      </c>
      <c r="BT13" s="45">
        <v>140218.13</v>
      </c>
      <c r="BU13" s="46">
        <v>140218.13</v>
      </c>
      <c r="BV13" s="46">
        <v>140218.13</v>
      </c>
      <c r="BW13" s="46">
        <v>143120.13</v>
      </c>
      <c r="BX13" s="46">
        <v>153014.56</v>
      </c>
      <c r="BY13" s="46">
        <v>162314.56</v>
      </c>
      <c r="BZ13" s="46">
        <v>169164.56</v>
      </c>
      <c r="CA13" s="46">
        <v>189454.56</v>
      </c>
      <c r="CB13" s="46">
        <v>190754.56</v>
      </c>
      <c r="CC13" s="46">
        <v>191354.56</v>
      </c>
      <c r="CD13" s="46">
        <v>210779.56</v>
      </c>
      <c r="CE13" s="84" t="str">
        <f>VLOOKUP($M$3&amp;$N$3&amp;DITE_MARZO_202656[[#This Row],[SUPER]],TablaMeta[],7,0)</f>
        <v>S2-3-4 BANCO</v>
      </c>
      <c r="CG13" t="s">
        <v>7</v>
      </c>
      <c r="CH13" t="s">
        <v>7</v>
      </c>
      <c r="CI13" t="s">
        <v>125</v>
      </c>
      <c r="CJ13" t="s">
        <v>124</v>
      </c>
      <c r="CK13" t="s">
        <v>7</v>
      </c>
    </row>
    <row r="14" spans="1:90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0.71762295081967209</v>
      </c>
      <c r="E14" s="35" t="str">
        <f>D1_MARZO_202655[[#This Row],[SUPER]]</f>
        <v>KENNETH</v>
      </c>
      <c r="F14" t="s">
        <v>105</v>
      </c>
      <c r="G14" s="3">
        <v>21887.5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0.94738461538461538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&gt;70%</v>
      </c>
      <c r="O14" s="55" t="str">
        <f>IFERROR(VLOOKUP(DATA_MARZO_202651[[#This Row],[ASER_]],$B:$G,4,0),"")</f>
        <v>SANDY</v>
      </c>
      <c r="P14" s="6">
        <f>SUM(DATA_MARZO_202651[[#This Row],[1]:[30]])</f>
        <v>30790</v>
      </c>
      <c r="Q14" s="6">
        <f>VLOOKUP(DATA_MARZO_202651[[#This Row],[ASER_]],D1_MARZO_202655[[ASESOR_CRR]:[META]],2,0)</f>
        <v>32500</v>
      </c>
      <c r="R14" t="s">
        <v>174</v>
      </c>
      <c r="S14" s="47">
        <v>0</v>
      </c>
      <c r="W14">
        <v>200</v>
      </c>
      <c r="Z14">
        <v>350</v>
      </c>
      <c r="AA14">
        <v>4000</v>
      </c>
      <c r="AB14">
        <v>110</v>
      </c>
      <c r="AC14">
        <v>380</v>
      </c>
      <c r="AD14">
        <v>200</v>
      </c>
      <c r="AG14">
        <v>5000</v>
      </c>
      <c r="AH14">
        <v>6800</v>
      </c>
      <c r="AJ14">
        <v>250</v>
      </c>
      <c r="AK14">
        <v>3200</v>
      </c>
      <c r="AP14">
        <v>1200</v>
      </c>
      <c r="AR14">
        <v>100</v>
      </c>
      <c r="AS14">
        <v>3500</v>
      </c>
      <c r="AU14">
        <v>5500</v>
      </c>
      <c r="AV14" s="55" t="str" cm="1">
        <f t="array" ref="AV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15" spans="1:90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0.75075409836065576</v>
      </c>
      <c r="E15" s="35" t="str">
        <f>D1_MARZO_202655[[#This Row],[SUPER]]</f>
        <v>KENNETH</v>
      </c>
      <c r="F15" t="s">
        <v>81</v>
      </c>
      <c r="G15" s="3">
        <v>22898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1.5744639344262295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IFERROR(VLOOKUP(DATA_MARZO_202651[[#This Row],[ASER_]],$B:$G,4,0),"")</f>
        <v>KENNETH</v>
      </c>
      <c r="P15" s="6">
        <f>SUM(DATA_MARZO_202651[[#This Row],[1]:[30]])</f>
        <v>48021.15</v>
      </c>
      <c r="Q15" s="6">
        <f>VLOOKUP(DATA_MARZO_202651[[#This Row],[ASER_]],D1_MARZO_202655[[ASESOR_CRR]:[META]],2,0)</f>
        <v>30500</v>
      </c>
      <c r="R15" t="s">
        <v>19</v>
      </c>
      <c r="S15" s="47">
        <v>0</v>
      </c>
      <c r="W15">
        <v>200</v>
      </c>
      <c r="AB15">
        <v>1000</v>
      </c>
      <c r="AC15">
        <v>4000</v>
      </c>
      <c r="AD15">
        <v>10000</v>
      </c>
      <c r="AE15">
        <v>400</v>
      </c>
      <c r="AH15">
        <v>3800</v>
      </c>
      <c r="AJ15">
        <v>3000.15</v>
      </c>
      <c r="AK15">
        <v>1875</v>
      </c>
      <c r="AN15">
        <v>2500</v>
      </c>
      <c r="AO15">
        <v>380</v>
      </c>
      <c r="AP15">
        <v>9500</v>
      </c>
      <c r="AQ15">
        <v>4300</v>
      </c>
      <c r="AU15">
        <v>7066</v>
      </c>
      <c r="AV15" s="55" t="str" cm="1">
        <f t="array" ref="AV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N15" s="45"/>
      <c r="BP15" s="45"/>
      <c r="BQ15" s="45"/>
      <c r="BS15" s="45"/>
    </row>
    <row r="16" spans="1:90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0.76544262295081966</v>
      </c>
      <c r="E16" s="35" t="str">
        <f>D1_MARZO_202655[[#This Row],[SUPER]]</f>
        <v>KENNETH</v>
      </c>
      <c r="F16" t="s">
        <v>80</v>
      </c>
      <c r="G16" s="3">
        <v>23346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0.52193750000000005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&gt;40%</v>
      </c>
      <c r="O16" s="55" t="str">
        <f>IFERROR(VLOOKUP(DATA_MARZO_202651[[#This Row],[ASER_]],$B:$G,4,0),"")</f>
        <v>LEONOR</v>
      </c>
      <c r="P16" s="6">
        <f>SUM(DATA_MARZO_202651[[#This Row],[1]:[30]])</f>
        <v>8351</v>
      </c>
      <c r="Q16" s="6">
        <f>VLOOKUP(DATA_MARZO_202651[[#This Row],[ASER_]],D1_MARZO_202655[[ASESOR_CRR]:[META]],2,0)</f>
        <v>16000</v>
      </c>
      <c r="R16" t="s">
        <v>41</v>
      </c>
      <c r="S16">
        <v>0</v>
      </c>
      <c r="U16">
        <v>1386</v>
      </c>
      <c r="X16">
        <v>458</v>
      </c>
      <c r="Z16">
        <v>2000</v>
      </c>
      <c r="AB16">
        <v>857</v>
      </c>
      <c r="AC16">
        <v>500</v>
      </c>
      <c r="AN16">
        <v>250</v>
      </c>
      <c r="AP16">
        <v>2000</v>
      </c>
      <c r="AS16">
        <v>300</v>
      </c>
      <c r="AU16">
        <v>600</v>
      </c>
      <c r="AV16" s="55" t="str" cm="1">
        <f t="array" ref="AV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N16" s="45"/>
      <c r="BO16" s="45"/>
      <c r="BP16" s="45"/>
      <c r="BQ16" s="45"/>
      <c r="BS16" s="45"/>
      <c r="BT16" s="45"/>
      <c r="BU16" s="45"/>
      <c r="CD16" s="45"/>
    </row>
    <row r="17" spans="1:82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3.4666153846153844</v>
      </c>
      <c r="E17" s="35" t="str">
        <f>D1_MARZO_202655[[#This Row],[SUPER]]</f>
        <v>SANDY</v>
      </c>
      <c r="F17" t="s">
        <v>79</v>
      </c>
      <c r="G17" s="3">
        <v>112665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1.2330892857142857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&gt;100%</v>
      </c>
      <c r="O17" s="55" t="str">
        <f>IFERROR(VLOOKUP(DATA_MARZO_202651[[#This Row],[ASER_]],$B:$G,4,0),"")</f>
        <v>JOHAN</v>
      </c>
      <c r="P17" s="6">
        <f>SUM(DATA_MARZO_202651[[#This Row],[1]:[30]])</f>
        <v>69053</v>
      </c>
      <c r="Q17" s="6">
        <f>VLOOKUP(DATA_MARZO_202651[[#This Row],[ASER_]],D1_MARZO_202655[[ASESOR_CRR]:[META]],2,0)</f>
        <v>56000</v>
      </c>
      <c r="R17" t="s">
        <v>61</v>
      </c>
      <c r="S17" s="45">
        <v>800</v>
      </c>
      <c r="T17">
        <v>5750</v>
      </c>
      <c r="U17">
        <v>438</v>
      </c>
      <c r="W17">
        <v>1065</v>
      </c>
      <c r="Z17">
        <v>600</v>
      </c>
      <c r="AA17">
        <v>5800</v>
      </c>
      <c r="AB17">
        <v>1900</v>
      </c>
      <c r="AC17">
        <v>3500</v>
      </c>
      <c r="AD17">
        <v>2000</v>
      </c>
      <c r="AI17">
        <v>18200</v>
      </c>
      <c r="AJ17">
        <v>700</v>
      </c>
      <c r="AK17">
        <v>2500</v>
      </c>
      <c r="AL17">
        <v>20000</v>
      </c>
      <c r="AR17">
        <v>5000</v>
      </c>
      <c r="AS17">
        <v>400</v>
      </c>
      <c r="AU17">
        <v>400</v>
      </c>
      <c r="AV17" s="55" t="str" cm="1">
        <f t="array" ref="AV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17" s="45"/>
      <c r="BO17" s="45"/>
      <c r="BP17" s="47"/>
      <c r="BQ17" s="47"/>
      <c r="BS17" s="47"/>
      <c r="BT17" s="45"/>
      <c r="BU17" s="45"/>
      <c r="BW17" s="45"/>
      <c r="CB17" s="45"/>
      <c r="CC17" s="45"/>
      <c r="CD17" s="45"/>
    </row>
    <row r="18" spans="1:82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1.9063692307692308</v>
      </c>
      <c r="E18" s="35" t="str">
        <f>D1_MARZO_202655[[#This Row],[SUPER]]</f>
        <v>SANDY</v>
      </c>
      <c r="F18" t="s">
        <v>32</v>
      </c>
      <c r="G18" s="3">
        <v>61957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0.76544262295081966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&gt;70%</v>
      </c>
      <c r="O18" s="55" t="str">
        <f>IFERROR(VLOOKUP(DATA_MARZO_202651[[#This Row],[ASER_]],$B:$G,4,0),"")</f>
        <v>KENNETH</v>
      </c>
      <c r="P18" s="6">
        <f>SUM(DATA_MARZO_202651[[#This Row],[1]:[30]])</f>
        <v>23346</v>
      </c>
      <c r="Q18" s="6">
        <f>VLOOKUP(DATA_MARZO_202651[[#This Row],[ASER_]],D1_MARZO_202655[[ASESOR_CRR]:[META]],2,0)</f>
        <v>30500</v>
      </c>
      <c r="R18" t="s">
        <v>80</v>
      </c>
      <c r="S18">
        <v>0</v>
      </c>
      <c r="U18">
        <v>1000</v>
      </c>
      <c r="W18">
        <v>860</v>
      </c>
      <c r="X18">
        <v>5000</v>
      </c>
      <c r="Z18">
        <v>550</v>
      </c>
      <c r="AA18">
        <v>5000</v>
      </c>
      <c r="AD18">
        <v>4000</v>
      </c>
      <c r="AG18">
        <v>400</v>
      </c>
      <c r="AI18">
        <v>550</v>
      </c>
      <c r="AJ18">
        <v>232</v>
      </c>
      <c r="AK18">
        <v>700</v>
      </c>
      <c r="AN18">
        <v>2500</v>
      </c>
      <c r="AP18">
        <v>1000</v>
      </c>
      <c r="AR18">
        <v>654</v>
      </c>
      <c r="AU18">
        <v>900</v>
      </c>
      <c r="AV18" s="55" t="str" cm="1">
        <f t="array" ref="AV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8" s="45"/>
      <c r="BC18" s="45"/>
      <c r="BD18" s="45"/>
      <c r="BE18" s="45"/>
      <c r="BF18" s="45"/>
      <c r="BG18" s="45"/>
      <c r="BH18" s="45"/>
      <c r="BI18" s="45"/>
      <c r="BO18" s="47"/>
      <c r="BP18" s="45"/>
      <c r="BQ18" s="45"/>
      <c r="BS18" s="45"/>
      <c r="BT18" s="47"/>
      <c r="BU18" s="47"/>
      <c r="BW18" s="45"/>
      <c r="BX18" s="45"/>
      <c r="CB18" s="45"/>
      <c r="CC18" s="45"/>
      <c r="CD18" s="47"/>
    </row>
    <row r="19" spans="1:82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1.4896738461538461</v>
      </c>
      <c r="E19" s="35" t="str">
        <f>D1_MARZO_202655[[#This Row],[SUPER]]</f>
        <v>SANDY</v>
      </c>
      <c r="F19" t="s">
        <v>29</v>
      </c>
      <c r="G19" s="3">
        <v>48414.400000000001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0.75075409836065576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&gt;70%</v>
      </c>
      <c r="O19" s="55" t="str">
        <f>IFERROR(VLOOKUP(DATA_MARZO_202651[[#This Row],[ASER_]],$B:$G,4,0),"")</f>
        <v>KENNETH</v>
      </c>
      <c r="P19" s="6">
        <f>SUM(DATA_MARZO_202651[[#This Row],[1]:[30]])</f>
        <v>22898</v>
      </c>
      <c r="Q19" s="6">
        <f>VLOOKUP(DATA_MARZO_202651[[#This Row],[ASER_]],D1_MARZO_202655[[ASESOR_CRR]:[META]],2,0)</f>
        <v>30500</v>
      </c>
      <c r="R19" t="s">
        <v>81</v>
      </c>
      <c r="S19">
        <v>0</v>
      </c>
      <c r="T19">
        <v>509</v>
      </c>
      <c r="V19">
        <v>345</v>
      </c>
      <c r="W19">
        <v>1100</v>
      </c>
      <c r="X19">
        <v>3650</v>
      </c>
      <c r="AB19">
        <v>2200</v>
      </c>
      <c r="AC19">
        <v>526</v>
      </c>
      <c r="AD19">
        <v>180</v>
      </c>
      <c r="AH19">
        <v>210</v>
      </c>
      <c r="AI19">
        <v>645</v>
      </c>
      <c r="AJ19">
        <v>100</v>
      </c>
      <c r="AK19">
        <v>200</v>
      </c>
      <c r="AO19">
        <v>4500</v>
      </c>
      <c r="AP19">
        <v>2000</v>
      </c>
      <c r="AR19">
        <v>1035</v>
      </c>
      <c r="AU19">
        <v>5698</v>
      </c>
      <c r="AV19" s="55" t="str" cm="1">
        <f t="array" ref="AV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9" s="45"/>
      <c r="BC19" s="45"/>
      <c r="BD19" s="45"/>
      <c r="BE19" s="45"/>
      <c r="BF19" s="45"/>
      <c r="BG19" s="45"/>
      <c r="BH19" s="45"/>
      <c r="BI19" s="45"/>
      <c r="BO19" s="47"/>
      <c r="BP19" s="45"/>
      <c r="BQ19" s="45"/>
      <c r="BS19" s="45"/>
      <c r="BT19" s="47"/>
      <c r="BU19" s="47"/>
      <c r="BW19" s="45"/>
      <c r="BX19" s="45"/>
      <c r="CB19" s="47"/>
      <c r="CC19" s="47"/>
      <c r="CD19" s="47"/>
    </row>
    <row r="20" spans="1:82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0.42967857142857141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&gt;40%</v>
      </c>
      <c r="O20" s="55" t="str">
        <f>IFERROR(VLOOKUP(DATA_MARZO_202651[[#This Row],[ASER_]],$B:$G,4,0),"")</f>
        <v>JORGE</v>
      </c>
      <c r="P20" s="6">
        <f>SUM(DATA_MARZO_202651[[#This Row],[1]:[30]])</f>
        <v>24062</v>
      </c>
      <c r="Q20" s="6">
        <f>VLOOKUP(DATA_MARZO_202651[[#This Row],[ASER_]],D1_MARZO_202655[[ASESOR_CRR]:[META]],2,0)</f>
        <v>56000</v>
      </c>
      <c r="R20" t="s">
        <v>377</v>
      </c>
      <c r="S20">
        <v>0</v>
      </c>
      <c r="V20">
        <v>2708</v>
      </c>
      <c r="X20">
        <v>600</v>
      </c>
      <c r="AA20">
        <v>600</v>
      </c>
      <c r="AC20">
        <v>4000</v>
      </c>
      <c r="AD20">
        <v>2300</v>
      </c>
      <c r="AG20">
        <v>220</v>
      </c>
      <c r="AI20">
        <v>6700</v>
      </c>
      <c r="AK20">
        <v>3500</v>
      </c>
      <c r="AQ20">
        <v>2000</v>
      </c>
      <c r="AR20">
        <v>1434</v>
      </c>
      <c r="AV20" s="55" t="str" cm="1">
        <f t="array" ref="AV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0" s="47"/>
      <c r="BC20" s="47"/>
      <c r="BD20" s="47"/>
      <c r="BE20" s="47"/>
      <c r="BF20" s="47"/>
      <c r="BG20" s="47"/>
      <c r="BH20" s="47"/>
      <c r="BI20" s="47"/>
      <c r="BO20" s="45"/>
      <c r="BU20" s="45"/>
      <c r="BW20" s="45"/>
      <c r="BX20" s="47"/>
      <c r="CA20" s="45"/>
      <c r="CB20" s="47"/>
      <c r="CC20" s="47"/>
      <c r="CD20" s="45"/>
    </row>
    <row r="21" spans="1:82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1.1995384615384614</v>
      </c>
      <c r="E21" s="35" t="str">
        <f>D1_MARZO_202655[[#This Row],[SUPER]]</f>
        <v>SANDY</v>
      </c>
      <c r="F21" t="s">
        <v>96</v>
      </c>
      <c r="G21" s="3">
        <v>38985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1.0736250000000001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LEONOR</v>
      </c>
      <c r="P21" s="6">
        <f>SUM(DATA_MARZO_202651[[#This Row],[1]:[30]])</f>
        <v>17178</v>
      </c>
      <c r="Q21" s="6">
        <f>VLOOKUP(DATA_MARZO_202651[[#This Row],[ASER_]],D1_MARZO_202655[[ASESOR_CRR]:[META]],2,0)</f>
        <v>16000</v>
      </c>
      <c r="R21" t="s">
        <v>495</v>
      </c>
      <c r="S21">
        <v>0</v>
      </c>
      <c r="T21">
        <v>4700</v>
      </c>
      <c r="V21">
        <v>494</v>
      </c>
      <c r="W21">
        <v>1511</v>
      </c>
      <c r="X21">
        <v>500</v>
      </c>
      <c r="AA21">
        <v>450</v>
      </c>
      <c r="AB21">
        <v>1903</v>
      </c>
      <c r="AD21">
        <v>300</v>
      </c>
      <c r="AF21">
        <v>200</v>
      </c>
      <c r="AG21">
        <v>680</v>
      </c>
      <c r="AH21">
        <v>300</v>
      </c>
      <c r="AK21">
        <v>350</v>
      </c>
      <c r="AN21">
        <v>150</v>
      </c>
      <c r="AP21">
        <v>200</v>
      </c>
      <c r="AQ21">
        <v>1715</v>
      </c>
      <c r="AR21">
        <v>3170</v>
      </c>
      <c r="AU21">
        <v>555</v>
      </c>
      <c r="AV21" s="55" t="str" cm="1">
        <f t="array" ref="AV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B21" s="47"/>
      <c r="BC21" s="47"/>
      <c r="BD21" s="47"/>
      <c r="BE21" s="47"/>
      <c r="BF21" s="47"/>
      <c r="BG21" s="47"/>
      <c r="BH21" s="47"/>
      <c r="BI21" s="47"/>
      <c r="BW21" s="45"/>
      <c r="BX21" s="47"/>
      <c r="CA21" s="45"/>
      <c r="CB21" s="45"/>
      <c r="CC21" s="45"/>
    </row>
    <row r="22" spans="1:82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0.94738461538461538</v>
      </c>
      <c r="E22" s="35" t="str">
        <f>D1_MARZO_202655[[#This Row],[SUPER]]</f>
        <v>SANDY</v>
      </c>
      <c r="F22" t="s">
        <v>174</v>
      </c>
      <c r="G22" s="3">
        <v>30790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0.67121964285714286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IFERROR(VLOOKUP(DATA_MARZO_202651[[#This Row],[ASER_]],$B:$G,4,0),"")</f>
        <v>JOHAN</v>
      </c>
      <c r="P22" s="6">
        <f>SUM(DATA_MARZO_202651[[#This Row],[1]:[30]])</f>
        <v>37588.300000000003</v>
      </c>
      <c r="Q22" s="6">
        <f>VLOOKUP(DATA_MARZO_202651[[#This Row],[ASER_]],D1_MARZO_202655[[ASESOR_CRR]:[META]],2,0)</f>
        <v>56000</v>
      </c>
      <c r="R22" t="s">
        <v>72</v>
      </c>
      <c r="S22">
        <v>0</v>
      </c>
      <c r="U22">
        <v>3000</v>
      </c>
      <c r="V22">
        <v>1000</v>
      </c>
      <c r="AB22">
        <v>300</v>
      </c>
      <c r="AC22">
        <v>2600</v>
      </c>
      <c r="AD22">
        <v>1000</v>
      </c>
      <c r="AG22">
        <v>12000</v>
      </c>
      <c r="AH22">
        <v>5000</v>
      </c>
      <c r="AJ22">
        <v>6000.3</v>
      </c>
      <c r="AO22">
        <v>2688</v>
      </c>
      <c r="AQ22">
        <v>3000</v>
      </c>
      <c r="AR22">
        <v>1000</v>
      </c>
      <c r="AV22" s="55" t="str" cm="1">
        <f t="array" ref="AV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2" s="45"/>
      <c r="BC22" s="45"/>
      <c r="BD22" s="45"/>
      <c r="BE22" s="45"/>
      <c r="BF22" s="45"/>
      <c r="BG22" s="45"/>
      <c r="BH22" s="45"/>
      <c r="BI22" s="45"/>
      <c r="BW22" s="47"/>
      <c r="BX22" s="45"/>
      <c r="CA22" s="45"/>
    </row>
    <row r="23" spans="1:82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0.73713846153846152</v>
      </c>
      <c r="E23" s="35" t="str">
        <f>D1_MARZO_202655[[#This Row],[SUPER]]</f>
        <v>SANDY</v>
      </c>
      <c r="F23" t="s">
        <v>493</v>
      </c>
      <c r="G23" s="3">
        <v>23957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1.0776785714285715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IFERROR(VLOOKUP(DATA_MARZO_202651[[#This Row],[ASER_]],$B:$G,4,0),"")</f>
        <v>JORGE</v>
      </c>
      <c r="P23" s="6">
        <f>SUM(DATA_MARZO_202651[[#This Row],[1]:[30]])</f>
        <v>60350</v>
      </c>
      <c r="Q23" s="6">
        <f>VLOOKUP(DATA_MARZO_202651[[#This Row],[ASER_]],D1_MARZO_202655[[ASESOR_CRR]:[META]],2,0)</f>
        <v>56000</v>
      </c>
      <c r="R23" t="s">
        <v>22</v>
      </c>
      <c r="S23">
        <v>0</v>
      </c>
      <c r="U23">
        <v>12500</v>
      </c>
      <c r="W23">
        <v>3000</v>
      </c>
      <c r="X23">
        <v>4750</v>
      </c>
      <c r="Z23">
        <v>1000</v>
      </c>
      <c r="AA23">
        <v>1000</v>
      </c>
      <c r="AE23">
        <v>9000</v>
      </c>
      <c r="AH23">
        <v>20000</v>
      </c>
      <c r="AN23">
        <v>1000</v>
      </c>
      <c r="AO23">
        <v>5080</v>
      </c>
      <c r="AQ23">
        <v>1800</v>
      </c>
      <c r="AU23">
        <v>1220</v>
      </c>
      <c r="AV23" s="55" t="str" cm="1">
        <f t="array" ref="AV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W23" s="45"/>
    </row>
    <row r="24" spans="1:82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1.1767236170212767</v>
      </c>
      <c r="E24" s="35" t="str">
        <f>D1_MARZO_202655[[#This Row],[SUPER]]</f>
        <v>SANDY</v>
      </c>
      <c r="F24" t="s">
        <v>38</v>
      </c>
      <c r="G24" s="3">
        <v>110612.02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0.61030357142857139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&gt;40%</v>
      </c>
      <c r="O24" s="55" t="str">
        <f>IFERROR(VLOOKUP(DATA_MARZO_202651[[#This Row],[ASER_]],$B:$G,4,0),"")</f>
        <v>JORGE</v>
      </c>
      <c r="P24" s="6">
        <f>SUM(DATA_MARZO_202651[[#This Row],[1]:[30]])</f>
        <v>34177</v>
      </c>
      <c r="Q24" s="6">
        <f>VLOOKUP(DATA_MARZO_202651[[#This Row],[ASER_]],D1_MARZO_202655[[ASESOR_CRR]:[META]],2,0)</f>
        <v>56000</v>
      </c>
      <c r="R24" t="s">
        <v>24</v>
      </c>
      <c r="S24" s="45">
        <v>0</v>
      </c>
      <c r="T24">
        <v>361</v>
      </c>
      <c r="W24">
        <v>400</v>
      </c>
      <c r="X24">
        <v>265</v>
      </c>
      <c r="Z24">
        <v>2000</v>
      </c>
      <c r="AA24">
        <v>4200</v>
      </c>
      <c r="AD24">
        <v>210</v>
      </c>
      <c r="AG24">
        <v>4000</v>
      </c>
      <c r="AH24">
        <v>1500</v>
      </c>
      <c r="AI24">
        <v>600</v>
      </c>
      <c r="AJ24">
        <v>5780</v>
      </c>
      <c r="AK24">
        <v>150</v>
      </c>
      <c r="AN24">
        <v>4700</v>
      </c>
      <c r="AO24">
        <v>7500</v>
      </c>
      <c r="AP24">
        <v>600</v>
      </c>
      <c r="AR24">
        <v>600</v>
      </c>
      <c r="AU24">
        <v>1311</v>
      </c>
      <c r="AV24" s="55" t="str" cm="1">
        <f t="array" ref="AV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4" s="45"/>
    </row>
    <row r="25" spans="1:82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1.0562570212765958</v>
      </c>
      <c r="E25" s="35" t="str">
        <f>D1_MARZO_202655[[#This Row],[SUPER]]</f>
        <v>SANDY</v>
      </c>
      <c r="F25" t="s">
        <v>76</v>
      </c>
      <c r="G25" s="3">
        <v>99288.16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0.71762295081967209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KENNETH</v>
      </c>
      <c r="P25" s="6">
        <f>SUM(DATA_MARZO_202651[[#This Row],[1]:[30]])</f>
        <v>21887.5</v>
      </c>
      <c r="Q25" s="6">
        <f>VLOOKUP(DATA_MARZO_202651[[#This Row],[ASER_]],D1_MARZO_202655[[ASESOR_CRR]:[META]],2,0)</f>
        <v>30500</v>
      </c>
      <c r="R25" t="s">
        <v>105</v>
      </c>
      <c r="S25" s="45">
        <v>0</v>
      </c>
      <c r="V25">
        <v>1200</v>
      </c>
      <c r="W25">
        <v>252.5</v>
      </c>
      <c r="AC25">
        <v>605</v>
      </c>
      <c r="AD25">
        <v>550</v>
      </c>
      <c r="AG25">
        <v>420</v>
      </c>
      <c r="AI25">
        <v>6500</v>
      </c>
      <c r="AK25">
        <v>1000</v>
      </c>
      <c r="AN25">
        <v>2600</v>
      </c>
      <c r="AU25">
        <v>8760</v>
      </c>
      <c r="AV25" s="55" t="str" cm="1">
        <f t="array" ref="AV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26" spans="1:82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0.78362872340425538</v>
      </c>
      <c r="E26" s="35" t="str">
        <f>D1_MARZO_202655[[#This Row],[SUPER]]</f>
        <v>SANDY</v>
      </c>
      <c r="F26" t="s">
        <v>78</v>
      </c>
      <c r="G26" s="3">
        <v>73661.100000000006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0.73713846153846152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SANDY</v>
      </c>
      <c r="P26" s="6">
        <f>SUM(DATA_MARZO_202651[[#This Row],[1]:[30]])</f>
        <v>23957</v>
      </c>
      <c r="Q26" s="6">
        <f>VLOOKUP(DATA_MARZO_202651[[#This Row],[ASER_]],D1_MARZO_202655[[ASESOR_CRR]:[META]],2,0)</f>
        <v>32500</v>
      </c>
      <c r="R26" t="s">
        <v>493</v>
      </c>
      <c r="S26">
        <v>0</v>
      </c>
      <c r="V26">
        <v>10300</v>
      </c>
      <c r="AA26">
        <v>900</v>
      </c>
      <c r="AB26">
        <v>2000</v>
      </c>
      <c r="AH26">
        <v>1000</v>
      </c>
      <c r="AJ26">
        <v>300</v>
      </c>
      <c r="AK26">
        <v>500</v>
      </c>
      <c r="AP26">
        <v>400</v>
      </c>
      <c r="AQ26">
        <v>597</v>
      </c>
      <c r="AR26">
        <v>5390</v>
      </c>
      <c r="AS26">
        <v>2570</v>
      </c>
      <c r="AV26" s="55" t="str" cm="1">
        <f t="array" ref="AV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27" spans="1:82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1.0736250000000001</v>
      </c>
      <c r="E27" s="35" t="str">
        <f>D1_MARZO_202655[[#This Row],[SUPER]]</f>
        <v>LEONOR</v>
      </c>
      <c r="F27" t="s">
        <v>495</v>
      </c>
      <c r="G27" s="3">
        <v>17178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0.46925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&gt;40%</v>
      </c>
      <c r="O27" s="55" t="str">
        <f>IFERROR(VLOOKUP(DATA_MARZO_202651[[#This Row],[ASER_]],$B:$G,4,0),"")</f>
        <v>JOHAN</v>
      </c>
      <c r="P27" s="6">
        <f>SUM(DATA_MARZO_202651[[#This Row],[1]:[30]])</f>
        <v>26278</v>
      </c>
      <c r="Q27" s="6">
        <f>VLOOKUP(DATA_MARZO_202651[[#This Row],[ASER_]],D1_MARZO_202655[[ASESOR_CRR]:[META]],2,0)</f>
        <v>56000</v>
      </c>
      <c r="R27" t="s">
        <v>12</v>
      </c>
      <c r="S27">
        <v>0</v>
      </c>
      <c r="V27">
        <v>3800</v>
      </c>
      <c r="X27">
        <v>3500</v>
      </c>
      <c r="AB27">
        <v>1500</v>
      </c>
      <c r="AG27">
        <v>3000</v>
      </c>
      <c r="AH27">
        <v>2028</v>
      </c>
      <c r="AI27">
        <v>1850</v>
      </c>
      <c r="AP27">
        <v>3500</v>
      </c>
      <c r="AQ27">
        <v>2500</v>
      </c>
      <c r="AR27">
        <v>2500</v>
      </c>
      <c r="AU27">
        <v>2100</v>
      </c>
      <c r="AV27" s="55" t="str" cm="1">
        <f t="array" ref="AV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2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0.54625000000000001</v>
      </c>
      <c r="E28" s="35" t="str">
        <f>D1_MARZO_202655[[#This Row],[SUPER]]</f>
        <v>LEONOR</v>
      </c>
      <c r="F28" t="s">
        <v>549</v>
      </c>
      <c r="G28" s="3">
        <v>8740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0.99737142857142858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&gt;70%</v>
      </c>
      <c r="O28" s="55" t="str">
        <f>IFERROR(VLOOKUP(DATA_MARZO_202651[[#This Row],[ASER_]],$B:$G,4,0),"")</f>
        <v>LEONOR</v>
      </c>
      <c r="P28" s="6">
        <f>SUM(DATA_MARZO_202651[[#This Row],[1]:[30]])</f>
        <v>34908</v>
      </c>
      <c r="Q28" s="6">
        <f>VLOOKUP(DATA_MARZO_202651[[#This Row],[ASER_]],D1_MARZO_202655[[ASESOR_CRR]:[META]],2,0)</f>
        <v>35000</v>
      </c>
      <c r="R28" t="s">
        <v>51</v>
      </c>
      <c r="S28">
        <v>0</v>
      </c>
      <c r="U28" s="45"/>
      <c r="W28">
        <v>600</v>
      </c>
      <c r="X28">
        <v>1000</v>
      </c>
      <c r="Z28">
        <v>13500</v>
      </c>
      <c r="AB28">
        <v>750</v>
      </c>
      <c r="AD28">
        <v>600</v>
      </c>
      <c r="AG28">
        <v>4900</v>
      </c>
      <c r="AH28">
        <v>4823</v>
      </c>
      <c r="AK28">
        <v>500</v>
      </c>
      <c r="AO28">
        <v>3850</v>
      </c>
      <c r="AP28">
        <v>1250</v>
      </c>
      <c r="AQ28">
        <v>135</v>
      </c>
      <c r="AS28">
        <v>300</v>
      </c>
      <c r="AU28">
        <v>2700</v>
      </c>
      <c r="AV28" s="55" t="str" cm="1">
        <f t="array" ref="AV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29" spans="1:82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0.73875000000000002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IFERROR(VLOOKUP(DATA_MARZO_202651[[#This Row],[ASER_]],$B:$G,4,0),"")</f>
        <v>JORGE</v>
      </c>
      <c r="P29" s="6">
        <f>SUM(DATA_MARZO_202651[[#This Row],[1]:[30]])</f>
        <v>41370</v>
      </c>
      <c r="Q29" s="6">
        <f>VLOOKUP(DATA_MARZO_202651[[#This Row],[ASER_]],D1_MARZO_202655[[ASESOR_CRR]:[META]],2,0)</f>
        <v>56000</v>
      </c>
      <c r="R29" t="s">
        <v>13</v>
      </c>
      <c r="S29">
        <v>0</v>
      </c>
      <c r="V29">
        <v>10000</v>
      </c>
      <c r="W29">
        <v>270</v>
      </c>
      <c r="X29">
        <v>400</v>
      </c>
      <c r="Z29">
        <v>700</v>
      </c>
      <c r="AF29">
        <v>1500</v>
      </c>
      <c r="AG29">
        <v>1000</v>
      </c>
      <c r="AH29">
        <v>5000</v>
      </c>
      <c r="AI29">
        <v>8800</v>
      </c>
      <c r="AN29">
        <v>1100</v>
      </c>
      <c r="AP29">
        <v>9500</v>
      </c>
      <c r="AQ29">
        <v>2200</v>
      </c>
      <c r="AS29">
        <v>900</v>
      </c>
      <c r="AV29" s="55" t="str" cm="1">
        <f t="array" ref="AV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2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0.52193750000000005</v>
      </c>
      <c r="E30" s="35" t="str">
        <f>D1_MARZO_202655[[#This Row],[SUPER]]</f>
        <v>LEONOR</v>
      </c>
      <c r="F30" t="s">
        <v>41</v>
      </c>
      <c r="G30" s="3">
        <v>8351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1.9063692307692308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&gt;100%</v>
      </c>
      <c r="O30" s="55" t="str">
        <f>IFERROR(VLOOKUP(DATA_MARZO_202651[[#This Row],[ASER_]],$B:$G,4,0),"")</f>
        <v>SANDY</v>
      </c>
      <c r="P30" s="6">
        <f>SUM(DATA_MARZO_202651[[#This Row],[1]:[30]])</f>
        <v>61957</v>
      </c>
      <c r="Q30" s="6">
        <f>VLOOKUP(DATA_MARZO_202651[[#This Row],[ASER_]],D1_MARZO_202655[[ASESOR_CRR]:[META]],2,0)</f>
        <v>32500</v>
      </c>
      <c r="R30" t="s">
        <v>32</v>
      </c>
      <c r="S30">
        <v>0</v>
      </c>
      <c r="U30">
        <v>7500</v>
      </c>
      <c r="X30">
        <v>2912</v>
      </c>
      <c r="Z30">
        <v>1545</v>
      </c>
      <c r="AB30">
        <v>750</v>
      </c>
      <c r="AC30">
        <v>11150</v>
      </c>
      <c r="AE30">
        <v>210</v>
      </c>
      <c r="AI30">
        <v>15450</v>
      </c>
      <c r="AK30">
        <v>2500</v>
      </c>
      <c r="AL30">
        <v>780</v>
      </c>
      <c r="AO30">
        <v>3000</v>
      </c>
      <c r="AP30">
        <v>1880</v>
      </c>
      <c r="AR30">
        <v>8000</v>
      </c>
      <c r="AU30">
        <v>6280</v>
      </c>
      <c r="AV30" s="55" t="str" cm="1">
        <f t="array" ref="AV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31" spans="1:82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0.22843749999999999</v>
      </c>
      <c r="E31" s="35" t="str">
        <f>D1_MARZO_202655[[#This Row],[SUPER]]</f>
        <v>LEONOR</v>
      </c>
      <c r="F31" t="s">
        <v>566</v>
      </c>
      <c r="G31" s="3">
        <v>3655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0.63897142857142852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&gt;40%</v>
      </c>
      <c r="O31" s="55" t="str">
        <f>IFERROR(VLOOKUP(DATA_MARZO_202651[[#This Row],[ASER_]],$B:$G,4,0),"")</f>
        <v>LEONOR</v>
      </c>
      <c r="P31" s="6">
        <f>SUM(DATA_MARZO_202651[[#This Row],[1]:[30]])</f>
        <v>22364</v>
      </c>
      <c r="Q31" s="6">
        <f>VLOOKUP(DATA_MARZO_202651[[#This Row],[ASER_]],D1_MARZO_202655[[ASESOR_CRR]:[META]],2,0)</f>
        <v>35000</v>
      </c>
      <c r="R31" t="s">
        <v>49</v>
      </c>
      <c r="S31">
        <v>1000</v>
      </c>
      <c r="U31">
        <v>2500</v>
      </c>
      <c r="V31">
        <v>300</v>
      </c>
      <c r="X31">
        <v>700</v>
      </c>
      <c r="Z31">
        <v>2882</v>
      </c>
      <c r="AA31">
        <v>230</v>
      </c>
      <c r="AG31">
        <v>600</v>
      </c>
      <c r="AH31">
        <v>638</v>
      </c>
      <c r="AJ31">
        <v>1106</v>
      </c>
      <c r="AK31">
        <v>5500</v>
      </c>
      <c r="AN31">
        <v>2000</v>
      </c>
      <c r="AQ31">
        <v>1500</v>
      </c>
      <c r="AR31">
        <v>2500</v>
      </c>
      <c r="AU31">
        <v>908</v>
      </c>
      <c r="AV31" s="55" t="str" cm="1">
        <f t="array" ref="AV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2" spans="1:82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0.26795803571428572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IFERROR(VLOOKUP(DATA_MARZO_202651[[#This Row],[ASER_]],$B:$G,4,0),"")</f>
        <v>JORGE</v>
      </c>
      <c r="P32" s="6">
        <f>SUM(DATA_MARZO_202651[[#This Row],[1]:[30]])</f>
        <v>15005.65</v>
      </c>
      <c r="Q32" s="6">
        <f>VLOOKUP(DATA_MARZO_202651[[#This Row],[ASER_]],D1_MARZO_202655[[ASESOR_CRR]:[META]],2,0)</f>
        <v>56000</v>
      </c>
      <c r="R32" t="s">
        <v>564</v>
      </c>
      <c r="S32">
        <v>0</v>
      </c>
      <c r="Z32">
        <v>321.64999999999998</v>
      </c>
      <c r="AB32">
        <v>2900</v>
      </c>
      <c r="AC32">
        <v>142</v>
      </c>
      <c r="AG32">
        <v>450</v>
      </c>
      <c r="AI32">
        <v>3500</v>
      </c>
      <c r="AK32">
        <v>1200</v>
      </c>
      <c r="AO32">
        <v>5500</v>
      </c>
      <c r="AQ32">
        <v>750</v>
      </c>
      <c r="AR32">
        <v>242</v>
      </c>
      <c r="AV32" s="55" t="str" cm="1">
        <f t="array" ref="AV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48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0.99737142857142858</v>
      </c>
      <c r="E33" s="35" t="str">
        <f>D1_MARZO_202655[[#This Row],[SUPER]]</f>
        <v>LEONOR</v>
      </c>
      <c r="F33" t="s">
        <v>51</v>
      </c>
      <c r="G33" s="3">
        <v>34908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0.69160714285714286</v>
      </c>
      <c r="N33" s="54" t="str" cm="1">
        <f t="array" ref="N33">IF(DATA_MARZO_202651[[#This Row],[ASER_]]="","",IFERROR(_xlfn.IFS(M33&gt;=100%,"&gt;100%",AND(M33&lt;100%,M33&gt;=70%),"&gt;70%",AND(M33&lt;70%,M33&gt;=40%),"&gt;40%",AND(M33&lt;40%,M33&gt;=0%),"&gt;0%"),""))</f>
        <v>&gt;40%</v>
      </c>
      <c r="O33" s="55" t="str">
        <f>IFERROR(VLOOKUP(DATA_MARZO_202651[[#This Row],[ASER_]],$B:$G,4,0),"")</f>
        <v>JOHAN</v>
      </c>
      <c r="P33" s="6">
        <f>SUM(DATA_MARZO_202651[[#This Row],[1]:[30]])</f>
        <v>38730</v>
      </c>
      <c r="Q33" s="6">
        <f>VLOOKUP(DATA_MARZO_202651[[#This Row],[ASER_]],D1_MARZO_202655[[ASESOR_CRR]:[META]],2,0)</f>
        <v>56000</v>
      </c>
      <c r="R33" t="s">
        <v>122</v>
      </c>
      <c r="S33">
        <v>0</v>
      </c>
      <c r="U33">
        <v>630</v>
      </c>
      <c r="AB33">
        <v>4500</v>
      </c>
      <c r="AC33">
        <v>6500</v>
      </c>
      <c r="AG33">
        <v>8000</v>
      </c>
      <c r="AI33">
        <v>2300</v>
      </c>
      <c r="AK33">
        <v>5600</v>
      </c>
      <c r="AN33">
        <v>9200</v>
      </c>
      <c r="AU33">
        <v>2000</v>
      </c>
      <c r="AV33" s="55" t="str" cm="1">
        <f t="array" ref="AV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48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0.76381600000000005</v>
      </c>
      <c r="E34" s="35" t="str">
        <f>D1_MARZO_202655[[#This Row],[SUPER]]</f>
        <v>LEONOR</v>
      </c>
      <c r="F34" t="s">
        <v>77</v>
      </c>
      <c r="G34" s="3">
        <v>26733.56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1.1995384615384614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SANDY</v>
      </c>
      <c r="P34" s="6">
        <f>SUM(DATA_MARZO_202651[[#This Row],[1]:[30]])</f>
        <v>38985</v>
      </c>
      <c r="Q34" s="6">
        <f>VLOOKUP(DATA_MARZO_202651[[#This Row],[ASER_]],D1_MARZO_202655[[ASESOR_CRR]:[META]],2,0)</f>
        <v>32500</v>
      </c>
      <c r="R34" t="s">
        <v>96</v>
      </c>
      <c r="S34">
        <v>0</v>
      </c>
      <c r="T34">
        <v>4400</v>
      </c>
      <c r="U34">
        <v>1750</v>
      </c>
      <c r="X34">
        <v>1700</v>
      </c>
      <c r="Z34">
        <v>19000</v>
      </c>
      <c r="AB34">
        <v>1000</v>
      </c>
      <c r="AI34">
        <v>1500</v>
      </c>
      <c r="AK34">
        <v>1285</v>
      </c>
      <c r="AN34">
        <v>4200</v>
      </c>
      <c r="AO34">
        <v>1200</v>
      </c>
      <c r="AR34">
        <v>2950</v>
      </c>
      <c r="AV34" s="55" t="str" cm="1">
        <f t="array" ref="AV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35" spans="1:48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0.78377142857142856</v>
      </c>
      <c r="E35" s="35" t="str">
        <f>D1_MARZO_202655[[#This Row],[SUPER]]</f>
        <v>LEONOR</v>
      </c>
      <c r="F35" t="s">
        <v>48</v>
      </c>
      <c r="G35" s="3">
        <v>27432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0.75437500000000002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SUM(DATA_MARZO_202651[[#This Row],[1]:[30]])</f>
        <v>12070</v>
      </c>
      <c r="Q35" s="6">
        <f>VLOOKUP(DATA_MARZO_202651[[#This Row],[ASER_]],D1_MARZO_202655[[ASESOR_CRR]:[META]],2,0)</f>
        <v>16000</v>
      </c>
      <c r="R35" t="s">
        <v>565</v>
      </c>
      <c r="S35">
        <v>0</v>
      </c>
      <c r="AA35">
        <v>2000</v>
      </c>
      <c r="AB35">
        <v>120</v>
      </c>
      <c r="AC35">
        <v>300</v>
      </c>
      <c r="AD35">
        <v>450</v>
      </c>
      <c r="AH35">
        <v>3000</v>
      </c>
      <c r="AI35" s="6"/>
      <c r="AJ35" s="6">
        <v>400</v>
      </c>
      <c r="AK35" s="6"/>
      <c r="AL35" s="6"/>
      <c r="AM35" s="6"/>
      <c r="AN35" s="6"/>
      <c r="AO35" s="6"/>
      <c r="AR35">
        <v>5800</v>
      </c>
      <c r="AV35" s="55" t="str" cm="1">
        <f t="array" ref="AV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6" spans="1:48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0.63897142857142852</v>
      </c>
      <c r="E36" s="35" t="str">
        <f>D1_MARZO_202655[[#This Row],[SUPER]]</f>
        <v>LEONOR</v>
      </c>
      <c r="F36" t="s">
        <v>49</v>
      </c>
      <c r="G36" s="3">
        <v>22364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0.49660714285714286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&gt;40%</v>
      </c>
      <c r="O36" s="55" t="str">
        <f>IFERROR(VLOOKUP(DATA_MARZO_202651[[#This Row],[ASER_]],$B:$G,4,0),"")</f>
        <v>JORGE</v>
      </c>
      <c r="P36" s="6">
        <f>SUM(DATA_MARZO_202651[[#This Row],[1]:[30]])</f>
        <v>27810</v>
      </c>
      <c r="Q36" s="6">
        <f>VLOOKUP(DATA_MARZO_202651[[#This Row],[ASER_]],D1_MARZO_202655[[ASESOR_CRR]:[META]],2,0)</f>
        <v>56000</v>
      </c>
      <c r="R36" t="s">
        <v>65</v>
      </c>
      <c r="S36">
        <v>0</v>
      </c>
      <c r="T36">
        <v>700</v>
      </c>
      <c r="W36">
        <v>1000</v>
      </c>
      <c r="AA36">
        <v>2308</v>
      </c>
      <c r="AH36">
        <v>2500</v>
      </c>
      <c r="AI36" s="6"/>
      <c r="AJ36" s="6"/>
      <c r="AK36" s="6">
        <v>2750</v>
      </c>
      <c r="AL36" s="6"/>
      <c r="AM36" s="6"/>
      <c r="AN36" s="6">
        <v>7000</v>
      </c>
      <c r="AO36" s="6"/>
      <c r="AP36">
        <v>350</v>
      </c>
      <c r="AQ36">
        <v>800</v>
      </c>
      <c r="AR36">
        <v>5402</v>
      </c>
      <c r="AU36">
        <v>5000</v>
      </c>
      <c r="AV36" s="55" t="str" cm="1">
        <f t="array" ref="AV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48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0.74205714285714286</v>
      </c>
      <c r="E37" s="35" t="str">
        <f>D1_MARZO_202655[[#This Row],[SUPER]]</f>
        <v>LEONOR</v>
      </c>
      <c r="F37" t="s">
        <v>73</v>
      </c>
      <c r="G37" s="3">
        <v>25972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0.40381976744186049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&gt;40%</v>
      </c>
      <c r="O37" s="55" t="str">
        <f>IFERROR(VLOOKUP(DATA_MARZO_202651[[#This Row],[ASER_]],$B:$G,4,0),"")</f>
        <v>KENNETH</v>
      </c>
      <c r="P37" s="6">
        <f>SUM(DATA_MARZO_202651[[#This Row],[1]:[30]])</f>
        <v>34728.5</v>
      </c>
      <c r="Q37" s="6">
        <f>VLOOKUP(DATA_MARZO_202651[[#This Row],[ASER_]],D1_MARZO_202655[[ASESOR_CRR]:[META]],2,0)</f>
        <v>86000</v>
      </c>
      <c r="R37" t="s">
        <v>37</v>
      </c>
      <c r="S37">
        <v>266.5</v>
      </c>
      <c r="U37">
        <v>1000</v>
      </c>
      <c r="V37">
        <v>150</v>
      </c>
      <c r="W37">
        <v>3300</v>
      </c>
      <c r="X37">
        <v>100</v>
      </c>
      <c r="Z37">
        <v>200</v>
      </c>
      <c r="AC37">
        <v>3800</v>
      </c>
      <c r="AD37">
        <v>500</v>
      </c>
      <c r="AG37">
        <v>2300</v>
      </c>
      <c r="AH37">
        <v>5150</v>
      </c>
      <c r="AI37" s="6"/>
      <c r="AJ37" s="6"/>
      <c r="AK37" s="6">
        <v>3022</v>
      </c>
      <c r="AL37" s="6"/>
      <c r="AM37" s="6"/>
      <c r="AN37" s="6"/>
      <c r="AO37" s="6"/>
      <c r="AP37">
        <v>3440</v>
      </c>
      <c r="AQ37">
        <v>3000</v>
      </c>
      <c r="AU37">
        <v>8500</v>
      </c>
      <c r="AV37" s="55" t="str" cm="1">
        <f t="array" ref="AV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8" spans="1:48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0.89485714285714291</v>
      </c>
      <c r="E38" s="35" t="str">
        <f>D1_MARZO_202655[[#This Row],[SUPER]]</f>
        <v>JOHAN</v>
      </c>
      <c r="F38" t="s">
        <v>59</v>
      </c>
      <c r="G38" s="3">
        <v>50112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0.54625000000000001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IFERROR(VLOOKUP(DATA_MARZO_202651[[#This Row],[ASER_]],$B:$G,4,0),"")</f>
        <v>LEONOR</v>
      </c>
      <c r="P38" s="6">
        <f>SUM(DATA_MARZO_202651[[#This Row],[1]:[30]])</f>
        <v>8740</v>
      </c>
      <c r="Q38" s="6">
        <f>VLOOKUP(DATA_MARZO_202651[[#This Row],[ASER_]],D1_MARZO_202655[[ASESOR_CRR]:[META]],2,0)</f>
        <v>16000</v>
      </c>
      <c r="R38" t="s">
        <v>549</v>
      </c>
      <c r="S38">
        <v>0</v>
      </c>
      <c r="T38">
        <v>350</v>
      </c>
      <c r="U38">
        <v>70</v>
      </c>
      <c r="W38" s="5">
        <v>250</v>
      </c>
      <c r="X38" s="6">
        <v>50</v>
      </c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>
        <v>3000</v>
      </c>
      <c r="AK38" s="6"/>
      <c r="AL38" s="6"/>
      <c r="AM38" s="6"/>
      <c r="AN38" s="6"/>
      <c r="AO38" s="6"/>
      <c r="AP38" s="6">
        <v>200</v>
      </c>
      <c r="AQ38" s="6">
        <v>1500</v>
      </c>
      <c r="AR38" s="6">
        <v>3320</v>
      </c>
      <c r="AS38" s="6"/>
      <c r="AT38" s="6"/>
      <c r="AU38" s="6"/>
      <c r="AV38" s="55" t="str" cm="1">
        <f t="array" ref="AV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9" spans="1:48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1.2330892857142857</v>
      </c>
      <c r="E39" s="35" t="str">
        <f>D1_MARZO_202655[[#This Row],[SUPER]]</f>
        <v>JOHAN</v>
      </c>
      <c r="F39" t="s">
        <v>61</v>
      </c>
      <c r="G39" s="3">
        <v>69053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0.76381600000000005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IFERROR(VLOOKUP(DATA_MARZO_202651[[#This Row],[ASER_]],$B:$G,4,0),"")</f>
        <v>LEONOR</v>
      </c>
      <c r="P39" s="6">
        <f>SUM(DATA_MARZO_202651[[#This Row],[1]:[30]])</f>
        <v>26733.56</v>
      </c>
      <c r="Q39" s="6">
        <f>VLOOKUP(DATA_MARZO_202651[[#This Row],[ASER_]],D1_MARZO_202655[[ASESOR_CRR]:[META]],2,0)</f>
        <v>35000</v>
      </c>
      <c r="R39" t="s">
        <v>77</v>
      </c>
      <c r="S39">
        <v>0</v>
      </c>
      <c r="W39" s="5">
        <v>265</v>
      </c>
      <c r="X39" s="6">
        <v>1034</v>
      </c>
      <c r="Y39" s="6"/>
      <c r="Z39" s="6">
        <v>231</v>
      </c>
      <c r="AA39" s="6">
        <v>5954</v>
      </c>
      <c r="AB39" s="6"/>
      <c r="AC39" s="6"/>
      <c r="AD39" s="6">
        <v>1800</v>
      </c>
      <c r="AE39" s="6"/>
      <c r="AF39" s="6"/>
      <c r="AG39" s="6">
        <v>800</v>
      </c>
      <c r="AH39" s="6"/>
      <c r="AI39" s="6">
        <v>3657.13</v>
      </c>
      <c r="AJ39" s="6">
        <v>5168</v>
      </c>
      <c r="AK39" s="6">
        <v>330</v>
      </c>
      <c r="AL39" s="6"/>
      <c r="AM39" s="6"/>
      <c r="AN39" s="6"/>
      <c r="AO39" s="6">
        <v>364.43</v>
      </c>
      <c r="AP39" s="6">
        <v>3000</v>
      </c>
      <c r="AQ39" s="6">
        <v>2000</v>
      </c>
      <c r="AR39" s="6"/>
      <c r="AS39" s="6"/>
      <c r="AT39" s="6">
        <v>600</v>
      </c>
      <c r="AU39" s="6">
        <v>1530</v>
      </c>
      <c r="AV39" s="55" t="str" cm="1">
        <f t="array" ref="AV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0" spans="1:48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1.1518928571428571</v>
      </c>
      <c r="E40" s="35" t="str">
        <f>D1_MARZO_202655[[#This Row],[SUPER]]</f>
        <v>JOHAN</v>
      </c>
      <c r="F40" t="s">
        <v>60</v>
      </c>
      <c r="G40" s="3">
        <v>64506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0.58436046511627904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KENNETH</v>
      </c>
      <c r="P40" s="6">
        <f>SUM(DATA_MARZO_202651[[#This Row],[1]:[30]])</f>
        <v>50255</v>
      </c>
      <c r="Q40" s="6">
        <f>VLOOKUP(DATA_MARZO_202651[[#This Row],[ASER_]],D1_MARZO_202655[[ASESOR_CRR]:[META]],2,0)</f>
        <v>86000</v>
      </c>
      <c r="R40" t="s">
        <v>35</v>
      </c>
      <c r="S40">
        <v>0</v>
      </c>
      <c r="T40">
        <v>1500</v>
      </c>
      <c r="U40">
        <v>2950</v>
      </c>
      <c r="V40">
        <v>500</v>
      </c>
      <c r="W40" s="5">
        <v>1350</v>
      </c>
      <c r="X40" s="6">
        <v>325</v>
      </c>
      <c r="Y40" s="6"/>
      <c r="Z40" s="6">
        <v>4000</v>
      </c>
      <c r="AA40" s="6">
        <v>8600</v>
      </c>
      <c r="AB40" s="6">
        <v>350</v>
      </c>
      <c r="AC40" s="6"/>
      <c r="AD40" s="6">
        <v>960</v>
      </c>
      <c r="AE40" s="6"/>
      <c r="AF40" s="6"/>
      <c r="AG40" s="6">
        <v>10100</v>
      </c>
      <c r="AH40" s="6">
        <v>10000</v>
      </c>
      <c r="AI40" s="6"/>
      <c r="AJ40" s="6">
        <v>2500</v>
      </c>
      <c r="AK40" s="6">
        <v>1500</v>
      </c>
      <c r="AL40" s="6"/>
      <c r="AM40" s="6"/>
      <c r="AN40" s="6">
        <v>1820</v>
      </c>
      <c r="AO40" s="6"/>
      <c r="AP40" s="6">
        <v>500</v>
      </c>
      <c r="AQ40" s="6"/>
      <c r="AR40" s="6">
        <v>2450</v>
      </c>
      <c r="AS40" s="6"/>
      <c r="AT40" s="6"/>
      <c r="AU40" s="6">
        <v>850</v>
      </c>
      <c r="AV40" s="55" t="str" cm="1">
        <f t="array" ref="AV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41" spans="1:48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0.93708928571428574</v>
      </c>
      <c r="E41" s="35" t="str">
        <f>D1_MARZO_202655[[#This Row],[SUPER]]</f>
        <v>JOHAN</v>
      </c>
      <c r="F41" t="s">
        <v>75</v>
      </c>
      <c r="G41" s="3">
        <v>52477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1.1982295081967214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IFERROR(VLOOKUP(DATA_MARZO_202651[[#This Row],[ASER_]],$B:$G,4,0),"")</f>
        <v>KENNETH</v>
      </c>
      <c r="P41" s="6">
        <f>SUM(DATA_MARZO_202651[[#This Row],[1]:[30]])</f>
        <v>36546</v>
      </c>
      <c r="Q41" s="6">
        <f>VLOOKUP(DATA_MARZO_202651[[#This Row],[ASER_]],D1_MARZO_202655[[ASESOR_CRR]:[META]],2,0)</f>
        <v>30500</v>
      </c>
      <c r="R41" t="s">
        <v>50</v>
      </c>
      <c r="S41">
        <v>0</v>
      </c>
      <c r="V41">
        <v>300</v>
      </c>
      <c r="W41" s="5"/>
      <c r="X41" s="6">
        <v>120</v>
      </c>
      <c r="Y41" s="6"/>
      <c r="Z41" s="6">
        <v>6700</v>
      </c>
      <c r="AA41" s="6">
        <v>2601</v>
      </c>
      <c r="AB41" s="6">
        <v>7600</v>
      </c>
      <c r="AC41" s="6"/>
      <c r="AD41" s="6">
        <v>145</v>
      </c>
      <c r="AE41" s="6"/>
      <c r="AF41" s="6"/>
      <c r="AG41" s="6">
        <v>1200</v>
      </c>
      <c r="AH41" s="6"/>
      <c r="AI41" s="6">
        <v>900</v>
      </c>
      <c r="AJ41" s="6">
        <v>3500</v>
      </c>
      <c r="AK41" s="6"/>
      <c r="AL41" s="6"/>
      <c r="AM41" s="6"/>
      <c r="AN41" s="6">
        <v>360</v>
      </c>
      <c r="AO41" s="6">
        <v>2820</v>
      </c>
      <c r="AP41" s="6">
        <v>500</v>
      </c>
      <c r="AQ41" s="6"/>
      <c r="AR41" s="6">
        <v>1700</v>
      </c>
      <c r="AS41" s="6"/>
      <c r="AT41" s="6"/>
      <c r="AU41" s="6">
        <v>8100</v>
      </c>
      <c r="AV41" s="55" t="str" cm="1">
        <f t="array" ref="AV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2" spans="1:48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0.67121964285714286</v>
      </c>
      <c r="E42" s="35" t="str">
        <f>D1_MARZO_202655[[#This Row],[SUPER]]</f>
        <v>JOHAN</v>
      </c>
      <c r="F42" t="s">
        <v>72</v>
      </c>
      <c r="G42" s="3">
        <v>37588.300000000003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1.3311428571428572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JORGE</v>
      </c>
      <c r="P42" s="6">
        <f>SUM(DATA_MARZO_202651[[#This Row],[1]:[30]])</f>
        <v>74544</v>
      </c>
      <c r="Q42" s="6">
        <f>VLOOKUP(DATA_MARZO_202651[[#This Row],[ASER_]],D1_MARZO_202655[[ASESOR_CRR]:[META]],2,0)</f>
        <v>56000</v>
      </c>
      <c r="R42" t="s">
        <v>23</v>
      </c>
      <c r="S42">
        <v>420</v>
      </c>
      <c r="U42">
        <v>1105</v>
      </c>
      <c r="V42">
        <v>6500</v>
      </c>
      <c r="W42" s="5">
        <v>20933</v>
      </c>
      <c r="X42" s="6">
        <v>200</v>
      </c>
      <c r="Y42" s="6"/>
      <c r="Z42" s="6">
        <v>3290</v>
      </c>
      <c r="AA42" s="6">
        <v>268</v>
      </c>
      <c r="AB42" s="6">
        <v>7800</v>
      </c>
      <c r="AC42" s="6">
        <v>500</v>
      </c>
      <c r="AD42" s="6"/>
      <c r="AE42" s="6"/>
      <c r="AF42" s="6"/>
      <c r="AG42" s="6">
        <v>950</v>
      </c>
      <c r="AH42" s="6">
        <v>2700</v>
      </c>
      <c r="AI42" s="6">
        <v>650</v>
      </c>
      <c r="AJ42" s="6">
        <v>5000</v>
      </c>
      <c r="AK42" s="6">
        <v>2475</v>
      </c>
      <c r="AL42" s="6"/>
      <c r="AM42" s="6"/>
      <c r="AN42" s="6">
        <v>3053</v>
      </c>
      <c r="AO42" s="6">
        <v>8000</v>
      </c>
      <c r="AP42" s="6"/>
      <c r="AQ42" s="6">
        <v>500</v>
      </c>
      <c r="AR42" s="6">
        <v>1400</v>
      </c>
      <c r="AS42" s="6"/>
      <c r="AT42" s="6"/>
      <c r="AU42" s="6">
        <v>8800</v>
      </c>
      <c r="AV42" s="55" t="str" cm="1">
        <f t="array" ref="AV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48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0.70901785714285714</v>
      </c>
      <c r="E43" s="35" t="str">
        <f>D1_MARZO_202655[[#This Row],[SUPER]]</f>
        <v>JOHAN</v>
      </c>
      <c r="F43" t="s">
        <v>18</v>
      </c>
      <c r="G43" s="3">
        <v>39705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1.4471187692307692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SUM(DATA_MARZO_202651[[#This Row],[1]:[30]])</f>
        <v>47031.360000000001</v>
      </c>
      <c r="Q43" s="6">
        <f>VLOOKUP(DATA_MARZO_202651[[#This Row],[ASER_]],D1_MARZO_202655[[ASESOR_CRR]:[META]],2,0)</f>
        <v>32500</v>
      </c>
      <c r="R43" t="s">
        <v>68</v>
      </c>
      <c r="S43">
        <v>0</v>
      </c>
      <c r="U43">
        <v>1200</v>
      </c>
      <c r="V43">
        <v>5000</v>
      </c>
      <c r="W43">
        <v>8783.36</v>
      </c>
      <c r="X43" s="5"/>
      <c r="Y43" s="6"/>
      <c r="Z43" s="6"/>
      <c r="AA43" s="6"/>
      <c r="AB43" s="6">
        <v>2010</v>
      </c>
      <c r="AC43" s="6"/>
      <c r="AD43" s="6">
        <v>628</v>
      </c>
      <c r="AE43" s="6">
        <v>2000</v>
      </c>
      <c r="AF43" s="6"/>
      <c r="AG43" s="6"/>
      <c r="AH43" s="6"/>
      <c r="AI43" s="6"/>
      <c r="AJ43" s="6"/>
      <c r="AK43" s="6">
        <v>300</v>
      </c>
      <c r="AL43" s="6"/>
      <c r="AM43" s="6"/>
      <c r="AN43" s="6"/>
      <c r="AO43" s="6">
        <v>650</v>
      </c>
      <c r="AP43" s="6">
        <v>12450</v>
      </c>
      <c r="AQ43" s="6">
        <v>10000</v>
      </c>
      <c r="AR43" s="6">
        <v>2000</v>
      </c>
      <c r="AS43" s="6"/>
      <c r="AT43" s="6"/>
      <c r="AU43" s="6">
        <v>2010</v>
      </c>
      <c r="AV43" s="55" t="str" cm="1">
        <f t="array" ref="AV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4" spans="1:48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0.46925</v>
      </c>
      <c r="E44" s="35" t="str">
        <f>D1_MARZO_202655[[#This Row],[SUPER]]</f>
        <v>JOHAN</v>
      </c>
      <c r="F44" t="s">
        <v>12</v>
      </c>
      <c r="G44" s="3">
        <v>26278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1.4896738461538461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SUM(DATA_MARZO_202651[[#This Row],[1]:[30]])</f>
        <v>48414.400000000001</v>
      </c>
      <c r="Q44" s="6">
        <f>VLOOKUP(DATA_MARZO_202651[[#This Row],[ASER_]],D1_MARZO_202655[[ASESOR_CRR]:[META]],2,0)</f>
        <v>32500</v>
      </c>
      <c r="R44" t="s">
        <v>29</v>
      </c>
      <c r="S44">
        <v>0</v>
      </c>
      <c r="T44">
        <v>383.4</v>
      </c>
      <c r="U44">
        <v>500</v>
      </c>
      <c r="W44">
        <v>1778</v>
      </c>
      <c r="X44" s="5">
        <v>1220</v>
      </c>
      <c r="Y44" s="6"/>
      <c r="Z44" s="6"/>
      <c r="AA44" s="6"/>
      <c r="AB44" s="6">
        <v>200</v>
      </c>
      <c r="AC44" s="6">
        <v>23145</v>
      </c>
      <c r="AD44" s="6"/>
      <c r="AE44" s="6"/>
      <c r="AF44" s="6"/>
      <c r="AG44" s="6">
        <v>2848</v>
      </c>
      <c r="AH44" s="6"/>
      <c r="AI44" s="6">
        <v>310</v>
      </c>
      <c r="AJ44" s="6"/>
      <c r="AK44" s="6">
        <v>300</v>
      </c>
      <c r="AL44" s="6">
        <v>802</v>
      </c>
      <c r="AM44" s="6"/>
      <c r="AN44" s="6">
        <v>1800</v>
      </c>
      <c r="AO44" s="6">
        <v>845</v>
      </c>
      <c r="AP44" s="6">
        <v>1185</v>
      </c>
      <c r="AQ44" s="6">
        <v>318</v>
      </c>
      <c r="AR44" s="6">
        <v>300</v>
      </c>
      <c r="AS44" s="6"/>
      <c r="AT44" s="6">
        <v>3000</v>
      </c>
      <c r="AU44" s="6">
        <v>9480</v>
      </c>
      <c r="AV44" s="55" t="str" cm="1">
        <f t="array" ref="AV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5" spans="1:48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0.69160714285714286</v>
      </c>
      <c r="E45" s="35" t="str">
        <f>D1_MARZO_202655[[#This Row],[SUPER]]</f>
        <v>JOHAN</v>
      </c>
      <c r="F45" t="s">
        <v>122</v>
      </c>
      <c r="G45" s="3">
        <v>38730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0.54285714285714282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IFERROR(VLOOKUP(DATA_MARZO_202651[[#This Row],[ASER_]],$B:$G,4,0),"")</f>
        <v>JORGE</v>
      </c>
      <c r="P45" s="6">
        <f>SUM(DATA_MARZO_202651[[#This Row],[1]:[30]])</f>
        <v>30400</v>
      </c>
      <c r="Q45" s="6">
        <f>VLOOKUP(DATA_MARZO_202651[[#This Row],[ASER_]],D1_MARZO_202655[[ASESOR_CRR]:[META]],2,0)</f>
        <v>56000</v>
      </c>
      <c r="R45" t="s">
        <v>25</v>
      </c>
      <c r="S45">
        <v>0</v>
      </c>
      <c r="W45">
        <v>280</v>
      </c>
      <c r="X45" s="5"/>
      <c r="Y45" s="6"/>
      <c r="Z45" s="6"/>
      <c r="AA45" s="6">
        <v>2500</v>
      </c>
      <c r="AB45" s="6"/>
      <c r="AC45" s="6"/>
      <c r="AD45" s="6">
        <v>500</v>
      </c>
      <c r="AE45" s="6">
        <v>9000</v>
      </c>
      <c r="AF45" s="6"/>
      <c r="AG45" s="6"/>
      <c r="AH45" s="6"/>
      <c r="AI45" s="6">
        <v>2850</v>
      </c>
      <c r="AJ45" s="6">
        <v>2150</v>
      </c>
      <c r="AK45" s="6"/>
      <c r="AL45" s="6">
        <v>600</v>
      </c>
      <c r="AM45" s="6"/>
      <c r="AN45" s="6">
        <v>4200</v>
      </c>
      <c r="AO45" s="6"/>
      <c r="AP45" s="6">
        <v>390</v>
      </c>
      <c r="AQ45" s="6"/>
      <c r="AR45" s="6">
        <v>6880</v>
      </c>
      <c r="AS45" s="6"/>
      <c r="AT45" s="6"/>
      <c r="AU45" s="6">
        <v>1050</v>
      </c>
      <c r="AV45" s="55" t="str" cm="1">
        <f t="array" ref="AV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48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6.3116071428571424E-2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IFERROR(VLOOKUP(DATA_MARZO_202651[[#This Row],[ASER_]],$B:$G,4,0),"")</f>
        <v>JORGE</v>
      </c>
      <c r="P46" s="6">
        <f>SUM(DATA_MARZO_202651[[#This Row],[1]:[30]])</f>
        <v>3534.5</v>
      </c>
      <c r="Q46" s="6">
        <f>VLOOKUP(DATA_MARZO_202651[[#This Row],[ASER_]],D1_MARZO_202655[[ASESOR_CRR]:[META]],2,0)</f>
        <v>56000</v>
      </c>
      <c r="R46" t="s">
        <v>17</v>
      </c>
      <c r="S46">
        <v>0</v>
      </c>
      <c r="T46">
        <v>636</v>
      </c>
      <c r="X46" s="5"/>
      <c r="Y46" s="6"/>
      <c r="Z46" s="6"/>
      <c r="AA46" s="6"/>
      <c r="AB46" s="6"/>
      <c r="AC46" s="6"/>
      <c r="AD46" s="6"/>
      <c r="AE46" s="6">
        <v>1156</v>
      </c>
      <c r="AF46" s="6"/>
      <c r="AG46" s="6"/>
      <c r="AH46" s="6"/>
      <c r="AI46" s="6"/>
      <c r="AJ46" s="6">
        <v>1142.5</v>
      </c>
      <c r="AK46" s="6"/>
      <c r="AL46" s="6"/>
      <c r="AM46" s="6"/>
      <c r="AN46" s="6"/>
      <c r="AO46" s="6"/>
      <c r="AP46" s="6">
        <v>600</v>
      </c>
      <c r="AQ46" s="6"/>
      <c r="AR46" s="6"/>
      <c r="AS46" s="6"/>
      <c r="AT46" s="6"/>
      <c r="AU46" s="6"/>
      <c r="AV46" s="55" t="str" cm="1">
        <f t="array" ref="AV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48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0.27348214285714284</v>
      </c>
      <c r="E47" s="35" t="str">
        <f>D1_MARZO_202655[[#This Row],[SUPER]]</f>
        <v>JOHAN</v>
      </c>
      <c r="F47" t="s">
        <v>85</v>
      </c>
      <c r="G47" s="3">
        <v>15315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0.14196428571428571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IFERROR(VLOOKUP(DATA_MARZO_202651[[#This Row],[ASER_]],$B:$G,4,0),"")</f>
        <v>JORGE</v>
      </c>
      <c r="P47" s="6">
        <f>SUM(DATA_MARZO_202651[[#This Row],[1]:[30]])</f>
        <v>7950</v>
      </c>
      <c r="Q47" s="6">
        <f>VLOOKUP(DATA_MARZO_202651[[#This Row],[ASER_]],D1_MARZO_202655[[ASESOR_CRR]:[META]],2,0)</f>
        <v>56000</v>
      </c>
      <c r="R47" t="s">
        <v>207</v>
      </c>
      <c r="S47">
        <v>0</v>
      </c>
      <c r="X47" s="5"/>
      <c r="Y47" s="6"/>
      <c r="Z47" s="6">
        <v>7000</v>
      </c>
      <c r="AA47" s="6"/>
      <c r="AB47" s="6"/>
      <c r="AC47" s="6">
        <v>950</v>
      </c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55" t="str" cm="1">
        <f t="array" ref="AV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48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0.26267857142857143</v>
      </c>
      <c r="E48" s="35" t="str">
        <f>D1_MARZO_202655[[#This Row],[SUPER]]</f>
        <v>JOHAN</v>
      </c>
      <c r="F48" t="s">
        <v>109</v>
      </c>
      <c r="G48" s="3">
        <v>14710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1.1767236170212767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IFERROR(VLOOKUP(DATA_MARZO_202651[[#This Row],[ASER_]],$B:$G,4,0),"")</f>
        <v>SANDY</v>
      </c>
      <c r="P48" s="6">
        <f>SUM(DATA_MARZO_202651[[#This Row],[1]:[30]])</f>
        <v>110612.02</v>
      </c>
      <c r="Q48" s="6">
        <f>VLOOKUP(DATA_MARZO_202651[[#This Row],[ASER_]],D1_MARZO_202655[[ASESOR_CRR]:[META]],2,0)</f>
        <v>94000</v>
      </c>
      <c r="R48" t="s">
        <v>38</v>
      </c>
      <c r="S48">
        <v>0</v>
      </c>
      <c r="T48">
        <v>200</v>
      </c>
      <c r="U48">
        <v>6484.86</v>
      </c>
      <c r="V48">
        <v>7300</v>
      </c>
      <c r="W48">
        <v>10150</v>
      </c>
      <c r="X48" s="5">
        <v>6377</v>
      </c>
      <c r="Y48" s="6"/>
      <c r="Z48" s="6">
        <v>11957.4</v>
      </c>
      <c r="AA48" s="6">
        <v>1030</v>
      </c>
      <c r="AB48" s="6">
        <v>2100</v>
      </c>
      <c r="AC48" s="6">
        <v>2500</v>
      </c>
      <c r="AD48" s="6">
        <v>537.76</v>
      </c>
      <c r="AE48" s="6"/>
      <c r="AF48" s="6"/>
      <c r="AG48" s="6">
        <v>1300</v>
      </c>
      <c r="AH48" s="6">
        <v>3700</v>
      </c>
      <c r="AI48" s="6">
        <v>5780</v>
      </c>
      <c r="AJ48" s="6">
        <v>13000</v>
      </c>
      <c r="AK48" s="6">
        <v>5650</v>
      </c>
      <c r="AL48" s="6">
        <v>2800</v>
      </c>
      <c r="AM48" s="6"/>
      <c r="AN48" s="6">
        <v>4300</v>
      </c>
      <c r="AO48" s="6">
        <v>6100</v>
      </c>
      <c r="AP48" s="6">
        <v>750</v>
      </c>
      <c r="AQ48" s="6">
        <v>2500</v>
      </c>
      <c r="AR48" s="6">
        <v>4080</v>
      </c>
      <c r="AS48" s="6"/>
      <c r="AT48" s="6"/>
      <c r="AU48" s="6">
        <v>12015</v>
      </c>
      <c r="AV48" s="55" t="str" cm="1">
        <f t="array" ref="AV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49" spans="1:48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1.3311428571428572</v>
      </c>
      <c r="E49" s="35" t="str">
        <f>D1_MARZO_202655[[#This Row],[SUPER]]</f>
        <v>JORGE</v>
      </c>
      <c r="F49" t="s">
        <v>23</v>
      </c>
      <c r="G49" s="3">
        <v>74544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0.93708928571428574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&gt;70%</v>
      </c>
      <c r="O49" s="55" t="str">
        <f>IFERROR(VLOOKUP(DATA_MARZO_202651[[#This Row],[ASER_]],$B:$G,4,0),"")</f>
        <v>JOHAN</v>
      </c>
      <c r="P49" s="6">
        <f>SUM(DATA_MARZO_202651[[#This Row],[1]:[30]])</f>
        <v>52477</v>
      </c>
      <c r="Q49" s="6">
        <f>VLOOKUP(DATA_MARZO_202651[[#This Row],[ASER_]],D1_MARZO_202655[[ASESOR_CRR]:[META]],2,0)</f>
        <v>56000</v>
      </c>
      <c r="R49" t="s">
        <v>75</v>
      </c>
      <c r="S49">
        <v>0</v>
      </c>
      <c r="U49">
        <v>2000</v>
      </c>
      <c r="X49" s="5"/>
      <c r="Y49" s="6"/>
      <c r="Z49" s="6">
        <v>4700</v>
      </c>
      <c r="AA49" s="6"/>
      <c r="AB49" s="6"/>
      <c r="AC49" s="6">
        <v>115</v>
      </c>
      <c r="AD49" s="6">
        <v>12000</v>
      </c>
      <c r="AE49" s="6"/>
      <c r="AF49" s="6"/>
      <c r="AG49" s="6">
        <v>11750</v>
      </c>
      <c r="AH49" s="6">
        <v>2140</v>
      </c>
      <c r="AI49" s="6"/>
      <c r="AJ49" s="6"/>
      <c r="AK49" s="6">
        <v>650</v>
      </c>
      <c r="AL49" s="6">
        <v>1100</v>
      </c>
      <c r="AM49" s="6"/>
      <c r="AN49" s="6"/>
      <c r="AO49" s="6">
        <v>281</v>
      </c>
      <c r="AP49" s="6"/>
      <c r="AQ49" s="6">
        <v>430</v>
      </c>
      <c r="AR49" s="6">
        <v>11811</v>
      </c>
      <c r="AS49" s="6"/>
      <c r="AT49" s="6"/>
      <c r="AU49" s="6">
        <v>5500</v>
      </c>
      <c r="AV49" s="55" t="str" cm="1">
        <f t="array" ref="AV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48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1.0776785714285715</v>
      </c>
      <c r="E50" s="35" t="str">
        <f>D1_MARZO_202655[[#This Row],[SUPER]]</f>
        <v>JORGE</v>
      </c>
      <c r="F50" t="s">
        <v>22</v>
      </c>
      <c r="G50" s="3">
        <v>60350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0.36885714285714288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IFERROR(VLOOKUP(DATA_MARZO_202651[[#This Row],[ASER_]],$B:$G,4,0),"")</f>
        <v>JOHAN</v>
      </c>
      <c r="P50" s="6">
        <f>SUM(DATA_MARZO_202651[[#This Row],[1]:[30]])</f>
        <v>20656</v>
      </c>
      <c r="Q50" s="6">
        <f>VLOOKUP(DATA_MARZO_202651[[#This Row],[ASER_]],D1_MARZO_202655[[ASESOR_CRR]:[META]],2,0)</f>
        <v>56000</v>
      </c>
      <c r="R50" t="s">
        <v>206</v>
      </c>
      <c r="S50">
        <v>0</v>
      </c>
      <c r="T50">
        <v>6000</v>
      </c>
      <c r="W50">
        <v>470</v>
      </c>
      <c r="X50" s="5">
        <v>5800</v>
      </c>
      <c r="Y50" s="6"/>
      <c r="Z50" s="6"/>
      <c r="AA50" s="6"/>
      <c r="AB50" s="6"/>
      <c r="AC50" s="6"/>
      <c r="AD50" s="6"/>
      <c r="AE50" s="6"/>
      <c r="AF50" s="6"/>
      <c r="AG50" s="6">
        <v>3050</v>
      </c>
      <c r="AH50" s="6"/>
      <c r="AI50" s="6">
        <v>2527</v>
      </c>
      <c r="AJ50" s="6"/>
      <c r="AK50" s="6">
        <v>219</v>
      </c>
      <c r="AL50" s="6"/>
      <c r="AM50" s="6"/>
      <c r="AN50" s="6">
        <v>550</v>
      </c>
      <c r="AO50" s="6"/>
      <c r="AP50" s="6">
        <v>200</v>
      </c>
      <c r="AQ50" s="6"/>
      <c r="AR50" s="6">
        <v>250</v>
      </c>
      <c r="AS50" s="6"/>
      <c r="AT50" s="6"/>
      <c r="AU50" s="6">
        <v>1590</v>
      </c>
      <c r="AV50" s="55" t="str" cm="1">
        <f t="array" ref="AV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1" spans="1:48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0.73875000000000002</v>
      </c>
      <c r="E51" s="35" t="str">
        <f>D1_MARZO_202655[[#This Row],[SUPER]]</f>
        <v>JORGE</v>
      </c>
      <c r="F51" t="s">
        <v>13</v>
      </c>
      <c r="G51" s="3">
        <v>41370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0.81859016393442618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KENNETH</v>
      </c>
      <c r="P51" s="6">
        <f>SUM(DATA_MARZO_202651[[#This Row],[1]:[30]])</f>
        <v>24967</v>
      </c>
      <c r="Q51" s="6">
        <f>VLOOKUP(DATA_MARZO_202651[[#This Row],[ASER_]],D1_MARZO_202655[[ASESOR_CRR]:[META]],2,0)</f>
        <v>30500</v>
      </c>
      <c r="R51" t="s">
        <v>11</v>
      </c>
      <c r="S51">
        <v>0</v>
      </c>
      <c r="U51">
        <v>150</v>
      </c>
      <c r="W51">
        <v>300</v>
      </c>
      <c r="X51" s="5">
        <v>246</v>
      </c>
      <c r="Y51" s="6"/>
      <c r="Z51" s="6">
        <v>5578</v>
      </c>
      <c r="AA51" s="6">
        <v>250</v>
      </c>
      <c r="AB51" s="6">
        <v>1000</v>
      </c>
      <c r="AC51" s="6"/>
      <c r="AD51" s="6"/>
      <c r="AE51" s="6"/>
      <c r="AF51" s="6"/>
      <c r="AG51" s="6">
        <v>113</v>
      </c>
      <c r="AH51" s="6">
        <v>700</v>
      </c>
      <c r="AI51" s="6">
        <v>1200</v>
      </c>
      <c r="AJ51" s="6"/>
      <c r="AK51" s="6">
        <v>230</v>
      </c>
      <c r="AL51" s="6"/>
      <c r="AM51" s="6"/>
      <c r="AN51" s="6">
        <v>950</v>
      </c>
      <c r="AO51" s="6">
        <v>1250</v>
      </c>
      <c r="AP51" s="6">
        <v>1500</v>
      </c>
      <c r="AQ51" s="6">
        <v>4200</v>
      </c>
      <c r="AR51" s="6"/>
      <c r="AS51" s="6"/>
      <c r="AT51" s="6"/>
      <c r="AU51" s="6">
        <v>7300</v>
      </c>
      <c r="AV51" s="55" t="str" cm="1">
        <f t="array" ref="AV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2" spans="1:48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0.74501785714285718</v>
      </c>
      <c r="E52" s="35" t="str">
        <f>D1_MARZO_202655[[#This Row],[SUPER]]</f>
        <v>JORGE</v>
      </c>
      <c r="F52" t="s">
        <v>15</v>
      </c>
      <c r="G52" s="3">
        <v>41721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3.4666153846153844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IFERROR(VLOOKUP(DATA_MARZO_202651[[#This Row],[ASER_]],$B:$G,4,0),"")</f>
        <v>SANDY</v>
      </c>
      <c r="P52" s="6">
        <f>SUM(DATA_MARZO_202651[[#This Row],[1]:[30]])</f>
        <v>112665</v>
      </c>
      <c r="Q52" s="6">
        <f>VLOOKUP(DATA_MARZO_202651[[#This Row],[ASER_]],D1_MARZO_202655[[ASESOR_CRR]:[META]],2,0)</f>
        <v>32500</v>
      </c>
      <c r="R52" t="s">
        <v>79</v>
      </c>
      <c r="S52">
        <v>0</v>
      </c>
      <c r="T52">
        <v>1100</v>
      </c>
      <c r="U52">
        <v>270</v>
      </c>
      <c r="V52">
        <v>1100</v>
      </c>
      <c r="W52">
        <v>12000</v>
      </c>
      <c r="X52" s="5"/>
      <c r="Y52" s="6"/>
      <c r="Z52" s="6">
        <v>5000</v>
      </c>
      <c r="AA52" s="6"/>
      <c r="AB52" s="6"/>
      <c r="AC52" s="6"/>
      <c r="AD52" s="6">
        <v>9100</v>
      </c>
      <c r="AE52" s="6"/>
      <c r="AF52" s="6"/>
      <c r="AG52" s="6">
        <v>12105</v>
      </c>
      <c r="AH52" s="6">
        <v>1200</v>
      </c>
      <c r="AI52" s="6">
        <v>9000</v>
      </c>
      <c r="AJ52" s="6">
        <v>170</v>
      </c>
      <c r="AK52" s="6">
        <v>10000</v>
      </c>
      <c r="AL52" s="6"/>
      <c r="AM52" s="6">
        <v>970</v>
      </c>
      <c r="AN52" s="6"/>
      <c r="AO52" s="6"/>
      <c r="AP52" s="6">
        <v>13000</v>
      </c>
      <c r="AQ52" s="6">
        <v>2700</v>
      </c>
      <c r="AR52" s="6"/>
      <c r="AS52" s="6"/>
      <c r="AT52" s="6"/>
      <c r="AU52" s="6">
        <v>34950</v>
      </c>
      <c r="AV52" s="55" t="str" cm="1">
        <f t="array" ref="AV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3" spans="1:48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0.54285714285714282</v>
      </c>
      <c r="E53" s="35" t="str">
        <f>D1_MARZO_202655[[#This Row],[SUPER]]</f>
        <v>JORGE</v>
      </c>
      <c r="F53" t="s">
        <v>25</v>
      </c>
      <c r="G53" s="3">
        <v>30400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0.22843749999999999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IFERROR(VLOOKUP(DATA_MARZO_202651[[#This Row],[ASER_]],$B:$G,4,0),"")</f>
        <v>LEONOR</v>
      </c>
      <c r="P53" s="6">
        <f>SUM(DATA_MARZO_202651[[#This Row],[1]:[30]])</f>
        <v>3655</v>
      </c>
      <c r="Q53" s="6">
        <f>VLOOKUP(DATA_MARZO_202651[[#This Row],[ASER_]],D1_MARZO_202655[[ASESOR_CRR]:[META]],2,0)</f>
        <v>16000</v>
      </c>
      <c r="R53" t="s">
        <v>566</v>
      </c>
      <c r="S53">
        <v>0</v>
      </c>
      <c r="X53" s="5"/>
      <c r="Y53" s="6"/>
      <c r="Z53" s="6">
        <v>300</v>
      </c>
      <c r="AA53" s="6">
        <v>715</v>
      </c>
      <c r="AB53" s="6"/>
      <c r="AC53" s="6">
        <v>350</v>
      </c>
      <c r="AD53" s="6"/>
      <c r="AE53" s="6"/>
      <c r="AF53" s="6"/>
      <c r="AG53" s="6"/>
      <c r="AH53" s="6"/>
      <c r="AI53" s="6"/>
      <c r="AJ53" s="6">
        <v>600</v>
      </c>
      <c r="AK53" s="6"/>
      <c r="AL53" s="6"/>
      <c r="AM53" s="6"/>
      <c r="AN53" s="6">
        <v>230</v>
      </c>
      <c r="AO53" s="6">
        <v>130</v>
      </c>
      <c r="AP53" s="6"/>
      <c r="AQ53" s="6"/>
      <c r="AR53" s="6"/>
      <c r="AS53" s="6"/>
      <c r="AT53" s="6"/>
      <c r="AU53" s="6">
        <v>1330</v>
      </c>
      <c r="AV53" s="55" t="str" cm="1">
        <f t="array" ref="AV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4" spans="1:48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0.61030357142857139</v>
      </c>
      <c r="E54" s="35" t="str">
        <f>D1_MARZO_202655[[#This Row],[SUPER]]</f>
        <v>JORGE</v>
      </c>
      <c r="F54" t="s">
        <v>24</v>
      </c>
      <c r="G54" s="3">
        <v>34177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1.2169767441860466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SUM(DATA_MARZO_202651[[#This Row],[1]:[30]])</f>
        <v>104660</v>
      </c>
      <c r="Q54" s="6">
        <f>VLOOKUP(DATA_MARZO_202651[[#This Row],[ASER_]],D1_MARZO_202655[[ASESOR_CRR]:[META]],2,0)</f>
        <v>86000</v>
      </c>
      <c r="R54" t="s">
        <v>97</v>
      </c>
      <c r="S54">
        <v>0</v>
      </c>
      <c r="T54">
        <v>300</v>
      </c>
      <c r="U54">
        <v>450</v>
      </c>
      <c r="V54">
        <v>895</v>
      </c>
      <c r="W54">
        <v>4500</v>
      </c>
      <c r="X54" s="5">
        <v>1800</v>
      </c>
      <c r="Y54" s="6">
        <v>3000</v>
      </c>
      <c r="Z54" s="6"/>
      <c r="AA54" s="6">
        <v>420</v>
      </c>
      <c r="AB54" s="6"/>
      <c r="AC54" s="6">
        <v>5500</v>
      </c>
      <c r="AD54" s="6">
        <v>295</v>
      </c>
      <c r="AE54" s="6"/>
      <c r="AF54" s="6"/>
      <c r="AG54" s="6"/>
      <c r="AH54" s="6">
        <v>15560</v>
      </c>
      <c r="AI54" s="6">
        <v>14700</v>
      </c>
      <c r="AJ54" s="6">
        <v>5270</v>
      </c>
      <c r="AK54" s="6">
        <v>18405</v>
      </c>
      <c r="AL54" s="6">
        <v>450</v>
      </c>
      <c r="AM54" s="6"/>
      <c r="AN54" s="6">
        <v>1000</v>
      </c>
      <c r="AO54" s="6">
        <v>5350</v>
      </c>
      <c r="AP54" s="6">
        <v>805</v>
      </c>
      <c r="AQ54" s="6">
        <v>4200</v>
      </c>
      <c r="AR54" s="6">
        <v>18160</v>
      </c>
      <c r="AS54" s="6"/>
      <c r="AT54" s="6"/>
      <c r="AU54" s="6">
        <v>3600</v>
      </c>
      <c r="AV54" s="55" t="str" cm="1">
        <f t="array" ref="AV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5" spans="1:48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0.49660714285714286</v>
      </c>
      <c r="E55" s="35" t="str">
        <f>D1_MARZO_202655[[#This Row],[SUPER]]</f>
        <v>JORGE</v>
      </c>
      <c r="F55" t="s">
        <v>65</v>
      </c>
      <c r="G55" s="3">
        <v>27810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0.89485714285714291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JOHAN</v>
      </c>
      <c r="P55" s="6">
        <f>SUM(DATA_MARZO_202651[[#This Row],[1]:[30]])</f>
        <v>50112</v>
      </c>
      <c r="Q55" s="6">
        <f>VLOOKUP(DATA_MARZO_202651[[#This Row],[ASER_]],D1_MARZO_202655[[ASESOR_CRR]:[META]],2,0)</f>
        <v>56000</v>
      </c>
      <c r="R55" t="s">
        <v>59</v>
      </c>
      <c r="S55">
        <v>0</v>
      </c>
      <c r="T55">
        <v>3500</v>
      </c>
      <c r="V55">
        <v>1000</v>
      </c>
      <c r="X55" s="5"/>
      <c r="Y55" s="6"/>
      <c r="Z55" s="6">
        <v>5500</v>
      </c>
      <c r="AA55" s="6"/>
      <c r="AB55" s="6"/>
      <c r="AC55" s="6">
        <v>4500</v>
      </c>
      <c r="AD55" s="6"/>
      <c r="AE55" s="6"/>
      <c r="AF55" s="6"/>
      <c r="AG55" s="6">
        <v>200</v>
      </c>
      <c r="AH55" s="6">
        <v>2200</v>
      </c>
      <c r="AI55" s="6">
        <v>8000</v>
      </c>
      <c r="AJ55" s="6">
        <v>1860</v>
      </c>
      <c r="AK55" s="6">
        <v>3600</v>
      </c>
      <c r="AL55" s="6"/>
      <c r="AM55" s="6"/>
      <c r="AN55" s="6">
        <v>5470</v>
      </c>
      <c r="AO55" s="6">
        <v>2140</v>
      </c>
      <c r="AP55" s="6"/>
      <c r="AQ55" s="6">
        <v>1500</v>
      </c>
      <c r="AR55" s="6">
        <v>10000</v>
      </c>
      <c r="AS55" s="6"/>
      <c r="AT55" s="6"/>
      <c r="AU55" s="6">
        <v>642</v>
      </c>
      <c r="AV55" s="55" t="str" cm="1">
        <f t="array" ref="AV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48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0.42967857142857141</v>
      </c>
      <c r="E56" s="35" t="str">
        <f>D1_MARZO_202655[[#This Row],[SUPER]]</f>
        <v>JORGE</v>
      </c>
      <c r="F56" t="s">
        <v>377</v>
      </c>
      <c r="G56" s="3">
        <v>24062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0.74205714285714286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LEONOR</v>
      </c>
      <c r="P56" s="6">
        <f>SUM(DATA_MARZO_202651[[#This Row],[1]:[30]])</f>
        <v>25972</v>
      </c>
      <c r="Q56" s="6">
        <f>VLOOKUP(DATA_MARZO_202651[[#This Row],[ASER_]],D1_MARZO_202655[[ASESOR_CRR]:[META]],2,0)</f>
        <v>35000</v>
      </c>
      <c r="R56" t="s">
        <v>73</v>
      </c>
      <c r="S56">
        <v>0</v>
      </c>
      <c r="W56">
        <v>1530</v>
      </c>
      <c r="X56" s="5">
        <v>820</v>
      </c>
      <c r="Y56" s="6"/>
      <c r="Z56" s="6">
        <v>470</v>
      </c>
      <c r="AA56" s="6">
        <v>1600</v>
      </c>
      <c r="AB56" s="6"/>
      <c r="AC56" s="6">
        <v>1150</v>
      </c>
      <c r="AD56" s="6"/>
      <c r="AE56" s="6"/>
      <c r="AF56" s="6"/>
      <c r="AG56" s="6">
        <v>1850</v>
      </c>
      <c r="AH56" s="6"/>
      <c r="AI56" s="6"/>
      <c r="AJ56" s="6">
        <v>3500</v>
      </c>
      <c r="AK56" s="6">
        <v>2830</v>
      </c>
      <c r="AL56" s="6"/>
      <c r="AM56" s="6"/>
      <c r="AN56" s="6">
        <v>272</v>
      </c>
      <c r="AO56" s="6">
        <v>2500</v>
      </c>
      <c r="AP56" s="6">
        <v>1500</v>
      </c>
      <c r="AQ56" s="6"/>
      <c r="AR56" s="6">
        <v>3500</v>
      </c>
      <c r="AS56" s="6"/>
      <c r="AT56" s="6"/>
      <c r="AU56" s="6">
        <v>4450</v>
      </c>
      <c r="AV56" s="55" t="str" cm="1">
        <f t="array" ref="AV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7" spans="1:48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0.26795803571428572</v>
      </c>
      <c r="E57" s="35" t="str">
        <f>D1_MARZO_202655[[#This Row],[SUPER]]</f>
        <v>JORGE</v>
      </c>
      <c r="F57" t="s">
        <v>564</v>
      </c>
      <c r="G57" s="3">
        <v>15005.65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0.18287500000000001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IFERROR(VLOOKUP(DATA_MARZO_202651[[#This Row],[ASER_]],$B:$G,4,0),"")</f>
        <v>LEONOR</v>
      </c>
      <c r="P57" s="6">
        <f>SUM(DATA_MARZO_202651[[#This Row],[1]:[30]])</f>
        <v>2926</v>
      </c>
      <c r="Q57" s="6">
        <f>VLOOKUP(DATA_MARZO_202651[[#This Row],[ASER_]],D1_MARZO_202655[[ASESOR_CRR]:[META]],2,0)</f>
        <v>16000</v>
      </c>
      <c r="R57" t="s">
        <v>557</v>
      </c>
      <c r="S57">
        <v>0</v>
      </c>
      <c r="X57">
        <v>326</v>
      </c>
      <c r="AB57" s="6">
        <v>1200</v>
      </c>
      <c r="AC57" s="6">
        <v>200</v>
      </c>
      <c r="AD57" s="6">
        <v>300</v>
      </c>
      <c r="AE57" s="6"/>
      <c r="AF57" s="6"/>
      <c r="AG57" s="6">
        <v>500</v>
      </c>
      <c r="AH57" s="6"/>
      <c r="AI57" s="6"/>
      <c r="AJ57" s="6">
        <v>50</v>
      </c>
      <c r="AK57" s="6"/>
      <c r="AL57" s="6"/>
      <c r="AM57" s="6"/>
      <c r="AN57" s="6"/>
      <c r="AO57" s="6"/>
      <c r="AP57" s="6">
        <v>350</v>
      </c>
      <c r="AQ57" s="6"/>
      <c r="AR57" s="6"/>
      <c r="AV57" s="55" t="str" cm="1">
        <f t="array" ref="AV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8" spans="1:48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0.14196428571428571</v>
      </c>
      <c r="E58" s="35" t="str">
        <f>D1_MARZO_202655[[#This Row],[SUPER]]</f>
        <v>JORGE</v>
      </c>
      <c r="F58" t="s">
        <v>207</v>
      </c>
      <c r="G58" s="3">
        <v>7950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1.8985245901639345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SUM(DATA_MARZO_202651[[#This Row],[1]:[30]])</f>
        <v>57905</v>
      </c>
      <c r="Q58" s="6">
        <f>VLOOKUP(DATA_MARZO_202651[[#This Row],[ASER_]],D1_MARZO_202655[[ASESOR_CRR]:[META]],2,0)</f>
        <v>30500</v>
      </c>
      <c r="R58" t="s">
        <v>34</v>
      </c>
      <c r="S58">
        <v>0</v>
      </c>
      <c r="U58">
        <v>1250</v>
      </c>
      <c r="V58">
        <v>1450</v>
      </c>
      <c r="Y58">
        <v>500</v>
      </c>
      <c r="Z58">
        <v>1500</v>
      </c>
      <c r="AA58">
        <v>1100</v>
      </c>
      <c r="AB58" s="6">
        <v>8000</v>
      </c>
      <c r="AC58" s="6">
        <v>500</v>
      </c>
      <c r="AD58" s="6">
        <v>2050</v>
      </c>
      <c r="AE58" s="6">
        <v>575</v>
      </c>
      <c r="AF58" s="6"/>
      <c r="AG58" s="6"/>
      <c r="AH58" s="6">
        <v>4100</v>
      </c>
      <c r="AI58" s="6">
        <v>140</v>
      </c>
      <c r="AJ58" s="6"/>
      <c r="AK58" s="6">
        <v>900</v>
      </c>
      <c r="AL58" s="6"/>
      <c r="AM58" s="6"/>
      <c r="AN58" s="6">
        <v>4500</v>
      </c>
      <c r="AO58" s="6"/>
      <c r="AP58" s="6">
        <v>2500</v>
      </c>
      <c r="AQ58" s="6">
        <v>2500</v>
      </c>
      <c r="AR58" s="6">
        <v>24750</v>
      </c>
      <c r="AU58">
        <v>1590</v>
      </c>
      <c r="AV58" s="55" t="str" cm="1">
        <f t="array" ref="AV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9" spans="1:48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6.3116071428571424E-2</v>
      </c>
      <c r="E59" s="35" t="str">
        <f>D1_MARZO_202655[[#This Row],[SUPER]]</f>
        <v>JORGE</v>
      </c>
      <c r="F59" t="s">
        <v>17</v>
      </c>
      <c r="G59" s="3">
        <v>3534.5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0.78362872340425538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IFERROR(VLOOKUP(DATA_MARZO_202651[[#This Row],[ASER_]],$B:$G,4,0),"")</f>
        <v>SANDY</v>
      </c>
      <c r="P59" s="6">
        <f>SUM(DATA_MARZO_202651[[#This Row],[1]:[30]])</f>
        <v>73661.100000000006</v>
      </c>
      <c r="Q59" s="6">
        <f>VLOOKUP(DATA_MARZO_202651[[#This Row],[ASER_]],D1_MARZO_202655[[ASESOR_CRR]:[META]],2,0)</f>
        <v>94000</v>
      </c>
      <c r="R59" t="s">
        <v>78</v>
      </c>
      <c r="S59">
        <v>0</v>
      </c>
      <c r="U59">
        <v>6000</v>
      </c>
      <c r="V59">
        <v>8750</v>
      </c>
      <c r="X59">
        <v>2345</v>
      </c>
      <c r="Z59">
        <v>10750</v>
      </c>
      <c r="AB59" s="6">
        <v>496</v>
      </c>
      <c r="AC59" s="6">
        <v>1800</v>
      </c>
      <c r="AD59" s="6"/>
      <c r="AE59" s="6"/>
      <c r="AF59" s="6"/>
      <c r="AG59" s="6">
        <v>2800</v>
      </c>
      <c r="AH59" s="6">
        <v>17350.099999999999</v>
      </c>
      <c r="AI59" s="6">
        <v>9000</v>
      </c>
      <c r="AJ59" s="6"/>
      <c r="AK59" s="6">
        <v>800</v>
      </c>
      <c r="AL59" s="6"/>
      <c r="AM59" s="6"/>
      <c r="AN59" s="6">
        <v>1820</v>
      </c>
      <c r="AO59" s="6">
        <v>500</v>
      </c>
      <c r="AP59" s="6">
        <v>4000</v>
      </c>
      <c r="AQ59" s="6"/>
      <c r="AR59" s="6">
        <v>4000</v>
      </c>
      <c r="AU59">
        <v>3250</v>
      </c>
      <c r="AV59" s="55" t="str" cm="1">
        <f t="array" ref="AV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60" spans="1:48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0.78377142857142856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LEONOR</v>
      </c>
      <c r="P60" s="6">
        <f>SUM(DATA_MARZO_202651[[#This Row],[1]:[30]])</f>
        <v>27432</v>
      </c>
      <c r="Q60" s="6">
        <f>VLOOKUP(DATA_MARZO_202651[[#This Row],[ASER_]],D1_MARZO_202655[[ASESOR_CRR]:[META]],2,0)</f>
        <v>35000</v>
      </c>
      <c r="R60" t="s">
        <v>48</v>
      </c>
      <c r="S60">
        <v>0</v>
      </c>
      <c r="V60">
        <v>550</v>
      </c>
      <c r="X60">
        <v>3700</v>
      </c>
      <c r="Z60">
        <v>1000</v>
      </c>
      <c r="AB60" s="6">
        <v>770</v>
      </c>
      <c r="AC60" s="6">
        <v>4800</v>
      </c>
      <c r="AD60" s="6">
        <v>1500</v>
      </c>
      <c r="AE60" s="6"/>
      <c r="AF60" s="6"/>
      <c r="AG60" s="6"/>
      <c r="AH60" s="6">
        <v>1300</v>
      </c>
      <c r="AI60" s="6">
        <v>660</v>
      </c>
      <c r="AJ60" s="6"/>
      <c r="AK60" s="6">
        <v>1300</v>
      </c>
      <c r="AL60" s="6"/>
      <c r="AM60" s="6"/>
      <c r="AN60" s="6"/>
      <c r="AO60" s="6">
        <v>1000</v>
      </c>
      <c r="AP60" s="6">
        <v>800</v>
      </c>
      <c r="AQ60" s="6"/>
      <c r="AR60" s="6">
        <v>2000</v>
      </c>
      <c r="AS60">
        <v>700</v>
      </c>
      <c r="AU60">
        <v>7352</v>
      </c>
      <c r="AV60" s="55" t="str" cm="1">
        <f t="array" ref="AV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61" spans="1:48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1.0562570212765958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SANDY</v>
      </c>
      <c r="P61" s="6">
        <f>SUM(DATA_MARZO_202651[[#This Row],[1]:[30]])</f>
        <v>99288.16</v>
      </c>
      <c r="Q61" s="6">
        <f>VLOOKUP(DATA_MARZO_202651[[#This Row],[ASER_]],D1_MARZO_202655[[ASESOR_CRR]:[META]],2,0)</f>
        <v>94000</v>
      </c>
      <c r="R61" t="s">
        <v>76</v>
      </c>
      <c r="S61">
        <v>0</v>
      </c>
      <c r="U61">
        <v>3450</v>
      </c>
      <c r="V61">
        <v>8660.16</v>
      </c>
      <c r="W61">
        <v>16000</v>
      </c>
      <c r="Z61">
        <v>20000</v>
      </c>
      <c r="AA61">
        <v>4463</v>
      </c>
      <c r="AB61" s="6">
        <v>3500</v>
      </c>
      <c r="AC61" s="6"/>
      <c r="AD61" s="6"/>
      <c r="AE61" s="6"/>
      <c r="AF61" s="6"/>
      <c r="AG61" s="6">
        <v>1000</v>
      </c>
      <c r="AH61" s="6">
        <v>8515</v>
      </c>
      <c r="AI61" s="6"/>
      <c r="AJ61" s="6">
        <v>4000</v>
      </c>
      <c r="AK61" s="6">
        <v>400</v>
      </c>
      <c r="AL61" s="6"/>
      <c r="AM61" s="6"/>
      <c r="AN61" s="6">
        <v>8500</v>
      </c>
      <c r="AO61" s="6">
        <v>1000</v>
      </c>
      <c r="AP61" s="6">
        <v>9000</v>
      </c>
      <c r="AQ61" s="6">
        <v>8800</v>
      </c>
      <c r="AR61" s="6"/>
      <c r="AU61">
        <v>2000</v>
      </c>
      <c r="AV61" s="55" t="str" cm="1">
        <f t="array" ref="AV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</sheetData>
  <phoneticPr fontId="2" type="noConversion"/>
  <conditionalFormatting sqref="E3:E59">
    <cfRule type="containsText" dxfId="7" priority="2" operator="containsText" text="kenneth">
      <formula>NOT(ISERROR(SEARCH("kenneth",E3)))</formula>
    </cfRule>
  </conditionalFormatting>
  <conditionalFormatting sqref="R9:R61">
    <cfRule type="duplicateValues" dxfId="6" priority="5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CQ60"/>
  <sheetViews>
    <sheetView topLeftCell="AN1" zoomScale="80" zoomScaleNormal="80" workbookViewId="0">
      <selection activeCell="AW9" sqref="AW9"/>
    </sheetView>
  </sheetViews>
  <sheetFormatPr baseColWidth="10" defaultRowHeight="15" x14ac:dyDescent="0.25"/>
  <cols>
    <col min="2" max="2" width="23.5703125" bestFit="1" customWidth="1"/>
    <col min="7" max="7" width="14.140625" bestFit="1" customWidth="1"/>
    <col min="79" max="79" width="16.28515625" bestFit="1" customWidth="1"/>
    <col min="80" max="83" width="9.5703125" bestFit="1" customWidth="1"/>
  </cols>
  <sheetData>
    <row r="1" spans="1:95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5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5" ht="26.25" x14ac:dyDescent="0.4">
      <c r="A3" s="62" t="str" cm="1">
        <f t="array" ref="A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MARGARITA PIANCHACHI</v>
      </c>
      <c r="C3" s="62" t="e" cm="1">
        <f t="array" ref="C3">_xlfn.XLOOKUP(1,(TablaMeta[CONCAT]=$M$3&amp;$N$3&amp;D1_ABRIL_2026[[#This Row],[SUPER]])*(TablaMeta[SEGG]=D1_ABRIL_2026[[#This Row],[SEGMENTO]]),TablaMeta[Meta_Asesor])</f>
        <v>#N/A</v>
      </c>
      <c r="D3" s="63"/>
      <c r="E3" s="63" t="str">
        <f>D1_ABRIL_2026[[#This Row],[SUPER]]</f>
        <v>LICENCIA</v>
      </c>
      <c r="F3" s="62" t="s">
        <v>17</v>
      </c>
      <c r="G3" s="62"/>
      <c r="H3" s="62" cm="1">
        <f t="array" ref="H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95" x14ac:dyDescent="0.25">
      <c r="A4" s="62" t="str" cm="1">
        <f t="array" ref="A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URSULA CENTENO</v>
      </c>
      <c r="C4" s="62" t="e" cm="1">
        <f t="array" ref="C4">_xlfn.XLOOKUP(1,(TablaMeta[CONCAT]=$M$3&amp;$N$3&amp;D1_ABRIL_2026[[#This Row],[SUPER]])*(TablaMeta[SEGG]=D1_ABRIL_2026[[#This Row],[SEGMENTO]]),TablaMeta[Meta_Asesor])</f>
        <v>#N/A</v>
      </c>
      <c r="D4" s="63"/>
      <c r="E4" s="63" t="str">
        <f>D1_ABRIL_2026[[#This Row],[SUPER]]</f>
        <v>VACACIONES</v>
      </c>
      <c r="F4" s="62" t="s">
        <v>78</v>
      </c>
      <c r="G4" s="62"/>
      <c r="H4" s="62" cm="1">
        <f t="array" ref="H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95" x14ac:dyDescent="0.25">
      <c r="A5" s="62" t="str" cm="1">
        <f t="array" ref="A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CARMEN PUMA</v>
      </c>
      <c r="C5" s="62" t="e" cm="1">
        <f t="array" ref="C5">_xlfn.XLOOKUP(1,(TablaMeta[CONCAT]=$M$3&amp;$N$3&amp;D1_ABRIL_2026[[#This Row],[SUPER]])*(TablaMeta[SEGG]=D1_ABRIL_2026[[#This Row],[SEGMENTO]]),TablaMeta[Meta_Asesor])</f>
        <v>#N/A</v>
      </c>
      <c r="D5" s="63"/>
      <c r="E5" s="63" t="str">
        <f>D1_ABRIL_2026[[#This Row],[SUPER]]</f>
        <v>VACACIONES</v>
      </c>
      <c r="F5" s="62" t="s">
        <v>19</v>
      </c>
      <c r="G5" s="62"/>
      <c r="H5" s="62" cm="1">
        <f t="array" ref="H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T5" s="45"/>
    </row>
    <row r="6" spans="1:95" x14ac:dyDescent="0.25">
      <c r="A6" s="66" t="str" cm="1">
        <f t="array" ref="A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GERALDINE ARROYO</v>
      </c>
      <c r="C6" s="62" t="e" cm="1">
        <f t="array" ref="C6">_xlfn.XLOOKUP(1,(TablaMeta[CONCAT]=$M$3&amp;$N$3&amp;D1_ABRIL_2026[[#This Row],[SUPER]])*(TablaMeta[SEGG]=D1_ABRIL_2026[[#This Row],[SEGMENTO]]),TablaMeta[Meta_Asesor])</f>
        <v>#N/A</v>
      </c>
      <c r="D6" s="63"/>
      <c r="E6" s="67" t="str">
        <f>D1_ABRIL_2026[[#This Row],[SUPER]]</f>
        <v>VACACIONES</v>
      </c>
      <c r="F6" s="66" t="s">
        <v>51</v>
      </c>
      <c r="G6" s="73"/>
      <c r="H6" s="66" cm="1">
        <f t="array" ref="H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</row>
    <row r="7" spans="1:95" x14ac:dyDescent="0.25">
      <c r="A7" s="34" t="str" cm="1">
        <f t="array" ref="A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LISELY MERA</v>
      </c>
      <c r="C7" s="34" cm="1">
        <f t="array" ref="C7">_xlfn.XLOOKUP(1,(TablaMeta[CONCAT]=$M$3&amp;$N$3&amp;D1_ABRIL_2026[[#This Row],[SUPER]])*(TablaMeta[SEGG]=D1_ABRIL_2026[[#This Row],[SEGMENTO]]),TablaMeta[Meta_Asesor])</f>
        <v>48500</v>
      </c>
      <c r="D7" s="35">
        <f>IF(D1_ABRIL_2026[[#This Row],[RECUPERO]]="VACACIONES","VACACIONES",IFERROR(D1_ABRIL_2026[[#This Row],[RECUPERO]]/D1_ABRIL_2026[[#This Row],[META]],""))</f>
        <v>0.85661855670103093</v>
      </c>
      <c r="E7" s="35" t="str">
        <f>D1_ABRIL_2026[[#This Row],[SUPER]]</f>
        <v>JORGE</v>
      </c>
      <c r="F7" s="34" t="s">
        <v>23</v>
      </c>
      <c r="G7" s="36">
        <v>41546</v>
      </c>
      <c r="H7" s="34" cm="1">
        <f t="array" ref="H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CA7" t="s">
        <v>626</v>
      </c>
      <c r="CB7" t="s">
        <v>139</v>
      </c>
      <c r="CC7" t="s">
        <v>140</v>
      </c>
      <c r="CD7" t="s">
        <v>141</v>
      </c>
      <c r="CE7" t="s">
        <v>142</v>
      </c>
    </row>
    <row r="8" spans="1:95" x14ac:dyDescent="0.25">
      <c r="A8" s="34" t="str" cm="1">
        <f t="array" ref="A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FRANCO HUAMANI</v>
      </c>
      <c r="C8" s="34" cm="1">
        <f t="array" ref="C8">_xlfn.XLOOKUP(1,(TablaMeta[CONCAT]=$M$3&amp;$N$3&amp;D1_ABRIL_2026[[#This Row],[SUPER]])*(TablaMeta[SEGG]=D1_ABRIL_2026[[#This Row],[SEGMENTO]]),TablaMeta[Meta_Asesor])</f>
        <v>48500</v>
      </c>
      <c r="D8" s="35">
        <f>IF(D1_ABRIL_2026[[#This Row],[RECUPERO]]="VACACIONES","VACACIONES",IFERROR(D1_ABRIL_2026[[#This Row],[RECUPERO]]/D1_ABRIL_2026[[#This Row],[META]],""))</f>
        <v>0.89676288659793812</v>
      </c>
      <c r="E8" s="35" t="str">
        <f>D1_ABRIL_2026[[#This Row],[SUPER]]</f>
        <v>JORGE</v>
      </c>
      <c r="F8" s="34" t="s">
        <v>24</v>
      </c>
      <c r="G8" s="36">
        <v>43493</v>
      </c>
      <c r="H8" s="34" cm="1">
        <f t="array" ref="H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525</v>
      </c>
      <c r="U8" s="13" t="s">
        <v>529</v>
      </c>
      <c r="V8" s="13" t="s">
        <v>505</v>
      </c>
      <c r="W8" s="13" t="s">
        <v>506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510</v>
      </c>
      <c r="AC8" s="13" t="s">
        <v>511</v>
      </c>
      <c r="AD8" s="13" t="s">
        <v>512</v>
      </c>
      <c r="AE8" s="13" t="s">
        <v>513</v>
      </c>
      <c r="AF8" s="13" t="s">
        <v>527</v>
      </c>
      <c r="AG8" s="13" t="s">
        <v>531</v>
      </c>
      <c r="AH8" s="13" t="s">
        <v>514</v>
      </c>
      <c r="AI8" s="13" t="s">
        <v>515</v>
      </c>
      <c r="AJ8" s="13" t="s">
        <v>516</v>
      </c>
      <c r="AK8" s="13" t="s">
        <v>517</v>
      </c>
      <c r="AL8" s="13" t="s">
        <v>518</v>
      </c>
      <c r="AM8" s="13" t="s">
        <v>528</v>
      </c>
      <c r="AN8" s="13" t="s">
        <v>532</v>
      </c>
      <c r="AO8" s="13" t="s">
        <v>519</v>
      </c>
      <c r="AP8" s="13" t="s">
        <v>520</v>
      </c>
      <c r="AQ8" s="13" t="s">
        <v>521</v>
      </c>
      <c r="AR8" s="13" t="s">
        <v>522</v>
      </c>
      <c r="AS8" s="14" t="s">
        <v>502</v>
      </c>
      <c r="AU8" s="18" t="s">
        <v>135</v>
      </c>
      <c r="AV8" s="18" t="s">
        <v>137</v>
      </c>
      <c r="AW8" s="18" t="s">
        <v>138</v>
      </c>
      <c r="AX8" s="19" t="s">
        <v>94</v>
      </c>
      <c r="AY8" s="19" t="s">
        <v>533</v>
      </c>
      <c r="AZ8" s="19" t="s">
        <v>525</v>
      </c>
      <c r="BA8" s="19" t="s">
        <v>529</v>
      </c>
      <c r="BB8" s="19" t="s">
        <v>505</v>
      </c>
      <c r="BC8" s="19" t="s">
        <v>506</v>
      </c>
      <c r="BD8" s="19" t="s">
        <v>507</v>
      </c>
      <c r="BE8" s="19" t="s">
        <v>508</v>
      </c>
      <c r="BF8" s="19" t="s">
        <v>526</v>
      </c>
      <c r="BG8" s="19" t="s">
        <v>530</v>
      </c>
      <c r="BH8" s="19" t="s">
        <v>510</v>
      </c>
      <c r="BI8" s="19" t="s">
        <v>511</v>
      </c>
      <c r="BJ8" s="19" t="s">
        <v>512</v>
      </c>
      <c r="BK8" s="19" t="s">
        <v>513</v>
      </c>
      <c r="BL8" s="19" t="s">
        <v>527</v>
      </c>
      <c r="BM8" s="19" t="s">
        <v>531</v>
      </c>
      <c r="BN8" s="19" t="s">
        <v>514</v>
      </c>
      <c r="BO8" s="19" t="s">
        <v>515</v>
      </c>
      <c r="BP8" s="19" t="s">
        <v>516</v>
      </c>
      <c r="BQ8" s="19" t="s">
        <v>517</v>
      </c>
      <c r="BR8" s="19" t="s">
        <v>518</v>
      </c>
      <c r="BS8" s="19" t="s">
        <v>528</v>
      </c>
      <c r="BT8" s="19" t="s">
        <v>532</v>
      </c>
      <c r="BU8" s="19" t="s">
        <v>519</v>
      </c>
      <c r="BV8" s="19" t="s">
        <v>520</v>
      </c>
      <c r="BW8" s="19" t="s">
        <v>521</v>
      </c>
      <c r="BX8" s="19" t="s">
        <v>522</v>
      </c>
      <c r="BY8" s="18" t="s">
        <v>134</v>
      </c>
      <c r="CA8" s="74" t="s">
        <v>627</v>
      </c>
      <c r="CB8" s="74" t="s">
        <v>533</v>
      </c>
      <c r="CC8" s="74" t="s">
        <v>503</v>
      </c>
      <c r="CD8" s="74" t="s">
        <v>525</v>
      </c>
      <c r="CE8" s="74" t="s">
        <v>529</v>
      </c>
    </row>
    <row r="9" spans="1:95" x14ac:dyDescent="0.25">
      <c r="A9" s="34" t="str" cm="1">
        <f t="array" ref="A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GIANFRANCO PINEDO</v>
      </c>
      <c r="C9" s="34" cm="1">
        <f t="array" ref="C9">_xlfn.XLOOKUP(1,(TablaMeta[CONCAT]=$M$3&amp;$N$3&amp;D1_ABRIL_2026[[#This Row],[SUPER]])*(TablaMeta[SEGG]=D1_ABRIL_2026[[#This Row],[SEGMENTO]]),TablaMeta[Meta_Asesor])</f>
        <v>48500</v>
      </c>
      <c r="D9" s="35">
        <f>IF(D1_ABRIL_2026[[#This Row],[RECUPERO]]="VACACIONES","VACACIONES",IFERROR(D1_ABRIL_2026[[#This Row],[RECUPERO]]/D1_ABRIL_2026[[#This Row],[META]],""))</f>
        <v>0.92208247422680412</v>
      </c>
      <c r="E9" s="35" t="str">
        <f>D1_ABRIL_2026[[#This Row],[SUPER]]</f>
        <v>JORGE</v>
      </c>
      <c r="F9" s="34" t="s">
        <v>13</v>
      </c>
      <c r="G9" s="36">
        <v>44721</v>
      </c>
      <c r="H9" s="34" cm="1">
        <f t="array" ref="H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DATA_ABRIL_2026[[#This Row],[RECUPERO]]/DATA_ABRIL_2026[[#This Row],[META]]</f>
        <v>0.41509278350515466</v>
      </c>
      <c r="N9" s="5" t="str" cm="1">
        <f t="array" ref="N9">IF(DATA_ABRIL_2026[[#This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IFERROR(VLOOKUP(DATA_ABRIL_2026[[#This Row],[ASER_]],$B:$G,4,0),"")</f>
        <v>JOHAN</v>
      </c>
      <c r="P9" s="6">
        <f>SUM(DATA_ABRIL_2026[[#This Row],[1]:[29]])</f>
        <v>20132</v>
      </c>
      <c r="Q9" s="6">
        <f>VLOOKUP(DATA_ABRIL_2026[[#This Row],[ASER_]],D1_ABRIL_2026[[ASESOR_CRR]:[META]],2,0)</f>
        <v>48500</v>
      </c>
      <c r="R9" t="s">
        <v>18</v>
      </c>
      <c r="V9">
        <v>3900</v>
      </c>
      <c r="X9">
        <v>2000</v>
      </c>
      <c r="Y9">
        <v>375</v>
      </c>
      <c r="AA9">
        <v>8200</v>
      </c>
      <c r="AM9">
        <v>3557</v>
      </c>
      <c r="AP9">
        <v>1500</v>
      </c>
      <c r="AR9">
        <v>600</v>
      </c>
      <c r="AS9" s="55" t="str" cm="1">
        <f t="array" ref="AS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9" s="10">
        <f>SUMIFS(TablaMeta[Meta_Equipo],TablaMeta[CONCAT],$M$3&amp;$N$3&amp;DITE_ABRIL_2026[[#This Row],[SUPER]])</f>
        <v>279317</v>
      </c>
      <c r="AV9" s="10">
        <f>MAX(DITE_ABRIL_2026[[#This Row],[SUPER]:[CARTERA]])</f>
        <v>403526</v>
      </c>
      <c r="AW9" s="16">
        <f>IFERROR(DITE_ABRIL_2026[[#This Row],[RECUPERO SUPERVISOR]]/DITE_ABRIL_2026[[#This Row],[META SUPER]],"")</f>
        <v>1.4446882932295564</v>
      </c>
      <c r="AX9" s="10" t="s">
        <v>3</v>
      </c>
      <c r="AY9" s="46">
        <v>9113.4</v>
      </c>
      <c r="AZ9" s="46">
        <v>9973.4</v>
      </c>
      <c r="BA9" s="46">
        <v>10273.4</v>
      </c>
      <c r="BB9" s="46">
        <v>19583.400000000001</v>
      </c>
      <c r="BC9" s="46">
        <v>26128.400000000001</v>
      </c>
      <c r="BD9" s="46">
        <v>54103.4</v>
      </c>
      <c r="BE9" s="46">
        <v>60543.4</v>
      </c>
      <c r="BF9" s="46">
        <v>79016.399999999994</v>
      </c>
      <c r="BG9" s="46">
        <v>79916.399999999994</v>
      </c>
      <c r="BH9" s="46">
        <v>82310.899999999994</v>
      </c>
      <c r="BI9" s="46">
        <v>87012.9</v>
      </c>
      <c r="BJ9" s="46">
        <v>97493.9</v>
      </c>
      <c r="BK9" s="46">
        <v>121088.31999999999</v>
      </c>
      <c r="BL9" s="46">
        <v>152051.32</v>
      </c>
      <c r="BM9" s="46">
        <v>152051.32</v>
      </c>
      <c r="BN9" s="46">
        <v>177224.32000000001</v>
      </c>
      <c r="BO9" s="46">
        <v>189054.32</v>
      </c>
      <c r="BP9" s="46">
        <v>197169.32</v>
      </c>
      <c r="BQ9" s="46">
        <v>206629.32</v>
      </c>
      <c r="BR9" s="46">
        <v>210189.32</v>
      </c>
      <c r="BS9" s="46">
        <v>213689.32</v>
      </c>
      <c r="BT9" s="46">
        <v>213689.32</v>
      </c>
      <c r="BU9" s="46">
        <v>248156.32</v>
      </c>
      <c r="BV9" s="46">
        <v>275106.32</v>
      </c>
      <c r="BW9" s="46">
        <v>334426.32</v>
      </c>
      <c r="BX9" s="46">
        <v>403526</v>
      </c>
      <c r="BY9" s="10" t="str" cm="1">
        <f t="array" ref="BY9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9" t="s">
        <v>3</v>
      </c>
      <c r="CB9" t="s">
        <v>2</v>
      </c>
      <c r="CC9" t="s">
        <v>2</v>
      </c>
      <c r="CD9" t="s">
        <v>3</v>
      </c>
      <c r="CE9" t="s">
        <v>3</v>
      </c>
      <c r="CF9" s="45"/>
      <c r="CG9" s="45"/>
      <c r="CH9" s="45"/>
      <c r="CI9" s="45"/>
      <c r="CJ9" s="45"/>
      <c r="CK9" s="45"/>
      <c r="CL9" s="45"/>
      <c r="CM9" s="45"/>
      <c r="CN9" s="45"/>
      <c r="CO9" s="45"/>
      <c r="CP9" s="45"/>
      <c r="CQ9" s="45"/>
    </row>
    <row r="10" spans="1:95" x14ac:dyDescent="0.25">
      <c r="A10" s="34" t="str" cm="1">
        <f t="array" ref="A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JIMENA MEDINA</v>
      </c>
      <c r="C10" s="34" cm="1">
        <f t="array" ref="C10">_xlfn.XLOOKUP(1,(TablaMeta[CONCAT]=$M$3&amp;$N$3&amp;D1_ABRIL_2026[[#This Row],[SUPER]])*(TablaMeta[SEGG]=D1_ABRIL_2026[[#This Row],[SEGMENTO]]),TablaMeta[Meta_Asesor])</f>
        <v>48500</v>
      </c>
      <c r="D10" s="35">
        <f>IF(D1_ABRIL_2026[[#This Row],[RECUPERO]]="VACACIONES","VACACIONES",IFERROR(D1_ABRIL_2026[[#This Row],[RECUPERO]]/D1_ABRIL_2026[[#This Row],[META]],""))</f>
        <v>0.30773835051546389</v>
      </c>
      <c r="E10" s="35" t="str">
        <f>D1_ABRIL_2026[[#This Row],[SUPER]]</f>
        <v>JORGE</v>
      </c>
      <c r="F10" s="34" t="s">
        <v>37</v>
      </c>
      <c r="G10" s="36">
        <v>14925.31</v>
      </c>
      <c r="H10" s="34" cm="1">
        <f t="array" ref="H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DATA_ABRIL_2026[[#This Row],[RECUPERO]]/DATA_ABRIL_2026[[#This Row],[META]]</f>
        <v>0.97153571428571428</v>
      </c>
      <c r="N10" s="5" t="str" cm="1">
        <f t="array" ref="N10">IF(DATA_ABRIL_2026[[#This Row],[ASER_]]="","",IFERROR(_xlfn.IFS(M10&gt;=100%,"&gt;100%",AND(M10&lt;100%,M10&gt;=70%),"&gt;70%",AND(M10&lt;70%,M10&gt;=40%),"&gt;40%",AND(M10&lt;40%,M10&gt;=0%),"&gt;0%"),""))</f>
        <v>&gt;70%</v>
      </c>
      <c r="O10" s="55" t="str">
        <f>IFERROR(VLOOKUP(DATA_ABRIL_2026[[#This Row],[ASER_]],$B:$G,4,0),"")</f>
        <v>SANDY</v>
      </c>
      <c r="P10" s="6">
        <f>SUM(DATA_ABRIL_2026[[#This Row],[1]:[29]])</f>
        <v>27203</v>
      </c>
      <c r="Q10" s="6">
        <f>VLOOKUP(DATA_ABRIL_2026[[#This Row],[ASER_]],D1_ABRIL_2026[[ASESOR_CRR]:[META]],2,0)</f>
        <v>28000</v>
      </c>
      <c r="R10" t="s">
        <v>58</v>
      </c>
      <c r="S10">
        <v>250</v>
      </c>
      <c r="X10">
        <v>210</v>
      </c>
      <c r="Y10">
        <v>873</v>
      </c>
      <c r="AB10">
        <v>1200</v>
      </c>
      <c r="AC10">
        <v>285</v>
      </c>
      <c r="AD10">
        <v>200</v>
      </c>
      <c r="AE10">
        <v>3025</v>
      </c>
      <c r="AF10">
        <v>1500</v>
      </c>
      <c r="AI10">
        <v>4910</v>
      </c>
      <c r="AJ10">
        <v>500</v>
      </c>
      <c r="AP10">
        <v>750</v>
      </c>
      <c r="AQ10">
        <v>7000</v>
      </c>
      <c r="AR10">
        <v>6500</v>
      </c>
      <c r="AS10" s="55" t="str" cm="1">
        <f t="array" ref="AS1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U10" s="11">
        <f>SUMIFS(TablaMeta[Meta_Equipo],TablaMeta[CONCAT],$M$3&amp;$N$3&amp;DITE_ABRIL_2026[[#This Row],[SUPER]])</f>
        <v>362638</v>
      </c>
      <c r="AV10" s="11">
        <f>MAX(DITE_ABRIL_2026[[#This Row],[SUPER]:[CARTERA]])</f>
        <v>395413</v>
      </c>
      <c r="AW10" s="17">
        <f>IFERROR(DITE_ABRIL_2026[[#This Row],[RECUPERO SUPERVISOR]]/DITE_ABRIL_2026[[#This Row],[META SUPER]],"")</f>
        <v>1.0903793866059266</v>
      </c>
      <c r="AX10" s="11" t="s">
        <v>6</v>
      </c>
      <c r="AY10" s="46">
        <v>5225</v>
      </c>
      <c r="AZ10" s="46">
        <v>5225</v>
      </c>
      <c r="BA10" s="46">
        <v>5225</v>
      </c>
      <c r="BB10" s="46">
        <v>29461</v>
      </c>
      <c r="BC10" s="46">
        <v>48941</v>
      </c>
      <c r="BD10" s="46">
        <v>59457</v>
      </c>
      <c r="BE10" s="46">
        <v>93557</v>
      </c>
      <c r="BF10" s="46">
        <v>103603</v>
      </c>
      <c r="BG10" s="46">
        <v>103603</v>
      </c>
      <c r="BH10" s="46">
        <v>125724</v>
      </c>
      <c r="BI10" s="46">
        <v>132079</v>
      </c>
      <c r="BJ10" s="46">
        <v>145499</v>
      </c>
      <c r="BK10" s="46">
        <v>167973.06</v>
      </c>
      <c r="BL10" s="46">
        <v>192432.96</v>
      </c>
      <c r="BM10" s="46">
        <v>192432.96</v>
      </c>
      <c r="BN10" s="46">
        <v>206232.95999999999</v>
      </c>
      <c r="BO10" s="46">
        <v>216078.96</v>
      </c>
      <c r="BP10" s="46">
        <v>222758.96</v>
      </c>
      <c r="BQ10" s="46">
        <v>228613.96</v>
      </c>
      <c r="BR10" s="46">
        <v>266813.95999999996</v>
      </c>
      <c r="BS10" s="46">
        <v>270305.95999999996</v>
      </c>
      <c r="BT10" s="46">
        <v>270305.95999999996</v>
      </c>
      <c r="BU10" s="46">
        <v>279610.95999999996</v>
      </c>
      <c r="BV10" s="46">
        <v>299427.95999999996</v>
      </c>
      <c r="BW10" s="46">
        <v>333147.95999999996</v>
      </c>
      <c r="BX10" s="46">
        <v>395413</v>
      </c>
      <c r="BY10" s="11" t="str" cm="1">
        <f t="array" ref="BY10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10" t="s">
        <v>6</v>
      </c>
      <c r="CB10" t="s">
        <v>6</v>
      </c>
      <c r="CC10" t="s">
        <v>6</v>
      </c>
      <c r="CD10" t="s">
        <v>6</v>
      </c>
      <c r="CE10" t="s">
        <v>6</v>
      </c>
      <c r="CF10" s="45"/>
      <c r="CG10" s="45"/>
      <c r="CH10" s="45"/>
      <c r="CI10" s="45"/>
      <c r="CJ10" s="45"/>
      <c r="CK10" s="45"/>
      <c r="CL10" s="45"/>
      <c r="CM10" s="45"/>
      <c r="CN10" s="45"/>
      <c r="CO10" s="45"/>
      <c r="CP10" s="45"/>
      <c r="CQ10" s="45"/>
    </row>
    <row r="11" spans="1:95" x14ac:dyDescent="0.25">
      <c r="A11" s="34" t="str" cm="1">
        <f t="array" ref="A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DAVID SANCHEZ</v>
      </c>
      <c r="C11" s="34" cm="1">
        <f t="array" ref="C11">_xlfn.XLOOKUP(1,(TablaMeta[CONCAT]=$M$3&amp;$N$3&amp;D1_ABRIL_2026[[#This Row],[SUPER]])*(TablaMeta[SEGG]=D1_ABRIL_2026[[#This Row],[SEGMENTO]]),TablaMeta[Meta_Asesor])</f>
        <v>48500</v>
      </c>
      <c r="D11" s="35">
        <f>IF(D1_ABRIL_2026[[#This Row],[RECUPERO]]="VACACIONES","VACACIONES",IFERROR(D1_ABRIL_2026[[#This Row],[RECUPERO]]/D1_ABRIL_2026[[#This Row],[META]],""))</f>
        <v>0.49746371134020612</v>
      </c>
      <c r="E11" s="35" t="str">
        <f>D1_ABRIL_2026[[#This Row],[SUPER]]</f>
        <v>JORGE</v>
      </c>
      <c r="F11" t="s">
        <v>81</v>
      </c>
      <c r="G11" s="36">
        <v>24126.989999999998</v>
      </c>
      <c r="H11" cm="1">
        <f t="array" ref="H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DATA_ABRIL_2026[[#This Row],[RECUPERO]]/DATA_ABRIL_2026[[#This Row],[META]]</f>
        <v>1.0705199999999999</v>
      </c>
      <c r="N11" s="5" t="str" cm="1">
        <f t="array" ref="N11">IF(DATA_ABRIL_2026[[#This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IFERROR(VLOOKUP(DATA_ABRIL_2026[[#This Row],[ASER_]],$B:$G,4,0),"")</f>
        <v>LEONOR</v>
      </c>
      <c r="P11" s="6">
        <f>SUM(DATA_ABRIL_2026[[#This Row],[1]:[29]])</f>
        <v>26763</v>
      </c>
      <c r="Q11" s="6">
        <f>VLOOKUP(DATA_ABRIL_2026[[#This Row],[ASER_]],D1_ABRIL_2026[[ASESOR_CRR]:[META]],2,0)</f>
        <v>25000</v>
      </c>
      <c r="R11" t="s">
        <v>109</v>
      </c>
      <c r="V11">
        <v>2490</v>
      </c>
      <c r="Z11">
        <v>4500</v>
      </c>
      <c r="AC11">
        <v>5000</v>
      </c>
      <c r="AE11">
        <v>5000</v>
      </c>
      <c r="AF11">
        <v>273</v>
      </c>
      <c r="AI11">
        <v>4000</v>
      </c>
      <c r="AJ11">
        <v>5500</v>
      </c>
      <c r="AS11" s="55" t="str" cm="1">
        <f t="array" ref="AS1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U11" s="10">
        <f>SUMIFS(TablaMeta[Meta_Equipo],TablaMeta[CONCAT],$M$3&amp;$N$3&amp;DITE_ABRIL_2026[[#This Row],[SUPER]])</f>
        <v>529535</v>
      </c>
      <c r="AV11" s="10">
        <f>MAX(DITE_ABRIL_2026[[#This Row],[SUPER]:[CARTERA]])</f>
        <v>298539</v>
      </c>
      <c r="AW11" s="16">
        <f>IFERROR(DITE_ABRIL_2026[[#This Row],[RECUPERO SUPERVISOR]]/DITE_ABRIL_2026[[#This Row],[META SUPER]],"")</f>
        <v>0.56377576553013498</v>
      </c>
      <c r="AX11" s="10" t="s">
        <v>2</v>
      </c>
      <c r="AY11" s="46">
        <v>6300</v>
      </c>
      <c r="AZ11" s="46">
        <v>6441</v>
      </c>
      <c r="BA11" s="46">
        <v>6441</v>
      </c>
      <c r="BB11" s="46">
        <v>14768.5</v>
      </c>
      <c r="BC11" s="46">
        <v>42946.5</v>
      </c>
      <c r="BD11" s="46">
        <v>45346.5</v>
      </c>
      <c r="BE11" s="46">
        <v>45926.5</v>
      </c>
      <c r="BF11" s="46">
        <v>60902.5</v>
      </c>
      <c r="BG11" s="46">
        <v>60902.5</v>
      </c>
      <c r="BH11" s="46">
        <v>68072.5</v>
      </c>
      <c r="BI11" s="46">
        <v>73272.5</v>
      </c>
      <c r="BJ11" s="46">
        <v>82912.5</v>
      </c>
      <c r="BK11" s="46">
        <v>88172.5</v>
      </c>
      <c r="BL11" s="46">
        <v>112677.5</v>
      </c>
      <c r="BM11" s="46">
        <v>116327.5</v>
      </c>
      <c r="BN11" s="46">
        <v>135594.79999999999</v>
      </c>
      <c r="BO11" s="46">
        <v>153741.78999999998</v>
      </c>
      <c r="BP11" s="46">
        <v>174621.78999999998</v>
      </c>
      <c r="BQ11" s="46">
        <v>196578.78999999998</v>
      </c>
      <c r="BR11" s="46">
        <v>205424.78999999998</v>
      </c>
      <c r="BS11" s="46">
        <v>205424.78999999998</v>
      </c>
      <c r="BT11" s="46">
        <v>205837.78999999998</v>
      </c>
      <c r="BU11" s="46">
        <v>220237.78999999998</v>
      </c>
      <c r="BV11" s="46">
        <v>227887.78999999998</v>
      </c>
      <c r="BW11" s="46">
        <v>240401.09999999998</v>
      </c>
      <c r="BX11" s="46">
        <v>298539</v>
      </c>
      <c r="BY11" s="10" t="str" cm="1">
        <f t="array" ref="BY1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1" t="s">
        <v>2</v>
      </c>
      <c r="CB11" t="s">
        <v>3</v>
      </c>
      <c r="CC11" t="s">
        <v>3</v>
      </c>
      <c r="CD11" t="s">
        <v>2</v>
      </c>
      <c r="CE11" t="s">
        <v>2</v>
      </c>
      <c r="CF11" s="45"/>
      <c r="CG11" s="45"/>
      <c r="CH11" s="45"/>
      <c r="CI11" s="45"/>
      <c r="CJ11" s="45"/>
      <c r="CK11" s="45"/>
      <c r="CL11" s="45"/>
      <c r="CM11" s="45"/>
      <c r="CN11" s="45"/>
      <c r="CO11" s="45"/>
      <c r="CP11" s="45"/>
      <c r="CQ11" s="45"/>
    </row>
    <row r="12" spans="1:95" x14ac:dyDescent="0.25">
      <c r="A12" s="34" t="str" cm="1">
        <f t="array" ref="A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JHONATAN CHAVEZ</v>
      </c>
      <c r="C12" s="34" cm="1">
        <f t="array" ref="C12">_xlfn.XLOOKUP(1,(TablaMeta[CONCAT]=$M$3&amp;$N$3&amp;D1_ABRIL_2026[[#This Row],[SUPER]])*(TablaMeta[SEGG]=D1_ABRIL_2026[[#This Row],[SEGMENTO]]),TablaMeta[Meta_Asesor])</f>
        <v>48500</v>
      </c>
      <c r="D12" s="35">
        <f>IF(D1_ABRIL_2026[[#This Row],[RECUPERO]]="VACACIONES","VACACIONES",IFERROR(D1_ABRIL_2026[[#This Row],[RECUPERO]]/D1_ABRIL_2026[[#This Row],[META]],""))</f>
        <v>0.43851546391752577</v>
      </c>
      <c r="E12" s="35" t="str">
        <f>D1_ABRIL_2026[[#This Row],[SUPER]]</f>
        <v>JORGE</v>
      </c>
      <c r="F12" t="s">
        <v>65</v>
      </c>
      <c r="G12" s="36">
        <v>21268</v>
      </c>
      <c r="H12" cm="1">
        <f t="array" ref="H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DATA_ABRIL_2026[[#This Row],[RECUPERO]]/DATA_ABRIL_2026[[#This Row],[META]]</f>
        <v>0.54187628865979387</v>
      </c>
      <c r="N12" s="5" t="str" cm="1">
        <f t="array" ref="N12">IF(DATA_ABRIL_2026[[#This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IFERROR(VLOOKUP(DATA_ABRIL_2026[[#This Row],[ASER_]],$B:$G,4,0),"")</f>
        <v>JOHAN</v>
      </c>
      <c r="P12" s="6">
        <f>SUM(DATA_ABRIL_2026[[#This Row],[1]:[29]])</f>
        <v>26281</v>
      </c>
      <c r="Q12" s="6">
        <f>VLOOKUP(DATA_ABRIL_2026[[#This Row],[ASER_]],D1_ABRIL_2026[[ASESOR_CRR]:[META]],2,0)</f>
        <v>48500</v>
      </c>
      <c r="R12" t="s">
        <v>60</v>
      </c>
      <c r="S12">
        <v>1000</v>
      </c>
      <c r="V12">
        <v>600</v>
      </c>
      <c r="W12">
        <v>1500</v>
      </c>
      <c r="AE12">
        <v>500</v>
      </c>
      <c r="AF12">
        <v>4000</v>
      </c>
      <c r="AJ12">
        <v>2000</v>
      </c>
      <c r="AL12">
        <v>11350</v>
      </c>
      <c r="AO12">
        <v>700</v>
      </c>
      <c r="AP12">
        <v>1001</v>
      </c>
      <c r="AQ12">
        <v>3000</v>
      </c>
      <c r="AR12">
        <v>630</v>
      </c>
      <c r="AS12" s="55" t="str" cm="1">
        <f t="array" ref="AS1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2" s="11">
        <f>SUMIFS(TablaMeta[Meta_Equipo],TablaMeta[CONCAT],$M$3&amp;$N$3&amp;DITE_ABRIL_2026[[#This Row],[SUPER]])</f>
        <v>529535</v>
      </c>
      <c r="AV12" s="11">
        <f>MAX(DITE_ABRIL_2026[[#This Row],[SUPER]:[CARTERA]])</f>
        <v>472978</v>
      </c>
      <c r="AW12" s="17">
        <f>IFERROR(DITE_ABRIL_2026[[#This Row],[RECUPERO SUPERVISOR]]/DITE_ABRIL_2026[[#This Row],[META SUPER]],"")</f>
        <v>0.89319497294796379</v>
      </c>
      <c r="AX12" s="11" t="s">
        <v>125</v>
      </c>
      <c r="AY12" s="46">
        <v>45436.5</v>
      </c>
      <c r="AZ12" s="46">
        <v>46036.5</v>
      </c>
      <c r="BA12" s="46">
        <v>46036.5</v>
      </c>
      <c r="BB12" s="46">
        <v>68576.5</v>
      </c>
      <c r="BC12" s="46">
        <v>72647.5</v>
      </c>
      <c r="BD12" s="46">
        <v>95002.5</v>
      </c>
      <c r="BE12" s="46">
        <v>96377.5</v>
      </c>
      <c r="BF12" s="46">
        <v>131124.5</v>
      </c>
      <c r="BG12" s="46">
        <v>140324.5</v>
      </c>
      <c r="BH12" s="46">
        <v>144424.5</v>
      </c>
      <c r="BI12" s="46">
        <v>158454.5</v>
      </c>
      <c r="BJ12" s="46">
        <v>174504.5</v>
      </c>
      <c r="BK12" s="46">
        <v>183161.5</v>
      </c>
      <c r="BL12" s="46">
        <v>194061.5</v>
      </c>
      <c r="BM12" s="46">
        <v>194061.5</v>
      </c>
      <c r="BN12" s="46">
        <v>207050.5</v>
      </c>
      <c r="BO12" s="46">
        <v>250850.5</v>
      </c>
      <c r="BP12" s="46">
        <v>261750.5</v>
      </c>
      <c r="BQ12" s="46">
        <v>278297.5</v>
      </c>
      <c r="BR12" s="46">
        <v>300326.5</v>
      </c>
      <c r="BS12" s="46">
        <v>300326.5</v>
      </c>
      <c r="BT12" s="46">
        <v>301726.5</v>
      </c>
      <c r="BU12" s="46">
        <v>321817.5</v>
      </c>
      <c r="BV12" s="46">
        <v>346733.5</v>
      </c>
      <c r="BW12" s="46">
        <v>416668.5</v>
      </c>
      <c r="BX12" s="46">
        <v>472978</v>
      </c>
      <c r="BY12" s="11" t="str" cm="1">
        <f t="array" ref="BY12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2" t="s">
        <v>125</v>
      </c>
      <c r="CB12" t="s">
        <v>4</v>
      </c>
      <c r="CC12" t="s">
        <v>125</v>
      </c>
      <c r="CD12" t="s">
        <v>125</v>
      </c>
      <c r="CE12" t="s">
        <v>125</v>
      </c>
      <c r="CF12" s="45"/>
      <c r="CG12" s="45"/>
      <c r="CH12" s="45"/>
      <c r="CI12" s="45"/>
      <c r="CJ12" s="45"/>
      <c r="CK12" s="45"/>
      <c r="CL12" s="45"/>
      <c r="CM12" s="45"/>
      <c r="CN12" s="45"/>
      <c r="CO12" s="45"/>
      <c r="CP12" s="45"/>
      <c r="CQ12" s="45"/>
    </row>
    <row r="13" spans="1:95" x14ac:dyDescent="0.25">
      <c r="A13" s="34" t="str" cm="1">
        <f t="array" ref="A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ANDERSON RODRIGUEZ</v>
      </c>
      <c r="C13" s="34" cm="1">
        <f t="array" ref="C13">_xlfn.XLOOKUP(1,(TablaMeta[CONCAT]=$M$3&amp;$N$3&amp;D1_ABRIL_2026[[#This Row],[SUPER]])*(TablaMeta[SEGG]=D1_ABRIL_2026[[#This Row],[SEGMENTO]]),TablaMeta[Meta_Asesor])</f>
        <v>48500</v>
      </c>
      <c r="D13" s="35">
        <f>IF(D1_ABRIL_2026[[#This Row],[RECUPERO]]="VACACIONES","VACACIONES",IFERROR(D1_ABRIL_2026[[#This Row],[RECUPERO]]/D1_ABRIL_2026[[#This Row],[META]],""))</f>
        <v>0.41084536082474227</v>
      </c>
      <c r="E13" s="35" t="str">
        <f>D1_ABRIL_2026[[#This Row],[SUPER]]</f>
        <v>JORGE</v>
      </c>
      <c r="F13" t="s">
        <v>15</v>
      </c>
      <c r="G13" s="36">
        <v>19926</v>
      </c>
      <c r="H13" cm="1">
        <f t="array" ref="H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DATA_ABRIL_2026[[#This Row],[RECUPERO]]/DATA_ABRIL_2026[[#This Row],[META]]</f>
        <v>0.41084536082474227</v>
      </c>
      <c r="N13" s="5" t="str" cm="1">
        <f t="array" ref="N13">IF(DATA_ABRIL_2026[[#This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IFERROR(VLOOKUP(DATA_ABRIL_2026[[#This Row],[ASER_]],$B:$G,4,0),"")</f>
        <v>JORGE</v>
      </c>
      <c r="P13" s="6">
        <f>SUM(DATA_ABRIL_2026[[#This Row],[1]:[29]])</f>
        <v>19926</v>
      </c>
      <c r="Q13" s="6">
        <f>VLOOKUP(DATA_ABRIL_2026[[#This Row],[ASER_]],D1_ABRIL_2026[[ASESOR_CRR]:[META]],2,0)</f>
        <v>48500</v>
      </c>
      <c r="R13" t="s">
        <v>15</v>
      </c>
      <c r="S13" s="47"/>
      <c r="W13">
        <v>3300</v>
      </c>
      <c r="Z13">
        <v>7500</v>
      </c>
      <c r="AF13">
        <v>225</v>
      </c>
      <c r="AJ13">
        <v>600</v>
      </c>
      <c r="AK13">
        <v>805</v>
      </c>
      <c r="AM13">
        <v>3746</v>
      </c>
      <c r="AQ13">
        <v>3000</v>
      </c>
      <c r="AR13">
        <v>750</v>
      </c>
      <c r="AS13" s="55" t="str" cm="1">
        <f t="array" ref="AS1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3" s="10">
        <f>SUMIFS(TablaMeta[Meta_Equipo],TablaMeta[CONCAT],$M$3&amp;$N$3&amp;DITE_ABRIL_2026[[#This Row],[SUPER]])</f>
        <v>245120</v>
      </c>
      <c r="AV13" s="10">
        <f>MAX(DITE_ABRIL_2026[[#This Row],[SUPER]:[CARTERA]])</f>
        <v>253629</v>
      </c>
      <c r="AW13" s="16">
        <f>IFERROR(DITE_ABRIL_2026[[#This Row],[RECUPERO SUPERVISOR]]/DITE_ABRIL_2026[[#This Row],[META SUPER]],"")</f>
        <v>1.0347136096605745</v>
      </c>
      <c r="AX13" s="10" t="s">
        <v>7</v>
      </c>
      <c r="AY13" s="46">
        <v>7136</v>
      </c>
      <c r="AZ13" s="46">
        <v>7536</v>
      </c>
      <c r="BA13" s="45">
        <v>8236</v>
      </c>
      <c r="BB13" s="46">
        <v>16645</v>
      </c>
      <c r="BC13" s="46">
        <v>17904</v>
      </c>
      <c r="BD13" s="46">
        <v>25778</v>
      </c>
      <c r="BE13" s="46">
        <v>29106</v>
      </c>
      <c r="BF13" s="46">
        <v>41366</v>
      </c>
      <c r="BG13" s="46">
        <v>41366</v>
      </c>
      <c r="BH13" s="46">
        <v>54413</v>
      </c>
      <c r="BI13" s="46">
        <v>79127</v>
      </c>
      <c r="BJ13" s="46">
        <v>87827</v>
      </c>
      <c r="BK13" s="46">
        <v>104366</v>
      </c>
      <c r="BL13" s="45">
        <v>108535</v>
      </c>
      <c r="BM13" s="46">
        <v>108535</v>
      </c>
      <c r="BN13" s="46">
        <v>134609</v>
      </c>
      <c r="BO13" s="46">
        <v>149212</v>
      </c>
      <c r="BP13" s="45">
        <v>159642</v>
      </c>
      <c r="BQ13" s="46">
        <v>173514</v>
      </c>
      <c r="BR13" s="46">
        <v>185324</v>
      </c>
      <c r="BS13" s="46">
        <v>185324</v>
      </c>
      <c r="BT13" s="46">
        <v>185324</v>
      </c>
      <c r="BU13" s="46">
        <v>198074</v>
      </c>
      <c r="BV13" s="46">
        <v>206774</v>
      </c>
      <c r="BW13" s="46">
        <v>215271</v>
      </c>
      <c r="BX13" s="46">
        <v>253629</v>
      </c>
      <c r="BY13" s="10" t="str" cm="1">
        <f t="array" ref="BY13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CA13" t="s">
        <v>7</v>
      </c>
      <c r="CB13" t="s">
        <v>125</v>
      </c>
      <c r="CC13" t="s">
        <v>124</v>
      </c>
      <c r="CD13" t="s">
        <v>7</v>
      </c>
      <c r="CE13" t="s">
        <v>7</v>
      </c>
      <c r="CF13" s="45"/>
      <c r="CG13" s="45"/>
      <c r="CH13" s="45"/>
      <c r="CI13" s="45"/>
      <c r="CJ13" s="45"/>
      <c r="CK13" s="45"/>
      <c r="CL13" s="45"/>
      <c r="CM13" s="45"/>
      <c r="CN13" s="45"/>
      <c r="CO13" s="45"/>
      <c r="CP13" s="45"/>
      <c r="CQ13" s="45"/>
    </row>
    <row r="14" spans="1:95" x14ac:dyDescent="0.25">
      <c r="A14" s="34" t="str" cm="1">
        <f t="array" ref="A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MALORY MONTEBLANCO</v>
      </c>
      <c r="C14" s="34" cm="1">
        <f t="array" ref="C14">_xlfn.XLOOKUP(1,(TablaMeta[CONCAT]=$M$3&amp;$N$3&amp;D1_ABRIL_2026[[#This Row],[SUPER]])*(TablaMeta[SEGG]=D1_ABRIL_2026[[#This Row],[SEGMENTO]]),TablaMeta[Meta_Asesor])</f>
        <v>48500</v>
      </c>
      <c r="D14" s="35">
        <f>IF(D1_ABRIL_2026[[#This Row],[RECUPERO]]="VACACIONES","VACACIONES",IFERROR(D1_ABRIL_2026[[#This Row],[RECUPERO]]/D1_ABRIL_2026[[#This Row],[META]],""))</f>
        <v>0.36347422680412372</v>
      </c>
      <c r="E14" s="35" t="str">
        <f>D1_ABRIL_2026[[#This Row],[SUPER]]</f>
        <v>JORGE</v>
      </c>
      <c r="F14" t="s">
        <v>25</v>
      </c>
      <c r="G14" s="36">
        <v>17628.5</v>
      </c>
      <c r="H14" cm="1">
        <f t="array" ref="H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DATA_ABRIL_2026[[#This Row],[RECUPERO]]/DATA_ABRIL_2026[[#This Row],[META]]</f>
        <v>1.9458214285714286</v>
      </c>
      <c r="N14" s="5" t="str" cm="1">
        <f t="array" ref="N14">IF(DATA_ABRIL_2026[[#This Row],[ASER_]]="","",IFERROR(_xlfn.IFS(M14&gt;=100%,"&gt;100%",AND(M14&lt;100%,M14&gt;=70%),"&gt;70%",AND(M14&lt;70%,M14&gt;=40%),"&gt;40%",AND(M14&lt;40%,M14&gt;=0%),"&gt;0%"),""))</f>
        <v>&gt;100%</v>
      </c>
      <c r="O14" s="55" t="str">
        <f>IFERROR(VLOOKUP(DATA_ABRIL_2026[[#This Row],[ASER_]],$B:$G,4,0),"")</f>
        <v>SANDY</v>
      </c>
      <c r="P14" s="6">
        <f>SUM(DATA_ABRIL_2026[[#This Row],[1]:[29]])</f>
        <v>54483</v>
      </c>
      <c r="Q14" s="6">
        <f>VLOOKUP(DATA_ABRIL_2026[[#This Row],[ASER_]],D1_ABRIL_2026[[ASESOR_CRR]:[META]],2,0)</f>
        <v>28000</v>
      </c>
      <c r="R14" t="s">
        <v>85</v>
      </c>
      <c r="S14" s="47"/>
      <c r="W14">
        <v>2000</v>
      </c>
      <c r="X14">
        <v>1400</v>
      </c>
      <c r="Z14">
        <v>6478</v>
      </c>
      <c r="AC14">
        <v>280</v>
      </c>
      <c r="AD14">
        <v>5000</v>
      </c>
      <c r="AE14">
        <v>13050</v>
      </c>
      <c r="AI14">
        <v>12375</v>
      </c>
      <c r="AL14">
        <v>4300</v>
      </c>
      <c r="AN14">
        <v>2000</v>
      </c>
      <c r="AQ14">
        <v>600</v>
      </c>
      <c r="AR14">
        <v>7000</v>
      </c>
      <c r="AS14" s="55" t="str" cm="1">
        <f t="array" ref="AS1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15" spans="1:95" x14ac:dyDescent="0.25">
      <c r="A15" s="34" t="str" cm="1">
        <f t="array" ref="A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HAROLD FLORES</v>
      </c>
      <c r="C15" s="34" cm="1">
        <f t="array" ref="C15">_xlfn.XLOOKUP(1,(TablaMeta[CONCAT]=$M$3&amp;$N$3&amp;D1_ABRIL_2026[[#This Row],[SUPER]])*(TablaMeta[SEGG]=D1_ABRIL_2026[[#This Row],[SEGMENTO]]),TablaMeta[Meta_Asesor])</f>
        <v>48500</v>
      </c>
      <c r="D15" s="35">
        <f>IF(D1_ABRIL_2026[[#This Row],[RECUPERO]]="VACACIONES","VACACIONES",IFERROR(D1_ABRIL_2026[[#This Row],[RECUPERO]]/D1_ABRIL_2026[[#This Row],[META]],""))</f>
        <v>7.5257731958762883E-2</v>
      </c>
      <c r="E15" s="35" t="str">
        <f>D1_ABRIL_2026[[#This Row],[SUPER]]</f>
        <v>JORGE</v>
      </c>
      <c r="F15" t="s">
        <v>42</v>
      </c>
      <c r="G15" s="36">
        <v>3650</v>
      </c>
      <c r="H15" cm="1">
        <f t="array" ref="H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DATA_ABRIL_2026[[#This Row],[RECUPERO]]/DATA_ABRIL_2026[[#This Row],[META]]</f>
        <v>0.66635714285714287</v>
      </c>
      <c r="N15" s="5" t="str" cm="1">
        <f t="array" ref="N15">IF(DATA_ABRIL_2026[[#This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IFERROR(VLOOKUP(DATA_ABRIL_2026[[#This Row],[ASER_]],$B:$G,4,0),"")</f>
        <v>SANDY</v>
      </c>
      <c r="P15" s="6">
        <f>SUM(DATA_ABRIL_2026[[#This Row],[1]:[29]])</f>
        <v>18658</v>
      </c>
      <c r="Q15" s="6">
        <f>VLOOKUP(DATA_ABRIL_2026[[#This Row],[ASER_]],D1_ABRIL_2026[[ASESOR_CRR]:[META]],2,0)</f>
        <v>28000</v>
      </c>
      <c r="R15" t="s">
        <v>174</v>
      </c>
      <c r="S15" s="47">
        <v>250</v>
      </c>
      <c r="V15">
        <v>1200</v>
      </c>
      <c r="AC15">
        <v>575</v>
      </c>
      <c r="AD15">
        <v>690</v>
      </c>
      <c r="AE15">
        <v>1010</v>
      </c>
      <c r="AF15">
        <v>5953</v>
      </c>
      <c r="AI15">
        <v>2150</v>
      </c>
      <c r="AK15">
        <v>4210</v>
      </c>
      <c r="AP15">
        <v>1400</v>
      </c>
      <c r="AQ15">
        <v>1000</v>
      </c>
      <c r="AR15">
        <v>220</v>
      </c>
      <c r="AS15" s="55" t="str" cm="1">
        <f t="array" ref="AS1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J15" s="45"/>
      <c r="BL15" s="45"/>
      <c r="BM15" s="45"/>
      <c r="BO15" s="45"/>
    </row>
    <row r="16" spans="1:95" x14ac:dyDescent="0.25">
      <c r="A16" s="34" t="str" cm="1">
        <f t="array" ref="A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EVELY TENORIO</v>
      </c>
      <c r="C16" s="34" cm="1">
        <f t="array" ref="C16">_xlfn.XLOOKUP(1,(TablaMeta[CONCAT]=$M$3&amp;$N$3&amp;D1_ABRIL_2026[[#This Row],[SUPER]])*(TablaMeta[SEGG]=D1_ABRIL_2026[[#This Row],[SEGMENTO]]),TablaMeta[Meta_Asesor])</f>
        <v>48500</v>
      </c>
      <c r="D16" s="35">
        <f>IF(D1_ABRIL_2026[[#This Row],[RECUPERO]]="VACACIONES","VACACIONES",IFERROR(D1_ABRIL_2026[[#This Row],[RECUPERO]]/D1_ABRIL_2026[[#This Row],[META]],""))</f>
        <v>0.12095463917525774</v>
      </c>
      <c r="E16" s="35" t="str">
        <f>D1_ABRIL_2026[[#This Row],[SUPER]]</f>
        <v>JORGE</v>
      </c>
      <c r="F16" t="s">
        <v>22</v>
      </c>
      <c r="G16" s="36">
        <v>5866.3</v>
      </c>
      <c r="H16" cm="1">
        <f t="array" ref="H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DATA_ABRIL_2026[[#This Row],[RECUPERO]]/DATA_ABRIL_2026[[#This Row],[META]]</f>
        <v>0.70945454545454545</v>
      </c>
      <c r="N16" s="5" t="str" cm="1">
        <f t="array" ref="N16">IF(DATA_ABRIL_2026[[#This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IFERROR(VLOOKUP(DATA_ABRIL_2026[[#This Row],[ASER_]],$B:$G,4,0),"")</f>
        <v>LEONOR</v>
      </c>
      <c r="P16" s="6">
        <f>SUM(DATA_ABRIL_2026[[#This Row],[1]:[29]])</f>
        <v>11706</v>
      </c>
      <c r="Q16" s="6">
        <f>VLOOKUP(DATA_ABRIL_2026[[#This Row],[ASER_]],D1_ABRIL_2026[[ASESOR_CRR]:[META]],2,0)</f>
        <v>16500</v>
      </c>
      <c r="R16" t="s">
        <v>41</v>
      </c>
      <c r="S16">
        <v>1886</v>
      </c>
      <c r="V16">
        <v>300</v>
      </c>
      <c r="W16">
        <v>608</v>
      </c>
      <c r="AB16">
        <v>1100</v>
      </c>
      <c r="AC16">
        <v>250</v>
      </c>
      <c r="AE16">
        <v>2900</v>
      </c>
      <c r="AF16">
        <v>562</v>
      </c>
      <c r="AM16">
        <v>3000</v>
      </c>
      <c r="AQ16">
        <v>1100</v>
      </c>
      <c r="AS16" s="55" t="str" cm="1">
        <f t="array" ref="AS1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J16" s="45"/>
      <c r="BK16" s="45"/>
      <c r="BL16" s="45"/>
      <c r="BM16" s="45"/>
      <c r="BO16" s="45"/>
      <c r="BP16" s="45"/>
      <c r="BQ16" s="45"/>
      <c r="BY16" s="45"/>
    </row>
    <row r="17" spans="1:82" x14ac:dyDescent="0.25">
      <c r="A17" s="34" t="str" cm="1">
        <f t="array" ref="A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KIARA CANEPA</v>
      </c>
      <c r="C17" s="34" cm="1">
        <f t="array" ref="C17">_xlfn.XLOOKUP(1,(TablaMeta[CONCAT]=$M$3&amp;$N$3&amp;D1_ABRIL_2026[[#This Row],[SUPER]])*(TablaMeta[SEGG]=D1_ABRIL_2026[[#This Row],[SEGMENTO]]),TablaMeta[Meta_Asesor])</f>
        <v>48500</v>
      </c>
      <c r="D17" s="35">
        <f>IF(D1_ABRIL_2026[[#This Row],[RECUPERO]]="VACACIONES","VACACIONES",IFERROR(D1_ABRIL_2026[[#This Row],[RECUPERO]]/D1_ABRIL_2026[[#This Row],[META]],""))</f>
        <v>6.7010309278350513E-2</v>
      </c>
      <c r="E17" s="35" t="str">
        <f>D1_ABRIL_2026[[#This Row],[SUPER]]</f>
        <v>JORGE</v>
      </c>
      <c r="F17" t="s">
        <v>50</v>
      </c>
      <c r="G17" s="36">
        <v>3250</v>
      </c>
      <c r="H17" cm="1">
        <f t="array" ref="H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DATA_ABRIL_2026[[#This Row],[RECUPERO]]/DATA_ABRIL_2026[[#This Row],[META]]</f>
        <v>0.94389690721649488</v>
      </c>
      <c r="N17" s="5" t="str" cm="1">
        <f t="array" ref="N17">IF(DATA_ABRIL_2026[[#This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IFERROR(VLOOKUP(DATA_ABRIL_2026[[#This Row],[ASER_]],$B:$G,4,0),"")</f>
        <v>JOHAN</v>
      </c>
      <c r="P17" s="6">
        <f>SUM(DATA_ABRIL_2026[[#This Row],[1]:[29]])</f>
        <v>45779</v>
      </c>
      <c r="Q17" s="6">
        <f>VLOOKUP(DATA_ABRIL_2026[[#This Row],[ASER_]],D1_ABRIL_2026[[ASESOR_CRR]:[META]],2,0)</f>
        <v>48500</v>
      </c>
      <c r="R17" t="s">
        <v>61</v>
      </c>
      <c r="S17" s="45">
        <v>1838</v>
      </c>
      <c r="V17">
        <v>1215</v>
      </c>
      <c r="W17">
        <v>121</v>
      </c>
      <c r="Z17">
        <v>6000</v>
      </c>
      <c r="AC17">
        <v>4000</v>
      </c>
      <c r="AD17">
        <v>2000</v>
      </c>
      <c r="AE17">
        <v>2321</v>
      </c>
      <c r="AI17">
        <v>750</v>
      </c>
      <c r="AK17">
        <v>3300</v>
      </c>
      <c r="AO17">
        <v>700</v>
      </c>
      <c r="AP17">
        <v>3000</v>
      </c>
      <c r="AQ17">
        <v>11934</v>
      </c>
      <c r="AR17">
        <v>8600</v>
      </c>
      <c r="AS17" s="55" t="str" cm="1">
        <f t="array" ref="AS1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17" s="45"/>
      <c r="BK17" s="45"/>
      <c r="BL17" s="47"/>
      <c r="BM17" s="47"/>
      <c r="BO17" s="47"/>
      <c r="BP17" s="45"/>
      <c r="BQ17" s="45"/>
      <c r="BS17" s="45"/>
      <c r="BX17" s="45"/>
      <c r="BY17" s="45"/>
    </row>
    <row r="18" spans="1:82" x14ac:dyDescent="0.25">
      <c r="A18" s="34" t="str" cm="1">
        <f t="array" ref="A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NATALIA MARIN</v>
      </c>
      <c r="C18" s="34" cm="1">
        <f t="array" ref="C18">_xlfn.XLOOKUP(1,(TablaMeta[CONCAT]=$M$3&amp;$N$3&amp;D1_ABRIL_2026[[#This Row],[SUPER]])*(TablaMeta[SEGG]=D1_ABRIL_2026[[#This Row],[SEGMENTO]]),TablaMeta[Meta_Asesor])</f>
        <v>28000</v>
      </c>
      <c r="D18" s="35">
        <f>IF(D1_ABRIL_2026[[#This Row],[RECUPERO]]="VACACIONES","VACACIONES",IFERROR(D1_ABRIL_2026[[#This Row],[RECUPERO]]/D1_ABRIL_2026[[#This Row],[META]],""))</f>
        <v>1.1211071428571429</v>
      </c>
      <c r="E18" s="35" t="str">
        <f>D1_ABRIL_2026[[#This Row],[SUPER]]</f>
        <v>SANDY</v>
      </c>
      <c r="F18" t="s">
        <v>79</v>
      </c>
      <c r="G18" s="36">
        <v>31391</v>
      </c>
      <c r="H18" cm="1">
        <f t="array" ref="H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DATA_ABRIL_2026[[#This Row],[RECUPERO]]/DATA_ABRIL_2026[[#This Row],[META]]</f>
        <v>0.87030927835051541</v>
      </c>
      <c r="N18" s="5" t="str" cm="1">
        <f t="array" ref="N18">IF(DATA_ABRIL_2026[[#This Row],[ASER_]]="","",IFERROR(_xlfn.IFS(M18&gt;=100%,"&gt;100%",AND(M18&lt;100%,M18&gt;=70%),"&gt;70%",AND(M18&lt;70%,M18&gt;=40%),"&gt;40%",AND(M18&lt;40%,M18&gt;=0%),"&gt;0%"),""))</f>
        <v>&gt;70%</v>
      </c>
      <c r="O18" s="55" t="str">
        <f>IFERROR(VLOOKUP(DATA_ABRIL_2026[[#This Row],[ASER_]],$B:$G,4,0),"")</f>
        <v>JOHAN</v>
      </c>
      <c r="P18" s="6">
        <f>SUM(DATA_ABRIL_2026[[#This Row],[1]:[29]])</f>
        <v>42210</v>
      </c>
      <c r="Q18" s="6">
        <f>VLOOKUP(DATA_ABRIL_2026[[#This Row],[ASER_]],D1_ABRIL_2026[[ASESOR_CRR]:[META]],2,0)</f>
        <v>48500</v>
      </c>
      <c r="R18" t="s">
        <v>80</v>
      </c>
      <c r="V18">
        <v>3805</v>
      </c>
      <c r="X18">
        <v>3105</v>
      </c>
      <c r="Z18">
        <v>15000</v>
      </c>
      <c r="AB18">
        <v>4100</v>
      </c>
      <c r="AC18">
        <v>5100</v>
      </c>
      <c r="AD18">
        <v>1000</v>
      </c>
      <c r="AF18">
        <v>500</v>
      </c>
      <c r="AJ18">
        <v>1000</v>
      </c>
      <c r="AM18">
        <v>500</v>
      </c>
      <c r="AQ18">
        <v>4600</v>
      </c>
      <c r="AR18">
        <v>3500</v>
      </c>
      <c r="AS18" s="55" t="str" cm="1">
        <f t="array" ref="AS1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8" s="45"/>
      <c r="BK18" s="47"/>
      <c r="BL18" s="45"/>
      <c r="BM18" s="45"/>
      <c r="BO18" s="45"/>
      <c r="BP18" s="47"/>
      <c r="BQ18" s="47"/>
      <c r="BS18" s="45"/>
      <c r="BT18" s="45"/>
      <c r="BX18" s="45"/>
      <c r="BY18" s="47"/>
    </row>
    <row r="19" spans="1:82" x14ac:dyDescent="0.25">
      <c r="A19" s="34" t="str" cm="1">
        <f t="array" ref="A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ANTHONY VICENTE</v>
      </c>
      <c r="C19" s="34" cm="1">
        <f t="array" ref="C19">_xlfn.XLOOKUP(1,(TablaMeta[CONCAT]=$M$3&amp;$N$3&amp;D1_ABRIL_2026[[#This Row],[SUPER]])*(TablaMeta[SEGG]=D1_ABRIL_2026[[#This Row],[SEGMENTO]]),TablaMeta[Meta_Asesor])</f>
        <v>28000</v>
      </c>
      <c r="D19" s="35">
        <f>IF(D1_ABRIL_2026[[#This Row],[RECUPERO]]="VACACIONES","VACACIONES",IFERROR(D1_ABRIL_2026[[#This Row],[RECUPERO]]/D1_ABRIL_2026[[#This Row],[META]],""))</f>
        <v>1.9458214285714286</v>
      </c>
      <c r="E19" s="35" t="str">
        <f>D1_ABRIL_2026[[#This Row],[SUPER]]</f>
        <v>SANDY</v>
      </c>
      <c r="F19" t="s">
        <v>85</v>
      </c>
      <c r="G19" s="36">
        <v>54483</v>
      </c>
      <c r="H19" cm="1">
        <f t="array" ref="H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DATA_ABRIL_2026[[#This Row],[RECUPERO]]/DATA_ABRIL_2026[[#This Row],[META]]</f>
        <v>0.49746371134020612</v>
      </c>
      <c r="N19" s="5" t="str" cm="1">
        <f t="array" ref="N19">IF(DATA_ABRIL_2026[[#This Row],[ASER_]]="","",IFERROR(_xlfn.IFS(M19&gt;=100%,"&gt;100%",AND(M19&lt;100%,M19&gt;=70%),"&gt;70%",AND(M19&lt;70%,M19&gt;=40%),"&gt;40%",AND(M19&lt;40%,M19&gt;=0%),"&gt;0%"),""))</f>
        <v>&gt;40%</v>
      </c>
      <c r="O19" s="55" t="str">
        <f>IFERROR(VLOOKUP(DATA_ABRIL_2026[[#This Row],[ASER_]],$B:$G,4,0),"")</f>
        <v>JORGE</v>
      </c>
      <c r="P19" s="6">
        <f>SUM(DATA_ABRIL_2026[[#This Row],[1]:[29]])</f>
        <v>24126.989999999998</v>
      </c>
      <c r="Q19" s="6">
        <f>VLOOKUP(DATA_ABRIL_2026[[#This Row],[ASER_]],D1_ABRIL_2026[[ASESOR_CRR]:[META]],2,0)</f>
        <v>48500</v>
      </c>
      <c r="R19" t="s">
        <v>81</v>
      </c>
      <c r="Z19">
        <v>500</v>
      </c>
      <c r="AB19">
        <v>4620</v>
      </c>
      <c r="AD19">
        <v>100</v>
      </c>
      <c r="AF19">
        <v>2530</v>
      </c>
      <c r="AI19">
        <v>3530</v>
      </c>
      <c r="AJ19">
        <v>9246.99</v>
      </c>
      <c r="AL19">
        <v>3600</v>
      </c>
      <c r="AS19" s="55" t="str" cm="1">
        <f t="array" ref="AS1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0" spans="1:82" x14ac:dyDescent="0.25">
      <c r="A20" s="34" t="str" cm="1">
        <f t="array" ref="A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LUCERO JORDAN</v>
      </c>
      <c r="C20" s="34" cm="1">
        <f t="array" ref="C20">_xlfn.XLOOKUP(1,(TablaMeta[CONCAT]=$M$3&amp;$N$3&amp;D1_ABRIL_2026[[#This Row],[SUPER]])*(TablaMeta[SEGG]=D1_ABRIL_2026[[#This Row],[SEGMENTO]]),TablaMeta[Meta_Asesor])</f>
        <v>28000</v>
      </c>
      <c r="D20" s="35">
        <f>IF(D1_ABRIL_2026[[#This Row],[RECUPERO]]="VACACIONES","VACACIONES",IFERROR(D1_ABRIL_2026[[#This Row],[RECUPERO]]/D1_ABRIL_2026[[#This Row],[META]],""))</f>
        <v>1.7443571428571429</v>
      </c>
      <c r="E20" s="35" t="str">
        <f>D1_ABRIL_2026[[#This Row],[SUPER]]</f>
        <v>SANDY</v>
      </c>
      <c r="F20" t="s">
        <v>68</v>
      </c>
      <c r="G20" s="36">
        <v>48842</v>
      </c>
      <c r="H20" cm="1">
        <f t="array" ref="H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DATA_ABRIL_2026[[#This Row],[RECUPERO]]/DATA_ABRIL_2026[[#This Row],[META]]</f>
        <v>0.93279999999999996</v>
      </c>
      <c r="N20" s="5" t="str" cm="1">
        <f t="array" ref="N20">IF(DATA_ABRIL_2026[[#This Row],[ASER_]]="","",IFERROR(_xlfn.IFS(M20&gt;=100%,"&gt;100%",AND(M20&lt;100%,M20&gt;=70%),"&gt;70%",AND(M20&lt;70%,M20&gt;=40%),"&gt;40%",AND(M20&lt;40%,M20&gt;=0%),"&gt;0%"),""))</f>
        <v>&gt;70%</v>
      </c>
      <c r="O20" s="55" t="str">
        <f>IFERROR(VLOOKUP(DATA_ABRIL_2026[[#This Row],[ASER_]],$B:$G,4,0),"")</f>
        <v>LEONOR</v>
      </c>
      <c r="P20" s="6">
        <f>SUM(DATA_ABRIL_2026[[#This Row],[1]:[29]])</f>
        <v>23320</v>
      </c>
      <c r="Q20" s="6">
        <f>VLOOKUP(DATA_ABRIL_2026[[#This Row],[ASER_]],D1_ABRIL_2026[[ASESOR_CRR]:[META]],2,0)</f>
        <v>25000</v>
      </c>
      <c r="R20" t="s">
        <v>495</v>
      </c>
      <c r="S20">
        <v>100</v>
      </c>
      <c r="W20">
        <v>250</v>
      </c>
      <c r="X20">
        <v>1500</v>
      </c>
      <c r="Y20">
        <v>50</v>
      </c>
      <c r="AB20">
        <v>410</v>
      </c>
      <c r="AC20">
        <v>7350</v>
      </c>
      <c r="AE20">
        <v>1350</v>
      </c>
      <c r="AK20">
        <v>4200</v>
      </c>
      <c r="AL20">
        <v>600</v>
      </c>
      <c r="AM20">
        <v>3460</v>
      </c>
      <c r="AP20">
        <v>4050</v>
      </c>
      <c r="AS20" s="55" t="str" cm="1">
        <f t="array" ref="AS2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0" s="45"/>
    </row>
    <row r="21" spans="1:82" x14ac:dyDescent="0.25">
      <c r="A21" s="34" t="str" cm="1">
        <f t="array" ref="A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PALACIOS</v>
      </c>
      <c r="C21" s="34" cm="1">
        <f t="array" ref="C21">_xlfn.XLOOKUP(1,(TablaMeta[CONCAT]=$M$3&amp;$N$3&amp;D1_ABRIL_2026[[#This Row],[SUPER]])*(TablaMeta[SEGG]=D1_ABRIL_2026[[#This Row],[SEGMENTO]]),TablaMeta[Meta_Asesor])</f>
        <v>28000</v>
      </c>
      <c r="D21" s="35">
        <f>IF(D1_ABRIL_2026[[#This Row],[RECUPERO]]="VACACIONES","VACACIONES",IFERROR(D1_ABRIL_2026[[#This Row],[RECUPERO]]/D1_ABRIL_2026[[#This Row],[META]],""))</f>
        <v>1.3631757142857142</v>
      </c>
      <c r="E21" s="35" t="str">
        <f>D1_ABRIL_2026[[#This Row],[SUPER]]</f>
        <v>SANDY</v>
      </c>
      <c r="F21" t="s">
        <v>493</v>
      </c>
      <c r="G21" s="36">
        <v>38168.92</v>
      </c>
      <c r="H21" cm="1">
        <f t="array" ref="H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DATA_ABRIL_2026[[#This Row],[RECUPERO]]/DATA_ABRIL_2026[[#This Row],[META]]</f>
        <v>0.61006185567010307</v>
      </c>
      <c r="N21" s="5" t="str" cm="1">
        <f t="array" ref="N21">IF(DATA_ABRIL_2026[[#This Row],[ASER_]]="","",IFERROR(_xlfn.IFS(M21&gt;=100%,"&gt;100%",AND(M21&lt;100%,M21&gt;=70%),"&gt;70%",AND(M21&lt;70%,M21&gt;=40%),"&gt;40%",AND(M21&lt;40%,M21&gt;=0%),"&gt;0%"),""))</f>
        <v>&gt;40%</v>
      </c>
      <c r="O21" s="55" t="str">
        <f>IFERROR(VLOOKUP(DATA_ABRIL_2026[[#This Row],[ASER_]],$B:$G,4,0),"")</f>
        <v>JOHAN</v>
      </c>
      <c r="P21" s="6">
        <f>SUM(DATA_ABRIL_2026[[#This Row],[1]:[29]])</f>
        <v>29588</v>
      </c>
      <c r="Q21" s="6">
        <f>VLOOKUP(DATA_ABRIL_2026[[#This Row],[ASER_]],D1_ABRIL_2026[[ASESOR_CRR]:[META]],2,0)</f>
        <v>48500</v>
      </c>
      <c r="R21" t="s">
        <v>72</v>
      </c>
      <c r="S21">
        <v>4000</v>
      </c>
      <c r="T21">
        <v>300</v>
      </c>
      <c r="W21">
        <v>1300</v>
      </c>
      <c r="X21">
        <v>10000</v>
      </c>
      <c r="AD21">
        <v>5750</v>
      </c>
      <c r="AE21">
        <v>450</v>
      </c>
      <c r="AM21">
        <v>4788</v>
      </c>
      <c r="AQ21">
        <v>3000</v>
      </c>
      <c r="AS21" s="55" t="str" cm="1">
        <f t="array" ref="AS2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1" s="45"/>
    </row>
    <row r="22" spans="1:82" x14ac:dyDescent="0.25">
      <c r="A22" s="34" t="str" cm="1">
        <f t="array" ref="A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GIANNINA AGUILAR</v>
      </c>
      <c r="C22" s="34" cm="1">
        <f t="array" ref="C22">_xlfn.XLOOKUP(1,(TablaMeta[CONCAT]=$M$3&amp;$N$3&amp;D1_ABRIL_2026[[#This Row],[SUPER]])*(TablaMeta[SEGG]=D1_ABRIL_2026[[#This Row],[SEGMENTO]]),TablaMeta[Meta_Asesor])</f>
        <v>28000</v>
      </c>
      <c r="D22" s="35">
        <f>IF(D1_ABRIL_2026[[#This Row],[RECUPERO]]="VACACIONES","VACACIONES",IFERROR(D1_ABRIL_2026[[#This Row],[RECUPERO]]/D1_ABRIL_2026[[#This Row],[META]],""))</f>
        <v>1.0679285714285713</v>
      </c>
      <c r="E22" s="35" t="str">
        <f>D1_ABRIL_2026[[#This Row],[SUPER]]</f>
        <v>SANDY</v>
      </c>
      <c r="F22" t="s">
        <v>32</v>
      </c>
      <c r="G22" s="36">
        <v>29902</v>
      </c>
      <c r="H22" cm="1">
        <f t="array" ref="H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DATA_ABRIL_2026[[#This Row],[RECUPERO]]/DATA_ABRIL_2026[[#This Row],[META]]</f>
        <v>0.12095463917525774</v>
      </c>
      <c r="N22" s="5" t="str" cm="1">
        <f t="array" ref="N22">IF(DATA_ABRIL_2026[[#This Row],[ASER_]]="","",IFERROR(_xlfn.IFS(M22&gt;=100%,"&gt;100%",AND(M22&lt;100%,M22&gt;=70%),"&gt;70%",AND(M22&lt;70%,M22&gt;=40%),"&gt;40%",AND(M22&lt;40%,M22&gt;=0%),"&gt;0%"),""))</f>
        <v>&gt;0%</v>
      </c>
      <c r="O22" s="55" t="str">
        <f>IFERROR(VLOOKUP(DATA_ABRIL_2026[[#This Row],[ASER_]],$B:$G,4,0),"")</f>
        <v>JORGE</v>
      </c>
      <c r="P22" s="6">
        <f>SUM(DATA_ABRIL_2026[[#This Row],[1]:[29]])</f>
        <v>5866.3</v>
      </c>
      <c r="Q22" s="6">
        <f>VLOOKUP(DATA_ABRIL_2026[[#This Row],[ASER_]],D1_ABRIL_2026[[ASESOR_CRR]:[META]],2,0)</f>
        <v>48500</v>
      </c>
      <c r="R22" t="s">
        <v>22</v>
      </c>
      <c r="X22">
        <v>1400</v>
      </c>
      <c r="AI22">
        <v>3466.3</v>
      </c>
      <c r="AM22">
        <v>1000</v>
      </c>
      <c r="AS22" s="55" t="str" cm="1">
        <f t="array" ref="AS2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2" s="45"/>
    </row>
    <row r="23" spans="1:82" x14ac:dyDescent="0.25">
      <c r="A23" s="34" t="str" cm="1">
        <f t="array" ref="A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ALEJANDRA QUISPE</v>
      </c>
      <c r="C23" s="34" cm="1">
        <f t="array" ref="C23">_xlfn.XLOOKUP(1,(TablaMeta[CONCAT]=$M$3&amp;$N$3&amp;D1_ABRIL_2026[[#This Row],[SUPER]])*(TablaMeta[SEGG]=D1_ABRIL_2026[[#This Row],[SEGMENTO]]),TablaMeta[Meta_Asesor])</f>
        <v>28000</v>
      </c>
      <c r="D23" s="35">
        <f>IF(D1_ABRIL_2026[[#This Row],[RECUPERO]]="VACACIONES","VACACIONES",IFERROR(D1_ABRIL_2026[[#This Row],[RECUPERO]]/D1_ABRIL_2026[[#This Row],[META]],""))</f>
        <v>0.97153571428571428</v>
      </c>
      <c r="E23" s="35" t="str">
        <f>D1_ABRIL_2026[[#This Row],[SUPER]]</f>
        <v>SANDY</v>
      </c>
      <c r="F23" t="s">
        <v>58</v>
      </c>
      <c r="G23" s="36">
        <v>27203</v>
      </c>
      <c r="H23" cm="1">
        <f t="array" ref="H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DATA_ABRIL_2026[[#This Row],[RECUPERO]]/DATA_ABRIL_2026[[#This Row],[META]]</f>
        <v>0.04</v>
      </c>
      <c r="N23" s="5" t="str" cm="1">
        <f t="array" ref="N23">IF(DATA_ABRIL_2026[[#This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IFERROR(VLOOKUP(DATA_ABRIL_2026[[#This Row],[ASER_]],$B:$G,4,0),"")</f>
        <v>LEONOR</v>
      </c>
      <c r="P23" s="6">
        <f>SUM(DATA_ABRIL_2026[[#This Row],[1]:[29]])</f>
        <v>1000</v>
      </c>
      <c r="Q23" s="6">
        <f>VLOOKUP(DATA_ABRIL_2026[[#This Row],[ASER_]],D1_ABRIL_2026[[ASESOR_CRR]:[META]],2,0)</f>
        <v>25000</v>
      </c>
      <c r="R23" t="s">
        <v>600</v>
      </c>
      <c r="AQ23">
        <v>1000</v>
      </c>
      <c r="AS23" s="55" t="str" cm="1">
        <f t="array" ref="AS2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3" s="45"/>
    </row>
    <row r="24" spans="1:82" x14ac:dyDescent="0.25">
      <c r="A24" s="34" t="str" cm="1">
        <f t="array" ref="A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LUIS VALLADARES</v>
      </c>
      <c r="C24" s="34" cm="1">
        <f t="array" ref="C24">_xlfn.XLOOKUP(1,(TablaMeta[CONCAT]=$M$3&amp;$N$3&amp;D1_ABRIL_2026[[#This Row],[SUPER]])*(TablaMeta[SEGG]=D1_ABRIL_2026[[#This Row],[SEGMENTO]]),TablaMeta[Meta_Asesor])</f>
        <v>28000</v>
      </c>
      <c r="D24" s="35">
        <f>IF(D1_ABRIL_2026[[#This Row],[RECUPERO]]="VACACIONES","VACACIONES",IFERROR(D1_ABRIL_2026[[#This Row],[RECUPERO]]/D1_ABRIL_2026[[#This Row],[META]],""))</f>
        <v>0.71244285714285716</v>
      </c>
      <c r="E24" s="35" t="str">
        <f>D1_ABRIL_2026[[#This Row],[SUPER]]</f>
        <v>SANDY</v>
      </c>
      <c r="F24" t="s">
        <v>29</v>
      </c>
      <c r="G24" s="36">
        <v>19948.400000000001</v>
      </c>
      <c r="H24" cm="1">
        <f t="array" ref="H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DATA_ABRIL_2026[[#This Row],[RECUPERO]]/DATA_ABRIL_2026[[#This Row],[META]]</f>
        <v>0.89676288659793812</v>
      </c>
      <c r="N24" s="5" t="str" cm="1">
        <f t="array" ref="N24">IF(DATA_ABRIL_2026[[#This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IFERROR(VLOOKUP(DATA_ABRIL_2026[[#This Row],[ASER_]],$B:$G,4,0),"")</f>
        <v>JORGE</v>
      </c>
      <c r="P24" s="6">
        <f>SUM(DATA_ABRIL_2026[[#This Row],[1]:[29]])</f>
        <v>43493</v>
      </c>
      <c r="Q24" s="6">
        <f>VLOOKUP(DATA_ABRIL_2026[[#This Row],[ASER_]],D1_ABRIL_2026[[ASESOR_CRR]:[META]],2,0)</f>
        <v>48500</v>
      </c>
      <c r="R24" t="s">
        <v>24</v>
      </c>
      <c r="V24">
        <v>4500</v>
      </c>
      <c r="W24">
        <v>13300</v>
      </c>
      <c r="Z24">
        <v>2400</v>
      </c>
      <c r="AB24">
        <v>1900</v>
      </c>
      <c r="AC24">
        <v>1000</v>
      </c>
      <c r="AD24">
        <v>6500</v>
      </c>
      <c r="AE24">
        <v>600</v>
      </c>
      <c r="AF24">
        <v>800</v>
      </c>
      <c r="AG24">
        <v>500</v>
      </c>
      <c r="AI24">
        <v>4050</v>
      </c>
      <c r="AJ24">
        <v>6780</v>
      </c>
      <c r="AK24">
        <v>150</v>
      </c>
      <c r="AO24">
        <v>413</v>
      </c>
      <c r="AR24">
        <v>600</v>
      </c>
      <c r="AS24" s="55" t="str" cm="1">
        <f t="array" ref="AS2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4" s="45"/>
    </row>
    <row r="25" spans="1:82" x14ac:dyDescent="0.25">
      <c r="A25" s="34" t="str" cm="1">
        <f t="array" ref="A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JESSICA MELGAREJO</v>
      </c>
      <c r="C25" s="34" cm="1">
        <f t="array" ref="C25">_xlfn.XLOOKUP(1,(TablaMeta[CONCAT]=$M$3&amp;$N$3&amp;D1_ABRIL_2026[[#This Row],[SUPER]])*(TablaMeta[SEGG]=D1_ABRIL_2026[[#This Row],[SEGMENTO]]),TablaMeta[Meta_Asesor])</f>
        <v>28000</v>
      </c>
      <c r="D25" s="35">
        <f>IF(D1_ABRIL_2026[[#This Row],[RECUPERO]]="VACACIONES","VACACIONES",IFERROR(D1_ABRIL_2026[[#This Row],[RECUPERO]]/D1_ABRIL_2026[[#This Row],[META]],""))</f>
        <v>0.64500000000000002</v>
      </c>
      <c r="E25" s="35" t="str">
        <f>D1_ABRIL_2026[[#This Row],[SUPER]]</f>
        <v>SANDY</v>
      </c>
      <c r="F25" t="s">
        <v>96</v>
      </c>
      <c r="G25" s="36">
        <v>18060</v>
      </c>
      <c r="H25" cm="1">
        <f t="array" ref="H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DATA_ABRIL_2026[[#This Row],[RECUPERO]]/DATA_ABRIL_2026[[#This Row],[META]]</f>
        <v>0.64455769230769233</v>
      </c>
      <c r="N25" s="5" t="str" cm="1">
        <f t="array" ref="N25">IF(DATA_ABRIL_2026[[#This Row],[ASER_]]="","",IFERROR(_xlfn.IFS(M25&gt;=100%,"&gt;100%",AND(M25&lt;100%,M25&gt;=70%),"&gt;70%",AND(M25&lt;70%,M25&gt;=40%),"&gt;40%",AND(M25&lt;40%,M25&gt;=0%),"&gt;0%"),""))</f>
        <v>&gt;40%</v>
      </c>
      <c r="O25" s="55" t="str">
        <f>IFERROR(VLOOKUP(DATA_ABRIL_2026[[#This Row],[ASER_]],$B:$G,4,0),"")</f>
        <v>KENNETH</v>
      </c>
      <c r="P25" s="6">
        <f>SUM(DATA_ABRIL_2026[[#This Row],[1]:[29]])</f>
        <v>33517</v>
      </c>
      <c r="Q25" s="6">
        <f>VLOOKUP(DATA_ABRIL_2026[[#This Row],[ASER_]],D1_ABRIL_2026[[ASESOR_CRR]:[META]],2,0)</f>
        <v>52000</v>
      </c>
      <c r="R25" t="s">
        <v>105</v>
      </c>
      <c r="S25" s="45"/>
      <c r="W25">
        <v>2500</v>
      </c>
      <c r="X25">
        <v>366</v>
      </c>
      <c r="AC25">
        <v>700</v>
      </c>
      <c r="AD25">
        <v>5000</v>
      </c>
      <c r="AE25">
        <v>6000</v>
      </c>
      <c r="AF25">
        <v>12000</v>
      </c>
      <c r="AK25">
        <v>50</v>
      </c>
      <c r="AL25">
        <v>1200</v>
      </c>
      <c r="AM25">
        <v>4000</v>
      </c>
      <c r="AQ25">
        <v>1701</v>
      </c>
      <c r="AS25" s="55" t="str" cm="1">
        <f t="array" ref="AS2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</row>
    <row r="26" spans="1:82" x14ac:dyDescent="0.25">
      <c r="A26" s="34" t="str" cm="1">
        <f t="array" ref="A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CARLA VALENCIA</v>
      </c>
      <c r="C26" s="34" cm="1">
        <f t="array" ref="C26">_xlfn.XLOOKUP(1,(TablaMeta[CONCAT]=$M$3&amp;$N$3&amp;D1_ABRIL_2026[[#This Row],[SUPER]])*(TablaMeta[SEGG]=D1_ABRIL_2026[[#This Row],[SEGMENTO]]),TablaMeta[Meta_Asesor])</f>
        <v>28000</v>
      </c>
      <c r="D26" s="35">
        <f>IF(D1_ABRIL_2026[[#This Row],[RECUPERO]]="VACACIONES","VACACIONES",IFERROR(D1_ABRIL_2026[[#This Row],[RECUPERO]]/D1_ABRIL_2026[[#This Row],[META]],""))</f>
        <v>0.66635714285714287</v>
      </c>
      <c r="E26" s="35" t="str">
        <f>D1_ABRIL_2026[[#This Row],[SUPER]]</f>
        <v>SANDY</v>
      </c>
      <c r="F26" t="s">
        <v>174</v>
      </c>
      <c r="G26" s="36">
        <v>18658</v>
      </c>
      <c r="H26" cm="1">
        <f t="array" ref="H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DATA_ABRIL_2026[[#This Row],[RECUPERO]]/DATA_ABRIL_2026[[#This Row],[META]]</f>
        <v>1.3631757142857142</v>
      </c>
      <c r="N26" s="5" t="str" cm="1">
        <f t="array" ref="N26">IF(DATA_ABRIL_2026[[#This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IFERROR(VLOOKUP(DATA_ABRIL_2026[[#This Row],[ASER_]],$B:$G,4,0),"")</f>
        <v>SANDY</v>
      </c>
      <c r="P26" s="6">
        <f>SUM(DATA_ABRIL_2026[[#This Row],[1]:[29]])</f>
        <v>38168.92</v>
      </c>
      <c r="Q26" s="6">
        <f>VLOOKUP(DATA_ABRIL_2026[[#This Row],[ASER_]],D1_ABRIL_2026[[ASESOR_CRR]:[META]],2,0)</f>
        <v>28000</v>
      </c>
      <c r="R26" t="s">
        <v>493</v>
      </c>
      <c r="S26" s="45"/>
      <c r="T26">
        <v>860</v>
      </c>
      <c r="V26">
        <v>310</v>
      </c>
      <c r="W26">
        <v>355</v>
      </c>
      <c r="X26">
        <v>200</v>
      </c>
      <c r="Y26">
        <v>400</v>
      </c>
      <c r="AB26">
        <v>610.5</v>
      </c>
      <c r="AC26">
        <v>1580</v>
      </c>
      <c r="AE26">
        <v>3308.42</v>
      </c>
      <c r="AF26">
        <v>4000</v>
      </c>
      <c r="AK26">
        <v>1625</v>
      </c>
      <c r="AL26">
        <v>1000</v>
      </c>
      <c r="AP26">
        <v>1650</v>
      </c>
      <c r="AQ26">
        <v>3270</v>
      </c>
      <c r="AR26">
        <v>19000</v>
      </c>
      <c r="AS26" s="55" t="str" cm="1">
        <f t="array" ref="AS2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</row>
    <row r="27" spans="1:82" x14ac:dyDescent="0.25">
      <c r="A27" s="34" t="str" cm="1">
        <f t="array" ref="A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QUINONES</v>
      </c>
      <c r="C27" s="34" cm="1">
        <f t="array" ref="C27">_xlfn.XLOOKUP(1,(TablaMeta[CONCAT]=$M$3&amp;$N$3&amp;D1_ABRIL_2026[[#This Row],[SUPER]])*(TablaMeta[SEGG]=D1_ABRIL_2026[[#This Row],[SEGMENTO]]),TablaMeta[Meta_Asesor])</f>
        <v>28000</v>
      </c>
      <c r="D27" s="35">
        <f>IF(D1_ABRIL_2026[[#This Row],[RECUPERO]]="VACACIONES","VACACIONES",IFERROR(D1_ABRIL_2026[[#This Row],[RECUPERO]]/D1_ABRIL_2026[[#This Row],[META]],""))</f>
        <v>0.77749999999999997</v>
      </c>
      <c r="E27" s="35" t="str">
        <f>D1_ABRIL_2026[[#This Row],[SUPER]]</f>
        <v>SANDY</v>
      </c>
      <c r="F27" t="s">
        <v>564</v>
      </c>
      <c r="G27" s="36">
        <v>21770</v>
      </c>
      <c r="H27" cm="1">
        <f t="array" ref="H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DATA_ABRIL_2026[[#This Row],[RECUPERO]]/DATA_ABRIL_2026[[#This Row],[META]]</f>
        <v>0.56859793814432991</v>
      </c>
      <c r="N27" s="5" t="str" cm="1">
        <f t="array" ref="N27">IF(DATA_ABRIL_2026[[#This Row],[ASER_]]="","",IFERROR(_xlfn.IFS(M27&gt;=100%,"&gt;100%",AND(M27&lt;100%,M27&gt;=70%),"&gt;70%",AND(M27&lt;70%,M27&gt;=40%),"&gt;40%",AND(M27&lt;40%,M27&gt;=0%),"&gt;0%"),""))</f>
        <v>&gt;40%</v>
      </c>
      <c r="O27" s="55" t="str">
        <f>IFERROR(VLOOKUP(DATA_ABRIL_2026[[#This Row],[ASER_]],$B:$G,4,0),"")</f>
        <v>JOHAN</v>
      </c>
      <c r="P27" s="6">
        <f>SUM(DATA_ABRIL_2026[[#This Row],[1]:[29]])</f>
        <v>27577</v>
      </c>
      <c r="Q27" s="6">
        <f>VLOOKUP(DATA_ABRIL_2026[[#This Row],[ASER_]],D1_ABRIL_2026[[ASESOR_CRR]:[META]],2,0)</f>
        <v>48500</v>
      </c>
      <c r="R27" t="s">
        <v>12</v>
      </c>
      <c r="T27">
        <v>300</v>
      </c>
      <c r="AE27">
        <v>928</v>
      </c>
      <c r="AF27">
        <v>3500</v>
      </c>
      <c r="AJ27">
        <v>15000</v>
      </c>
      <c r="AK27">
        <v>950</v>
      </c>
      <c r="AM27">
        <v>6649</v>
      </c>
      <c r="AQ27">
        <v>250</v>
      </c>
      <c r="AS27" s="55" t="str" cm="1">
        <f t="array" ref="AS2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</row>
    <row r="28" spans="1:82" x14ac:dyDescent="0.25">
      <c r="A28" s="34" t="str" cm="1">
        <f t="array" ref="A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STWUAR MACURI</v>
      </c>
      <c r="C28" s="34" cm="1">
        <f t="array" ref="C28">_xlfn.XLOOKUP(1,(TablaMeta[CONCAT]=$M$3&amp;$N$3&amp;D1_ABRIL_2026[[#This Row],[SUPER]])*(TablaMeta[SEGG]=D1_ABRIL_2026[[#This Row],[SEGMENTO]]),TablaMeta[Meta_Asesor])</f>
        <v>52000</v>
      </c>
      <c r="D28" s="35">
        <f>IF(D1_ABRIL_2026[[#This Row],[RECUPERO]]="VACACIONES","VACACIONES",IFERROR(D1_ABRIL_2026[[#This Row],[RECUPERO]]/D1_ABRIL_2026[[#This Row],[META]],""))</f>
        <v>1.2057692307692307</v>
      </c>
      <c r="E28" s="35" t="str">
        <f>D1_ABRIL_2026[[#This Row],[SUPER]]</f>
        <v>KENNETH</v>
      </c>
      <c r="F28" t="s">
        <v>34</v>
      </c>
      <c r="G28" s="36">
        <v>62700</v>
      </c>
      <c r="H28" cm="1">
        <f t="array" ref="H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DATA_ABRIL_2026[[#This Row],[RECUPERO]]/DATA_ABRIL_2026[[#This Row],[META]]</f>
        <v>0.92208247422680412</v>
      </c>
      <c r="N28" s="5" t="str" cm="1">
        <f t="array" ref="N28">IF(DATA_ABRIL_2026[[#This Row],[ASER_]]="","",IFERROR(_xlfn.IFS(M28&gt;=100%,"&gt;100%",AND(M28&lt;100%,M28&gt;=70%),"&gt;70%",AND(M28&lt;70%,M28&gt;=40%),"&gt;40%",AND(M28&lt;40%,M28&gt;=0%),"&gt;0%"),""))</f>
        <v>&gt;70%</v>
      </c>
      <c r="O28" s="55" t="str">
        <f>IFERROR(VLOOKUP(DATA_ABRIL_2026[[#This Row],[ASER_]],$B:$G,4,0),"")</f>
        <v>JORGE</v>
      </c>
      <c r="P28" s="6">
        <f>SUM(DATA_ABRIL_2026[[#This Row],[1]:[29]])</f>
        <v>44721</v>
      </c>
      <c r="Q28" s="6">
        <f>VLOOKUP(DATA_ABRIL_2026[[#This Row],[ASER_]],D1_ABRIL_2026[[ASESOR_CRR]:[META]],2,0)</f>
        <v>48500</v>
      </c>
      <c r="R28" t="s">
        <v>13</v>
      </c>
      <c r="S28">
        <v>520</v>
      </c>
      <c r="U28" s="45"/>
      <c r="V28">
        <v>500</v>
      </c>
      <c r="AC28">
        <v>1500</v>
      </c>
      <c r="AD28">
        <v>1200</v>
      </c>
      <c r="AE28">
        <v>1650</v>
      </c>
      <c r="AF28">
        <v>12500</v>
      </c>
      <c r="AI28">
        <v>1001</v>
      </c>
      <c r="AJ28">
        <v>500</v>
      </c>
      <c r="AK28">
        <v>18000</v>
      </c>
      <c r="AL28">
        <v>2500</v>
      </c>
      <c r="AP28">
        <v>2300</v>
      </c>
      <c r="AR28">
        <v>2550</v>
      </c>
      <c r="AS28" s="55" t="str" cm="1">
        <f t="array" ref="AS2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</row>
    <row r="29" spans="1:82" x14ac:dyDescent="0.25">
      <c r="A29" s="34" t="str" cm="1">
        <f t="array" ref="A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NOEMI CHUQUILIN</v>
      </c>
      <c r="C29" s="34" cm="1">
        <f t="array" ref="C29">_xlfn.XLOOKUP(1,(TablaMeta[CONCAT]=$M$3&amp;$N$3&amp;D1_ABRIL_2026[[#This Row],[SUPER]])*(TablaMeta[SEGG]=D1_ABRIL_2026[[#This Row],[SEGMENTO]]),TablaMeta[Meta_Asesor])</f>
        <v>52000</v>
      </c>
      <c r="D29" s="35">
        <f>IF(D1_ABRIL_2026[[#This Row],[RECUPERO]]="VACACIONES","VACACIONES",IFERROR(D1_ABRIL_2026[[#This Row],[RECUPERO]]/D1_ABRIL_2026[[#This Row],[META]],""))</f>
        <v>1.0707692307692307</v>
      </c>
      <c r="E29" s="35" t="str">
        <f>D1_ABRIL_2026[[#This Row],[SUPER]]</f>
        <v>KENNETH</v>
      </c>
      <c r="F29" t="s">
        <v>97</v>
      </c>
      <c r="G29" s="36">
        <v>55680</v>
      </c>
      <c r="H29" cm="1">
        <f t="array" ref="H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DATA_ABRIL_2026[[#This Row],[RECUPERO]]/DATA_ABRIL_2026[[#This Row],[META]]</f>
        <v>1.0679285714285713</v>
      </c>
      <c r="N29" s="5" t="str" cm="1">
        <f t="array" ref="N29">IF(DATA_ABRIL_2026[[#This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IFERROR(VLOOKUP(DATA_ABRIL_2026[[#This Row],[ASER_]],$B:$G,4,0),"")</f>
        <v>SANDY</v>
      </c>
      <c r="P29" s="6">
        <f>SUM(DATA_ABRIL_2026[[#This Row],[1]:[29]])</f>
        <v>29902</v>
      </c>
      <c r="Q29" s="6">
        <f>VLOOKUP(DATA_ABRIL_2026[[#This Row],[ASER_]],D1_ABRIL_2026[[ASESOR_CRR]:[META]],2,0)</f>
        <v>28000</v>
      </c>
      <c r="R29" t="s">
        <v>32</v>
      </c>
      <c r="S29">
        <v>350</v>
      </c>
      <c r="W29">
        <v>2500</v>
      </c>
      <c r="X29">
        <v>260</v>
      </c>
      <c r="Y29">
        <v>412</v>
      </c>
      <c r="Z29">
        <v>8750</v>
      </c>
      <c r="AE29">
        <v>340</v>
      </c>
      <c r="AF29">
        <v>9200</v>
      </c>
      <c r="AJ29">
        <v>1230</v>
      </c>
      <c r="AK29">
        <v>100</v>
      </c>
      <c r="AM29">
        <v>680</v>
      </c>
      <c r="AP29">
        <v>550</v>
      </c>
      <c r="AQ29">
        <v>580</v>
      </c>
      <c r="AR29">
        <v>4950</v>
      </c>
      <c r="AS29" s="55" t="str" cm="1">
        <f t="array" ref="AS2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</row>
    <row r="30" spans="1:82" x14ac:dyDescent="0.25">
      <c r="A30" s="34" t="str" cm="1">
        <f t="array" ref="A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MILAGROS QUIO</v>
      </c>
      <c r="C30" s="34" cm="1">
        <f t="array" ref="C30">_xlfn.XLOOKUP(1,(TablaMeta[CONCAT]=$M$3&amp;$N$3&amp;D1_ABRIL_2026[[#This Row],[SUPER]])*(TablaMeta[SEGG]=D1_ABRIL_2026[[#This Row],[SEGMENTO]]),TablaMeta[Meta_Asesor])</f>
        <v>52000</v>
      </c>
      <c r="D30" s="35">
        <f>IF(D1_ABRIL_2026[[#This Row],[RECUPERO]]="VACACIONES","VACACIONES",IFERROR(D1_ABRIL_2026[[#This Row],[RECUPERO]]/D1_ABRIL_2026[[#This Row],[META]],""))</f>
        <v>1.1011338461538462</v>
      </c>
      <c r="E30" s="35" t="str">
        <f>D1_ABRIL_2026[[#This Row],[SUPER]]</f>
        <v>KENNETH</v>
      </c>
      <c r="F30" t="s">
        <v>11</v>
      </c>
      <c r="G30" s="36">
        <v>57258.96</v>
      </c>
      <c r="H30" cm="1">
        <f t="array" ref="H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DATA_ABRIL_2026[[#This Row],[RECUPERO]]/DATA_ABRIL_2026[[#This Row],[META]]</f>
        <v>7.5257731958762883E-2</v>
      </c>
      <c r="N30" s="5" t="str" cm="1">
        <f t="array" ref="N30">IF(DATA_ABRIL_2026[[#This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IFERROR(VLOOKUP(DATA_ABRIL_2026[[#This Row],[ASER_]],$B:$G,4,0),"")</f>
        <v>JORGE</v>
      </c>
      <c r="P30" s="6">
        <f>SUM(DATA_ABRIL_2026[[#This Row],[1]:[29]])</f>
        <v>3650</v>
      </c>
      <c r="Q30" s="6">
        <f>VLOOKUP(DATA_ABRIL_2026[[#This Row],[ASER_]],D1_ABRIL_2026[[ASESOR_CRR]:[META]],2,0)</f>
        <v>48500</v>
      </c>
      <c r="R30" t="s">
        <v>42</v>
      </c>
      <c r="X30">
        <v>1000</v>
      </c>
      <c r="AL30">
        <v>1500</v>
      </c>
      <c r="AP30">
        <v>1150</v>
      </c>
      <c r="AS30" s="55" t="str" cm="1">
        <f t="array" ref="AS3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</row>
    <row r="31" spans="1:82" x14ac:dyDescent="0.25">
      <c r="A31" s="34" t="str" cm="1">
        <f t="array" ref="A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HUARCAYA</v>
      </c>
      <c r="C31" s="34" cm="1">
        <f t="array" ref="C31">_xlfn.XLOOKUP(1,(TablaMeta[CONCAT]=$M$3&amp;$N$3&amp;D1_ABRIL_2026[[#This Row],[SUPER]])*(TablaMeta[SEGG]=D1_ABRIL_2026[[#This Row],[SEGMENTO]]),TablaMeta[Meta_Asesor])</f>
        <v>52000</v>
      </c>
      <c r="D31" s="35">
        <f>IF(D1_ABRIL_2026[[#This Row],[RECUPERO]]="VACACIONES","VACACIONES",IFERROR(D1_ABRIL_2026[[#This Row],[RECUPERO]]/D1_ABRIL_2026[[#This Row],[META]],""))</f>
        <v>1.0325769230769231</v>
      </c>
      <c r="E31" s="35" t="str">
        <f>D1_ABRIL_2026[[#This Row],[SUPER]]</f>
        <v>KENNETH</v>
      </c>
      <c r="F31" t="s">
        <v>38</v>
      </c>
      <c r="G31" s="36">
        <v>53694</v>
      </c>
      <c r="H31" cm="1">
        <f t="array" ref="H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DATA_ABRIL_2026[[#This Row],[RECUPERO]]/DATA_ABRIL_2026[[#This Row],[META]]</f>
        <v>1.1497599999999999</v>
      </c>
      <c r="N31" s="5" t="str" cm="1">
        <f t="array" ref="N31">IF(DATA_ABRIL_2026[[#This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IFERROR(VLOOKUP(DATA_ABRIL_2026[[#This Row],[ASER_]],$B:$G,4,0),"")</f>
        <v>LEONOR</v>
      </c>
      <c r="P31" s="6">
        <f>SUM(DATA_ABRIL_2026[[#This Row],[1]:[29]])</f>
        <v>28744</v>
      </c>
      <c r="Q31" s="6">
        <f>VLOOKUP(DATA_ABRIL_2026[[#This Row],[ASER_]],D1_ABRIL_2026[[ASESOR_CRR]:[META]],2,0)</f>
        <v>25000</v>
      </c>
      <c r="R31" t="s">
        <v>49</v>
      </c>
      <c r="Z31">
        <v>2000</v>
      </c>
      <c r="AB31">
        <v>3700</v>
      </c>
      <c r="AD31">
        <v>2400</v>
      </c>
      <c r="AE31">
        <v>600</v>
      </c>
      <c r="AF31">
        <v>1344</v>
      </c>
      <c r="AI31">
        <v>8400</v>
      </c>
      <c r="AL31">
        <v>1000</v>
      </c>
      <c r="AP31">
        <v>8000</v>
      </c>
      <c r="AQ31">
        <v>1000</v>
      </c>
      <c r="AR31">
        <v>300</v>
      </c>
      <c r="AS31" s="55" t="str" cm="1">
        <f t="array" ref="AS3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</row>
    <row r="32" spans="1:82" x14ac:dyDescent="0.25">
      <c r="A32" s="34" t="str" cm="1">
        <f t="array" ref="A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VICTOR RAMIREZ</v>
      </c>
      <c r="C32" s="34" cm="1">
        <f t="array" ref="C32">_xlfn.XLOOKUP(1,(TablaMeta[CONCAT]=$M$3&amp;$N$3&amp;D1_ABRIL_2026[[#This Row],[SUPER]])*(TablaMeta[SEGG]=D1_ABRIL_2026[[#This Row],[SEGMENTO]]),TablaMeta[Meta_Asesor])</f>
        <v>52000</v>
      </c>
      <c r="D32" s="35">
        <f>IF(D1_ABRIL_2026[[#This Row],[RECUPERO]]="VACACIONES","VACACIONES",IFERROR(D1_ABRIL_2026[[#This Row],[RECUPERO]]/D1_ABRIL_2026[[#This Row],[META]],""))</f>
        <v>0.85517307692307687</v>
      </c>
      <c r="E32" s="35" t="str">
        <f>D1_ABRIL_2026[[#This Row],[SUPER]]</f>
        <v>KENNETH</v>
      </c>
      <c r="F32" t="s">
        <v>76</v>
      </c>
      <c r="G32" s="36">
        <v>44469</v>
      </c>
      <c r="H32" cm="1">
        <f t="array" ref="H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DATA_ABRIL_2026[[#This Row],[RECUPERO]]/DATA_ABRIL_2026[[#This Row],[META]]</f>
        <v>0.50657731958762886</v>
      </c>
      <c r="N32" s="5" t="str" cm="1">
        <f t="array" ref="N32">IF(DATA_ABRIL_2026[[#This Row],[ASER_]]="","",IFERROR(_xlfn.IFS(M32&gt;=100%,"&gt;100%",AND(M32&lt;100%,M32&gt;=70%),"&gt;70%",AND(M32&lt;70%,M32&gt;=40%),"&gt;40%",AND(M32&lt;40%,M32&gt;=0%),"&gt;0%"),""))</f>
        <v>&gt;40%</v>
      </c>
      <c r="O32" s="55" t="str">
        <f>IFERROR(VLOOKUP(DATA_ABRIL_2026[[#This Row],[ASER_]],$B:$G,4,0),"")</f>
        <v>JOHAN</v>
      </c>
      <c r="P32" s="6">
        <f>SUM(DATA_ABRIL_2026[[#This Row],[1]:[29]])</f>
        <v>24569</v>
      </c>
      <c r="Q32" s="6">
        <f>VLOOKUP(DATA_ABRIL_2026[[#This Row],[ASER_]],D1_ABRIL_2026[[ASESOR_CRR]:[META]],2,0)</f>
        <v>48500</v>
      </c>
      <c r="R32" t="s">
        <v>26</v>
      </c>
      <c r="V32">
        <v>10620</v>
      </c>
      <c r="W32">
        <v>550</v>
      </c>
      <c r="Z32">
        <v>5000</v>
      </c>
      <c r="AC32">
        <v>230</v>
      </c>
      <c r="AE32">
        <v>600</v>
      </c>
      <c r="AI32">
        <v>879</v>
      </c>
      <c r="AJ32">
        <v>500</v>
      </c>
      <c r="AK32">
        <v>1000</v>
      </c>
      <c r="AL32">
        <v>4100</v>
      </c>
      <c r="AP32">
        <v>590</v>
      </c>
      <c r="AR32">
        <v>500</v>
      </c>
      <c r="AS32" s="55" t="str" cm="1">
        <f t="array" ref="AS3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</row>
    <row r="33" spans="1:60" x14ac:dyDescent="0.25">
      <c r="A33" s="34" t="str" cm="1">
        <f t="array" ref="A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FRANK PACORA</v>
      </c>
      <c r="C33" s="34" cm="1">
        <f t="array" ref="C33">_xlfn.XLOOKUP(1,(TablaMeta[CONCAT]=$M$3&amp;$N$3&amp;D1_ABRIL_2026[[#This Row],[SUPER]])*(TablaMeta[SEGG]=D1_ABRIL_2026[[#This Row],[SEGMENTO]]),TablaMeta[Meta_Asesor])</f>
        <v>52000</v>
      </c>
      <c r="D33" s="35">
        <f>IF(D1_ABRIL_2026[[#This Row],[RECUPERO]]="VACACIONES","VACACIONES",IFERROR(D1_ABRIL_2026[[#This Row],[RECUPERO]]/D1_ABRIL_2026[[#This Row],[META]],""))</f>
        <v>0.64455769230769233</v>
      </c>
      <c r="E33" s="35" t="str">
        <f>D1_ABRIL_2026[[#This Row],[SUPER]]</f>
        <v>KENNETH</v>
      </c>
      <c r="F33" t="s">
        <v>105</v>
      </c>
      <c r="G33" s="36">
        <v>33517</v>
      </c>
      <c r="H33" cm="1">
        <f t="array" ref="H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DATA_ABRIL_2026[[#This Row],[RECUPERO]]/DATA_ABRIL_2026[[#This Row],[META]]</f>
        <v>0.77749999999999997</v>
      </c>
      <c r="N33" s="54" t="str" cm="1">
        <f t="array" ref="N33">IF(DATA_ABRIL_2026[[#This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IFERROR(VLOOKUP(DATA_ABRIL_2026[[#This Row],[ASER_]],$B:$G,4,0),"")</f>
        <v>SANDY</v>
      </c>
      <c r="P33" s="6">
        <f>SUM(DATA_ABRIL_2026[[#This Row],[1]:[29]])</f>
        <v>21770</v>
      </c>
      <c r="Q33" s="6">
        <f>VLOOKUP(DATA_ABRIL_2026[[#This Row],[ASER_]],D1_ABRIL_2026[[ASESOR_CRR]:[META]],2,0)</f>
        <v>28000</v>
      </c>
      <c r="R33" t="s">
        <v>564</v>
      </c>
      <c r="W33">
        <v>120</v>
      </c>
      <c r="X33">
        <v>2700</v>
      </c>
      <c r="AC33">
        <v>800</v>
      </c>
      <c r="AD33">
        <v>400</v>
      </c>
      <c r="AE33">
        <v>800</v>
      </c>
      <c r="AI33">
        <v>3250</v>
      </c>
      <c r="AJ33">
        <v>4600</v>
      </c>
      <c r="AK33">
        <v>1000</v>
      </c>
      <c r="AL33">
        <v>500</v>
      </c>
      <c r="AP33">
        <v>4600</v>
      </c>
      <c r="AQ33">
        <v>3000</v>
      </c>
      <c r="AS33" s="55" t="str" cm="1">
        <f t="array" ref="AS3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</row>
    <row r="34" spans="1:60" x14ac:dyDescent="0.25">
      <c r="A34" s="34" t="str" cm="1">
        <f t="array" ref="A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LOZA</v>
      </c>
      <c r="C34" s="34" cm="1">
        <f t="array" ref="C34">_xlfn.XLOOKUP(1,(TablaMeta[CONCAT]=$M$3&amp;$N$3&amp;D1_ABRIL_2026[[#This Row],[SUPER]])*(TablaMeta[SEGG]=D1_ABRIL_2026[[#This Row],[SEGMENTO]]),TablaMeta[Meta_Asesor])</f>
        <v>52000</v>
      </c>
      <c r="D34" s="35">
        <f>IF(D1_ABRIL_2026[[#This Row],[RECUPERO]]="VACACIONES","VACACIONES",IFERROR(D1_ABRIL_2026[[#This Row],[RECUPERO]]/D1_ABRIL_2026[[#This Row],[META]],""))</f>
        <v>0.49632692307692305</v>
      </c>
      <c r="E34" s="35" t="str">
        <f>D1_ABRIL_2026[[#This Row],[SUPER]]</f>
        <v>KENNETH</v>
      </c>
      <c r="F34" t="s">
        <v>35</v>
      </c>
      <c r="G34" s="36">
        <v>25809</v>
      </c>
      <c r="H34" cm="1">
        <f t="array" ref="H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DATA_ABRIL_2026[[#This Row],[RECUPERO]]/DATA_ABRIL_2026[[#This Row],[META]]</f>
        <v>6.2577319587628868E-2</v>
      </c>
      <c r="N34" s="54" t="str" cm="1">
        <f t="array" ref="N34">IF(DATA_ABRIL_2026[[#This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IFERROR(VLOOKUP(DATA_ABRIL_2026[[#This Row],[ASER_]],$B:$G,4,0),"")</f>
        <v>JOHAN</v>
      </c>
      <c r="P34" s="6">
        <f>SUM(DATA_ABRIL_2026[[#This Row],[1]:[29]])</f>
        <v>3035</v>
      </c>
      <c r="Q34" s="6">
        <f>VLOOKUP(DATA_ABRIL_2026[[#This Row],[ASER_]],D1_ABRIL_2026[[ASESOR_CRR]:[META]],2,0)</f>
        <v>48500</v>
      </c>
      <c r="R34" t="s">
        <v>122</v>
      </c>
      <c r="S34">
        <v>250</v>
      </c>
      <c r="Z34">
        <v>2250</v>
      </c>
      <c r="AI34">
        <v>200</v>
      </c>
      <c r="AM34">
        <v>335</v>
      </c>
      <c r="AS34" s="55" t="str" cm="1">
        <f t="array" ref="AS3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</row>
    <row r="35" spans="1:60" x14ac:dyDescent="0.25">
      <c r="A35" s="34" t="str" cm="1">
        <f t="array" ref="A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JOSELIN MONTALVO</v>
      </c>
      <c r="C35" s="34" cm="1">
        <f t="array" ref="C35">_xlfn.XLOOKUP(1,(TablaMeta[CONCAT]=$M$3&amp;$N$3&amp;D1_ABRIL_2026[[#This Row],[SUPER]])*(TablaMeta[SEGG]=D1_ABRIL_2026[[#This Row],[SEGMENTO]]),TablaMeta[Meta_Asesor])</f>
        <v>16500</v>
      </c>
      <c r="D35" s="35">
        <f>IF(D1_ABRIL_2026[[#This Row],[RECUPERO]]="VACACIONES","VACACIONES",IFERROR(D1_ABRIL_2026[[#This Row],[RECUPERO]]/D1_ABRIL_2026[[#This Row],[META]],""))</f>
        <v>0.83624242424242423</v>
      </c>
      <c r="E35" s="35" t="str">
        <f>D1_ABRIL_2026[[#This Row],[SUPER]]</f>
        <v>LEONOR</v>
      </c>
      <c r="F35" t="s">
        <v>549</v>
      </c>
      <c r="G35" s="36">
        <v>13798</v>
      </c>
      <c r="H35" cm="1">
        <f t="array" ref="H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DATA_ABRIL_2026[[#This Row],[RECUPERO]]/DATA_ABRIL_2026[[#This Row],[META]]</f>
        <v>0.28642424242424241</v>
      </c>
      <c r="N35" s="54" t="str" cm="1">
        <f t="array" ref="N35">IF(DATA_ABRIL_2026[[#This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IFERROR(VLOOKUP(DATA_ABRIL_2026[[#This Row],[ASER_]],$B:$G,4,0),"")</f>
        <v>LEONOR</v>
      </c>
      <c r="P35" s="6">
        <f>SUM(DATA_ABRIL_2026[[#This Row],[1]:[29]])</f>
        <v>4726</v>
      </c>
      <c r="Q35" s="6">
        <f>VLOOKUP(DATA_ABRIL_2026[[#This Row],[ASER_]],D1_ABRIL_2026[[ASESOR_CRR]:[META]],2,0)</f>
        <v>16500</v>
      </c>
      <c r="R35" t="s">
        <v>599</v>
      </c>
      <c r="AB35" s="6">
        <v>200</v>
      </c>
      <c r="AC35" s="6">
        <v>76</v>
      </c>
      <c r="AD35" s="6"/>
      <c r="AE35" s="6"/>
      <c r="AF35" s="6"/>
      <c r="AG35" s="6"/>
      <c r="AH35" s="6"/>
      <c r="AI35" s="6">
        <v>1000</v>
      </c>
      <c r="AJ35" s="6">
        <v>700</v>
      </c>
      <c r="AK35" s="6"/>
      <c r="AL35" s="6"/>
      <c r="AM35" s="6">
        <v>1000</v>
      </c>
      <c r="AN35" s="6"/>
      <c r="AP35">
        <v>250</v>
      </c>
      <c r="AQ35">
        <v>1500</v>
      </c>
      <c r="AS35" s="55" t="str" cm="1">
        <f t="array" ref="AS3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</row>
    <row r="36" spans="1:60" x14ac:dyDescent="0.25">
      <c r="A36" s="34" t="str" cm="1">
        <f t="array" ref="A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CHRISTIAN ALVARADO</v>
      </c>
      <c r="C36" s="34" cm="1">
        <f t="array" ref="C36">_xlfn.XLOOKUP(1,(TablaMeta[CONCAT]=$M$3&amp;$N$3&amp;D1_ABRIL_2026[[#This Row],[SUPER]])*(TablaMeta[SEGG]=D1_ABRIL_2026[[#This Row],[SEGMENTO]]),TablaMeta[Meta_Asesor])</f>
        <v>16500</v>
      </c>
      <c r="D36" s="35">
        <f>IF(D1_ABRIL_2026[[#This Row],[RECUPERO]]="VACACIONES","VACACIONES",IFERROR(D1_ABRIL_2026[[#This Row],[RECUPERO]]/D1_ABRIL_2026[[#This Row],[META]],""))</f>
        <v>0.70945454545454545</v>
      </c>
      <c r="E36" s="35" t="str">
        <f>D1_ABRIL_2026[[#This Row],[SUPER]]</f>
        <v>LEONOR</v>
      </c>
      <c r="F36" t="s">
        <v>41</v>
      </c>
      <c r="G36" s="36">
        <v>11706</v>
      </c>
      <c r="H36" cm="1">
        <f t="array" ref="H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DATA_ABRIL_2026[[#This Row],[RECUPERO]]/DATA_ABRIL_2026[[#This Row],[META]]</f>
        <v>0.64500000000000002</v>
      </c>
      <c r="N36" s="54" t="str" cm="1">
        <f t="array" ref="N36">IF(DATA_ABRIL_2026[[#This Row],[ASER_]]="","",IFERROR(_xlfn.IFS(M36&gt;=100%,"&gt;100%",AND(M36&lt;100%,M36&gt;=70%),"&gt;70%",AND(M36&lt;70%,M36&gt;=40%),"&gt;40%",AND(M36&lt;40%,M36&gt;=0%),"&gt;0%"),""))</f>
        <v>&gt;40%</v>
      </c>
      <c r="O36" s="55" t="str">
        <f>IFERROR(VLOOKUP(DATA_ABRIL_2026[[#This Row],[ASER_]],$B:$G,4,0),"")</f>
        <v>SANDY</v>
      </c>
      <c r="P36" s="6">
        <f>SUM(DATA_ABRIL_2026[[#This Row],[1]:[29]])</f>
        <v>18060</v>
      </c>
      <c r="Q36" s="6">
        <f>VLOOKUP(DATA_ABRIL_2026[[#This Row],[ASER_]],D1_ABRIL_2026[[ASESOR_CRR]:[META]],2,0)</f>
        <v>28000</v>
      </c>
      <c r="R36" t="s">
        <v>96</v>
      </c>
      <c r="V36">
        <v>2600</v>
      </c>
      <c r="X36">
        <v>2200</v>
      </c>
      <c r="Y36">
        <v>600</v>
      </c>
      <c r="Z36">
        <v>2000</v>
      </c>
      <c r="AA36">
        <v>400</v>
      </c>
      <c r="AB36" s="6"/>
      <c r="AC36" s="6">
        <v>400</v>
      </c>
      <c r="AD36" s="6">
        <v>3000</v>
      </c>
      <c r="AE36" s="6">
        <v>300</v>
      </c>
      <c r="AF36" s="6">
        <v>310</v>
      </c>
      <c r="AG36" s="6"/>
      <c r="AH36" s="6"/>
      <c r="AI36" s="6"/>
      <c r="AJ36" s="6"/>
      <c r="AK36" s="6"/>
      <c r="AL36" s="6">
        <v>2050</v>
      </c>
      <c r="AM36" s="6">
        <v>1200</v>
      </c>
      <c r="AN36" s="6"/>
      <c r="AP36">
        <v>2000</v>
      </c>
      <c r="AQ36">
        <v>1000</v>
      </c>
      <c r="AS36" s="55" t="str" cm="1">
        <f t="array" ref="AS3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</row>
    <row r="37" spans="1:60" x14ac:dyDescent="0.25">
      <c r="A37" s="34" t="str" cm="1">
        <f t="array" ref="A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SONIA SULLA</v>
      </c>
      <c r="C37" s="34" cm="1">
        <f t="array" ref="C37">_xlfn.XLOOKUP(1,(TablaMeta[CONCAT]=$M$3&amp;$N$3&amp;D1_ABRIL_2026[[#This Row],[SUPER]])*(TablaMeta[SEGG]=D1_ABRIL_2026[[#This Row],[SEGMENTO]]),TablaMeta[Meta_Asesor])</f>
        <v>16500</v>
      </c>
      <c r="D37" s="35">
        <f>IF(D1_ABRIL_2026[[#This Row],[RECUPERO]]="VACACIONES","VACACIONES",IFERROR(D1_ABRIL_2026[[#This Row],[RECUPERO]]/D1_ABRIL_2026[[#This Row],[META]],""))</f>
        <v>0.29945454545454547</v>
      </c>
      <c r="E37" s="35" t="str">
        <f>D1_ABRIL_2026[[#This Row],[SUPER]]</f>
        <v>LEONOR</v>
      </c>
      <c r="F37" t="s">
        <v>557</v>
      </c>
      <c r="G37" s="36">
        <v>4941</v>
      </c>
      <c r="H37" cm="1">
        <f t="array" ref="H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DATA_ABRIL_2026[[#This Row],[RECUPERO]]/DATA_ABRIL_2026[[#This Row],[META]]</f>
        <v>4.7696969696969696E-2</v>
      </c>
      <c r="N37" s="54" t="str" cm="1">
        <f t="array" ref="N37">IF(DATA_ABRIL_2026[[#This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IFERROR(VLOOKUP(DATA_ABRIL_2026[[#This Row],[ASER_]],$B:$G,4,0),"")</f>
        <v>LEONOR</v>
      </c>
      <c r="P37" s="6">
        <f>SUM(DATA_ABRIL_2026[[#This Row],[1]:[29]])</f>
        <v>787</v>
      </c>
      <c r="Q37" s="6">
        <f>VLOOKUP(DATA_ABRIL_2026[[#This Row],[ASER_]],D1_ABRIL_2026[[ASESOR_CRR]:[META]],2,0)</f>
        <v>16500</v>
      </c>
      <c r="R37" t="s">
        <v>565</v>
      </c>
      <c r="W37" s="5">
        <v>110</v>
      </c>
      <c r="X37" s="6">
        <v>400</v>
      </c>
      <c r="Y37" s="6">
        <v>277</v>
      </c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55" t="str" cm="1">
        <f t="array" ref="AS3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</row>
    <row r="38" spans="1:60" x14ac:dyDescent="0.25">
      <c r="A38" s="34" t="str" cm="1">
        <f t="array" ref="A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JEREMY RODRIGUEZ</v>
      </c>
      <c r="C38" s="34" cm="1">
        <f t="array" ref="C38">_xlfn.XLOOKUP(1,(TablaMeta[CONCAT]=$M$3&amp;$N$3&amp;D1_ABRIL_2026[[#This Row],[SUPER]])*(TablaMeta[SEGG]=D1_ABRIL_2026[[#This Row],[SEGMENTO]]),TablaMeta[Meta_Asesor])</f>
        <v>16500</v>
      </c>
      <c r="D38" s="35">
        <f>IF(D1_ABRIL_2026[[#This Row],[RECUPERO]]="VACACIONES","VACACIONES",IFERROR(D1_ABRIL_2026[[#This Row],[RECUPERO]]/D1_ABRIL_2026[[#This Row],[META]],""))</f>
        <v>0.28642424242424241</v>
      </c>
      <c r="E38" s="35" t="str">
        <f>D1_ABRIL_2026[[#This Row],[SUPER]]</f>
        <v>LEONOR</v>
      </c>
      <c r="F38" t="s">
        <v>599</v>
      </c>
      <c r="G38" s="36">
        <v>4726</v>
      </c>
      <c r="H38" cm="1">
        <f t="array" ref="H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DATA_ABRIL_2026[[#This Row],[RECUPERO]]/DATA_ABRIL_2026[[#This Row],[META]]</f>
        <v>0.43851546391752577</v>
      </c>
      <c r="N38" s="54" t="str" cm="1">
        <f t="array" ref="N38">IF(DATA_ABRIL_2026[[#This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IFERROR(VLOOKUP(DATA_ABRIL_2026[[#This Row],[ASER_]],$B:$G,4,0),"")</f>
        <v>JORGE</v>
      </c>
      <c r="P38" s="6">
        <f>SUM(DATA_ABRIL_2026[[#This Row],[1]:[29]])</f>
        <v>21268</v>
      </c>
      <c r="Q38" s="6">
        <f>VLOOKUP(DATA_ABRIL_2026[[#This Row],[ASER_]],D1_ABRIL_2026[[ASESOR_CRR]:[META]],2,0)</f>
        <v>48500</v>
      </c>
      <c r="R38" t="s">
        <v>65</v>
      </c>
      <c r="S38">
        <v>1700</v>
      </c>
      <c r="W38" s="5">
        <v>6000</v>
      </c>
      <c r="X38" s="6"/>
      <c r="Y38" s="6"/>
      <c r="Z38" s="6">
        <v>308</v>
      </c>
      <c r="AA38" s="6"/>
      <c r="AB38" s="6">
        <v>350</v>
      </c>
      <c r="AC38" s="6"/>
      <c r="AD38" s="6"/>
      <c r="AE38" s="6"/>
      <c r="AF38" s="6"/>
      <c r="AG38" s="6">
        <v>2900</v>
      </c>
      <c r="AH38" s="6"/>
      <c r="AI38" s="6">
        <v>1720</v>
      </c>
      <c r="AJ38" s="6"/>
      <c r="AK38" s="6"/>
      <c r="AL38" s="6"/>
      <c r="AM38" s="6"/>
      <c r="AN38" s="6"/>
      <c r="AO38" s="6"/>
      <c r="AP38" s="6">
        <v>3040</v>
      </c>
      <c r="AQ38" s="6">
        <v>3850</v>
      </c>
      <c r="AR38" s="6">
        <v>1400</v>
      </c>
      <c r="AS38" s="55" t="str" cm="1">
        <f t="array" ref="AS3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</row>
    <row r="39" spans="1:60" x14ac:dyDescent="0.25">
      <c r="A39" s="34" t="str" cm="1">
        <f t="array" ref="A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NICOLE CAURURO</v>
      </c>
      <c r="C39" s="34" cm="1">
        <f t="array" ref="C39">_xlfn.XLOOKUP(1,(TablaMeta[CONCAT]=$M$3&amp;$N$3&amp;D1_ABRIL_2026[[#This Row],[SUPER]])*(TablaMeta[SEGG]=D1_ABRIL_2026[[#This Row],[SEGMENTO]]),TablaMeta[Meta_Asesor])</f>
        <v>16500</v>
      </c>
      <c r="D39" s="35">
        <f>IF(D1_ABRIL_2026[[#This Row],[RECUPERO]]="VACACIONES","VACACIONES",IFERROR(D1_ABRIL_2026[[#This Row],[RECUPERO]]/D1_ABRIL_2026[[#This Row],[META]],""))</f>
        <v>0.18484848484848485</v>
      </c>
      <c r="E39" s="35" t="str">
        <f>D1_ABRIL_2026[[#This Row],[SUPER]]</f>
        <v>LEONOR</v>
      </c>
      <c r="F39" t="s">
        <v>566</v>
      </c>
      <c r="G39" s="36">
        <v>3050</v>
      </c>
      <c r="H39" cm="1">
        <f t="array" ref="H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DATA_ABRIL_2026[[#This Row],[RECUPERO]]/DATA_ABRIL_2026[[#This Row],[META]]</f>
        <v>0.30773835051546389</v>
      </c>
      <c r="N39" s="54" t="str" cm="1">
        <f t="array" ref="N39">IF(DATA_ABRIL_2026[[#This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IFERROR(VLOOKUP(DATA_ABRIL_2026[[#This Row],[ASER_]],$B:$G,4,0),"")</f>
        <v>JORGE</v>
      </c>
      <c r="P39" s="6">
        <f>SUM(DATA_ABRIL_2026[[#This Row],[1]:[29]])</f>
        <v>14925.31</v>
      </c>
      <c r="Q39" s="6">
        <f>VLOOKUP(DATA_ABRIL_2026[[#This Row],[ASER_]],D1_ABRIL_2026[[ASESOR_CRR]:[META]],2,0)</f>
        <v>48500</v>
      </c>
      <c r="R39" t="s">
        <v>37</v>
      </c>
      <c r="S39">
        <v>780</v>
      </c>
      <c r="W39" s="5"/>
      <c r="X39" s="6"/>
      <c r="Y39" s="6"/>
      <c r="Z39" s="6">
        <v>2500</v>
      </c>
      <c r="AA39" s="6"/>
      <c r="AB39" s="6"/>
      <c r="AC39" s="6"/>
      <c r="AD39" s="6"/>
      <c r="AE39" s="6"/>
      <c r="AF39" s="6">
        <v>1750</v>
      </c>
      <c r="AG39" s="6"/>
      <c r="AH39" s="6"/>
      <c r="AI39" s="6">
        <v>250</v>
      </c>
      <c r="AJ39" s="6">
        <v>350</v>
      </c>
      <c r="AK39" s="6"/>
      <c r="AL39" s="6">
        <v>4007</v>
      </c>
      <c r="AM39" s="6">
        <v>300</v>
      </c>
      <c r="AN39" s="6"/>
      <c r="AO39" s="6"/>
      <c r="AP39" s="6"/>
      <c r="AQ39" s="6"/>
      <c r="AR39" s="6">
        <v>4988.3099999999995</v>
      </c>
      <c r="AS39" s="55" t="str" cm="1">
        <f t="array" ref="AS3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</row>
    <row r="40" spans="1:60" x14ac:dyDescent="0.25">
      <c r="A40" s="34" t="str" cm="1">
        <f t="array" ref="A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FERNANDA APAZA</v>
      </c>
      <c r="C40" s="34" cm="1">
        <f t="array" ref="C40">_xlfn.XLOOKUP(1,(TablaMeta[CONCAT]=$M$3&amp;$N$3&amp;D1_ABRIL_2026[[#This Row],[SUPER]])*(TablaMeta[SEGG]=D1_ABRIL_2026[[#This Row],[SEGMENTO]]),TablaMeta[Meta_Asesor])</f>
        <v>25000</v>
      </c>
      <c r="D40" s="35">
        <f>IF(D1_ABRIL_2026[[#This Row],[RECUPERO]]="VACACIONES","VACACIONES",IFERROR(D1_ABRIL_2026[[#This Row],[RECUPERO]]/D1_ABRIL_2026[[#This Row],[META]],""))</f>
        <v>0.04</v>
      </c>
      <c r="E40" s="35" t="str">
        <f>D1_ABRIL_2026[[#This Row],[SUPER]]</f>
        <v>LEONOR</v>
      </c>
      <c r="F40" t="s">
        <v>600</v>
      </c>
      <c r="G40" s="36">
        <v>1000</v>
      </c>
      <c r="H40" cm="1">
        <f t="array" ref="H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DATA_ABRIL_2026[[#This Row],[RECUPERO]]/DATA_ABRIL_2026[[#This Row],[META]]</f>
        <v>0.83624242424242423</v>
      </c>
      <c r="N40" s="54" t="str" cm="1">
        <f t="array" ref="N40">IF(DATA_ABRIL_2026[[#This Row],[ASER_]]="","",IFERROR(_xlfn.IFS(M40&gt;=100%,"&gt;100%",AND(M40&lt;100%,M40&gt;=70%),"&gt;70%",AND(M40&lt;70%,M40&gt;=40%),"&gt;40%",AND(M40&lt;40%,M40&gt;=0%),"&gt;0%"),""))</f>
        <v>&gt;70%</v>
      </c>
      <c r="O40" s="55" t="str">
        <f>IFERROR(VLOOKUP(DATA_ABRIL_2026[[#This Row],[ASER_]],$B:$G,4,0),"")</f>
        <v>LEONOR</v>
      </c>
      <c r="P40" s="6">
        <f>SUM(DATA_ABRIL_2026[[#This Row],[1]:[29]])</f>
        <v>13798</v>
      </c>
      <c r="Q40" s="6">
        <f>VLOOKUP(DATA_ABRIL_2026[[#This Row],[ASER_]],D1_ABRIL_2026[[ASESOR_CRR]:[META]],2,0)</f>
        <v>16500</v>
      </c>
      <c r="R40" t="s">
        <v>549</v>
      </c>
      <c r="S40">
        <v>1800</v>
      </c>
      <c r="V40">
        <v>874</v>
      </c>
      <c r="W40" s="5"/>
      <c r="X40" s="6">
        <v>474</v>
      </c>
      <c r="Y40" s="6">
        <v>150</v>
      </c>
      <c r="Z40" s="6"/>
      <c r="AA40" s="6"/>
      <c r="AB40" s="6">
        <v>2000</v>
      </c>
      <c r="AC40" s="6">
        <v>3000</v>
      </c>
      <c r="AD40" s="6"/>
      <c r="AE40" s="6">
        <v>600</v>
      </c>
      <c r="AF40" s="6"/>
      <c r="AG40" s="6"/>
      <c r="AH40" s="6"/>
      <c r="AI40" s="6"/>
      <c r="AJ40" s="6">
        <v>1200</v>
      </c>
      <c r="AK40" s="6">
        <v>1500</v>
      </c>
      <c r="AL40" s="6"/>
      <c r="AM40" s="6"/>
      <c r="AN40" s="6"/>
      <c r="AO40" s="6"/>
      <c r="AP40" s="6">
        <v>200</v>
      </c>
      <c r="AQ40" s="6">
        <v>2000</v>
      </c>
      <c r="AR40" s="6"/>
      <c r="AS40" s="55" t="str" cm="1">
        <f t="array" ref="AS4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</row>
    <row r="41" spans="1:60" x14ac:dyDescent="0.25">
      <c r="A41" s="34" t="str" cm="1">
        <f t="array" ref="A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PIERINA TESEN</v>
      </c>
      <c r="C41" s="34" cm="1">
        <f t="array" ref="C41">_xlfn.XLOOKUP(1,(TablaMeta[CONCAT]=$M$3&amp;$N$3&amp;D1_ABRIL_2026[[#This Row],[SUPER]])*(TablaMeta[SEGG]=D1_ABRIL_2026[[#This Row],[SEGMENTO]]),TablaMeta[Meta_Asesor])</f>
        <v>48500</v>
      </c>
      <c r="D41" s="35">
        <f>IF(D1_ABRIL_2026[[#This Row],[RECUPERO]]="VACACIONES","VACACIONES",IFERROR(D1_ABRIL_2026[[#This Row],[RECUPERO]]/D1_ABRIL_2026[[#This Row],[META]],""))</f>
        <v>1.9112474226804124</v>
      </c>
      <c r="E41" s="35" t="str">
        <f>D1_ABRIL_2026[[#This Row],[SUPER]]</f>
        <v>JOHAN</v>
      </c>
      <c r="F41" t="s">
        <v>59</v>
      </c>
      <c r="G41" s="36">
        <v>92695.5</v>
      </c>
      <c r="H41" cm="1">
        <f t="array" ref="H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DATA_ABRIL_2026[[#This Row],[RECUPERO]]/DATA_ABRIL_2026[[#This Row],[META]]</f>
        <v>1.5622400000000001</v>
      </c>
      <c r="N41" s="54" t="str" cm="1">
        <f t="array" ref="N41">IF(DATA_ABRIL_2026[[#This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IFERROR(VLOOKUP(DATA_ABRIL_2026[[#This Row],[ASER_]],$B:$G,4,0),"")</f>
        <v>LEONOR</v>
      </c>
      <c r="P41" s="6">
        <f>SUM(DATA_ABRIL_2026[[#This Row],[1]:[29]])</f>
        <v>39056</v>
      </c>
      <c r="Q41" s="6">
        <f>VLOOKUP(DATA_ABRIL_2026[[#This Row],[ASER_]],D1_ABRIL_2026[[ASESOR_CRR]:[META]],2,0)</f>
        <v>25000</v>
      </c>
      <c r="R41" t="s">
        <v>77</v>
      </c>
      <c r="S41">
        <v>350</v>
      </c>
      <c r="V41">
        <v>265</v>
      </c>
      <c r="W41" s="5"/>
      <c r="X41" s="6"/>
      <c r="Y41" s="6">
        <v>2500</v>
      </c>
      <c r="Z41" s="6"/>
      <c r="AA41" s="6"/>
      <c r="AB41" s="6">
        <v>1567</v>
      </c>
      <c r="AC41" s="6">
        <v>2538</v>
      </c>
      <c r="AD41" s="6">
        <v>800</v>
      </c>
      <c r="AE41" s="6">
        <v>3739</v>
      </c>
      <c r="AF41" s="6">
        <v>1200</v>
      </c>
      <c r="AG41" s="6"/>
      <c r="AH41" s="6"/>
      <c r="AI41" s="6">
        <v>9644</v>
      </c>
      <c r="AJ41" s="6">
        <v>5953</v>
      </c>
      <c r="AK41" s="6">
        <v>3100</v>
      </c>
      <c r="AL41" s="6">
        <v>5000</v>
      </c>
      <c r="AM41" s="6"/>
      <c r="AN41" s="6"/>
      <c r="AO41" s="6"/>
      <c r="AP41" s="6"/>
      <c r="AQ41" s="6">
        <v>2100</v>
      </c>
      <c r="AR41" s="6">
        <v>300</v>
      </c>
      <c r="AS41" s="55" t="str" cm="1">
        <f t="array" ref="AS4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41" s="45"/>
      <c r="AY41" s="45"/>
      <c r="AZ41" s="45"/>
      <c r="BA41" s="45"/>
      <c r="BB41" s="45"/>
      <c r="BC41" s="45"/>
      <c r="BD41" s="45"/>
      <c r="BE41" s="45"/>
      <c r="BF41" s="45"/>
      <c r="BG41" s="45"/>
      <c r="BH41" s="45"/>
    </row>
    <row r="42" spans="1:60" x14ac:dyDescent="0.25">
      <c r="A42" s="34" t="str" cm="1">
        <f t="array" ref="A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CRISTINA TICONA</v>
      </c>
      <c r="C42" s="34" cm="1">
        <f t="array" ref="C42">_xlfn.XLOOKUP(1,(TablaMeta[CONCAT]=$M$3&amp;$N$3&amp;D1_ABRIL_2026[[#This Row],[SUPER]])*(TablaMeta[SEGG]=D1_ABRIL_2026[[#This Row],[SEGMENTO]]),TablaMeta[Meta_Asesor])</f>
        <v>48500</v>
      </c>
      <c r="D42" s="35">
        <f>IF(D1_ABRIL_2026[[#This Row],[RECUPERO]]="VACACIONES","VACACIONES",IFERROR(D1_ABRIL_2026[[#This Row],[RECUPERO]]/D1_ABRIL_2026[[#This Row],[META]],""))</f>
        <v>0.94389690721649488</v>
      </c>
      <c r="E42" s="35" t="str">
        <f>D1_ABRIL_2026[[#This Row],[SUPER]]</f>
        <v>JOHAN</v>
      </c>
      <c r="F42" t="s">
        <v>61</v>
      </c>
      <c r="G42" s="36">
        <v>45779</v>
      </c>
      <c r="H42" cm="1">
        <f t="array" ref="H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DATA_ABRIL_2026[[#This Row],[RECUPERO]]/DATA_ABRIL_2026[[#This Row],[META]]</f>
        <v>0.49632692307692305</v>
      </c>
      <c r="N42" s="54" t="str" cm="1">
        <f t="array" ref="N42">IF(DATA_ABRIL_2026[[#This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IFERROR(VLOOKUP(DATA_ABRIL_2026[[#This Row],[ASER_]],$B:$G,4,0),"")</f>
        <v>KENNETH</v>
      </c>
      <c r="P42" s="6">
        <f>SUM(DATA_ABRIL_2026[[#This Row],[1]:[29]])</f>
        <v>25809</v>
      </c>
      <c r="Q42" s="6">
        <f>VLOOKUP(DATA_ABRIL_2026[[#This Row],[ASER_]],D1_ABRIL_2026[[ASESOR_CRR]:[META]],2,0)</f>
        <v>52000</v>
      </c>
      <c r="R42" t="s">
        <v>35</v>
      </c>
      <c r="S42">
        <v>1403</v>
      </c>
      <c r="V42">
        <v>2786</v>
      </c>
      <c r="X42" s="5"/>
      <c r="Y42" s="6"/>
      <c r="Z42" s="6"/>
      <c r="AA42" s="6"/>
      <c r="AB42" s="6">
        <v>800</v>
      </c>
      <c r="AC42" s="6">
        <v>4000</v>
      </c>
      <c r="AD42" s="6">
        <v>100</v>
      </c>
      <c r="AE42" s="6">
        <v>700</v>
      </c>
      <c r="AF42" s="6">
        <v>2000</v>
      </c>
      <c r="AG42" s="6"/>
      <c r="AH42" s="6"/>
      <c r="AI42" s="6">
        <v>1600</v>
      </c>
      <c r="AJ42" s="6">
        <v>320</v>
      </c>
      <c r="AK42" s="6"/>
      <c r="AL42" s="6">
        <v>200</v>
      </c>
      <c r="AM42" s="6">
        <v>100</v>
      </c>
      <c r="AN42" s="6">
        <v>700</v>
      </c>
      <c r="AO42" s="6"/>
      <c r="AP42" s="6"/>
      <c r="AQ42" s="6">
        <v>3100</v>
      </c>
      <c r="AR42" s="6">
        <v>8000</v>
      </c>
      <c r="AS42" s="55" t="str" cm="1">
        <f t="array" ref="AS4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2" s="45"/>
      <c r="AY42" s="45"/>
      <c r="AZ42" s="45"/>
      <c r="BA42" s="45"/>
      <c r="BB42" s="45"/>
      <c r="BC42" s="45"/>
      <c r="BD42" s="45"/>
      <c r="BE42" s="45"/>
      <c r="BF42" s="45"/>
      <c r="BG42" s="45"/>
      <c r="BH42" s="45"/>
    </row>
    <row r="43" spans="1:60" x14ac:dyDescent="0.25">
      <c r="A43" s="34" t="str" cm="1">
        <f t="array" ref="A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DANIEL ZAPATA</v>
      </c>
      <c r="C43" s="34" cm="1">
        <f t="array" ref="C43">_xlfn.XLOOKUP(1,(TablaMeta[CONCAT]=$M$3&amp;$N$3&amp;D1_ABRIL_2026[[#This Row],[SUPER]])*(TablaMeta[SEGG]=D1_ABRIL_2026[[#This Row],[SEGMENTO]]),TablaMeta[Meta_Asesor])</f>
        <v>48500</v>
      </c>
      <c r="D43" s="35">
        <f>IF(D1_ABRIL_2026[[#This Row],[RECUPERO]]="VACACIONES","VACACIONES",IFERROR(D1_ABRIL_2026[[#This Row],[RECUPERO]]/D1_ABRIL_2026[[#This Row],[META]],""))</f>
        <v>0.87030927835051541</v>
      </c>
      <c r="E43" s="35" t="str">
        <f>D1_ABRIL_2026[[#This Row],[SUPER]]</f>
        <v>JOHAN</v>
      </c>
      <c r="F43" t="s">
        <v>80</v>
      </c>
      <c r="G43" s="36">
        <v>42210</v>
      </c>
      <c r="H43" cm="1">
        <f t="array" ref="H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DATA_ABRIL_2026[[#This Row],[RECUPERO]]/DATA_ABRIL_2026[[#This Row],[META]]</f>
        <v>6.7010309278350513E-2</v>
      </c>
      <c r="N43" s="54" t="str" cm="1">
        <f t="array" ref="N43">IF(DATA_ABRIL_2026[[#This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IFERROR(VLOOKUP(DATA_ABRIL_2026[[#This Row],[ASER_]],$B:$G,4,0),"")</f>
        <v>JORGE</v>
      </c>
      <c r="P43" s="6">
        <f>SUM(DATA_ABRIL_2026[[#This Row],[1]:[29]])</f>
        <v>3250</v>
      </c>
      <c r="Q43" s="6">
        <f>VLOOKUP(DATA_ABRIL_2026[[#This Row],[ASER_]],D1_ABRIL_2026[[ASESOR_CRR]:[META]],2,0)</f>
        <v>48500</v>
      </c>
      <c r="R43" t="s">
        <v>50</v>
      </c>
      <c r="S43">
        <v>130</v>
      </c>
      <c r="X43" s="5"/>
      <c r="Y43" s="6"/>
      <c r="Z43" s="6"/>
      <c r="AA43" s="6"/>
      <c r="AB43" s="6"/>
      <c r="AC43" s="6"/>
      <c r="AD43" s="6"/>
      <c r="AE43" s="6">
        <v>900</v>
      </c>
      <c r="AF43" s="6"/>
      <c r="AG43" s="6"/>
      <c r="AH43" s="6"/>
      <c r="AI43" s="6"/>
      <c r="AJ43" s="6">
        <v>220</v>
      </c>
      <c r="AK43" s="6"/>
      <c r="AL43" s="6">
        <v>2000</v>
      </c>
      <c r="AM43" s="6"/>
      <c r="AN43" s="6"/>
      <c r="AO43" s="6"/>
      <c r="AP43" s="6"/>
      <c r="AQ43" s="6"/>
      <c r="AR43" s="6"/>
      <c r="AS43" s="55" t="str" cm="1">
        <f t="array" ref="AS4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45"/>
    </row>
    <row r="44" spans="1:60" x14ac:dyDescent="0.25">
      <c r="A44" s="34" t="str" cm="1">
        <f t="array" ref="A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TINTAYA</v>
      </c>
      <c r="C44" s="34" cm="1">
        <f t="array" ref="C44">_xlfn.XLOOKUP(1,(TablaMeta[CONCAT]=$M$3&amp;$N$3&amp;D1_ABRIL_2026[[#This Row],[SUPER]])*(TablaMeta[SEGG]=D1_ABRIL_2026[[#This Row],[SEGMENTO]]),TablaMeta[Meta_Asesor])</f>
        <v>48500</v>
      </c>
      <c r="D44" s="35">
        <f>IF(D1_ABRIL_2026[[#This Row],[RECUPERO]]="VACACIONES","VACACIONES",IFERROR(D1_ABRIL_2026[[#This Row],[RECUPERO]]/D1_ABRIL_2026[[#This Row],[META]],""))</f>
        <v>0.77787628865979386</v>
      </c>
      <c r="E44" s="35" t="str">
        <f>D1_ABRIL_2026[[#This Row],[SUPER]]</f>
        <v>JOHAN</v>
      </c>
      <c r="F44" t="s">
        <v>75</v>
      </c>
      <c r="G44" s="36">
        <v>37727</v>
      </c>
      <c r="H44" cm="1">
        <f t="array" ref="H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DATA_ABRIL_2026[[#This Row],[RECUPERO]]/DATA_ABRIL_2026[[#This Row],[META]]</f>
        <v>0.85661855670103093</v>
      </c>
      <c r="N44" s="54" t="str" cm="1">
        <f t="array" ref="N44">IF(DATA_ABRIL_2026[[#This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IFERROR(VLOOKUP(DATA_ABRIL_2026[[#This Row],[ASER_]],$B:$G,4,0),"")</f>
        <v>JORGE</v>
      </c>
      <c r="P44" s="6">
        <f>SUM(DATA_ABRIL_2026[[#This Row],[1]:[29]])</f>
        <v>41546</v>
      </c>
      <c r="Q44" s="6">
        <f>VLOOKUP(DATA_ABRIL_2026[[#This Row],[ASER_]],D1_ABRIL_2026[[ASESOR_CRR]:[META]],2,0)</f>
        <v>48500</v>
      </c>
      <c r="R44" t="s">
        <v>23</v>
      </c>
      <c r="S44">
        <v>2770</v>
      </c>
      <c r="V44">
        <v>3130</v>
      </c>
      <c r="W44">
        <v>578</v>
      </c>
      <c r="X44" s="5"/>
      <c r="Y44" s="6">
        <v>580</v>
      </c>
      <c r="Z44" s="6">
        <v>1768</v>
      </c>
      <c r="AA44" s="6"/>
      <c r="AB44" s="6">
        <v>300</v>
      </c>
      <c r="AC44" s="6">
        <v>200</v>
      </c>
      <c r="AD44" s="6">
        <v>1450</v>
      </c>
      <c r="AE44" s="6">
        <v>2110</v>
      </c>
      <c r="AF44" s="6">
        <v>2700</v>
      </c>
      <c r="AG44" s="6">
        <v>250</v>
      </c>
      <c r="AH44" s="6"/>
      <c r="AI44" s="6">
        <v>5000</v>
      </c>
      <c r="AJ44" s="6">
        <v>450</v>
      </c>
      <c r="AK44" s="6">
        <v>1325</v>
      </c>
      <c r="AL44" s="6">
        <v>8000</v>
      </c>
      <c r="AM44" s="6"/>
      <c r="AN44" s="6"/>
      <c r="AO44" s="6"/>
      <c r="AP44" s="6">
        <v>7910</v>
      </c>
      <c r="AQ44" s="6">
        <v>800</v>
      </c>
      <c r="AR44" s="6">
        <v>2225</v>
      </c>
      <c r="AS44" s="55" t="str" cm="1">
        <f t="array" ref="AS4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</row>
    <row r="45" spans="1:60" x14ac:dyDescent="0.25">
      <c r="A45" s="34" t="str" cm="1">
        <f t="array" ref="A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ANALUCIA PONCE</v>
      </c>
      <c r="C45" s="34" cm="1">
        <f t="array" ref="C45">_xlfn.XLOOKUP(1,(TablaMeta[CONCAT]=$M$3&amp;$N$3&amp;D1_ABRIL_2026[[#This Row],[SUPER]])*(TablaMeta[SEGG]=D1_ABRIL_2026[[#This Row],[SEGMENTO]]),TablaMeta[Meta_Asesor])</f>
        <v>48500</v>
      </c>
      <c r="D45" s="35">
        <f>IF(D1_ABRIL_2026[[#This Row],[RECUPERO]]="VACACIONES","VACACIONES",IFERROR(D1_ABRIL_2026[[#This Row],[RECUPERO]]/D1_ABRIL_2026[[#This Row],[META]],""))</f>
        <v>0.54187628865979387</v>
      </c>
      <c r="E45" s="35" t="str">
        <f>D1_ABRIL_2026[[#This Row],[SUPER]]</f>
        <v>JOHAN</v>
      </c>
      <c r="F45" t="s">
        <v>60</v>
      </c>
      <c r="G45" s="36">
        <v>26281</v>
      </c>
      <c r="H45" cm="1">
        <f t="array" ref="H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DATA_ABRIL_2026[[#This Row],[RECUPERO]]/DATA_ABRIL_2026[[#This Row],[META]]</f>
        <v>1.7443571428571429</v>
      </c>
      <c r="N45" s="54" t="str" cm="1">
        <f t="array" ref="N45">IF(DATA_ABRIL_2026[[#This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IFERROR(VLOOKUP(DATA_ABRIL_2026[[#This Row],[ASER_]],$B:$G,4,0),"")</f>
        <v>SANDY</v>
      </c>
      <c r="P45" s="6">
        <f>SUM(DATA_ABRIL_2026[[#This Row],[1]:[29]])</f>
        <v>48842</v>
      </c>
      <c r="Q45" s="6">
        <f>VLOOKUP(DATA_ABRIL_2026[[#This Row],[ASER_]],D1_ABRIL_2026[[ASESOR_CRR]:[META]],2,0)</f>
        <v>28000</v>
      </c>
      <c r="R45" t="s">
        <v>68</v>
      </c>
      <c r="S45">
        <v>7700</v>
      </c>
      <c r="U45">
        <v>300</v>
      </c>
      <c r="V45">
        <v>3200</v>
      </c>
      <c r="X45" s="5">
        <v>10600</v>
      </c>
      <c r="Y45" s="6">
        <v>4000</v>
      </c>
      <c r="Z45" s="6"/>
      <c r="AA45" s="6">
        <v>500</v>
      </c>
      <c r="AB45" s="6"/>
      <c r="AC45" s="6">
        <v>232</v>
      </c>
      <c r="AD45" s="6"/>
      <c r="AE45" s="6">
        <v>500</v>
      </c>
      <c r="AF45" s="6">
        <v>4000</v>
      </c>
      <c r="AG45" s="6"/>
      <c r="AH45" s="6"/>
      <c r="AI45" s="6">
        <v>500</v>
      </c>
      <c r="AJ45" s="6"/>
      <c r="AK45" s="6">
        <v>950</v>
      </c>
      <c r="AL45" s="6">
        <v>360</v>
      </c>
      <c r="AM45" s="6">
        <v>1000</v>
      </c>
      <c r="AN45" s="6"/>
      <c r="AO45" s="6"/>
      <c r="AP45" s="6"/>
      <c r="AQ45" s="6"/>
      <c r="AR45" s="6">
        <v>15000</v>
      </c>
      <c r="AS45" s="55" t="str" cm="1">
        <f t="array" ref="AS4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</row>
    <row r="46" spans="1:60" x14ac:dyDescent="0.25">
      <c r="A46" s="34" t="str" cm="1">
        <f t="array" ref="A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VICUNA</v>
      </c>
      <c r="C46" s="34" cm="1">
        <f t="array" ref="C46">_xlfn.XLOOKUP(1,(TablaMeta[CONCAT]=$M$3&amp;$N$3&amp;D1_ABRIL_2026[[#This Row],[SUPER]])*(TablaMeta[SEGG]=D1_ABRIL_2026[[#This Row],[SEGMENTO]]),TablaMeta[Meta_Asesor])</f>
        <v>48500</v>
      </c>
      <c r="D46" s="35">
        <f>IF(D1_ABRIL_2026[[#This Row],[RECUPERO]]="VACACIONES","VACACIONES",IFERROR(D1_ABRIL_2026[[#This Row],[RECUPERO]]/D1_ABRIL_2026[[#This Row],[META]],""))</f>
        <v>0.56859793814432991</v>
      </c>
      <c r="E46" s="35" t="str">
        <f>D1_ABRIL_2026[[#This Row],[SUPER]]</f>
        <v>JOHAN</v>
      </c>
      <c r="F46" t="s">
        <v>12</v>
      </c>
      <c r="G46" s="36">
        <v>27577</v>
      </c>
      <c r="H46" cm="1">
        <f t="array" ref="H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DATA_ABRIL_2026[[#This Row],[RECUPERO]]/DATA_ABRIL_2026[[#This Row],[META]]</f>
        <v>0.71244285714285716</v>
      </c>
      <c r="N46" s="54" t="str" cm="1">
        <f t="array" ref="N46">IF(DATA_ABRIL_2026[[#This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IFERROR(VLOOKUP(DATA_ABRIL_2026[[#This Row],[ASER_]],$B:$G,4,0),"")</f>
        <v>SANDY</v>
      </c>
      <c r="P46" s="6">
        <f>SUM(DATA_ABRIL_2026[[#This Row],[1]:[29]])</f>
        <v>19948.400000000001</v>
      </c>
      <c r="Q46" s="6">
        <f>VLOOKUP(DATA_ABRIL_2026[[#This Row],[ASER_]],D1_ABRIL_2026[[ASESOR_CRR]:[META]],2,0)</f>
        <v>28000</v>
      </c>
      <c r="R46" t="s">
        <v>29</v>
      </c>
      <c r="S46">
        <v>563.4</v>
      </c>
      <c r="V46">
        <v>2000</v>
      </c>
      <c r="W46">
        <v>1570</v>
      </c>
      <c r="X46" s="5">
        <v>405</v>
      </c>
      <c r="Y46" s="6">
        <v>155</v>
      </c>
      <c r="Z46" s="6">
        <v>1245</v>
      </c>
      <c r="AA46" s="6"/>
      <c r="AB46" s="6">
        <v>584</v>
      </c>
      <c r="AC46" s="6">
        <v>200</v>
      </c>
      <c r="AD46" s="6">
        <v>900</v>
      </c>
      <c r="AE46" s="6">
        <v>1261</v>
      </c>
      <c r="AF46" s="6">
        <v>5000</v>
      </c>
      <c r="AG46" s="6"/>
      <c r="AH46" s="6"/>
      <c r="AI46" s="6">
        <v>988</v>
      </c>
      <c r="AJ46" s="6">
        <v>500</v>
      </c>
      <c r="AK46" s="6">
        <v>230</v>
      </c>
      <c r="AL46" s="6">
        <v>1250</v>
      </c>
      <c r="AM46" s="6">
        <v>680</v>
      </c>
      <c r="AN46" s="6">
        <v>1500</v>
      </c>
      <c r="AO46" s="6"/>
      <c r="AP46" s="6">
        <v>517</v>
      </c>
      <c r="AQ46" s="6"/>
      <c r="AR46" s="6">
        <v>400</v>
      </c>
      <c r="AS46" s="55" t="str" cm="1">
        <f t="array" ref="AS4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6" s="45"/>
      <c r="AY46" s="45"/>
      <c r="AZ46" s="45"/>
      <c r="BA46" s="45"/>
      <c r="BB46" s="45"/>
      <c r="BC46" s="45"/>
      <c r="BD46" s="45"/>
      <c r="BE46" s="45"/>
      <c r="BF46" s="45"/>
      <c r="BG46" s="45"/>
      <c r="BH46" s="45"/>
    </row>
    <row r="47" spans="1:60" x14ac:dyDescent="0.25">
      <c r="A47" s="34" t="str" cm="1">
        <f t="array" ref="A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VILLAR</v>
      </c>
      <c r="C47" s="34" cm="1">
        <f t="array" ref="C47">_xlfn.XLOOKUP(1,(TablaMeta[CONCAT]=$M$3&amp;$N$3&amp;D1_ABRIL_2026[[#This Row],[SUPER]])*(TablaMeta[SEGG]=D1_ABRIL_2026[[#This Row],[SEGMENTO]]),TablaMeta[Meta_Asesor])</f>
        <v>48500</v>
      </c>
      <c r="D47" s="35">
        <f>IF(D1_ABRIL_2026[[#This Row],[RECUPERO]]="VACACIONES","VACACIONES",IFERROR(D1_ABRIL_2026[[#This Row],[RECUPERO]]/D1_ABRIL_2026[[#This Row],[META]],""))</f>
        <v>0.61006185567010307</v>
      </c>
      <c r="E47" s="35" t="str">
        <f>D1_ABRIL_2026[[#This Row],[SUPER]]</f>
        <v>JOHAN</v>
      </c>
      <c r="F47" t="s">
        <v>72</v>
      </c>
      <c r="G47" s="36">
        <v>29588</v>
      </c>
      <c r="H47" cm="1">
        <f t="array" ref="H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DATA_ABRIL_2026[[#This Row],[RECUPERO]]/DATA_ABRIL_2026[[#This Row],[META]]</f>
        <v>0.36347422680412372</v>
      </c>
      <c r="N47" s="54" t="str" cm="1">
        <f t="array" ref="N47">IF(DATA_ABRIL_2026[[#This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IFERROR(VLOOKUP(DATA_ABRIL_2026[[#This Row],[ASER_]],$B:$G,4,0),"")</f>
        <v>JORGE</v>
      </c>
      <c r="P47" s="6">
        <f>SUM(DATA_ABRIL_2026[[#This Row],[1]:[29]])</f>
        <v>17628.5</v>
      </c>
      <c r="Q47" s="6">
        <f>VLOOKUP(DATA_ABRIL_2026[[#This Row],[ASER_]],D1_ABRIL_2026[[ASESOR_CRR]:[META]],2,0)</f>
        <v>48500</v>
      </c>
      <c r="R47" t="s">
        <v>25</v>
      </c>
      <c r="S47">
        <v>400</v>
      </c>
      <c r="T47">
        <v>141</v>
      </c>
      <c r="V47">
        <v>197.5</v>
      </c>
      <c r="W47">
        <v>5000</v>
      </c>
      <c r="X47" s="5"/>
      <c r="Y47" s="6"/>
      <c r="Z47" s="6"/>
      <c r="AA47" s="6"/>
      <c r="AB47" s="6"/>
      <c r="AC47" s="6">
        <v>2500</v>
      </c>
      <c r="AD47" s="6">
        <v>390</v>
      </c>
      <c r="AE47" s="6"/>
      <c r="AF47" s="6">
        <v>4000</v>
      </c>
      <c r="AG47" s="6"/>
      <c r="AH47" s="6"/>
      <c r="AI47" s="6">
        <v>250</v>
      </c>
      <c r="AJ47" s="6"/>
      <c r="AK47" s="6">
        <v>600</v>
      </c>
      <c r="AL47" s="6">
        <v>350</v>
      </c>
      <c r="AM47" s="6">
        <v>3800</v>
      </c>
      <c r="AN47" s="6"/>
      <c r="AO47" s="6"/>
      <c r="AP47" s="6"/>
      <c r="AQ47" s="6"/>
      <c r="AR47" s="6"/>
      <c r="AS47" s="55" t="str" cm="1">
        <f t="array" ref="AS4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45"/>
    </row>
    <row r="48" spans="1:60" x14ac:dyDescent="0.25">
      <c r="A48" s="34" t="str" cm="1">
        <f t="array" ref="A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LAZARO</v>
      </c>
      <c r="C48" s="34" cm="1">
        <f t="array" ref="C48">_xlfn.XLOOKUP(1,(TablaMeta[CONCAT]=$M$3&amp;$N$3&amp;D1_ABRIL_2026[[#This Row],[SUPER]])*(TablaMeta[SEGG]=D1_ABRIL_2026[[#This Row],[SEGMENTO]]),TablaMeta[Meta_Asesor])</f>
        <v>48500</v>
      </c>
      <c r="D48" s="35">
        <f>IF(D1_ABRIL_2026[[#This Row],[RECUPERO]]="VACACIONES","VACACIONES",IFERROR(D1_ABRIL_2026[[#This Row],[RECUPERO]]/D1_ABRIL_2026[[#This Row],[META]],""))</f>
        <v>0.50657731958762886</v>
      </c>
      <c r="E48" s="35" t="str">
        <f>D1_ABRIL_2026[[#This Row],[SUPER]]</f>
        <v>JOHAN</v>
      </c>
      <c r="F48" t="s">
        <v>26</v>
      </c>
      <c r="G48" s="36">
        <v>24569</v>
      </c>
      <c r="H48" cm="1">
        <f t="array" ref="H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DATA_ABRIL_2026[[#This Row],[RECUPERO]]/DATA_ABRIL_2026[[#This Row],[META]]</f>
        <v>1.0325769230769231</v>
      </c>
      <c r="N48" s="54" t="str" cm="1">
        <f t="array" ref="N48">IF(DATA_ABRIL_2026[[#This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IFERROR(VLOOKUP(DATA_ABRIL_2026[[#This Row],[ASER_]],$B:$G,4,0),"")</f>
        <v>KENNETH</v>
      </c>
      <c r="P48" s="6">
        <f>SUM(DATA_ABRIL_2026[[#This Row],[1]:[29]])</f>
        <v>53694</v>
      </c>
      <c r="Q48" s="6">
        <f>VLOOKUP(DATA_ABRIL_2026[[#This Row],[ASER_]],D1_ABRIL_2026[[ASESOR_CRR]:[META]],2,0)</f>
        <v>52000</v>
      </c>
      <c r="R48" t="s">
        <v>38</v>
      </c>
      <c r="V48">
        <v>600</v>
      </c>
      <c r="X48" s="5"/>
      <c r="Y48" s="6">
        <v>5000</v>
      </c>
      <c r="Z48" s="6"/>
      <c r="AA48" s="6"/>
      <c r="AB48" s="6">
        <v>500</v>
      </c>
      <c r="AC48" s="6">
        <v>1525</v>
      </c>
      <c r="AD48" s="6">
        <v>2300</v>
      </c>
      <c r="AE48" s="6">
        <v>300</v>
      </c>
      <c r="AF48" s="6">
        <v>3350</v>
      </c>
      <c r="AG48" s="6"/>
      <c r="AH48" s="6"/>
      <c r="AI48" s="6">
        <v>6000</v>
      </c>
      <c r="AJ48" s="6">
        <v>1526</v>
      </c>
      <c r="AK48" s="6">
        <v>1280</v>
      </c>
      <c r="AL48" s="6"/>
      <c r="AM48" s="6">
        <v>7550</v>
      </c>
      <c r="AN48" s="6">
        <v>452</v>
      </c>
      <c r="AO48" s="6"/>
      <c r="AP48" s="6">
        <v>2600</v>
      </c>
      <c r="AQ48" s="6">
        <v>10211</v>
      </c>
      <c r="AR48" s="6">
        <v>10500</v>
      </c>
      <c r="AS48" s="55" t="str" cm="1">
        <f t="array" ref="AS4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</row>
    <row r="49" spans="1:60" x14ac:dyDescent="0.25">
      <c r="A49" s="34" t="str" cm="1">
        <f t="array" ref="A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ALEIDITH GUEVARA</v>
      </c>
      <c r="C49" s="34" cm="1">
        <f t="array" ref="C49">_xlfn.XLOOKUP(1,(TablaMeta[CONCAT]=$M$3&amp;$N$3&amp;D1_ABRIL_2026[[#This Row],[SUPER]])*(TablaMeta[SEGG]=D1_ABRIL_2026[[#This Row],[SEGMENTO]]),TablaMeta[Meta_Asesor])</f>
        <v>48500</v>
      </c>
      <c r="D49" s="35">
        <f>IF(D1_ABRIL_2026[[#This Row],[RECUPERO]]="VACACIONES","VACACIONES",IFERROR(D1_ABRIL_2026[[#This Row],[RECUPERO]]/D1_ABRIL_2026[[#This Row],[META]],""))</f>
        <v>0.41509278350515466</v>
      </c>
      <c r="E49" s="35" t="str">
        <f>D1_ABRIL_2026[[#This Row],[SUPER]]</f>
        <v>JOHAN</v>
      </c>
      <c r="F49" t="s">
        <v>18</v>
      </c>
      <c r="G49" s="36">
        <v>20132</v>
      </c>
      <c r="H49" cm="1">
        <f t="array" ref="H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DATA_ABRIL_2026[[#This Row],[RECUPERO]]/DATA_ABRIL_2026[[#This Row],[META]]</f>
        <v>0.77787628865979386</v>
      </c>
      <c r="N49" s="54" t="str" cm="1">
        <f t="array" ref="N49">IF(DATA_ABRIL_2026[[#This Row],[ASER_]]="","",IFERROR(_xlfn.IFS(M49&gt;=100%,"&gt;100%",AND(M49&lt;100%,M49&gt;=70%),"&gt;70%",AND(M49&lt;70%,M49&gt;=40%),"&gt;40%",AND(M49&lt;40%,M49&gt;=0%),"&gt;0%"),""))</f>
        <v>&gt;70%</v>
      </c>
      <c r="O49" s="55" t="str">
        <f>IFERROR(VLOOKUP(DATA_ABRIL_2026[[#This Row],[ASER_]],$B:$G,4,0),"")</f>
        <v>JOHAN</v>
      </c>
      <c r="P49" s="6">
        <f>SUM(DATA_ABRIL_2026[[#This Row],[1]:[29]])</f>
        <v>37727</v>
      </c>
      <c r="Q49" s="6">
        <f>VLOOKUP(DATA_ABRIL_2026[[#This Row],[ASER_]],D1_ABRIL_2026[[ASESOR_CRR]:[META]],2,0)</f>
        <v>48500</v>
      </c>
      <c r="R49" t="s">
        <v>75</v>
      </c>
      <c r="X49" s="5">
        <v>900</v>
      </c>
      <c r="Y49" s="6"/>
      <c r="Z49" s="6"/>
      <c r="AA49" s="6"/>
      <c r="AB49" s="6"/>
      <c r="AC49" s="6"/>
      <c r="AD49" s="6">
        <v>2000</v>
      </c>
      <c r="AE49" s="6">
        <v>2933</v>
      </c>
      <c r="AF49" s="6">
        <v>2900</v>
      </c>
      <c r="AG49" s="6"/>
      <c r="AH49" s="6"/>
      <c r="AI49" s="6">
        <v>10750</v>
      </c>
      <c r="AJ49" s="6"/>
      <c r="AK49" s="6">
        <v>2650</v>
      </c>
      <c r="AL49" s="6">
        <v>57</v>
      </c>
      <c r="AM49" s="6"/>
      <c r="AN49" s="6"/>
      <c r="AO49" s="6"/>
      <c r="AP49" s="6">
        <v>8500</v>
      </c>
      <c r="AQ49" s="6">
        <v>2132</v>
      </c>
      <c r="AR49" s="6">
        <v>4905</v>
      </c>
      <c r="AS49" s="55" t="str" cm="1">
        <f t="array" ref="AS4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9" s="45"/>
      <c r="AY49" s="45"/>
      <c r="AZ49" s="45"/>
      <c r="BA49" s="45"/>
      <c r="BB49" s="45"/>
      <c r="BC49" s="45"/>
      <c r="BD49" s="45"/>
      <c r="BE49" s="45"/>
      <c r="BF49" s="45"/>
      <c r="BG49" s="45"/>
      <c r="BH49" s="45"/>
    </row>
    <row r="50" spans="1:60" x14ac:dyDescent="0.25">
      <c r="A50" s="34" t="str" cm="1">
        <f t="array" ref="A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TASAYCO</v>
      </c>
      <c r="C50" s="34" cm="1">
        <f t="array" ref="C50">_xlfn.XLOOKUP(1,(TablaMeta[CONCAT]=$M$3&amp;$N$3&amp;D1_ABRIL_2026[[#This Row],[SUPER]])*(TablaMeta[SEGG]=D1_ABRIL_2026[[#This Row],[SEGMENTO]]),TablaMeta[Meta_Asesor])</f>
        <v>48500</v>
      </c>
      <c r="D50" s="35">
        <f>IF(D1_ABRIL_2026[[#This Row],[RECUPERO]]="VACACIONES","VACACIONES",IFERROR(D1_ABRIL_2026[[#This Row],[RECUPERO]]/D1_ABRIL_2026[[#This Row],[META]],""))</f>
        <v>0.3170103092783505</v>
      </c>
      <c r="E50" s="35" t="str">
        <f>D1_ABRIL_2026[[#This Row],[SUPER]]</f>
        <v>JOHAN</v>
      </c>
      <c r="F50" t="s">
        <v>10</v>
      </c>
      <c r="G50" s="36">
        <v>15375</v>
      </c>
      <c r="H50" cm="1">
        <f t="array" ref="H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DATA_ABRIL_2026[[#This Row],[RECUPERO]]/DATA_ABRIL_2026[[#This Row],[META]]</f>
        <v>1.1011338461538462</v>
      </c>
      <c r="N50" s="54" t="str" cm="1">
        <f t="array" ref="N50">IF(DATA_ABRIL_2026[[#This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IFERROR(VLOOKUP(DATA_ABRIL_2026[[#This Row],[ASER_]],$B:$G,4,0),"")</f>
        <v>KENNETH</v>
      </c>
      <c r="P50" s="6">
        <f>SUM(DATA_ABRIL_2026[[#This Row],[1]:[29]])</f>
        <v>57258.96</v>
      </c>
      <c r="Q50" s="6">
        <f>VLOOKUP(DATA_ABRIL_2026[[#This Row],[ASER_]],D1_ABRIL_2026[[ASESOR_CRR]:[META]],2,0)</f>
        <v>52000</v>
      </c>
      <c r="R50" t="s">
        <v>11</v>
      </c>
      <c r="V50">
        <v>10000</v>
      </c>
      <c r="W50">
        <v>5500</v>
      </c>
      <c r="X50" s="5"/>
      <c r="Y50" s="6">
        <v>24800</v>
      </c>
      <c r="Z50" s="6">
        <v>4000</v>
      </c>
      <c r="AA50" s="6"/>
      <c r="AB50" s="6">
        <v>400</v>
      </c>
      <c r="AC50" s="6"/>
      <c r="AD50" s="6"/>
      <c r="AE50" s="6">
        <v>4994.0600000000004</v>
      </c>
      <c r="AF50" s="6">
        <v>99.9</v>
      </c>
      <c r="AG50" s="6"/>
      <c r="AH50" s="6"/>
      <c r="AI50" s="6"/>
      <c r="AJ50" s="6">
        <v>1000</v>
      </c>
      <c r="AK50" s="6">
        <v>2000</v>
      </c>
      <c r="AL50" s="6"/>
      <c r="AM50" s="6">
        <v>1600</v>
      </c>
      <c r="AN50" s="6">
        <v>840</v>
      </c>
      <c r="AO50" s="6"/>
      <c r="AP50" s="6">
        <v>1705</v>
      </c>
      <c r="AQ50" s="6">
        <v>200</v>
      </c>
      <c r="AR50" s="6">
        <v>120</v>
      </c>
      <c r="AS50" s="55" t="str" cm="1">
        <f t="array" ref="AS5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0" s="45"/>
      <c r="AY50" s="45"/>
      <c r="AZ50" s="45"/>
      <c r="BA50" s="45"/>
      <c r="BB50" s="45"/>
      <c r="BC50" s="45"/>
      <c r="BD50" s="45"/>
      <c r="BE50" s="45"/>
      <c r="BF50" s="45"/>
      <c r="BG50" s="45"/>
      <c r="BH50" s="45"/>
    </row>
    <row r="51" spans="1:60" x14ac:dyDescent="0.25">
      <c r="A51" s="34" t="str" cm="1">
        <f t="array" ref="A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JEREMIAS ROJAS</v>
      </c>
      <c r="C51" s="34" cm="1">
        <f t="array" ref="C51">_xlfn.XLOOKUP(1,(TablaMeta[CONCAT]=$M$3&amp;$N$3&amp;D1_ABRIL_2026[[#This Row],[SUPER]])*(TablaMeta[SEGG]=D1_ABRIL_2026[[#This Row],[SEGMENTO]]),TablaMeta[Meta_Asesor])</f>
        <v>48500</v>
      </c>
      <c r="D51" s="35">
        <f>IF(D1_ABRIL_2026[[#This Row],[RECUPERO]]="VACACIONES","VACACIONES",IFERROR(D1_ABRIL_2026[[#This Row],[RECUPERO]]/D1_ABRIL_2026[[#This Row],[META]],""))</f>
        <v>6.2577319587628868E-2</v>
      </c>
      <c r="E51" s="35" t="str">
        <f>D1_ABRIL_2026[[#This Row],[SUPER]]</f>
        <v>JOHAN</v>
      </c>
      <c r="F51" t="s">
        <v>122</v>
      </c>
      <c r="G51" s="36">
        <v>3035</v>
      </c>
      <c r="H51" cm="1">
        <f t="array" ref="H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DATA_ABRIL_2026[[#This Row],[RECUPERO]]/DATA_ABRIL_2026[[#This Row],[META]]</f>
        <v>1.1211071428571429</v>
      </c>
      <c r="N51" s="54" t="str" cm="1">
        <f t="array" ref="N51">IF(DATA_ABRIL_2026[[#This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IFERROR(VLOOKUP(DATA_ABRIL_2026[[#This Row],[ASER_]],$B:$G,4,0),"")</f>
        <v>SANDY</v>
      </c>
      <c r="P51" s="6">
        <f>SUM(DATA_ABRIL_2026[[#This Row],[1]:[29]])</f>
        <v>31391</v>
      </c>
      <c r="Q51" s="6">
        <f>VLOOKUP(DATA_ABRIL_2026[[#This Row],[ASER_]],D1_ABRIL_2026[[ASESOR_CRR]:[META]],2,0)</f>
        <v>28000</v>
      </c>
      <c r="R51" t="s">
        <v>79</v>
      </c>
      <c r="X51" s="5"/>
      <c r="Y51" s="6"/>
      <c r="Z51" s="6"/>
      <c r="AA51" s="6"/>
      <c r="AB51" s="6"/>
      <c r="AC51" s="6">
        <v>350</v>
      </c>
      <c r="AD51" s="6">
        <v>291</v>
      </c>
      <c r="AE51" s="6"/>
      <c r="AF51" s="6">
        <v>1000</v>
      </c>
      <c r="AG51" s="6"/>
      <c r="AH51" s="6"/>
      <c r="AI51" s="6">
        <v>1000</v>
      </c>
      <c r="AJ51" s="6">
        <v>5000</v>
      </c>
      <c r="AK51" s="6"/>
      <c r="AL51" s="6"/>
      <c r="AM51" s="6"/>
      <c r="AN51" s="6"/>
      <c r="AO51" s="6"/>
      <c r="AP51" s="6">
        <v>13000</v>
      </c>
      <c r="AQ51" s="6">
        <v>10500</v>
      </c>
      <c r="AR51" s="6">
        <v>250</v>
      </c>
      <c r="AS51" s="55" t="str" cm="1">
        <f t="array" ref="AS5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1" s="45"/>
      <c r="AY51" s="45"/>
      <c r="AZ51" s="45"/>
      <c r="BA51" s="45"/>
      <c r="BB51" s="45"/>
      <c r="BC51" s="45"/>
      <c r="BD51" s="45"/>
      <c r="BE51" s="45"/>
      <c r="BF51" s="45"/>
      <c r="BG51" s="45"/>
      <c r="BH51" s="45"/>
    </row>
    <row r="52" spans="1:60" x14ac:dyDescent="0.25">
      <c r="A52" s="34" t="str" cm="1">
        <f t="array" ref="A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ALANOCCA</v>
      </c>
      <c r="C52" s="34" cm="1">
        <f t="array" ref="C52">_xlfn.XLOOKUP(1,(TablaMeta[CONCAT]=$M$3&amp;$N$3&amp;D1_ABRIL_2026[[#This Row],[SUPER]])*(TablaMeta[SEGG]=D1_ABRIL_2026[[#This Row],[SEGMENTO]]),TablaMeta[Meta_Asesor])</f>
        <v>25000</v>
      </c>
      <c r="D52" s="35">
        <f>IF(D1_ABRIL_2026[[#This Row],[RECUPERO]]="VACACIONES","VACACIONES",IFERROR(D1_ABRIL_2026[[#This Row],[RECUPERO]]/D1_ABRIL_2026[[#This Row],[META]],""))</f>
        <v>1.5622400000000001</v>
      </c>
      <c r="E52" s="35" t="str">
        <f>D1_ABRIL_2026[[#This Row],[SUPER]]</f>
        <v>LEONOR</v>
      </c>
      <c r="F52" t="s">
        <v>77</v>
      </c>
      <c r="G52" s="36">
        <v>39056</v>
      </c>
      <c r="H52" cm="1">
        <f t="array" ref="H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DATA_ABRIL_2026[[#This Row],[RECUPERO]]/DATA_ABRIL_2026[[#This Row],[META]]</f>
        <v>0.18484848484848485</v>
      </c>
      <c r="N52" s="54" t="str" cm="1">
        <f t="array" ref="N52">IF(DATA_ABRIL_2026[[#This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IFERROR(VLOOKUP(DATA_ABRIL_2026[[#This Row],[ASER_]],$B:$G,4,0),"")</f>
        <v>LEONOR</v>
      </c>
      <c r="P52" s="6">
        <f>SUM(DATA_ABRIL_2026[[#This Row],[1]:[29]])</f>
        <v>3050</v>
      </c>
      <c r="Q52" s="6">
        <f>VLOOKUP(DATA_ABRIL_2026[[#This Row],[ASER_]],D1_ABRIL_2026[[ASESOR_CRR]:[META]],2,0)</f>
        <v>16500</v>
      </c>
      <c r="R52" t="s">
        <v>566</v>
      </c>
      <c r="V52">
        <v>400</v>
      </c>
      <c r="X52" s="5"/>
      <c r="Y52" s="6"/>
      <c r="Z52" s="6">
        <v>300</v>
      </c>
      <c r="AA52" s="6"/>
      <c r="AB52" s="6"/>
      <c r="AC52" s="6"/>
      <c r="AD52" s="6"/>
      <c r="AE52" s="6">
        <v>1400</v>
      </c>
      <c r="AF52" s="6">
        <v>350</v>
      </c>
      <c r="AG52" s="6"/>
      <c r="AH52" s="6"/>
      <c r="AI52" s="6"/>
      <c r="AJ52" s="6"/>
      <c r="AK52" s="6"/>
      <c r="AL52" s="6"/>
      <c r="AM52" s="6">
        <v>350</v>
      </c>
      <c r="AN52" s="6"/>
      <c r="AO52" s="6"/>
      <c r="AP52" s="6">
        <v>250</v>
      </c>
      <c r="AQ52" s="6"/>
      <c r="AR52" s="6"/>
      <c r="AS52" s="55" t="str" cm="1">
        <f t="array" ref="AS5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</row>
    <row r="53" spans="1:60" x14ac:dyDescent="0.25">
      <c r="A53" s="34" t="str" cm="1">
        <f t="array" ref="A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ALEJANDRO GONZALES</v>
      </c>
      <c r="C53" s="34" cm="1">
        <f t="array" ref="C53">_xlfn.XLOOKUP(1,(TablaMeta[CONCAT]=$M$3&amp;$N$3&amp;D1_ABRIL_2026[[#This Row],[SUPER]])*(TablaMeta[SEGG]=D1_ABRIL_2026[[#This Row],[SEGMENTO]]),TablaMeta[Meta_Asesor])</f>
        <v>25000</v>
      </c>
      <c r="D53" s="35">
        <f>IF(D1_ABRIL_2026[[#This Row],[RECUPERO]]="VACACIONES","VACACIONES",IFERROR(D1_ABRIL_2026[[#This Row],[RECUPERO]]/D1_ABRIL_2026[[#This Row],[META]],""))</f>
        <v>1.0705199999999999</v>
      </c>
      <c r="E53" s="35" t="str">
        <f>D1_ABRIL_2026[[#This Row],[SUPER]]</f>
        <v>LEONOR</v>
      </c>
      <c r="F53" t="s">
        <v>109</v>
      </c>
      <c r="G53" s="36">
        <v>26763</v>
      </c>
      <c r="H53" cm="1">
        <f t="array" ref="H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DATA_ABRIL_2026[[#This Row],[RECUPERO]]/DATA_ABRIL_2026[[#This Row],[META]]</f>
        <v>1.0707692307692307</v>
      </c>
      <c r="N53" s="54" t="str" cm="1">
        <f t="array" ref="N53">IF(DATA_ABRIL_2026[[#This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IFERROR(VLOOKUP(DATA_ABRIL_2026[[#This Row],[ASER_]],$B:$G,4,0),"")</f>
        <v>KENNETH</v>
      </c>
      <c r="P53" s="6">
        <f>SUM(DATA_ABRIL_2026[[#This Row],[1]:[29]])</f>
        <v>55680</v>
      </c>
      <c r="Q53" s="6">
        <f>VLOOKUP(DATA_ABRIL_2026[[#This Row],[ASER_]],D1_ABRIL_2026[[ASESOR_CRR]:[META]],2,0)</f>
        <v>52000</v>
      </c>
      <c r="R53" t="s">
        <v>97</v>
      </c>
      <c r="S53">
        <v>300</v>
      </c>
      <c r="V53">
        <v>3480</v>
      </c>
      <c r="W53">
        <v>710</v>
      </c>
      <c r="X53" s="5">
        <v>2850</v>
      </c>
      <c r="Y53" s="6"/>
      <c r="Z53" s="6">
        <v>3420</v>
      </c>
      <c r="AA53" s="6"/>
      <c r="AB53" s="6">
        <v>8100</v>
      </c>
      <c r="AC53" s="6">
        <v>130</v>
      </c>
      <c r="AD53" s="6">
        <v>800</v>
      </c>
      <c r="AE53" s="6">
        <v>1500</v>
      </c>
      <c r="AF53" s="6">
        <v>1010</v>
      </c>
      <c r="AG53" s="6"/>
      <c r="AH53" s="6"/>
      <c r="AI53" s="6">
        <v>2420</v>
      </c>
      <c r="AJ53" s="6">
        <v>1000</v>
      </c>
      <c r="AK53" s="6">
        <v>2850</v>
      </c>
      <c r="AL53" s="6">
        <v>3255</v>
      </c>
      <c r="AM53" s="6">
        <v>10950</v>
      </c>
      <c r="AN53" s="6">
        <v>1500</v>
      </c>
      <c r="AO53" s="6"/>
      <c r="AP53" s="6"/>
      <c r="AQ53" s="6">
        <v>4605</v>
      </c>
      <c r="AR53" s="6">
        <v>6800</v>
      </c>
      <c r="AS53" s="55" t="str" cm="1">
        <f t="array" ref="AS5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4" spans="1:60" x14ac:dyDescent="0.25">
      <c r="A54" s="34" t="str" cm="1">
        <f t="array" ref="A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JANETH PORTOCARRERO</v>
      </c>
      <c r="C54" s="34" cm="1">
        <f t="array" ref="C54">_xlfn.XLOOKUP(1,(TablaMeta[CONCAT]=$M$3&amp;$N$3&amp;D1_ABRIL_2026[[#This Row],[SUPER]])*(TablaMeta[SEGG]=D1_ABRIL_2026[[#This Row],[SEGMENTO]]),TablaMeta[Meta_Asesor])</f>
        <v>25000</v>
      </c>
      <c r="D54" s="35">
        <f>IF(D1_ABRIL_2026[[#This Row],[RECUPERO]]="VACACIONES","VACACIONES",IFERROR(D1_ABRIL_2026[[#This Row],[RECUPERO]]/D1_ABRIL_2026[[#This Row],[META]],""))</f>
        <v>1.1497599999999999</v>
      </c>
      <c r="E54" s="35" t="str">
        <f>D1_ABRIL_2026[[#This Row],[SUPER]]</f>
        <v>LEONOR</v>
      </c>
      <c r="F54" t="s">
        <v>49</v>
      </c>
      <c r="G54" s="36">
        <v>28744</v>
      </c>
      <c r="H54" cm="1">
        <f t="array" ref="H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DATA_ABRIL_2026[[#This Row],[RECUPERO]]/DATA_ABRIL_2026[[#This Row],[META]]</f>
        <v>1.9112474226804124</v>
      </c>
      <c r="N54" s="54" t="str" cm="1">
        <f t="array" ref="N54">IF(DATA_ABRIL_2026[[#This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IFERROR(VLOOKUP(DATA_ABRIL_2026[[#This Row],[ASER_]],$B:$G,4,0),"")</f>
        <v>JOHAN</v>
      </c>
      <c r="P54" s="6">
        <f>SUM(DATA_ABRIL_2026[[#This Row],[1]:[29]])</f>
        <v>92695.5</v>
      </c>
      <c r="Q54" s="6">
        <f>VLOOKUP(DATA_ABRIL_2026[[#This Row],[ASER_]],D1_ABRIL_2026[[ASESOR_CRR]:[META]],2,0)</f>
        <v>48500</v>
      </c>
      <c r="R54" t="s">
        <v>59</v>
      </c>
      <c r="S54">
        <v>38348.5</v>
      </c>
      <c r="V54">
        <v>2400</v>
      </c>
      <c r="X54">
        <v>6350</v>
      </c>
      <c r="Y54">
        <v>1000</v>
      </c>
      <c r="Z54">
        <v>6497</v>
      </c>
      <c r="AA54">
        <v>1000</v>
      </c>
      <c r="AB54" s="6"/>
      <c r="AC54" s="6"/>
      <c r="AD54" s="6">
        <v>4600</v>
      </c>
      <c r="AE54" s="6">
        <v>750</v>
      </c>
      <c r="AF54" s="6"/>
      <c r="AG54" s="6"/>
      <c r="AH54" s="6"/>
      <c r="AI54" s="6">
        <v>210</v>
      </c>
      <c r="AJ54" s="6">
        <v>20300</v>
      </c>
      <c r="AK54" s="6">
        <v>2000</v>
      </c>
      <c r="AL54" s="6">
        <v>1040</v>
      </c>
      <c r="AM54" s="6">
        <v>6200</v>
      </c>
      <c r="AN54" s="6"/>
      <c r="AO54" s="6"/>
      <c r="AP54" s="6">
        <v>2000</v>
      </c>
      <c r="AQ54" s="6"/>
      <c r="AS54" s="55" t="str" cm="1">
        <f t="array" ref="AS5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5" spans="1:60" x14ac:dyDescent="0.25">
      <c r="A55" s="34" t="str" cm="1">
        <f t="array" ref="A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PANTA</v>
      </c>
      <c r="C55" s="34" cm="1">
        <f t="array" ref="C55">_xlfn.XLOOKUP(1,(TablaMeta[CONCAT]=$M$3&amp;$N$3&amp;D1_ABRIL_2026[[#This Row],[SUPER]])*(TablaMeta[SEGG]=D1_ABRIL_2026[[#This Row],[SEGMENTO]]),TablaMeta[Meta_Asesor])</f>
        <v>25000</v>
      </c>
      <c r="D55" s="35">
        <f>IF(D1_ABRIL_2026[[#This Row],[RECUPERO]]="VACACIONES","VACACIONES",IFERROR(D1_ABRIL_2026[[#This Row],[RECUPERO]]/D1_ABRIL_2026[[#This Row],[META]],""))</f>
        <v>0.93279999999999996</v>
      </c>
      <c r="E55" s="35" t="str">
        <f>D1_ABRIL_2026[[#This Row],[SUPER]]</f>
        <v>LEONOR</v>
      </c>
      <c r="F55" t="s">
        <v>495</v>
      </c>
      <c r="G55" s="36">
        <v>23320</v>
      </c>
      <c r="H55" cm="1">
        <f t="array" ref="H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DATA_ABRIL_2026[[#This Row],[RECUPERO]]/DATA_ABRIL_2026[[#This Row],[META]]</f>
        <v>0.61828000000000005</v>
      </c>
      <c r="N55" s="54" t="str" cm="1">
        <f t="array" ref="N55">IF(DATA_ABRIL_2026[[#This Row],[ASER_]]="","",IFERROR(_xlfn.IFS(M55&gt;=100%,"&gt;100%",AND(M55&lt;100%,M55&gt;=70%),"&gt;70%",AND(M55&lt;70%,M55&gt;=40%),"&gt;40%",AND(M55&lt;40%,M55&gt;=0%),"&gt;0%"),""))</f>
        <v>&gt;40%</v>
      </c>
      <c r="O55" s="55" t="str">
        <f>IFERROR(VLOOKUP(DATA_ABRIL_2026[[#This Row],[ASER_]],$B:$G,4,0),"")</f>
        <v>LEONOR</v>
      </c>
      <c r="P55" s="6">
        <f>SUM(DATA_ABRIL_2026[[#This Row],[1]:[29]])</f>
        <v>15457</v>
      </c>
      <c r="Q55" s="6">
        <f>VLOOKUP(DATA_ABRIL_2026[[#This Row],[ASER_]],D1_ABRIL_2026[[ASESOR_CRR]:[META]],2,0)</f>
        <v>25000</v>
      </c>
      <c r="R55" t="s">
        <v>73</v>
      </c>
      <c r="V55">
        <v>600</v>
      </c>
      <c r="AB55" s="6"/>
      <c r="AC55" s="6">
        <v>500</v>
      </c>
      <c r="AD55" s="6">
        <v>5500</v>
      </c>
      <c r="AE55" s="6">
        <v>800</v>
      </c>
      <c r="AF55" s="6">
        <v>260</v>
      </c>
      <c r="AG55" s="6"/>
      <c r="AH55" s="6"/>
      <c r="AI55" s="6"/>
      <c r="AJ55" s="6">
        <v>250</v>
      </c>
      <c r="AK55" s="6"/>
      <c r="AL55" s="6"/>
      <c r="AM55" s="6"/>
      <c r="AN55" s="6"/>
      <c r="AO55" s="6"/>
      <c r="AP55" s="6"/>
      <c r="AQ55" s="6"/>
      <c r="AR55">
        <v>7547</v>
      </c>
      <c r="AS55" s="55" t="str" cm="1">
        <f t="array" ref="AS5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6" spans="1:60" x14ac:dyDescent="0.25">
      <c r="A56" s="34" t="str" cm="1">
        <f t="array" ref="A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HUARCA</v>
      </c>
      <c r="C56" s="34" cm="1">
        <f t="array" ref="C56">_xlfn.XLOOKUP(1,(TablaMeta[CONCAT]=$M$3&amp;$N$3&amp;D1_ABRIL_2026[[#This Row],[SUPER]])*(TablaMeta[SEGG]=D1_ABRIL_2026[[#This Row],[SEGMENTO]]),TablaMeta[Meta_Asesor])</f>
        <v>25000</v>
      </c>
      <c r="D56" s="35">
        <f>IF(D1_ABRIL_2026[[#This Row],[RECUPERO]]="VACACIONES","VACACIONES",IFERROR(D1_ABRIL_2026[[#This Row],[RECUPERO]]/D1_ABRIL_2026[[#This Row],[META]],""))</f>
        <v>0.72692000000000001</v>
      </c>
      <c r="E56" s="35" t="str">
        <f>D1_ABRIL_2026[[#This Row],[SUPER]]</f>
        <v>LEONOR</v>
      </c>
      <c r="F56" t="s">
        <v>48</v>
      </c>
      <c r="G56" s="36">
        <v>18173</v>
      </c>
      <c r="H56" cm="1">
        <f t="array" ref="H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DATA_ABRIL_2026[[#This Row],[RECUPERO]]/DATA_ABRIL_2026[[#This Row],[META]]</f>
        <v>0.29945454545454547</v>
      </c>
      <c r="N56" s="54" t="str" cm="1">
        <f t="array" ref="N56">IF(DATA_ABRIL_2026[[#This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IFERROR(VLOOKUP(DATA_ABRIL_2026[[#This Row],[ASER_]],$B:$G,4,0),"")</f>
        <v>LEONOR</v>
      </c>
      <c r="P56" s="6">
        <f>SUM(DATA_ABRIL_2026[[#This Row],[1]:[29]])</f>
        <v>4941</v>
      </c>
      <c r="Q56" s="6">
        <f>VLOOKUP(DATA_ABRIL_2026[[#This Row],[ASER_]],D1_ABRIL_2026[[ASESOR_CRR]:[META]],2,0)</f>
        <v>16500</v>
      </c>
      <c r="R56" t="s">
        <v>557</v>
      </c>
      <c r="V56">
        <v>80</v>
      </c>
      <c r="Y56">
        <v>351</v>
      </c>
      <c r="Z56">
        <v>1180</v>
      </c>
      <c r="AB56" s="6">
        <v>300</v>
      </c>
      <c r="AC56" s="6">
        <v>1000</v>
      </c>
      <c r="AD56" s="6"/>
      <c r="AE56" s="6">
        <v>150</v>
      </c>
      <c r="AF56" s="6">
        <v>180</v>
      </c>
      <c r="AG56" s="6"/>
      <c r="AH56" s="6"/>
      <c r="AI56" s="6"/>
      <c r="AJ56" s="6"/>
      <c r="AK56" s="6">
        <v>350</v>
      </c>
      <c r="AL56" s="6"/>
      <c r="AM56" s="6">
        <v>1000</v>
      </c>
      <c r="AN56" s="6"/>
      <c r="AO56" s="6"/>
      <c r="AP56" s="6"/>
      <c r="AQ56" s="6"/>
      <c r="AR56">
        <v>350</v>
      </c>
      <c r="AS56" s="55" t="str" cm="1">
        <f t="array" ref="AS5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7" spans="1:60" x14ac:dyDescent="0.25">
      <c r="A57" s="34" t="str" cm="1">
        <f t="array" ref="A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SARITA GARAY</v>
      </c>
      <c r="C57" s="34" cm="1">
        <f t="array" ref="C57">_xlfn.XLOOKUP(1,(TablaMeta[CONCAT]=$M$3&amp;$N$3&amp;D1_ABRIL_2026[[#This Row],[SUPER]])*(TablaMeta[SEGG]=D1_ABRIL_2026[[#This Row],[SEGMENTO]]),TablaMeta[Meta_Asesor])</f>
        <v>25000</v>
      </c>
      <c r="D57" s="35">
        <f>IF(D1_ABRIL_2026[[#This Row],[RECUPERO]]="VACACIONES","VACACIONES",IFERROR(D1_ABRIL_2026[[#This Row],[RECUPERO]]/D1_ABRIL_2026[[#This Row],[META]],""))</f>
        <v>0.61828000000000005</v>
      </c>
      <c r="E57" s="35" t="str">
        <f>D1_ABRIL_2026[[#This Row],[SUPER]]</f>
        <v>LEONOR</v>
      </c>
      <c r="F57" t="s">
        <v>73</v>
      </c>
      <c r="G57" s="36">
        <v>15457</v>
      </c>
      <c r="H57" cm="1">
        <f t="array" ref="H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DATA_ABRIL_2026[[#This Row],[RECUPERO]]/DATA_ABRIL_2026[[#This Row],[META]]</f>
        <v>1.2057692307692307</v>
      </c>
      <c r="N57" s="54" t="str" cm="1">
        <f t="array" ref="N57">IF(DATA_ABRIL_2026[[#This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IFERROR(VLOOKUP(DATA_ABRIL_2026[[#This Row],[ASER_]],$B:$G,4,0),"")</f>
        <v>KENNETH</v>
      </c>
      <c r="P57" s="6">
        <f>SUM(DATA_ABRIL_2026[[#This Row],[1]:[29]])</f>
        <v>62700</v>
      </c>
      <c r="Q57" s="6">
        <f>VLOOKUP(DATA_ABRIL_2026[[#This Row],[ASER_]],D1_ABRIL_2026[[ASESOR_CRR]:[META]],2,0)</f>
        <v>52000</v>
      </c>
      <c r="R57" t="s">
        <v>34</v>
      </c>
      <c r="S57">
        <v>2500</v>
      </c>
      <c r="W57">
        <v>10770</v>
      </c>
      <c r="X57">
        <v>7300</v>
      </c>
      <c r="Y57">
        <v>4300</v>
      </c>
      <c r="Z57">
        <v>1300</v>
      </c>
      <c r="AB57" s="6"/>
      <c r="AC57" s="6"/>
      <c r="AD57" s="6">
        <v>3720</v>
      </c>
      <c r="AE57" s="6">
        <v>5430</v>
      </c>
      <c r="AF57" s="6"/>
      <c r="AG57" s="6"/>
      <c r="AH57" s="6"/>
      <c r="AI57" s="6">
        <v>3580</v>
      </c>
      <c r="AJ57" s="6">
        <v>6000</v>
      </c>
      <c r="AK57" s="6"/>
      <c r="AL57" s="6">
        <v>200</v>
      </c>
      <c r="AM57" s="6">
        <v>6800</v>
      </c>
      <c r="AN57" s="6"/>
      <c r="AO57" s="6"/>
      <c r="AP57" s="6">
        <v>3500</v>
      </c>
      <c r="AQ57" s="6"/>
      <c r="AR57">
        <v>7300</v>
      </c>
      <c r="AS57" s="55" t="str" cm="1">
        <f t="array" ref="AS5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8" spans="1:60" x14ac:dyDescent="0.25">
      <c r="A58" s="34" t="str" cm="1">
        <f t="array" ref="A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8" s="34" t="str" cm="1">
        <f t="array" ref="B5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JESSYKA GARCIA</v>
      </c>
      <c r="C58" s="34" cm="1">
        <f t="array" ref="C58">_xlfn.XLOOKUP(1,(TablaMeta[CONCAT]=$M$3&amp;$N$3&amp;D1_ABRIL_2026[[#This Row],[SUPER]])*(TablaMeta[SEGG]=D1_ABRIL_2026[[#This Row],[SEGMENTO]]),TablaMeta[Meta_Asesor])</f>
        <v>16500</v>
      </c>
      <c r="D58" s="35">
        <f>IF(D1_ABRIL_2026[[#This Row],[RECUPERO]]="VACACIONES","VACACIONES",IFERROR(D1_ABRIL_2026[[#This Row],[RECUPERO]]/D1_ABRIL_2026[[#This Row],[META]],""))</f>
        <v>4.7696969696969696E-2</v>
      </c>
      <c r="E58" s="35" t="str">
        <f>D1_ABRIL_2026[[#This Row],[SUPER]]</f>
        <v>LEONOR</v>
      </c>
      <c r="F58" t="s">
        <v>565</v>
      </c>
      <c r="G58" s="36">
        <v>787</v>
      </c>
      <c r="H58" cm="1">
        <f t="array" ref="H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58" s="56" cm="1">
        <f t="array" ref="I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8" s="56" t="str" cm="1">
        <f t="array" ref="J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M58" s="5">
        <f>DATA_ABRIL_2026[[#This Row],[RECUPERO]]/DATA_ABRIL_2026[[#This Row],[META]]</f>
        <v>0.72692000000000001</v>
      </c>
      <c r="N58" s="54" t="str" cm="1">
        <f t="array" ref="N58">IF(DATA_ABRIL_2026[[#This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IFERROR(VLOOKUP(DATA_ABRIL_2026[[#This Row],[ASER_]],$B:$G,4,0),"")</f>
        <v>LEONOR</v>
      </c>
      <c r="P58" s="6">
        <f>SUM(DATA_ABRIL_2026[[#This Row],[1]:[29]])</f>
        <v>18173</v>
      </c>
      <c r="Q58" s="6">
        <f>VLOOKUP(DATA_ABRIL_2026[[#This Row],[ASER_]],D1_ABRIL_2026[[ASESOR_CRR]:[META]],2,0)</f>
        <v>25000</v>
      </c>
      <c r="R58" t="s">
        <v>48</v>
      </c>
      <c r="T58">
        <v>400</v>
      </c>
      <c r="V58">
        <v>1900</v>
      </c>
      <c r="W58">
        <v>291</v>
      </c>
      <c r="X58">
        <v>3500</v>
      </c>
      <c r="AB58" s="6">
        <v>770</v>
      </c>
      <c r="AC58" s="6">
        <v>5000</v>
      </c>
      <c r="AD58" s="6"/>
      <c r="AE58" s="6"/>
      <c r="AF58" s="6"/>
      <c r="AG58" s="6"/>
      <c r="AH58" s="6"/>
      <c r="AI58" s="6">
        <v>2260</v>
      </c>
      <c r="AJ58" s="6"/>
      <c r="AK58" s="6">
        <v>1280</v>
      </c>
      <c r="AL58" s="6">
        <v>1772</v>
      </c>
      <c r="AM58" s="6">
        <v>1000</v>
      </c>
      <c r="AN58" s="6"/>
      <c r="AO58" s="6"/>
      <c r="AP58" s="6"/>
      <c r="AQ58" s="6"/>
      <c r="AS58" s="55" t="str" cm="1">
        <f t="array" ref="AS5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9" spans="1:60" x14ac:dyDescent="0.25">
      <c r="M59" s="5">
        <f>DATA_ABRIL_2026[[#This Row],[RECUPERO]]/DATA_ABRIL_2026[[#This Row],[META]]</f>
        <v>0.3170103092783505</v>
      </c>
      <c r="N59" s="54" t="str" cm="1">
        <f t="array" ref="N59">IF(DATA_ABRIL_2026[[#This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IFERROR(VLOOKUP(DATA_ABRIL_2026[[#This Row],[ASER_]],$B:$G,4,0),"")</f>
        <v>JOHAN</v>
      </c>
      <c r="P59" s="6">
        <f>SUM(DATA_ABRIL_2026[[#This Row],[1]:[29]])</f>
        <v>15375</v>
      </c>
      <c r="Q59" s="6">
        <f>VLOOKUP(DATA_ABRIL_2026[[#This Row],[ASER_]],D1_ABRIL_2026[[ASESOR_CRR]:[META]],2,0)</f>
        <v>48500</v>
      </c>
      <c r="R59" t="s">
        <v>10</v>
      </c>
      <c r="AB59" s="6"/>
      <c r="AC59" s="6">
        <v>4700</v>
      </c>
      <c r="AD59" s="6">
        <v>700</v>
      </c>
      <c r="AE59" s="6">
        <v>175</v>
      </c>
      <c r="AF59" s="6"/>
      <c r="AG59" s="6"/>
      <c r="AH59" s="6"/>
      <c r="AI59" s="6">
        <v>200</v>
      </c>
      <c r="AJ59" s="6">
        <v>2000</v>
      </c>
      <c r="AK59" s="6">
        <v>1000</v>
      </c>
      <c r="AL59" s="6"/>
      <c r="AM59" s="6"/>
      <c r="AN59" s="6"/>
      <c r="AO59" s="6"/>
      <c r="AP59" s="6">
        <v>3500</v>
      </c>
      <c r="AQ59" s="6"/>
      <c r="AR59">
        <v>3100</v>
      </c>
      <c r="AS59" s="55" t="str" cm="1">
        <f t="array" ref="AS5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60" spans="1:60" x14ac:dyDescent="0.25">
      <c r="M60" s="5">
        <f>DATA_ABRIL_2026[[#This Row],[RECUPERO]]/DATA_ABRIL_2026[[#This Row],[META]]</f>
        <v>0.85517307692307687</v>
      </c>
      <c r="N60" s="54" t="str" cm="1">
        <f t="array" ref="N60">IF(DATA_ABRIL_2026[[#This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IFERROR(VLOOKUP(DATA_ABRIL_2026[[#This Row],[ASER_]],$B:$G,4,0),"")</f>
        <v>KENNETH</v>
      </c>
      <c r="P60" s="6">
        <f>SUM(DATA_ABRIL_2026[[#This Row],[1]:[29]])</f>
        <v>44469</v>
      </c>
      <c r="Q60" s="6">
        <f>VLOOKUP(DATA_ABRIL_2026[[#This Row],[ASER_]],D1_ABRIL_2026[[ASESOR_CRR]:[META]],2,0)</f>
        <v>52000</v>
      </c>
      <c r="R60" t="s">
        <v>76</v>
      </c>
      <c r="S60">
        <v>1022</v>
      </c>
      <c r="V60">
        <v>7350</v>
      </c>
      <c r="Z60">
        <v>1326</v>
      </c>
      <c r="AB60" s="6">
        <v>12321</v>
      </c>
      <c r="AC60" s="6"/>
      <c r="AD60" s="6">
        <v>1500</v>
      </c>
      <c r="AE60" s="6">
        <v>3550</v>
      </c>
      <c r="AF60" s="6">
        <v>6000</v>
      </c>
      <c r="AG60" s="6"/>
      <c r="AH60" s="6"/>
      <c r="AI60" s="6">
        <v>200</v>
      </c>
      <c r="AJ60" s="6"/>
      <c r="AK60" s="6">
        <v>500</v>
      </c>
      <c r="AL60" s="6">
        <v>1000</v>
      </c>
      <c r="AM60" s="6">
        <v>7200</v>
      </c>
      <c r="AN60" s="6"/>
      <c r="AO60" s="6"/>
      <c r="AP60" s="6">
        <v>1500</v>
      </c>
      <c r="AQ60" s="6"/>
      <c r="AR60">
        <v>1000</v>
      </c>
      <c r="AS60" s="55" t="str" cm="1">
        <f t="array" ref="AS6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</sheetData>
  <phoneticPr fontId="2" type="noConversion"/>
  <conditionalFormatting sqref="E3:E58">
    <cfRule type="containsText" dxfId="5" priority="2" operator="containsText" text="kenneth">
      <formula>NOT(ISERROR(SEARCH("kenneth",E3)))</formula>
    </cfRule>
  </conditionalFormatting>
  <conditionalFormatting sqref="R9:R60">
    <cfRule type="duplicateValues" dxfId="4" priority="67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9D8A-AFBD-4C72-A98E-05DCF043B081}">
  <dimension ref="A2:CM58"/>
  <sheetViews>
    <sheetView zoomScale="70" zoomScaleNormal="70" workbookViewId="0">
      <selection activeCell="M12" sqref="M12"/>
    </sheetView>
  </sheetViews>
  <sheetFormatPr baseColWidth="10" defaultRowHeight="15" x14ac:dyDescent="0.25"/>
  <cols>
    <col min="7" max="7" width="17.85546875" bestFit="1" customWidth="1"/>
  </cols>
  <sheetData>
    <row r="2" spans="1:9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1" ht="26.25" x14ac:dyDescent="0.4">
      <c r="A3" s="62" t="s">
        <v>602</v>
      </c>
      <c r="B3" s="62" t="s">
        <v>17</v>
      </c>
      <c r="C3" s="62" t="e">
        <v>#N/A</v>
      </c>
      <c r="D3" s="63"/>
      <c r="E3" s="63" t="s">
        <v>602</v>
      </c>
      <c r="F3" s="62" t="s">
        <v>17</v>
      </c>
      <c r="G3" s="62"/>
      <c r="H3" s="62">
        <v>70876605</v>
      </c>
      <c r="I3" s="64">
        <v>44886</v>
      </c>
      <c r="J3" s="64" t="s">
        <v>602</v>
      </c>
      <c r="K3" s="64" t="s">
        <v>602</v>
      </c>
      <c r="L3" s="56"/>
      <c r="M3" s="33">
        <v>2026</v>
      </c>
      <c r="N3" s="33" t="s">
        <v>143</v>
      </c>
      <c r="O3" s="33">
        <v>21</v>
      </c>
    </row>
    <row r="4" spans="1:91" x14ac:dyDescent="0.25">
      <c r="A4" s="62" t="s">
        <v>500</v>
      </c>
      <c r="B4" s="62" t="s">
        <v>38</v>
      </c>
      <c r="C4" s="62" t="e">
        <v>#N/A</v>
      </c>
      <c r="D4" s="63"/>
      <c r="E4" s="63" t="s">
        <v>500</v>
      </c>
      <c r="F4" s="62" t="s">
        <v>38</v>
      </c>
      <c r="G4" s="62"/>
      <c r="H4" s="62">
        <v>47411966</v>
      </c>
      <c r="I4" s="64">
        <v>45800</v>
      </c>
      <c r="J4" s="64" t="s">
        <v>500</v>
      </c>
      <c r="K4" s="64" t="s">
        <v>500</v>
      </c>
      <c r="L4" s="56"/>
      <c r="N4" s="5"/>
      <c r="S4" s="45"/>
    </row>
    <row r="5" spans="1:91" x14ac:dyDescent="0.25">
      <c r="A5" s="62" t="s">
        <v>500</v>
      </c>
      <c r="B5" s="62" t="s">
        <v>15</v>
      </c>
      <c r="C5" s="62" t="e">
        <v>#N/A</v>
      </c>
      <c r="D5" s="63"/>
      <c r="E5" s="63" t="s">
        <v>500</v>
      </c>
      <c r="F5" s="62" t="s">
        <v>15</v>
      </c>
      <c r="G5" s="62"/>
      <c r="H5" s="62">
        <v>47587400</v>
      </c>
      <c r="I5" s="64">
        <v>44733</v>
      </c>
      <c r="J5" s="64" t="s">
        <v>500</v>
      </c>
      <c r="K5" s="64" t="s">
        <v>500</v>
      </c>
      <c r="L5" s="56"/>
      <c r="N5" s="5"/>
      <c r="S5" s="45"/>
      <c r="CA5" s="45"/>
    </row>
    <row r="6" spans="1:91" x14ac:dyDescent="0.25">
      <c r="A6" s="66" t="s">
        <v>500</v>
      </c>
      <c r="B6" s="66" t="s">
        <v>50</v>
      </c>
      <c r="C6" s="62" t="e">
        <v>#N/A</v>
      </c>
      <c r="D6" s="63"/>
      <c r="E6" s="67" t="s">
        <v>500</v>
      </c>
      <c r="F6" s="66" t="s">
        <v>50</v>
      </c>
      <c r="G6" s="73"/>
      <c r="H6" s="66">
        <v>72733809</v>
      </c>
      <c r="I6" s="68">
        <v>45789</v>
      </c>
      <c r="J6" s="68" t="s">
        <v>500</v>
      </c>
      <c r="K6" s="68" t="s">
        <v>500</v>
      </c>
      <c r="L6" s="56"/>
      <c r="N6" s="5"/>
      <c r="S6" s="45"/>
    </row>
    <row r="7" spans="1:91" x14ac:dyDescent="0.25">
      <c r="A7" s="66" t="s">
        <v>500</v>
      </c>
      <c r="B7" s="66" t="s">
        <v>73</v>
      </c>
      <c r="C7" s="66" t="e">
        <v>#N/A</v>
      </c>
      <c r="D7" s="67" t="s">
        <v>548</v>
      </c>
      <c r="E7" s="67" t="s">
        <v>500</v>
      </c>
      <c r="F7" s="66" t="s">
        <v>73</v>
      </c>
      <c r="G7" s="73"/>
      <c r="H7" s="66">
        <v>40318129</v>
      </c>
      <c r="I7" s="68">
        <v>45141</v>
      </c>
      <c r="J7" s="68" t="s">
        <v>500</v>
      </c>
      <c r="K7" s="68" t="s">
        <v>500</v>
      </c>
      <c r="L7" s="56"/>
      <c r="M7" s="1"/>
      <c r="N7" s="5"/>
      <c r="CI7" t="s">
        <v>626</v>
      </c>
      <c r="CJ7" t="s">
        <v>140</v>
      </c>
      <c r="CK7" t="s">
        <v>141</v>
      </c>
      <c r="CL7" t="s">
        <v>142</v>
      </c>
      <c r="CM7" t="s">
        <v>143</v>
      </c>
    </row>
    <row r="8" spans="1:91" x14ac:dyDescent="0.25">
      <c r="A8" s="34" t="str" cm="1">
        <f t="array" ref="A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GIANFRANCO PINEDO</v>
      </c>
      <c r="C8" s="34" cm="1">
        <f t="array" ref="C8">_xlfn.XLOOKUP(1,(TablaMeta[CONCAT]=$M$3&amp;$N$3&amp;D1_MAYO_202681[[#This Row],[SUPER]])*(TablaMeta[SEGG]=D1_MAYO_202681[[#This Row],[SEGMENTO]]),TablaMeta[Meta_Asesor])</f>
        <v>44700</v>
      </c>
      <c r="D8" s="35">
        <f>IF(D1_MAYO_202681[[#This Row],[RECUPERO]]="VACACIONES","VACACIONES",IFERROR(D1_MAYO_202681[[#This Row],[RECUPERO]]/D1_MAYO_202681[[#This Row],[META]],""))</f>
        <v>1.2533333333333334</v>
      </c>
      <c r="E8" s="35" t="str">
        <f>D1_MAYO_202681[[#This Row],[SUPER]]</f>
        <v>JORGE</v>
      </c>
      <c r="F8" s="34" t="s">
        <v>13</v>
      </c>
      <c r="G8" s="36">
        <v>56024</v>
      </c>
      <c r="H8" s="34" cm="1">
        <f t="array" ref="H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8" s="61" cm="1">
        <f t="array" ref="I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8" s="61" t="str" cm="1">
        <f t="array" ref="J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506</v>
      </c>
      <c r="Y8" s="13" t="s">
        <v>507</v>
      </c>
      <c r="Z8" s="13" t="s">
        <v>508</v>
      </c>
      <c r="AA8" s="13" t="s">
        <v>526</v>
      </c>
      <c r="AB8" s="13" t="s">
        <v>530</v>
      </c>
      <c r="AC8" s="13" t="s">
        <v>509</v>
      </c>
      <c r="AD8" s="13" t="s">
        <v>510</v>
      </c>
      <c r="AE8" s="13" t="s">
        <v>511</v>
      </c>
      <c r="AF8" s="13" t="s">
        <v>512</v>
      </c>
      <c r="AG8" s="13" t="s">
        <v>513</v>
      </c>
      <c r="AH8" s="13" t="s">
        <v>527</v>
      </c>
      <c r="AI8" s="13" t="s">
        <v>531</v>
      </c>
      <c r="AJ8" s="13" t="s">
        <v>514</v>
      </c>
      <c r="AK8" s="13" t="s">
        <v>515</v>
      </c>
      <c r="AL8" s="13" t="s">
        <v>516</v>
      </c>
      <c r="AM8" s="13" t="s">
        <v>517</v>
      </c>
      <c r="AN8" s="13" t="s">
        <v>518</v>
      </c>
      <c r="AO8" s="13" t="s">
        <v>528</v>
      </c>
      <c r="AP8" s="13" t="s">
        <v>532</v>
      </c>
      <c r="AQ8" s="13" t="s">
        <v>519</v>
      </c>
      <c r="AR8" s="13" t="s">
        <v>520</v>
      </c>
      <c r="AS8" s="13" t="s">
        <v>521</v>
      </c>
      <c r="AT8" s="13" t="s">
        <v>522</v>
      </c>
      <c r="AU8" s="13" t="s">
        <v>523</v>
      </c>
      <c r="AV8" s="13" t="s">
        <v>524</v>
      </c>
      <c r="AW8" s="14" t="s">
        <v>502</v>
      </c>
      <c r="AY8" s="18" t="s">
        <v>135</v>
      </c>
      <c r="AZ8" s="18" t="s">
        <v>137</v>
      </c>
      <c r="BA8" s="18" t="s">
        <v>138</v>
      </c>
      <c r="BB8" s="19" t="s">
        <v>94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507</v>
      </c>
      <c r="BJ8" s="19" t="s">
        <v>508</v>
      </c>
      <c r="BK8" s="19" t="s">
        <v>526</v>
      </c>
      <c r="BL8" s="19" t="s">
        <v>530</v>
      </c>
      <c r="BM8" s="19" t="s">
        <v>509</v>
      </c>
      <c r="BN8" s="19" t="s">
        <v>510</v>
      </c>
      <c r="BO8" s="19" t="s">
        <v>511</v>
      </c>
      <c r="BP8" s="19" t="s">
        <v>512</v>
      </c>
      <c r="BQ8" s="19" t="s">
        <v>513</v>
      </c>
      <c r="BR8" s="19" t="s">
        <v>527</v>
      </c>
      <c r="BS8" s="19" t="s">
        <v>531</v>
      </c>
      <c r="BT8" s="19" t="s">
        <v>514</v>
      </c>
      <c r="BU8" s="19" t="s">
        <v>515</v>
      </c>
      <c r="BV8" s="19" t="s">
        <v>516</v>
      </c>
      <c r="BW8" s="19" t="s">
        <v>517</v>
      </c>
      <c r="BX8" s="19" t="s">
        <v>518</v>
      </c>
      <c r="BY8" s="19" t="s">
        <v>528</v>
      </c>
      <c r="BZ8" s="19" t="s">
        <v>532</v>
      </c>
      <c r="CA8" s="19" t="s">
        <v>519</v>
      </c>
      <c r="CB8" s="19" t="s">
        <v>520</v>
      </c>
      <c r="CC8" s="19" t="s">
        <v>521</v>
      </c>
      <c r="CD8" s="19" t="s">
        <v>522</v>
      </c>
      <c r="CE8" s="19" t="s">
        <v>523</v>
      </c>
      <c r="CF8" s="19" t="s">
        <v>524</v>
      </c>
      <c r="CG8" s="18" t="s">
        <v>134</v>
      </c>
      <c r="CI8" s="74" t="s">
        <v>627</v>
      </c>
      <c r="CJ8" s="74" t="s">
        <v>533</v>
      </c>
      <c r="CK8" s="74" t="s">
        <v>503</v>
      </c>
      <c r="CL8" s="74" t="s">
        <v>525</v>
      </c>
      <c r="CM8" s="74" t="s">
        <v>529</v>
      </c>
    </row>
    <row r="9" spans="1:91" x14ac:dyDescent="0.25">
      <c r="A9" s="34" t="str" cm="1">
        <f t="array" ref="A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FRANCO HUAMANI</v>
      </c>
      <c r="C9" s="34" cm="1">
        <f t="array" ref="C9">_xlfn.XLOOKUP(1,(TablaMeta[CONCAT]=$M$3&amp;$N$3&amp;D1_MAYO_202681[[#This Row],[SUPER]])*(TablaMeta[SEGG]=D1_MAYO_202681[[#This Row],[SEGMENTO]]),TablaMeta[Meta_Asesor])</f>
        <v>44700</v>
      </c>
      <c r="D9" s="35">
        <f>IF(D1_MAYO_202681[[#This Row],[RECUPERO]]="VACACIONES","VACACIONES",IFERROR(D1_MAYO_202681[[#This Row],[RECUPERO]]/D1_MAYO_202681[[#This Row],[META]],""))</f>
        <v>1.1901118568232663</v>
      </c>
      <c r="E9" s="35" t="str">
        <f>D1_MAYO_202681[[#This Row],[SUPER]]</f>
        <v>JORGE</v>
      </c>
      <c r="F9" s="34" t="s">
        <v>24</v>
      </c>
      <c r="G9" s="36">
        <v>53198</v>
      </c>
      <c r="H9" s="34" cm="1">
        <f t="array" ref="H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9" s="61" cm="1">
        <f t="array" ref="I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9" s="61" t="str" cm="1">
        <f t="array" ref="J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DATA_MAYO_202684[[#This Row],[RECUPERO]]/DATA_MAYO_202684[[#This Row],[META]]</f>
        <v>0.8530201342281879</v>
      </c>
      <c r="N9" s="5" t="str" cm="1">
        <f t="array" ref="N9">IF(DATA_MAYO_202684[[#This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IFERROR(VLOOKUP(DATA_MAYO_202684[[#This Row],[ASER_]],$B:$G,4,0),"")</f>
        <v>LEONOR</v>
      </c>
      <c r="P9" s="6">
        <f>SUM(DATA_MAYO_202684[[#This Row],[2]:[31]])</f>
        <v>38130</v>
      </c>
      <c r="Q9" s="6">
        <f>VLOOKUP(DATA_MAYO_202684[[#This Row],[ASER_]],D1_MAYO_202681[[ASESOR_CRR]:[META]],2,0)</f>
        <v>44700</v>
      </c>
      <c r="R9" t="s">
        <v>18</v>
      </c>
      <c r="U9">
        <v>350</v>
      </c>
      <c r="V9">
        <v>2700</v>
      </c>
      <c r="W9">
        <v>3000</v>
      </c>
      <c r="X9">
        <v>5800</v>
      </c>
      <c r="AF9">
        <v>3300</v>
      </c>
      <c r="AJ9">
        <v>500</v>
      </c>
      <c r="AM9">
        <v>4500</v>
      </c>
      <c r="AQ9">
        <v>6300</v>
      </c>
      <c r="AR9">
        <v>6000</v>
      </c>
      <c r="AS9">
        <v>2200</v>
      </c>
      <c r="AT9">
        <v>1625</v>
      </c>
      <c r="AU9">
        <v>855</v>
      </c>
      <c r="AV9">
        <v>1000</v>
      </c>
      <c r="AW9" s="55" t="str" cm="1">
        <f t="array" ref="AW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9" s="10">
        <f>SUMIFS(TablaMeta[Meta_Equipo],TablaMeta[CONCAT],$M$3&amp;$N$3&amp;DITE_MAYO_202685[[#This Row],[SUPER]])</f>
        <v>384414</v>
      </c>
      <c r="AZ9" s="10">
        <f>MAX(DITE_MAYO_202685[[#This Row],[SUPER]:[CARTERA]])</f>
        <v>355023.8</v>
      </c>
      <c r="BA9" s="16">
        <f>IFERROR(DITE_MAYO_202685[[#This Row],[RECUPERO SUPERVISOR]]/DITE_MAYO_202685[[#This Row],[META SUPER]],"")</f>
        <v>0.92354544839678054</v>
      </c>
      <c r="BB9" s="10" t="s">
        <v>3</v>
      </c>
      <c r="BC9" s="46"/>
      <c r="BD9" s="46">
        <v>0</v>
      </c>
      <c r="BE9" s="46">
        <v>7553.8</v>
      </c>
      <c r="BF9" s="46">
        <v>27065.8</v>
      </c>
      <c r="BG9" s="46">
        <v>51000.800000000003</v>
      </c>
      <c r="BH9" s="46">
        <v>57178.8</v>
      </c>
      <c r="BI9" s="46">
        <v>63253.8</v>
      </c>
      <c r="BJ9" s="46">
        <v>63543.8</v>
      </c>
      <c r="BK9" s="46">
        <v>63955.8</v>
      </c>
      <c r="BL9" s="46">
        <v>80859.8</v>
      </c>
      <c r="BM9" s="46">
        <v>83880.800000000003</v>
      </c>
      <c r="BN9" s="46">
        <v>90625.8</v>
      </c>
      <c r="BO9" s="46">
        <v>107715.8</v>
      </c>
      <c r="BP9" s="46">
        <v>112827.8</v>
      </c>
      <c r="BQ9" s="46">
        <v>113677.8</v>
      </c>
      <c r="BR9" s="46">
        <v>113677.8</v>
      </c>
      <c r="BS9" s="46">
        <v>134127.79999999999</v>
      </c>
      <c r="BT9" s="46">
        <v>143555.79999999999</v>
      </c>
      <c r="BU9" s="46">
        <v>171539.8</v>
      </c>
      <c r="BV9" s="46">
        <v>190529.8</v>
      </c>
      <c r="BW9" s="46">
        <v>206754.8</v>
      </c>
      <c r="BX9" s="46">
        <v>207134.8</v>
      </c>
      <c r="BY9" s="46">
        <v>207134.8</v>
      </c>
      <c r="BZ9" s="46">
        <v>225196.79999999999</v>
      </c>
      <c r="CA9" s="46">
        <v>272696.8</v>
      </c>
      <c r="CB9" s="46">
        <v>283266.8</v>
      </c>
      <c r="CC9" s="46">
        <v>301309.8</v>
      </c>
      <c r="CD9" s="46">
        <v>346952.8</v>
      </c>
      <c r="CE9" s="46">
        <v>354023.8</v>
      </c>
      <c r="CF9" s="46">
        <v>355023.8</v>
      </c>
      <c r="CG9" s="10" t="s">
        <v>209</v>
      </c>
      <c r="CI9" t="s">
        <v>3</v>
      </c>
      <c r="CJ9" t="s">
        <v>2</v>
      </c>
      <c r="CK9" t="s">
        <v>3</v>
      </c>
      <c r="CL9" t="s">
        <v>3</v>
      </c>
      <c r="CM9" t="s">
        <v>3</v>
      </c>
    </row>
    <row r="10" spans="1:91" x14ac:dyDescent="0.25">
      <c r="A10" s="34" t="str" cm="1">
        <f t="array" ref="A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EVELY TENORIO</v>
      </c>
      <c r="C10" s="34" cm="1">
        <f t="array" ref="C10">_xlfn.XLOOKUP(1,(TablaMeta[CONCAT]=$M$3&amp;$N$3&amp;D1_MAYO_202681[[#This Row],[SUPER]])*(TablaMeta[SEGG]=D1_MAYO_202681[[#This Row],[SEGMENTO]]),TablaMeta[Meta_Asesor])</f>
        <v>44700</v>
      </c>
      <c r="D10" s="35">
        <f>IF(D1_MAYO_202681[[#This Row],[RECUPERO]]="VACACIONES","VACACIONES",IFERROR(D1_MAYO_202681[[#This Row],[RECUPERO]]/D1_MAYO_202681[[#This Row],[META]],""))</f>
        <v>1.1412498881431767</v>
      </c>
      <c r="E10" s="35" t="str">
        <f>D1_MAYO_202681[[#This Row],[SUPER]]</f>
        <v>JORGE</v>
      </c>
      <c r="F10" s="34" t="s">
        <v>22</v>
      </c>
      <c r="G10" s="36">
        <v>51013.869999999995</v>
      </c>
      <c r="H10" s="34" cm="1">
        <f t="array" ref="H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0" s="61" cm="1">
        <f t="array" ref="I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0" s="61" t="str" cm="1">
        <f t="array" ref="J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DATA_MAYO_202684[[#This Row],[RECUPERO]]/DATA_MAYO_202684[[#This Row],[META]]</f>
        <v>0.8433506493506493</v>
      </c>
      <c r="N10" s="5" t="str" cm="1">
        <f t="array" ref="N10">IF(DATA_MAYO_202684[[#This Row],[ASER_]]="","",IFERROR(_xlfn.IFS(M10&gt;=100%,"&gt;100%",AND(M10&lt;100%,M10&gt;=70%),"&gt;70%",AND(M10&lt;70%,M10&gt;=40%),"&gt;40%",AND(M10&lt;40%,M10&gt;=0%),"&gt;0%"),""))</f>
        <v>&gt;70%</v>
      </c>
      <c r="O10" s="55" t="str">
        <f>IFERROR(VLOOKUP(DATA_MAYO_202684[[#This Row],[ASER_]],$B:$G,4,0),"")</f>
        <v>SANDY</v>
      </c>
      <c r="P10" s="6">
        <f>SUM(DATA_MAYO_202684[[#This Row],[2]:[31]])</f>
        <v>32469</v>
      </c>
      <c r="Q10" s="6">
        <f>VLOOKUP(DATA_MAYO_202684[[#This Row],[ASER_]],D1_MAYO_202681[[ASESOR_CRR]:[META]],2,0)</f>
        <v>38500</v>
      </c>
      <c r="R10" t="s">
        <v>58</v>
      </c>
      <c r="U10">
        <v>3100</v>
      </c>
      <c r="V10">
        <v>100</v>
      </c>
      <c r="Z10">
        <v>290</v>
      </c>
      <c r="AB10">
        <v>1250</v>
      </c>
      <c r="AF10">
        <v>2500</v>
      </c>
      <c r="AI10">
        <v>200</v>
      </c>
      <c r="AJ10">
        <v>150</v>
      </c>
      <c r="AK10">
        <v>3000</v>
      </c>
      <c r="AL10">
        <v>600</v>
      </c>
      <c r="AM10">
        <v>200</v>
      </c>
      <c r="AP10">
        <v>3200</v>
      </c>
      <c r="AQ10">
        <v>1000</v>
      </c>
      <c r="AR10">
        <v>4000</v>
      </c>
      <c r="AS10">
        <v>9313</v>
      </c>
      <c r="AU10">
        <v>3566</v>
      </c>
      <c r="AW10" s="55" t="str" cm="1">
        <f t="array" ref="AW1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0" s="10">
        <f>SUMIFS(TablaMeta[Meta_Equipo],TablaMeta[CONCAT],$M$3&amp;$N$3&amp;DITE_MAYO_202685[[#This Row],[SUPER]])</f>
        <v>429088</v>
      </c>
      <c r="AZ10" s="10">
        <f>MAX(DITE_MAYO_202685[[#This Row],[SUPER]:[CARTERA]])</f>
        <v>350806.17</v>
      </c>
      <c r="BA10" s="16">
        <f>IFERROR(DITE_MAYO_202685[[#This Row],[RECUPERO SUPERVISOR]]/DITE_MAYO_202685[[#This Row],[META SUPER]],"")</f>
        <v>0.81756229491386379</v>
      </c>
      <c r="BB10" s="11" t="s">
        <v>6</v>
      </c>
      <c r="BC10" s="46"/>
      <c r="BD10" s="46">
        <v>0</v>
      </c>
      <c r="BE10" s="46">
        <v>8950</v>
      </c>
      <c r="BF10" s="46">
        <v>14935</v>
      </c>
      <c r="BG10" s="46">
        <v>17405</v>
      </c>
      <c r="BH10" s="46">
        <v>38890</v>
      </c>
      <c r="BI10" s="46">
        <v>46695</v>
      </c>
      <c r="BJ10" s="46">
        <v>47075</v>
      </c>
      <c r="BK10" s="46">
        <v>47075</v>
      </c>
      <c r="BL10" s="46">
        <v>72900</v>
      </c>
      <c r="BM10" s="46">
        <v>94105</v>
      </c>
      <c r="BN10" s="46">
        <v>108901.17</v>
      </c>
      <c r="BO10" s="46">
        <v>122751.17</v>
      </c>
      <c r="BP10" s="46">
        <v>151106.16999999998</v>
      </c>
      <c r="BQ10" s="46">
        <v>151416.16999999998</v>
      </c>
      <c r="BR10" s="46">
        <v>151416.16999999998</v>
      </c>
      <c r="BS10" s="46">
        <v>159586.16999999998</v>
      </c>
      <c r="BT10" s="46">
        <v>172116.16999999998</v>
      </c>
      <c r="BU10" s="46">
        <v>179194.16999999998</v>
      </c>
      <c r="BV10" s="46">
        <v>186774.16999999998</v>
      </c>
      <c r="BW10" s="46">
        <v>204924.16999999998</v>
      </c>
      <c r="BX10" s="46">
        <v>205534.16999999998</v>
      </c>
      <c r="BY10" s="46">
        <v>205534.16999999998</v>
      </c>
      <c r="BZ10" s="46">
        <v>213174.16999999998</v>
      </c>
      <c r="CA10" s="46">
        <v>246174.16999999998</v>
      </c>
      <c r="CB10" s="46">
        <v>253770.16999999998</v>
      </c>
      <c r="CC10" s="46">
        <v>264530.17</v>
      </c>
      <c r="CD10" s="46">
        <v>325795.17</v>
      </c>
      <c r="CE10" s="46">
        <v>350139.17</v>
      </c>
      <c r="CF10" s="46">
        <v>350806.17</v>
      </c>
      <c r="CG10" s="11" t="s">
        <v>209</v>
      </c>
      <c r="CI10" t="s">
        <v>6</v>
      </c>
      <c r="CJ10" t="s">
        <v>6</v>
      </c>
      <c r="CK10" t="s">
        <v>6</v>
      </c>
      <c r="CL10" t="s">
        <v>6</v>
      </c>
      <c r="CM10" t="s">
        <v>6</v>
      </c>
    </row>
    <row r="11" spans="1:91" x14ac:dyDescent="0.25">
      <c r="A11" s="34" t="str" cm="1">
        <f t="array" ref="A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TASAYCO</v>
      </c>
      <c r="C11" s="34" cm="1">
        <f t="array" ref="C11">_xlfn.XLOOKUP(1,(TablaMeta[CONCAT]=$M$3&amp;$N$3&amp;D1_MAYO_202681[[#This Row],[SUPER]])*(TablaMeta[SEGG]=D1_MAYO_202681[[#This Row],[SEGMENTO]]),TablaMeta[Meta_Asesor])</f>
        <v>44700</v>
      </c>
      <c r="D11" s="35">
        <f>IF(D1_MAYO_202681[[#This Row],[RECUPERO]]="VACACIONES","VACACIONES",IFERROR(D1_MAYO_202681[[#This Row],[RECUPERO]]/D1_MAYO_202681[[#This Row],[META]],""))</f>
        <v>0.94208053691275173</v>
      </c>
      <c r="E11" s="35" t="str">
        <f>D1_MAYO_202681[[#This Row],[SUPER]]</f>
        <v>JORGE</v>
      </c>
      <c r="F11" t="s">
        <v>10</v>
      </c>
      <c r="G11" s="36">
        <v>42111</v>
      </c>
      <c r="H11" s="34" cm="1">
        <f t="array" ref="H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11" s="61" cm="1">
        <f t="array" ref="I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11" s="61" t="str" cm="1">
        <f t="array" ref="J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DATA_MAYO_202684[[#This Row],[RECUPERO]]/DATA_MAYO_202684[[#This Row],[META]]</f>
        <v>1.0237719298245613</v>
      </c>
      <c r="N11" s="5" t="str" cm="1">
        <f t="array" ref="N11">IF(DATA_MAYO_202684[[#This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IFERROR(VLOOKUP(DATA_MAYO_202684[[#This Row],[ASER_]],$B:$G,4,0),"")</f>
        <v>LISELY</v>
      </c>
      <c r="P11" s="6">
        <f>SUM(DATA_MAYO_202684[[#This Row],[2]:[31]])</f>
        <v>23342</v>
      </c>
      <c r="Q11" s="6">
        <f>VLOOKUP(DATA_MAYO_202684[[#This Row],[ASER_]],D1_MAYO_202681[[ASESOR_CRR]:[META]],2,0)</f>
        <v>22800</v>
      </c>
      <c r="R11" t="s">
        <v>109</v>
      </c>
      <c r="AE11">
        <v>405</v>
      </c>
      <c r="AF11">
        <v>1400</v>
      </c>
      <c r="AH11">
        <v>2500</v>
      </c>
      <c r="AJ11">
        <v>273</v>
      </c>
      <c r="AL11">
        <v>802</v>
      </c>
      <c r="AP11">
        <v>802</v>
      </c>
      <c r="AQ11">
        <v>7800</v>
      </c>
      <c r="AR11">
        <v>3500</v>
      </c>
      <c r="AS11">
        <v>4100</v>
      </c>
      <c r="AT11">
        <v>1500</v>
      </c>
      <c r="AU11">
        <v>260</v>
      </c>
      <c r="AW11" s="55" t="str" cm="1">
        <f t="array" ref="AW1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Y11" s="10">
        <f>SUMIFS(TablaMeta[Meta_Equipo],TablaMeta[CONCAT],$M$3&amp;$N$3&amp;DITE_MAYO_202685[[#This Row],[SUPER]])</f>
        <v>446424</v>
      </c>
      <c r="AZ11" s="10">
        <f>MAX(DITE_MAYO_202685[[#This Row],[SUPER]:[CARTERA]])</f>
        <v>384489.87</v>
      </c>
      <c r="BA11" s="16">
        <f>IFERROR(DITE_MAYO_202685[[#This Row],[RECUPERO SUPERVISOR]]/DITE_MAYO_202685[[#This Row],[META SUPER]],"")</f>
        <v>0.86126612816515236</v>
      </c>
      <c r="BB11" s="10" t="s">
        <v>2</v>
      </c>
      <c r="BC11" s="46">
        <v>1224</v>
      </c>
      <c r="BD11" s="46">
        <v>1924</v>
      </c>
      <c r="BE11" s="46">
        <v>6889</v>
      </c>
      <c r="BF11" s="46">
        <v>15589</v>
      </c>
      <c r="BG11" s="46">
        <v>51005</v>
      </c>
      <c r="BH11" s="46">
        <v>58705</v>
      </c>
      <c r="BI11" s="46">
        <v>66378.87</v>
      </c>
      <c r="BJ11" s="46">
        <v>66378.87</v>
      </c>
      <c r="BK11" s="46">
        <v>66378.87</v>
      </c>
      <c r="BL11" s="46">
        <v>81219.87</v>
      </c>
      <c r="BM11" s="46">
        <v>91894.87</v>
      </c>
      <c r="BN11" s="46">
        <v>106969.87</v>
      </c>
      <c r="BO11" s="46">
        <v>123460.87</v>
      </c>
      <c r="BP11" s="46">
        <v>144403.87</v>
      </c>
      <c r="BQ11" s="46">
        <v>146978.87</v>
      </c>
      <c r="BR11" s="46">
        <v>146978.87</v>
      </c>
      <c r="BS11" s="46">
        <v>159156.87</v>
      </c>
      <c r="BT11" s="46">
        <v>172122.87</v>
      </c>
      <c r="BU11" s="46">
        <v>181947.87</v>
      </c>
      <c r="BV11" s="46">
        <v>209356.87</v>
      </c>
      <c r="BW11" s="46">
        <v>222948.87</v>
      </c>
      <c r="BX11" s="46">
        <v>222948.87</v>
      </c>
      <c r="BY11" s="46">
        <v>223753.87</v>
      </c>
      <c r="BZ11" s="46">
        <v>243313.87</v>
      </c>
      <c r="CA11" s="46">
        <v>264665.87</v>
      </c>
      <c r="CB11" s="46">
        <v>278935.87</v>
      </c>
      <c r="CC11" s="46">
        <v>305439.87</v>
      </c>
      <c r="CD11" s="46">
        <v>356511.87</v>
      </c>
      <c r="CE11" s="46">
        <v>384307.87</v>
      </c>
      <c r="CF11" s="46">
        <v>384489.87</v>
      </c>
      <c r="CG11" s="10" t="s">
        <v>159</v>
      </c>
      <c r="CI11" t="s">
        <v>2</v>
      </c>
      <c r="CJ11" t="s">
        <v>3</v>
      </c>
      <c r="CK11" t="s">
        <v>2</v>
      </c>
      <c r="CL11" t="s">
        <v>2</v>
      </c>
      <c r="CM11" t="s">
        <v>2</v>
      </c>
    </row>
    <row r="12" spans="1:91" x14ac:dyDescent="0.25">
      <c r="A12" s="34" t="str" cm="1">
        <f t="array" ref="A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MALORY MONTEBLANCO</v>
      </c>
      <c r="C12" s="34" cm="1">
        <f t="array" ref="C12">_xlfn.XLOOKUP(1,(TablaMeta[CONCAT]=$M$3&amp;$N$3&amp;D1_MAYO_202681[[#This Row],[SUPER]])*(TablaMeta[SEGG]=D1_MAYO_202681[[#This Row],[SEGMENTO]]),TablaMeta[Meta_Asesor])</f>
        <v>44700</v>
      </c>
      <c r="D12" s="35">
        <f>IF(D1_MAYO_202681[[#This Row],[RECUPERO]]="VACACIONES","VACACIONES",IFERROR(D1_MAYO_202681[[#This Row],[RECUPERO]]/D1_MAYO_202681[[#This Row],[META]],""))</f>
        <v>0.88145413870246081</v>
      </c>
      <c r="E12" s="35" t="str">
        <f>D1_MAYO_202681[[#This Row],[SUPER]]</f>
        <v>JORGE</v>
      </c>
      <c r="F12" t="s">
        <v>25</v>
      </c>
      <c r="G12" s="36">
        <v>39401</v>
      </c>
      <c r="H12" s="34" cm="1">
        <f t="array" ref="H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2" s="61" cm="1">
        <f t="array" ref="I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2" s="61" t="str" cm="1">
        <f t="array" ref="J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1" t="str" cm="1">
        <f t="array" ref="K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DATA_MAYO_202684[[#This Row],[RECUPERO]]/DATA_MAYO_202684[[#This Row],[META]]</f>
        <v>0.7966319910514541</v>
      </c>
      <c r="N12" s="5" t="str" cm="1">
        <f t="array" ref="N12">IF(DATA_MAYO_202684[[#This Row],[ASER_]]="","",IFERROR(_xlfn.IFS(M12&gt;=100%,"&gt;100%",AND(M12&lt;100%,M12&gt;=70%),"&gt;70%",AND(M12&lt;70%,M12&gt;=40%),"&gt;40%",AND(M12&lt;40%,M12&gt;=0%),"&gt;0%"),""))</f>
        <v>&gt;70%</v>
      </c>
      <c r="O12" s="55" t="str">
        <f>IFERROR(VLOOKUP(DATA_MAYO_202684[[#This Row],[ASER_]],$B:$G,4,0),"")</f>
        <v>LEONOR</v>
      </c>
      <c r="P12" s="6">
        <f>SUM(DATA_MAYO_202684[[#This Row],[2]:[31]])</f>
        <v>35609.449999999997</v>
      </c>
      <c r="Q12" s="6">
        <f>VLOOKUP(DATA_MAYO_202684[[#This Row],[ASER_]],D1_MAYO_202681[[ASESOR_CRR]:[META]],2,0)</f>
        <v>44700</v>
      </c>
      <c r="R12" t="s">
        <v>60</v>
      </c>
      <c r="S12">
        <v>570</v>
      </c>
      <c r="V12">
        <v>300</v>
      </c>
      <c r="W12">
        <v>8000</v>
      </c>
      <c r="X12">
        <v>1867</v>
      </c>
      <c r="AF12">
        <v>500</v>
      </c>
      <c r="AJ12">
        <v>300</v>
      </c>
      <c r="AL12">
        <v>8733</v>
      </c>
      <c r="AM12">
        <v>3116.45</v>
      </c>
      <c r="AO12">
        <v>700</v>
      </c>
      <c r="AQ12">
        <v>1600</v>
      </c>
      <c r="AS12">
        <v>636</v>
      </c>
      <c r="AT12">
        <v>8087</v>
      </c>
      <c r="AU12">
        <v>1200</v>
      </c>
      <c r="AW12" s="55" t="str" cm="1">
        <f t="array" ref="AW1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2" s="10">
        <f>SUMIFS(TablaMeta[Meta_Equipo],TablaMeta[CONCAT],$M$3&amp;$N$3&amp;DITE_MAYO_202685[[#This Row],[SUPER]])</f>
        <v>290167</v>
      </c>
      <c r="AZ12" s="10">
        <f>MAX(DITE_MAYO_202685[[#This Row],[SUPER]:[CARTERA]])</f>
        <v>240731</v>
      </c>
      <c r="BA12" s="16">
        <f>IFERROR(DITE_MAYO_202685[[#This Row],[RECUPERO SUPERVISOR]]/DITE_MAYO_202685[[#This Row],[META SUPER]],"")</f>
        <v>0.82962914459604298</v>
      </c>
      <c r="BB12" s="11" t="s">
        <v>604</v>
      </c>
      <c r="BC12" s="46"/>
      <c r="BD12" s="46">
        <v>0</v>
      </c>
      <c r="BE12" s="46">
        <v>11974</v>
      </c>
      <c r="BF12" s="46">
        <v>44399</v>
      </c>
      <c r="BG12" s="46">
        <v>58633</v>
      </c>
      <c r="BH12" s="46">
        <v>60883</v>
      </c>
      <c r="BI12" s="46">
        <v>77679</v>
      </c>
      <c r="BJ12" s="46">
        <v>77899</v>
      </c>
      <c r="BK12" s="46">
        <v>77899</v>
      </c>
      <c r="BL12" s="46">
        <v>79634</v>
      </c>
      <c r="BM12" s="46">
        <v>81704</v>
      </c>
      <c r="BN12" s="46">
        <v>86444</v>
      </c>
      <c r="BO12" s="46">
        <v>92299</v>
      </c>
      <c r="BP12" s="46">
        <v>99539</v>
      </c>
      <c r="BQ12" s="46">
        <v>100283</v>
      </c>
      <c r="BR12" s="46">
        <v>102783</v>
      </c>
      <c r="BS12" s="46">
        <v>110039</v>
      </c>
      <c r="BT12" s="46">
        <v>114892</v>
      </c>
      <c r="BU12" s="46">
        <v>123152</v>
      </c>
      <c r="BV12" s="46">
        <v>140804</v>
      </c>
      <c r="BW12" s="46">
        <v>152104</v>
      </c>
      <c r="BX12" s="46">
        <v>152454</v>
      </c>
      <c r="BY12" s="46">
        <v>152994</v>
      </c>
      <c r="BZ12" s="46">
        <v>163426</v>
      </c>
      <c r="CA12" s="46">
        <v>181154</v>
      </c>
      <c r="CB12" s="46">
        <v>193181</v>
      </c>
      <c r="CC12" s="46">
        <v>221047</v>
      </c>
      <c r="CD12" s="46">
        <v>231637</v>
      </c>
      <c r="CE12" s="46">
        <v>240731</v>
      </c>
      <c r="CF12" s="46">
        <v>240731</v>
      </c>
      <c r="CG12" s="11" t="s">
        <v>175</v>
      </c>
      <c r="CI12" t="s">
        <v>604</v>
      </c>
      <c r="CJ12" t="s">
        <v>124</v>
      </c>
      <c r="CK12" t="s">
        <v>7</v>
      </c>
      <c r="CL12" t="s">
        <v>7</v>
      </c>
      <c r="CM12" t="s">
        <v>604</v>
      </c>
    </row>
    <row r="13" spans="1:91" x14ac:dyDescent="0.25">
      <c r="A13" s="34" t="str" cm="1">
        <f t="array" ref="A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JHONATAN CHAVEZ</v>
      </c>
      <c r="C13" s="34" cm="1">
        <f t="array" ref="C13">_xlfn.XLOOKUP(1,(TablaMeta[CONCAT]=$M$3&amp;$N$3&amp;D1_MAYO_202681[[#This Row],[SUPER]])*(TablaMeta[SEGG]=D1_MAYO_202681[[#This Row],[SEGMENTO]]),TablaMeta[Meta_Asesor])</f>
        <v>44700</v>
      </c>
      <c r="D13" s="35">
        <f>IF(D1_MAYO_202681[[#This Row],[RECUPERO]]="VACACIONES","VACACIONES",IFERROR(D1_MAYO_202681[[#This Row],[RECUPERO]]/D1_MAYO_202681[[#This Row],[META]],""))</f>
        <v>0.85384787472035795</v>
      </c>
      <c r="E13" s="35" t="str">
        <f>D1_MAYO_202681[[#This Row],[SUPER]]</f>
        <v>JORGE</v>
      </c>
      <c r="F13" t="s">
        <v>65</v>
      </c>
      <c r="G13" s="36">
        <v>38167</v>
      </c>
      <c r="H13" s="34" cm="1">
        <f t="array" ref="H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3" s="61" cm="1">
        <f t="array" ref="I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3" s="61" t="str" cm="1">
        <f t="array" ref="J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61" t="str" cm="1">
        <f t="array" ref="K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DATA_MAYO_202684[[#This Row],[RECUPERO]]/DATA_MAYO_202684[[#This Row],[META]]</f>
        <v>0.61436363636363633</v>
      </c>
      <c r="N13" s="5" t="str" cm="1">
        <f t="array" ref="N13">IF(DATA_MAYO_202684[[#This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IFERROR(VLOOKUP(DATA_MAYO_202684[[#This Row],[ASER_]],$B:$G,4,0),"")</f>
        <v>SANDY</v>
      </c>
      <c r="P13" s="6">
        <f>SUM(DATA_MAYO_202684[[#This Row],[2]:[31]])</f>
        <v>23653</v>
      </c>
      <c r="Q13" s="6">
        <f>VLOOKUP(DATA_MAYO_202684[[#This Row],[ASER_]],D1_MAYO_202681[[ASESOR_CRR]:[META]],2,0)</f>
        <v>38500</v>
      </c>
      <c r="R13" t="s">
        <v>85</v>
      </c>
      <c r="U13">
        <v>250</v>
      </c>
      <c r="V13">
        <v>700</v>
      </c>
      <c r="W13">
        <v>10000</v>
      </c>
      <c r="AB13">
        <v>270</v>
      </c>
      <c r="AC13">
        <v>280</v>
      </c>
      <c r="AF13">
        <v>170</v>
      </c>
      <c r="AI13">
        <v>300</v>
      </c>
      <c r="AJ13">
        <v>348</v>
      </c>
      <c r="AK13">
        <v>2785</v>
      </c>
      <c r="AM13">
        <v>2000</v>
      </c>
      <c r="AT13">
        <v>5550</v>
      </c>
      <c r="AU13">
        <v>1000</v>
      </c>
      <c r="AW13" s="55" t="str" cm="1">
        <f t="array" ref="AW1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3" s="10">
        <f>SUMIFS(TablaMeta[Meta_Equipo],TablaMeta[CONCAT],$M$3&amp;$N$3&amp;DITE_MAYO_202685[[#This Row],[SUPER]])</f>
        <v>446424</v>
      </c>
      <c r="AZ13" s="10">
        <f>MAX(DITE_MAYO_202685[[#This Row],[SUPER]:[CARTERA]])</f>
        <v>340543.95</v>
      </c>
      <c r="BA13" s="16">
        <f>IFERROR(DITE_MAYO_202685[[#This Row],[RECUPERO SUPERVISOR]]/DITE_MAYO_202685[[#This Row],[META SUPER]],"")</f>
        <v>0.76282625934089565</v>
      </c>
      <c r="BB13" s="10" t="s">
        <v>7</v>
      </c>
      <c r="BC13" s="46">
        <v>570</v>
      </c>
      <c r="BD13" s="45">
        <v>570</v>
      </c>
      <c r="BE13" s="46">
        <v>11923</v>
      </c>
      <c r="BF13" s="46">
        <v>23423</v>
      </c>
      <c r="BG13" s="46">
        <v>47243</v>
      </c>
      <c r="BH13" s="46">
        <v>62581</v>
      </c>
      <c r="BI13" s="46">
        <v>65001</v>
      </c>
      <c r="BJ13" s="46">
        <v>65301</v>
      </c>
      <c r="BK13" s="46">
        <v>65301</v>
      </c>
      <c r="BL13" s="46">
        <v>70701</v>
      </c>
      <c r="BM13" s="46">
        <v>81681</v>
      </c>
      <c r="BN13" s="46">
        <v>84069</v>
      </c>
      <c r="BO13" s="46">
        <v>85769</v>
      </c>
      <c r="BP13" s="46">
        <v>97399</v>
      </c>
      <c r="BQ13" s="46">
        <v>97627</v>
      </c>
      <c r="BR13" s="46">
        <v>97627</v>
      </c>
      <c r="BS13" s="45">
        <v>112227</v>
      </c>
      <c r="BT13" s="46">
        <v>126537</v>
      </c>
      <c r="BU13" s="46">
        <v>134587</v>
      </c>
      <c r="BV13" s="46">
        <v>145394</v>
      </c>
      <c r="BW13" s="45">
        <v>158110.45000000001</v>
      </c>
      <c r="BX13" s="46">
        <v>158798.45000000001</v>
      </c>
      <c r="BY13" s="46">
        <v>159498.45000000001</v>
      </c>
      <c r="BZ13" s="46">
        <v>162853.45000000001</v>
      </c>
      <c r="CA13" s="46">
        <v>192125.45</v>
      </c>
      <c r="CB13" s="46">
        <v>233525.45</v>
      </c>
      <c r="CC13" s="46">
        <v>254033.45</v>
      </c>
      <c r="CD13" s="46">
        <v>319477.45</v>
      </c>
      <c r="CE13" s="46">
        <v>339543.95</v>
      </c>
      <c r="CF13" s="46">
        <v>340543.95</v>
      </c>
      <c r="CG13" s="10" t="s">
        <v>159</v>
      </c>
      <c r="CI13" t="s">
        <v>7</v>
      </c>
      <c r="CJ13" t="s">
        <v>125</v>
      </c>
      <c r="CK13" t="s">
        <v>125</v>
      </c>
      <c r="CL13" t="s">
        <v>125</v>
      </c>
      <c r="CM13" t="s">
        <v>7</v>
      </c>
    </row>
    <row r="14" spans="1:91" x14ac:dyDescent="0.25">
      <c r="A14" s="34" t="str" cm="1">
        <f t="array" ref="A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HAROLD FLORES</v>
      </c>
      <c r="C14" s="34" cm="1">
        <f t="array" ref="C14">_xlfn.XLOOKUP(1,(TablaMeta[CONCAT]=$M$3&amp;$N$3&amp;D1_MAYO_202681[[#This Row],[SUPER]])*(TablaMeta[SEGG]=D1_MAYO_202681[[#This Row],[SEGMENTO]]),TablaMeta[Meta_Asesor])</f>
        <v>44700</v>
      </c>
      <c r="D14" s="35">
        <f>IF(D1_MAYO_202681[[#This Row],[RECUPERO]]="VACACIONES","VACACIONES",IFERROR(D1_MAYO_202681[[#This Row],[RECUPERO]]/D1_MAYO_202681[[#This Row],[META]],""))</f>
        <v>0.78812080536912754</v>
      </c>
      <c r="E14" s="35" t="str">
        <f>D1_MAYO_202681[[#This Row],[SUPER]]</f>
        <v>JORGE</v>
      </c>
      <c r="F14" t="s">
        <v>42</v>
      </c>
      <c r="G14" s="36">
        <v>35229</v>
      </c>
      <c r="H14" s="34" cm="1">
        <f t="array" ref="H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4" s="61" cm="1">
        <f t="array" ref="I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4" s="61" t="str" cm="1">
        <f t="array" ref="J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61" t="str" cm="1">
        <f t="array" ref="K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DATA_MAYO_202684[[#This Row],[RECUPERO]]/DATA_MAYO_202684[[#This Row],[META]]</f>
        <v>0.12168831168831169</v>
      </c>
      <c r="N14" s="5" t="str" cm="1">
        <f t="array" ref="N14">IF(DATA_MAYO_202684[[#This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IFERROR(VLOOKUP(DATA_MAYO_202684[[#This Row],[ASER_]],$B:$G,4,0),"")</f>
        <v>SANDY</v>
      </c>
      <c r="P14" s="6">
        <f>SUM(DATA_MAYO_202684[[#This Row],[2]:[31]])</f>
        <v>4685</v>
      </c>
      <c r="Q14" s="6">
        <f>VLOOKUP(DATA_MAYO_202684[[#This Row],[ASER_]],D1_MAYO_202681[[ASESOR_CRR]:[META]],2,0)</f>
        <v>38500</v>
      </c>
      <c r="R14" t="s">
        <v>174</v>
      </c>
      <c r="U14">
        <v>210</v>
      </c>
      <c r="X14">
        <v>800</v>
      </c>
      <c r="Y14">
        <v>1100</v>
      </c>
      <c r="AD14">
        <v>2000</v>
      </c>
      <c r="AE14">
        <v>575</v>
      </c>
      <c r="AW14" s="55" t="str" cm="1">
        <f t="array" ref="AW1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15" spans="1:91" x14ac:dyDescent="0.25">
      <c r="A15" s="34" t="str" cm="1">
        <f t="array" ref="A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JIMENA MEDINA</v>
      </c>
      <c r="C15" s="34" cm="1">
        <f t="array" ref="C15">_xlfn.XLOOKUP(1,(TablaMeta[CONCAT]=$M$3&amp;$N$3&amp;D1_MAYO_202681[[#This Row],[SUPER]])*(TablaMeta[SEGG]=D1_MAYO_202681[[#This Row],[SEGMENTO]]),TablaMeta[Meta_Asesor])</f>
        <v>44700</v>
      </c>
      <c r="D15" s="35">
        <f>IF(D1_MAYO_202681[[#This Row],[RECUPERO]]="VACACIONES","VACACIONES",IFERROR(D1_MAYO_202681[[#This Row],[RECUPERO]]/D1_MAYO_202681[[#This Row],[META]],""))</f>
        <v>0.70691275167785239</v>
      </c>
      <c r="E15" s="35" t="str">
        <f>D1_MAYO_202681[[#This Row],[SUPER]]</f>
        <v>JORGE</v>
      </c>
      <c r="F15" t="s">
        <v>37</v>
      </c>
      <c r="G15" s="36">
        <v>31599</v>
      </c>
      <c r="H15" s="34" cm="1">
        <f t="array" ref="H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5" s="61" cm="1">
        <f t="array" ref="I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5" s="61" t="str" cm="1">
        <f t="array" ref="J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61" t="str" cm="1">
        <f t="array" ref="K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DATA_MAYO_202684[[#This Row],[RECUPERO]]/DATA_MAYO_202684[[#This Row],[META]]</f>
        <v>0.60342577487765092</v>
      </c>
      <c r="N15" s="5" t="str" cm="1">
        <f t="array" ref="N15">IF(DATA_MAYO_202684[[#This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IFERROR(VLOOKUP(DATA_MAYO_202684[[#This Row],[ASER_]],$B:$G,4,0),"")</f>
        <v>KENNETH</v>
      </c>
      <c r="P15" s="6">
        <f>SUM(DATA_MAYO_202684[[#This Row],[2]:[31]])</f>
        <v>36990</v>
      </c>
      <c r="Q15" s="6">
        <f>VLOOKUP(DATA_MAYO_202684[[#This Row],[ASER_]],D1_MAYO_202681[[ASESOR_CRR]:[META]],2,0)</f>
        <v>61300</v>
      </c>
      <c r="R15" t="s">
        <v>19</v>
      </c>
      <c r="U15">
        <v>700</v>
      </c>
      <c r="X15">
        <v>700</v>
      </c>
      <c r="AB15">
        <v>15000</v>
      </c>
      <c r="AC15">
        <v>655</v>
      </c>
      <c r="AD15">
        <v>1670</v>
      </c>
      <c r="AH15" s="45"/>
      <c r="AJ15">
        <v>1050</v>
      </c>
      <c r="AK15">
        <v>300</v>
      </c>
      <c r="AM15">
        <v>3000</v>
      </c>
      <c r="AP15">
        <v>480</v>
      </c>
      <c r="AQ15">
        <v>7600</v>
      </c>
      <c r="AR15">
        <v>2585</v>
      </c>
      <c r="AT15">
        <v>3250</v>
      </c>
      <c r="AW15" s="55" t="str" cm="1">
        <f t="array" ref="AW1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15" s="45"/>
      <c r="BT15" s="45"/>
      <c r="BU15" s="45"/>
      <c r="BW15" s="45"/>
    </row>
    <row r="16" spans="1:91" x14ac:dyDescent="0.25">
      <c r="A16" s="34" t="str" cm="1">
        <f t="array" ref="A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CENTENO</v>
      </c>
      <c r="C16" s="34" cm="1">
        <f t="array" ref="C16">_xlfn.XLOOKUP(1,(TablaMeta[CONCAT]=$M$3&amp;$N$3&amp;D1_MAYO_202681[[#This Row],[SUPER]])*(TablaMeta[SEGG]=D1_MAYO_202681[[#This Row],[SEGMENTO]]),TablaMeta[Meta_Asesor])</f>
        <v>44700</v>
      </c>
      <c r="D16" s="35">
        <f>IF(D1_MAYO_202681[[#This Row],[RECUPERO]]="VACACIONES","VACACIONES",IFERROR(D1_MAYO_202681[[#This Row],[RECUPERO]]/D1_MAYO_202681[[#This Row],[META]],""))</f>
        <v>0.59116331096196872</v>
      </c>
      <c r="E16" s="35" t="str">
        <f>D1_MAYO_202681[[#This Row],[SUPER]]</f>
        <v>JORGE</v>
      </c>
      <c r="F16" t="s">
        <v>31</v>
      </c>
      <c r="G16" s="36">
        <v>26425</v>
      </c>
      <c r="H16" s="34" cm="1">
        <f t="array" ref="H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6" s="61" cm="1">
        <f t="array" ref="I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6" s="61" t="str" cm="1">
        <f t="array" ref="J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61" t="str" cm="1">
        <f t="array" ref="K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DATA_MAYO_202684[[#This Row],[RECUPERO]]/DATA_MAYO_202684[[#This Row],[META]]</f>
        <v>1.071878453038674</v>
      </c>
      <c r="N16" s="5" t="str" cm="1">
        <f t="array" ref="N16">IF(DATA_MAYO_202684[[#This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IFERROR(VLOOKUP(DATA_MAYO_202684[[#This Row],[ASER_]],$B:$G,4,0),"")</f>
        <v>LISELY</v>
      </c>
      <c r="P16" s="6">
        <f>SUM(DATA_MAYO_202684[[#This Row],[2]:[31]])</f>
        <v>19401</v>
      </c>
      <c r="Q16" s="6">
        <f>VLOOKUP(DATA_MAYO_202684[[#This Row],[ASER_]],D1_MAYO_202681[[ASESOR_CRR]:[META]],2,0)</f>
        <v>18100</v>
      </c>
      <c r="R16" t="s">
        <v>41</v>
      </c>
      <c r="V16">
        <v>6900</v>
      </c>
      <c r="W16">
        <v>1500</v>
      </c>
      <c r="X16">
        <v>500</v>
      </c>
      <c r="Y16">
        <v>351</v>
      </c>
      <c r="AC16">
        <v>550</v>
      </c>
      <c r="AJ16">
        <v>2000</v>
      </c>
      <c r="AK16">
        <v>1000</v>
      </c>
      <c r="AL16">
        <v>350</v>
      </c>
      <c r="AM16">
        <v>300</v>
      </c>
      <c r="AN16">
        <v>350</v>
      </c>
      <c r="AP16">
        <v>700</v>
      </c>
      <c r="AQ16">
        <v>1500</v>
      </c>
      <c r="AR16">
        <v>500</v>
      </c>
      <c r="AS16">
        <v>1900</v>
      </c>
      <c r="AU16">
        <v>1000</v>
      </c>
      <c r="AW16" s="55" t="str" cm="1">
        <f t="array" ref="AW1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R16" s="45"/>
      <c r="BS16" s="45"/>
      <c r="BT16" s="45"/>
      <c r="BU16" s="45"/>
      <c r="BW16" s="45"/>
      <c r="BX16" s="45"/>
      <c r="BY16" s="45"/>
      <c r="CG16" s="45"/>
    </row>
    <row r="17" spans="1:85" x14ac:dyDescent="0.25">
      <c r="A17" s="34" t="str" cm="1">
        <f t="array" ref="A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7" s="34" t="str" cm="1">
        <f t="array" ref="B1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NOEMI CHUQUILIN</v>
      </c>
      <c r="C17" s="34" cm="1">
        <f t="array" ref="C17">_xlfn.XLOOKUP(1,(TablaMeta[CONCAT]=$M$3&amp;$N$3&amp;D1_MAYO_202681[[#This Row],[SUPER]])*(TablaMeta[SEGG]=D1_MAYO_202681[[#This Row],[SEGMENTO]]),TablaMeta[Meta_Asesor])</f>
        <v>61300</v>
      </c>
      <c r="D17" s="35">
        <f>IF(D1_MAYO_202681[[#This Row],[RECUPERO]]="VACACIONES","VACACIONES",IFERROR(D1_MAYO_202681[[#This Row],[RECUPERO]]/D1_MAYO_202681[[#This Row],[META]],""))</f>
        <v>1.1421071778140293</v>
      </c>
      <c r="E17" s="35" t="str">
        <f>D1_MAYO_202681[[#This Row],[SUPER]]</f>
        <v>KENNETH</v>
      </c>
      <c r="F17" t="s">
        <v>97</v>
      </c>
      <c r="G17" s="36">
        <v>70011.17</v>
      </c>
      <c r="H17" s="34" cm="1">
        <f t="array" ref="H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17" s="61" cm="1">
        <f t="array" ref="I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17" s="61" t="str" cm="1">
        <f t="array" ref="J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61" t="str" cm="1">
        <f t="array" ref="K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7" s="56"/>
      <c r="M17" s="5">
        <f>DATA_MAYO_202684[[#This Row],[RECUPERO]]/DATA_MAYO_202684[[#This Row],[META]]</f>
        <v>1.0455480984340044</v>
      </c>
      <c r="N17" s="5" t="str" cm="1">
        <f t="array" ref="N17">IF(DATA_MAYO_202684[[#This Row],[ASER_]]="","",IFERROR(_xlfn.IFS(M17&gt;=100%,"&gt;100%",AND(M17&lt;100%,M17&gt;=70%),"&gt;70%",AND(M17&lt;70%,M17&gt;=40%),"&gt;40%",AND(M17&lt;40%,M17&gt;=0%),"&gt;0%"),""))</f>
        <v>&gt;100%</v>
      </c>
      <c r="O17" s="55" t="str">
        <f>IFERROR(VLOOKUP(DATA_MAYO_202684[[#This Row],[ASER_]],$B:$G,4,0),"")</f>
        <v>LEONOR</v>
      </c>
      <c r="P17" s="6">
        <f>SUM(DATA_MAYO_202684[[#This Row],[2]:[31]])</f>
        <v>46736</v>
      </c>
      <c r="Q17" s="6">
        <f>VLOOKUP(DATA_MAYO_202684[[#This Row],[ASER_]],D1_MAYO_202681[[ASESOR_CRR]:[META]],2,0)</f>
        <v>44700</v>
      </c>
      <c r="R17" t="s">
        <v>61</v>
      </c>
      <c r="U17">
        <v>1503</v>
      </c>
      <c r="V17">
        <v>900</v>
      </c>
      <c r="W17">
        <v>750</v>
      </c>
      <c r="X17">
        <v>4621</v>
      </c>
      <c r="Y17">
        <v>2000</v>
      </c>
      <c r="AB17">
        <v>2700</v>
      </c>
      <c r="AC17">
        <v>6080</v>
      </c>
      <c r="AD17">
        <v>588</v>
      </c>
      <c r="AF17">
        <v>130</v>
      </c>
      <c r="AJ17">
        <v>2700</v>
      </c>
      <c r="AL17">
        <v>614</v>
      </c>
      <c r="AM17">
        <v>300</v>
      </c>
      <c r="AP17">
        <v>400</v>
      </c>
      <c r="AQ17">
        <v>8000</v>
      </c>
      <c r="AR17">
        <v>7200</v>
      </c>
      <c r="AS17">
        <v>3400</v>
      </c>
      <c r="AT17">
        <v>4000</v>
      </c>
      <c r="AU17">
        <v>850</v>
      </c>
      <c r="AW17" s="55" t="str" cm="1">
        <f t="array" ref="AW1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S17" s="45"/>
      <c r="BT17" s="47"/>
      <c r="BU17" s="47"/>
      <c r="BW17" s="47"/>
      <c r="BX17" s="45"/>
      <c r="BY17" s="45"/>
      <c r="CA17" s="45"/>
      <c r="CF17" s="45"/>
      <c r="CG17" s="45"/>
    </row>
    <row r="18" spans="1:85" x14ac:dyDescent="0.25">
      <c r="A18" s="34" t="str" cm="1">
        <f t="array" ref="A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8" s="34" t="str" cm="1">
        <f t="array" ref="B1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STWUAR MACURI</v>
      </c>
      <c r="C18" s="34" cm="1">
        <f t="array" ref="C18">_xlfn.XLOOKUP(1,(TablaMeta[CONCAT]=$M$3&amp;$N$3&amp;D1_MAYO_202681[[#This Row],[SUPER]])*(TablaMeta[SEGG]=D1_MAYO_202681[[#This Row],[SEGMENTO]]),TablaMeta[Meta_Asesor])</f>
        <v>61300</v>
      </c>
      <c r="D18" s="35">
        <f>IF(D1_MAYO_202681[[#This Row],[RECUPERO]]="VACACIONES","VACACIONES",IFERROR(D1_MAYO_202681[[#This Row],[RECUPERO]]/D1_MAYO_202681[[#This Row],[META]],""))</f>
        <v>1.1226753670473084</v>
      </c>
      <c r="E18" s="35" t="str">
        <f>D1_MAYO_202681[[#This Row],[SUPER]]</f>
        <v>KENNETH</v>
      </c>
      <c r="F18" t="s">
        <v>34</v>
      </c>
      <c r="G18" s="36">
        <v>68820</v>
      </c>
      <c r="H18" s="34" cm="1">
        <f t="array" ref="H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8" s="61" cm="1">
        <f t="array" ref="I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8" s="61" t="str" cm="1">
        <f t="array" ref="J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61" t="str" cm="1">
        <f t="array" ref="K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DATA_MAYO_202684[[#This Row],[RECUPERO]]/DATA_MAYO_202684[[#This Row],[META]]</f>
        <v>0.85134228187919458</v>
      </c>
      <c r="N18" s="5" t="str" cm="1">
        <f t="array" ref="N18">IF(DATA_MAYO_202684[[#This Row],[ASER_]]="","",IFERROR(_xlfn.IFS(M18&gt;=100%,"&gt;100%",AND(M18&lt;100%,M18&gt;=70%),"&gt;70%",AND(M18&lt;70%,M18&gt;=40%),"&gt;40%",AND(M18&lt;40%,M18&gt;=0%),"&gt;0%"),""))</f>
        <v>&gt;70%</v>
      </c>
      <c r="O18" s="55" t="str">
        <f>IFERROR(VLOOKUP(DATA_MAYO_202684[[#This Row],[ASER_]],$B:$G,4,0),"")</f>
        <v>LEONOR</v>
      </c>
      <c r="P18" s="6">
        <f>SUM(DATA_MAYO_202684[[#This Row],[2]:[31]])</f>
        <v>38055</v>
      </c>
      <c r="Q18" s="6">
        <f>VLOOKUP(DATA_MAYO_202684[[#This Row],[ASER_]],D1_MAYO_202681[[ASESOR_CRR]:[META]],2,0)</f>
        <v>44700</v>
      </c>
      <c r="R18" t="s">
        <v>80</v>
      </c>
      <c r="U18">
        <v>5000</v>
      </c>
      <c r="AC18">
        <v>600</v>
      </c>
      <c r="AK18">
        <v>6000</v>
      </c>
      <c r="AM18">
        <v>1200</v>
      </c>
      <c r="AP18">
        <v>2155</v>
      </c>
      <c r="AR18">
        <v>8500</v>
      </c>
      <c r="AS18">
        <v>335</v>
      </c>
      <c r="AT18">
        <v>14265</v>
      </c>
      <c r="AW18" s="55" t="str" cm="1">
        <f t="array" ref="AW1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S18" s="47"/>
      <c r="BT18" s="45"/>
      <c r="BU18" s="45"/>
      <c r="BW18" s="45"/>
      <c r="BX18" s="47"/>
      <c r="BY18" s="47"/>
      <c r="CA18" s="45"/>
      <c r="CB18" s="45"/>
      <c r="CF18" s="45"/>
      <c r="CG18" s="47"/>
    </row>
    <row r="19" spans="1:85" x14ac:dyDescent="0.25">
      <c r="A19" s="34" t="str" cm="1">
        <f t="array" ref="A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MILAGROS QUIO</v>
      </c>
      <c r="C19" s="34" cm="1">
        <f t="array" ref="C19">_xlfn.XLOOKUP(1,(TablaMeta[CONCAT]=$M$3&amp;$N$3&amp;D1_MAYO_202681[[#This Row],[SUPER]])*(TablaMeta[SEGG]=D1_MAYO_202681[[#This Row],[SEGMENTO]]),TablaMeta[Meta_Asesor])</f>
        <v>61300</v>
      </c>
      <c r="D19" s="35">
        <f>IF(D1_MAYO_202681[[#This Row],[RECUPERO]]="VACACIONES","VACACIONES",IFERROR(D1_MAYO_202681[[#This Row],[RECUPERO]]/D1_MAYO_202681[[#This Row],[META]],""))</f>
        <v>1.1106362153344209</v>
      </c>
      <c r="E19" s="35" t="str">
        <f>D1_MAYO_202681[[#This Row],[SUPER]]</f>
        <v>KENNETH</v>
      </c>
      <c r="F19" t="s">
        <v>11</v>
      </c>
      <c r="G19" s="36">
        <v>68082</v>
      </c>
      <c r="H19" s="34" cm="1">
        <f t="array" ref="H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9" s="61" cm="1">
        <f t="array" ref="I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9" s="61" t="str" cm="1">
        <f t="array" ref="J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61" t="str" cm="1">
        <f t="array" ref="K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DATA_MAYO_202684[[#This Row],[RECUPERO]]/DATA_MAYO_202684[[#This Row],[META]]</f>
        <v>0.25328859060402686</v>
      </c>
      <c r="N19" s="5" t="str" cm="1">
        <f t="array" ref="N19">IF(DATA_MAYO_202684[[#This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IFERROR(VLOOKUP(DATA_MAYO_202684[[#This Row],[ASER_]],$B:$G,4,0),"")</f>
        <v>JORGE</v>
      </c>
      <c r="P19" s="6">
        <f>SUM(DATA_MAYO_202684[[#This Row],[2]:[31]])</f>
        <v>11322</v>
      </c>
      <c r="Q19" s="6">
        <f>VLOOKUP(DATA_MAYO_202684[[#This Row],[ASER_]],D1_MAYO_202681[[ASESOR_CRR]:[META]],2,0)</f>
        <v>44700</v>
      </c>
      <c r="R19" t="s">
        <v>81</v>
      </c>
      <c r="AB19">
        <v>10222</v>
      </c>
      <c r="AE19">
        <v>600</v>
      </c>
      <c r="AF19">
        <v>500</v>
      </c>
      <c r="AW19" s="55" t="str" cm="1">
        <f t="array" ref="AW1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</row>
    <row r="20" spans="1:85" x14ac:dyDescent="0.25">
      <c r="A20" s="34" t="str" cm="1">
        <f t="array" ref="A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LOZA</v>
      </c>
      <c r="C20" s="34" cm="1">
        <f t="array" ref="C20">_xlfn.XLOOKUP(1,(TablaMeta[CONCAT]=$M$3&amp;$N$3&amp;D1_MAYO_202681[[#This Row],[SUPER]])*(TablaMeta[SEGG]=D1_MAYO_202681[[#This Row],[SEGMENTO]]),TablaMeta[Meta_Asesor])</f>
        <v>61300</v>
      </c>
      <c r="D20" s="35">
        <f>IF(D1_MAYO_202681[[#This Row],[RECUPERO]]="VACACIONES","VACACIONES",IFERROR(D1_MAYO_202681[[#This Row],[RECUPERO]]/D1_MAYO_202681[[#This Row],[META]],""))</f>
        <v>0.85006525285481238</v>
      </c>
      <c r="E20" s="35" t="str">
        <f>D1_MAYO_202681[[#This Row],[SUPER]]</f>
        <v>KENNETH</v>
      </c>
      <c r="F20" t="s">
        <v>35</v>
      </c>
      <c r="G20" s="36">
        <v>52109</v>
      </c>
      <c r="H20" s="34" cm="1">
        <f t="array" ref="H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0" s="61" cm="1">
        <f t="array" ref="I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0" s="61" t="str" cm="1">
        <f t="array" ref="J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61" t="str" cm="1">
        <f t="array" ref="K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DATA_MAYO_202684[[#This Row],[RECUPERO]]/DATA_MAYO_202684[[#This Row],[META]]</f>
        <v>0.98333333333333328</v>
      </c>
      <c r="N20" s="5" t="str" cm="1">
        <f t="array" ref="N20">IF(DATA_MAYO_202684[[#This Row],[ASER_]]="","",IFERROR(_xlfn.IFS(M20&gt;=100%,"&gt;100%",AND(M20&lt;100%,M20&gt;=70%),"&gt;70%",AND(M20&lt;70%,M20&gt;=40%),"&gt;40%",AND(M20&lt;40%,M20&gt;=0%),"&gt;0%"),""))</f>
        <v>&gt;70%</v>
      </c>
      <c r="O20" s="55" t="str">
        <f>IFERROR(VLOOKUP(DATA_MAYO_202684[[#This Row],[ASER_]],$B:$G,4,0),"")</f>
        <v>LISELY</v>
      </c>
      <c r="P20" s="6">
        <f>SUM(DATA_MAYO_202684[[#This Row],[2]:[31]])</f>
        <v>22420</v>
      </c>
      <c r="Q20" s="6">
        <f>VLOOKUP(DATA_MAYO_202684[[#This Row],[ASER_]],D1_MAYO_202681[[ASESOR_CRR]:[META]],2,0)</f>
        <v>22800</v>
      </c>
      <c r="R20" t="s">
        <v>495</v>
      </c>
      <c r="U20">
        <v>600</v>
      </c>
      <c r="V20">
        <v>2000</v>
      </c>
      <c r="X20">
        <v>1200</v>
      </c>
      <c r="Y20">
        <v>1500</v>
      </c>
      <c r="AB20">
        <v>400</v>
      </c>
      <c r="AD20">
        <v>2000</v>
      </c>
      <c r="AE20">
        <v>250</v>
      </c>
      <c r="AF20">
        <v>410</v>
      </c>
      <c r="AI20">
        <v>1600</v>
      </c>
      <c r="AK20">
        <v>2000</v>
      </c>
      <c r="AM20">
        <v>5500</v>
      </c>
      <c r="AP20">
        <v>250</v>
      </c>
      <c r="AQ20">
        <v>1650</v>
      </c>
      <c r="AS20">
        <v>1200</v>
      </c>
      <c r="AT20">
        <v>1010</v>
      </c>
      <c r="AU20">
        <v>850</v>
      </c>
      <c r="AW20" s="55" t="str" cm="1">
        <f t="array" ref="AW2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BC20" s="47"/>
      <c r="BS20" s="45"/>
      <c r="BY20" s="45"/>
      <c r="CA20" s="45"/>
      <c r="CB20" s="47"/>
      <c r="CE20" s="45"/>
      <c r="CF20" s="47"/>
      <c r="CG20" s="45"/>
    </row>
    <row r="21" spans="1:85" x14ac:dyDescent="0.25">
      <c r="A21" s="34" t="str" cm="1">
        <f t="array" ref="A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FRANK PACORA</v>
      </c>
      <c r="C21" s="34" cm="1">
        <f t="array" ref="C21">_xlfn.XLOOKUP(1,(TablaMeta[CONCAT]=$M$3&amp;$N$3&amp;D1_MAYO_202681[[#This Row],[SUPER]])*(TablaMeta[SEGG]=D1_MAYO_202681[[#This Row],[SEGMENTO]]),TablaMeta[Meta_Asesor])</f>
        <v>61300</v>
      </c>
      <c r="D21" s="35">
        <f>IF(D1_MAYO_202681[[#This Row],[RECUPERO]]="VACACIONES","VACACIONES",IFERROR(D1_MAYO_202681[[#This Row],[RECUPERO]]/D1_MAYO_202681[[#This Row],[META]],""))</f>
        <v>0.71125611745513861</v>
      </c>
      <c r="E21" s="35" t="str">
        <f>D1_MAYO_202681[[#This Row],[SUPER]]</f>
        <v>KENNETH</v>
      </c>
      <c r="F21" t="s">
        <v>105</v>
      </c>
      <c r="G21" s="36">
        <v>43600</v>
      </c>
      <c r="H21" s="34" cm="1">
        <f t="array" ref="H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1" s="61" cm="1">
        <f t="array" ref="I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1" s="61" t="str" cm="1">
        <f t="array" ref="J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61" t="str" cm="1">
        <f t="array" ref="K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DATA_MAYO_202684[[#This Row],[RECUPERO]]/DATA_MAYO_202684[[#This Row],[META]]</f>
        <v>0.76570469798657714</v>
      </c>
      <c r="N21" s="5" t="str" cm="1">
        <f t="array" ref="N21">IF(DATA_MAYO_202684[[#This Row],[ASER_]]="","",IFERROR(_xlfn.IFS(M21&gt;=100%,"&gt;100%",AND(M21&lt;100%,M21&gt;=70%),"&gt;70%",AND(M21&lt;70%,M21&gt;=40%),"&gt;40%",AND(M21&lt;40%,M21&gt;=0%),"&gt;0%"),""))</f>
        <v>&gt;70%</v>
      </c>
      <c r="O21" s="55" t="str">
        <f>IFERROR(VLOOKUP(DATA_MAYO_202684[[#This Row],[ASER_]],$B:$G,4,0),"")</f>
        <v>LEONOR</v>
      </c>
      <c r="P21" s="6">
        <f>SUM(DATA_MAYO_202684[[#This Row],[2]:[31]])</f>
        <v>34227</v>
      </c>
      <c r="Q21" s="6">
        <f>VLOOKUP(DATA_MAYO_202684[[#This Row],[ASER_]],D1_MAYO_202681[[ASESOR_CRR]:[META]],2,0)</f>
        <v>44700</v>
      </c>
      <c r="R21" t="s">
        <v>72</v>
      </c>
      <c r="W21">
        <v>11600</v>
      </c>
      <c r="Y21">
        <v>420</v>
      </c>
      <c r="AF21">
        <v>2500</v>
      </c>
      <c r="AS21">
        <v>307</v>
      </c>
      <c r="AT21">
        <v>19400</v>
      </c>
      <c r="AW21" s="55" t="str" cm="1">
        <f t="array" ref="AW2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1" s="45"/>
      <c r="CA21" s="45"/>
      <c r="CB21" s="47"/>
      <c r="CE21" s="45"/>
      <c r="CF21" s="45"/>
    </row>
    <row r="22" spans="1:85" x14ac:dyDescent="0.25">
      <c r="A22" s="34" t="str" cm="1">
        <f t="array" ref="A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CARMEN PUMA</v>
      </c>
      <c r="C22" s="34" cm="1">
        <f t="array" ref="C22">_xlfn.XLOOKUP(1,(TablaMeta[CONCAT]=$M$3&amp;$N$3&amp;D1_MAYO_202681[[#This Row],[SUPER]])*(TablaMeta[SEGG]=D1_MAYO_202681[[#This Row],[SEGMENTO]]),TablaMeta[Meta_Asesor])</f>
        <v>61300</v>
      </c>
      <c r="D22" s="35">
        <f>IF(D1_MAYO_202681[[#This Row],[RECUPERO]]="VACACIONES","VACACIONES",IFERROR(D1_MAYO_202681[[#This Row],[RECUPERO]]/D1_MAYO_202681[[#This Row],[META]],""))</f>
        <v>0.60342577487765092</v>
      </c>
      <c r="E22" s="35" t="str">
        <f>D1_MAYO_202681[[#This Row],[SUPER]]</f>
        <v>KENNETH</v>
      </c>
      <c r="F22" t="s">
        <v>19</v>
      </c>
      <c r="G22" s="36">
        <v>36990</v>
      </c>
      <c r="H22" s="34" cm="1">
        <f t="array" ref="H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2" s="61" cm="1">
        <f t="array" ref="I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2" s="61" t="str" cm="1">
        <f t="array" ref="J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61" t="str" cm="1">
        <f t="array" ref="K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DATA_MAYO_202684[[#This Row],[RECUPERO]]/DATA_MAYO_202684[[#This Row],[META]]</f>
        <v>1.1412498881431767</v>
      </c>
      <c r="N22" s="5" t="str" cm="1">
        <f t="array" ref="N22">IF(DATA_MAYO_202684[[#This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IFERROR(VLOOKUP(DATA_MAYO_202684[[#This Row],[ASER_]],$B:$G,4,0),"")</f>
        <v>JORGE</v>
      </c>
      <c r="P22" s="6">
        <f>SUM(DATA_MAYO_202684[[#This Row],[2]:[31]])</f>
        <v>51013.869999999995</v>
      </c>
      <c r="Q22" s="6">
        <f>VLOOKUP(DATA_MAYO_202684[[#This Row],[ASER_]],D1_MAYO_202681[[ASESOR_CRR]:[META]],2,0)</f>
        <v>44700</v>
      </c>
      <c r="R22" t="s">
        <v>22</v>
      </c>
      <c r="U22">
        <v>2000</v>
      </c>
      <c r="Y22">
        <v>4713.87</v>
      </c>
      <c r="AF22">
        <v>8300</v>
      </c>
      <c r="AG22">
        <v>2000</v>
      </c>
      <c r="AI22">
        <v>500</v>
      </c>
      <c r="AJ22">
        <v>400</v>
      </c>
      <c r="AL22">
        <v>3100</v>
      </c>
      <c r="AP22">
        <v>3000</v>
      </c>
      <c r="AQ22">
        <v>2800</v>
      </c>
      <c r="AR22">
        <v>1800</v>
      </c>
      <c r="AT22">
        <v>10600</v>
      </c>
      <c r="AU22">
        <v>11800</v>
      </c>
      <c r="AW22" s="55" t="str" cm="1">
        <f t="array" ref="AW2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2" s="47"/>
      <c r="CA22" s="47"/>
      <c r="CB22" s="45"/>
      <c r="CE22" s="45"/>
    </row>
    <row r="23" spans="1:85" x14ac:dyDescent="0.25">
      <c r="A23" s="34" t="str" cm="1">
        <f t="array" ref="A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3" s="34" t="str" cm="1">
        <f t="array" ref="B2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VICTOR RAMIREZ</v>
      </c>
      <c r="C23" s="34" cm="1">
        <f t="array" ref="C23">_xlfn.XLOOKUP(1,(TablaMeta[CONCAT]=$M$3&amp;$N$3&amp;D1_MAYO_202681[[#This Row],[SUPER]])*(TablaMeta[SEGG]=D1_MAYO_202681[[#This Row],[SEGMENTO]]),TablaMeta[Meta_Asesor])</f>
        <v>61300</v>
      </c>
      <c r="D23" s="35">
        <f>IF(D1_MAYO_202681[[#This Row],[RECUPERO]]="VACACIONES","VACACIONES",IFERROR(D1_MAYO_202681[[#This Row],[RECUPERO]]/D1_MAYO_202681[[#This Row],[META]],""))</f>
        <v>0.18261011419249593</v>
      </c>
      <c r="E23" s="35" t="str">
        <f>D1_MAYO_202681[[#This Row],[SUPER]]</f>
        <v>KENNETH</v>
      </c>
      <c r="F23" t="s">
        <v>76</v>
      </c>
      <c r="G23" s="36">
        <v>11194</v>
      </c>
      <c r="H23" s="34" cm="1">
        <f t="array" ref="H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3" s="61" cm="1">
        <f t="array" ref="I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3" s="61" t="str" cm="1">
        <f t="array" ref="J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61" t="str" cm="1">
        <f t="array" ref="K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DATA_MAYO_202684[[#This Row],[RECUPERO]]/DATA_MAYO_202684[[#This Row],[META]]</f>
        <v>0.87850877192982457</v>
      </c>
      <c r="N23" s="5" t="str" cm="1">
        <f t="array" ref="N23">IF(DATA_MAYO_202684[[#This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IFERROR(VLOOKUP(DATA_MAYO_202684[[#This Row],[ASER_]],$B:$G,4,0),"")</f>
        <v>LISELY</v>
      </c>
      <c r="P23" s="6">
        <f>SUM(DATA_MAYO_202684[[#This Row],[2]:[31]])</f>
        <v>20030</v>
      </c>
      <c r="Q23" s="6">
        <f>VLOOKUP(DATA_MAYO_202684[[#This Row],[ASER_]],D1_MAYO_202681[[ASESOR_CRR]:[META]],2,0)</f>
        <v>22800</v>
      </c>
      <c r="R23" t="s">
        <v>600</v>
      </c>
      <c r="AD23">
        <v>1000</v>
      </c>
      <c r="AE23">
        <v>2700</v>
      </c>
      <c r="AL23">
        <v>13000</v>
      </c>
      <c r="AQ23">
        <v>530</v>
      </c>
      <c r="AS23">
        <v>2800</v>
      </c>
      <c r="AW23" s="55" t="str" cm="1">
        <f t="array" ref="AW2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A23" s="45"/>
    </row>
    <row r="24" spans="1:85" x14ac:dyDescent="0.25">
      <c r="A24" s="34" t="str" cm="1">
        <f t="array" ref="A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NATALIA MARIN</v>
      </c>
      <c r="C24" s="34" cm="1">
        <f t="array" ref="C24">_xlfn.XLOOKUP(1,(TablaMeta[CONCAT]=$M$3&amp;$N$3&amp;D1_MAYO_202681[[#This Row],[SUPER]])*(TablaMeta[SEGG]=D1_MAYO_202681[[#This Row],[SEGMENTO]]),TablaMeta[Meta_Asesor])</f>
        <v>38500</v>
      </c>
      <c r="D24" s="35">
        <f>IF(D1_MAYO_202681[[#This Row],[RECUPERO]]="VACACIONES","VACACIONES",IFERROR(D1_MAYO_202681[[#This Row],[RECUPERO]]/D1_MAYO_202681[[#This Row],[META]],""))</f>
        <v>1.484935064935065</v>
      </c>
      <c r="E24" s="35" t="str">
        <f>D1_MAYO_202681[[#This Row],[SUPER]]</f>
        <v>SANDY</v>
      </c>
      <c r="F24" t="s">
        <v>79</v>
      </c>
      <c r="G24" s="36">
        <v>57170</v>
      </c>
      <c r="H24" s="34" cm="1">
        <f t="array" ref="H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24" s="61" cm="1">
        <f t="array" ref="I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24" s="61" t="str" cm="1">
        <f t="array" ref="J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61" t="str" cm="1">
        <f t="array" ref="K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DATA_MAYO_202684[[#This Row],[RECUPERO]]/DATA_MAYO_202684[[#This Row],[META]]</f>
        <v>1.1901118568232663</v>
      </c>
      <c r="N24" s="5" t="str" cm="1">
        <f t="array" ref="N24">IF(DATA_MAYO_202684[[#This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IFERROR(VLOOKUP(DATA_MAYO_202684[[#This Row],[ASER_]],$B:$G,4,0),"")</f>
        <v>JORGE</v>
      </c>
      <c r="P24" s="6">
        <f>SUM(DATA_MAYO_202684[[#This Row],[2]:[31]])</f>
        <v>53198</v>
      </c>
      <c r="Q24" s="6">
        <f>VLOOKUP(DATA_MAYO_202684[[#This Row],[ASER_]],D1_MAYO_202681[[ASESOR_CRR]:[META]],2,0)</f>
        <v>44700</v>
      </c>
      <c r="R24" t="s">
        <v>24</v>
      </c>
      <c r="V24">
        <v>700</v>
      </c>
      <c r="X24">
        <v>6250</v>
      </c>
      <c r="AD24">
        <v>5290</v>
      </c>
      <c r="AE24">
        <v>2600</v>
      </c>
      <c r="AI24">
        <v>10100</v>
      </c>
      <c r="AJ24">
        <v>4000</v>
      </c>
      <c r="AK24">
        <v>450</v>
      </c>
      <c r="AL24">
        <v>1085</v>
      </c>
      <c r="AM24">
        <v>780</v>
      </c>
      <c r="AP24">
        <v>5950</v>
      </c>
      <c r="AR24">
        <v>1000</v>
      </c>
      <c r="AS24">
        <v>750</v>
      </c>
      <c r="AT24">
        <v>4000</v>
      </c>
      <c r="AU24">
        <v>10243</v>
      </c>
      <c r="AW24" s="55" t="str" cm="1">
        <f t="array" ref="AW2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5" x14ac:dyDescent="0.25">
      <c r="A25" s="34" t="str" cm="1">
        <f t="array" ref="A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VALLADARES</v>
      </c>
      <c r="C25" s="34" cm="1">
        <f t="array" ref="C25">_xlfn.XLOOKUP(1,(TablaMeta[CONCAT]=$M$3&amp;$N$3&amp;D1_MAYO_202681[[#This Row],[SUPER]])*(TablaMeta[SEGG]=D1_MAYO_202681[[#This Row],[SEGMENTO]]),TablaMeta[Meta_Asesor])</f>
        <v>38500</v>
      </c>
      <c r="D25" s="35">
        <f>IF(D1_MAYO_202681[[#This Row],[RECUPERO]]="VACACIONES","VACACIONES",IFERROR(D1_MAYO_202681[[#This Row],[RECUPERO]]/D1_MAYO_202681[[#This Row],[META]],""))</f>
        <v>1.0765402597402598</v>
      </c>
      <c r="E25" s="35" t="str">
        <f>D1_MAYO_202681[[#This Row],[SUPER]]</f>
        <v>SANDY</v>
      </c>
      <c r="F25" t="s">
        <v>29</v>
      </c>
      <c r="G25" s="36">
        <v>41446.800000000003</v>
      </c>
      <c r="H25" s="34" cm="1">
        <f t="array" ref="H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5" s="61" cm="1">
        <f t="array" ref="I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5" s="61" t="str" cm="1">
        <f t="array" ref="J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61" t="str" cm="1">
        <f t="array" ref="K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DATA_MAYO_202684[[#This Row],[RECUPERO]]/DATA_MAYO_202684[[#This Row],[META]]</f>
        <v>0.71125611745513861</v>
      </c>
      <c r="N25" s="5" t="str" cm="1">
        <f t="array" ref="N25">IF(DATA_MAYO_202684[[#This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IFERROR(VLOOKUP(DATA_MAYO_202684[[#This Row],[ASER_]],$B:$G,4,0),"")</f>
        <v>KENNETH</v>
      </c>
      <c r="P25" s="6">
        <f>SUM(DATA_MAYO_202684[[#This Row],[2]:[31]])</f>
        <v>43600</v>
      </c>
      <c r="Q25" s="6">
        <f>VLOOKUP(DATA_MAYO_202684[[#This Row],[ASER_]],D1_MAYO_202681[[ASESOR_CRR]:[META]],2,0)</f>
        <v>61300</v>
      </c>
      <c r="R25" t="s">
        <v>105</v>
      </c>
      <c r="X25">
        <v>12000</v>
      </c>
      <c r="Y25">
        <v>1000</v>
      </c>
      <c r="AF25">
        <v>20000</v>
      </c>
      <c r="AK25">
        <v>100</v>
      </c>
      <c r="AQ25">
        <v>2000</v>
      </c>
      <c r="AS25">
        <v>5000</v>
      </c>
      <c r="AT25">
        <v>3500</v>
      </c>
      <c r="AW25" s="55" t="str" cm="1">
        <f t="array" ref="AW2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6" spans="1:85" x14ac:dyDescent="0.25">
      <c r="A26" s="34" t="str" cm="1">
        <f t="array" ref="A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QUINONES</v>
      </c>
      <c r="C26" s="34" cm="1">
        <f t="array" ref="C26">_xlfn.XLOOKUP(1,(TablaMeta[CONCAT]=$M$3&amp;$N$3&amp;D1_MAYO_202681[[#This Row],[SUPER]])*(TablaMeta[SEGG]=D1_MAYO_202681[[#This Row],[SEGMENTO]]),TablaMeta[Meta_Asesor])</f>
        <v>38500</v>
      </c>
      <c r="D26" s="35">
        <f>IF(D1_MAYO_202681[[#This Row],[RECUPERO]]="VACACIONES","VACACIONES",IFERROR(D1_MAYO_202681[[#This Row],[RECUPERO]]/D1_MAYO_202681[[#This Row],[META]],""))</f>
        <v>1.0003116883116883</v>
      </c>
      <c r="E26" s="35" t="str">
        <f>D1_MAYO_202681[[#This Row],[SUPER]]</f>
        <v>SANDY</v>
      </c>
      <c r="F26" t="s">
        <v>564</v>
      </c>
      <c r="G26" s="36">
        <v>38512</v>
      </c>
      <c r="H26" s="34" cm="1">
        <f t="array" ref="H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6" s="61" cm="1">
        <f t="array" ref="I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6" s="61" t="str" cm="1">
        <f t="array" ref="J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61" t="str" cm="1">
        <f t="array" ref="K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DATA_MAYO_202684[[#This Row],[RECUPERO]]/DATA_MAYO_202684[[#This Row],[META]]</f>
        <v>0.91488311688311685</v>
      </c>
      <c r="N26" s="5" t="str" cm="1">
        <f t="array" ref="N26">IF(DATA_MAYO_202684[[#This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IFERROR(VLOOKUP(DATA_MAYO_202684[[#This Row],[ASER_]],$B:$G,4,0),"")</f>
        <v>SANDY</v>
      </c>
      <c r="P26" s="6">
        <f>SUM(DATA_MAYO_202684[[#This Row],[2]:[31]])</f>
        <v>35223</v>
      </c>
      <c r="Q26" s="6">
        <f>VLOOKUP(DATA_MAYO_202684[[#This Row],[ASER_]],D1_MAYO_202681[[ASESOR_CRR]:[META]],2,0)</f>
        <v>38500</v>
      </c>
      <c r="R26" t="s">
        <v>493</v>
      </c>
      <c r="U26">
        <v>750</v>
      </c>
      <c r="V26">
        <v>2000</v>
      </c>
      <c r="W26">
        <v>2400</v>
      </c>
      <c r="Y26">
        <v>4200</v>
      </c>
      <c r="AB26">
        <v>7000</v>
      </c>
      <c r="AC26">
        <v>450</v>
      </c>
      <c r="AD26">
        <v>360</v>
      </c>
      <c r="AE26">
        <v>3150</v>
      </c>
      <c r="AJ26">
        <v>250</v>
      </c>
      <c r="AK26">
        <v>500</v>
      </c>
      <c r="AM26">
        <v>300</v>
      </c>
      <c r="AP26">
        <v>713</v>
      </c>
      <c r="AR26">
        <v>2650</v>
      </c>
      <c r="AS26">
        <v>500</v>
      </c>
      <c r="AT26">
        <v>10000</v>
      </c>
      <c r="AW26" s="55" t="str" cm="1">
        <f t="array" ref="AW2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7" spans="1:85" x14ac:dyDescent="0.25">
      <c r="A27" s="34" t="str" cm="1">
        <f t="array" ref="A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PALACIOS</v>
      </c>
      <c r="C27" s="34" cm="1">
        <f t="array" ref="C27">_xlfn.XLOOKUP(1,(TablaMeta[CONCAT]=$M$3&amp;$N$3&amp;D1_MAYO_202681[[#This Row],[SUPER]])*(TablaMeta[SEGG]=D1_MAYO_202681[[#This Row],[SEGMENTO]]),TablaMeta[Meta_Asesor])</f>
        <v>38500</v>
      </c>
      <c r="D27" s="35">
        <f>IF(D1_MAYO_202681[[#This Row],[RECUPERO]]="VACACIONES","VACACIONES",IFERROR(D1_MAYO_202681[[#This Row],[RECUPERO]]/D1_MAYO_202681[[#This Row],[META]],""))</f>
        <v>0.91488311688311685</v>
      </c>
      <c r="E27" s="35" t="str">
        <f>D1_MAYO_202681[[#This Row],[SUPER]]</f>
        <v>SANDY</v>
      </c>
      <c r="F27" t="s">
        <v>493</v>
      </c>
      <c r="G27" s="36">
        <v>35223</v>
      </c>
      <c r="H27" s="34" cm="1">
        <f t="array" ref="H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7" s="61" cm="1">
        <f t="array" ref="I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61" t="str" cm="1">
        <f t="array" ref="J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61" t="str" cm="1">
        <f t="array" ref="K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DATA_MAYO_202684[[#This Row],[RECUPERO]]/DATA_MAYO_202684[[#This Row],[META]]</f>
        <v>0.73328859060402685</v>
      </c>
      <c r="N27" s="5" t="str" cm="1">
        <f t="array" ref="N27">IF(DATA_MAYO_202684[[#This Row],[ASER_]]="","",IFERROR(_xlfn.IFS(M27&gt;=100%,"&gt;100%",AND(M27&lt;100%,M27&gt;=70%),"&gt;70%",AND(M27&lt;70%,M27&gt;=40%),"&gt;40%",AND(M27&lt;40%,M27&gt;=0%),"&gt;0%"),""))</f>
        <v>&gt;70%</v>
      </c>
      <c r="O27" s="55" t="str">
        <f>IFERROR(VLOOKUP(DATA_MAYO_202684[[#This Row],[ASER_]],$B:$G,4,0),"")</f>
        <v>LEONOR</v>
      </c>
      <c r="P27" s="6">
        <f>SUM(DATA_MAYO_202684[[#This Row],[2]:[31]])</f>
        <v>32778</v>
      </c>
      <c r="Q27" s="6">
        <f>VLOOKUP(DATA_MAYO_202684[[#This Row],[ASER_]],D1_MAYO_202681[[ASESOR_CRR]:[META]],2,0)</f>
        <v>44700</v>
      </c>
      <c r="R27" t="s">
        <v>12</v>
      </c>
      <c r="AC27">
        <v>800</v>
      </c>
      <c r="AE27">
        <v>300</v>
      </c>
      <c r="AG27">
        <v>228</v>
      </c>
      <c r="AI27">
        <v>8900</v>
      </c>
      <c r="AJ27">
        <v>5000</v>
      </c>
      <c r="AK27">
        <v>350</v>
      </c>
      <c r="AR27">
        <v>8200</v>
      </c>
      <c r="AT27">
        <v>8000</v>
      </c>
      <c r="AU27">
        <v>1000</v>
      </c>
      <c r="AW27" s="55" t="str" cm="1">
        <f t="array" ref="AW2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5" x14ac:dyDescent="0.25">
      <c r="A28" s="34" t="str" cm="1">
        <f t="array" ref="A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8" s="34" t="str" cm="1">
        <f t="array" ref="B2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JESSICA MELGAREJO</v>
      </c>
      <c r="C28" s="34" cm="1">
        <f t="array" ref="C28">_xlfn.XLOOKUP(1,(TablaMeta[CONCAT]=$M$3&amp;$N$3&amp;D1_MAYO_202681[[#This Row],[SUPER]])*(TablaMeta[SEGG]=D1_MAYO_202681[[#This Row],[SEGMENTO]]),TablaMeta[Meta_Asesor])</f>
        <v>38500</v>
      </c>
      <c r="D28" s="35">
        <f>IF(D1_MAYO_202681[[#This Row],[RECUPERO]]="VACACIONES","VACACIONES",IFERROR(D1_MAYO_202681[[#This Row],[RECUPERO]]/D1_MAYO_202681[[#This Row],[META]],""))</f>
        <v>0.8836623376623377</v>
      </c>
      <c r="E28" s="35" t="str">
        <f>D1_MAYO_202681[[#This Row],[SUPER]]</f>
        <v>SANDY</v>
      </c>
      <c r="F28" t="s">
        <v>96</v>
      </c>
      <c r="G28" s="36">
        <v>34021</v>
      </c>
      <c r="H28" s="34" cm="1">
        <f t="array" ref="H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8" s="61" cm="1">
        <f t="array" ref="I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8" s="61" t="str" cm="1">
        <f t="array" ref="J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61" t="str" cm="1">
        <f t="array" ref="K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DATA_MAYO_202684[[#This Row],[RECUPERO]]/DATA_MAYO_202684[[#This Row],[META]]</f>
        <v>0.1360178970917226</v>
      </c>
      <c r="N28" s="5" t="str" cm="1">
        <f t="array" ref="N28">IF(DATA_MAYO_202684[[#This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IFERROR(VLOOKUP(DATA_MAYO_202684[[#This Row],[ASER_]],$B:$G,4,0),"")</f>
        <v>LEONOR</v>
      </c>
      <c r="P28" s="6">
        <f>SUM(DATA_MAYO_202684[[#This Row],[2]:[31]])</f>
        <v>6080</v>
      </c>
      <c r="Q28" s="6">
        <f>VLOOKUP(DATA_MAYO_202684[[#This Row],[ASER_]],D1_MAYO_202681[[ASESOR_CRR]:[META]],2,0)</f>
        <v>44700</v>
      </c>
      <c r="R28" t="s">
        <v>51</v>
      </c>
      <c r="U28">
        <v>500</v>
      </c>
      <c r="AB28">
        <v>1400</v>
      </c>
      <c r="AF28">
        <v>2250</v>
      </c>
      <c r="AJ28">
        <v>250</v>
      </c>
      <c r="AL28">
        <v>180</v>
      </c>
      <c r="AS28">
        <v>1500</v>
      </c>
      <c r="AW28" s="55" t="str" cm="1">
        <f t="array" ref="AW2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85" x14ac:dyDescent="0.25">
      <c r="A29" s="34" t="str" cm="1">
        <f t="array" ref="A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9" s="34" t="str" cm="1">
        <f t="array" ref="B2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LUCERO JORDAN</v>
      </c>
      <c r="C29" s="34" cm="1">
        <f t="array" ref="C29">_xlfn.XLOOKUP(1,(TablaMeta[CONCAT]=$M$3&amp;$N$3&amp;D1_MAYO_202681[[#This Row],[SUPER]])*(TablaMeta[SEGG]=D1_MAYO_202681[[#This Row],[SEGMENTO]]),TablaMeta[Meta_Asesor])</f>
        <v>38500</v>
      </c>
      <c r="D29" s="35">
        <f>IF(D1_MAYO_202681[[#This Row],[RECUPERO]]="VACACIONES","VACACIONES",IFERROR(D1_MAYO_202681[[#This Row],[RECUPERO]]/D1_MAYO_202681[[#This Row],[META]],""))</f>
        <v>0.8617402597402597</v>
      </c>
      <c r="E29" s="35" t="str">
        <f>D1_MAYO_202681[[#This Row],[SUPER]]</f>
        <v>SANDY</v>
      </c>
      <c r="F29" t="s">
        <v>68</v>
      </c>
      <c r="G29" s="36">
        <v>33177</v>
      </c>
      <c r="H29" s="34" cm="1">
        <f t="array" ref="H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9" s="61" cm="1">
        <f t="array" ref="I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9" s="61" t="str" cm="1">
        <f t="array" ref="J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61" t="str" cm="1">
        <f t="array" ref="K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DATA_MAYO_202684[[#This Row],[RECUPERO]]/DATA_MAYO_202684[[#This Row],[META]]</f>
        <v>1.2533333333333334</v>
      </c>
      <c r="N29" s="5" t="str" cm="1">
        <f t="array" ref="N29">IF(DATA_MAYO_202684[[#This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IFERROR(VLOOKUP(DATA_MAYO_202684[[#This Row],[ASER_]],$B:$G,4,0),"")</f>
        <v>JORGE</v>
      </c>
      <c r="P29" s="6">
        <f>SUM(DATA_MAYO_202684[[#This Row],[2]:[31]])</f>
        <v>56024</v>
      </c>
      <c r="Q29" s="6">
        <f>VLOOKUP(DATA_MAYO_202684[[#This Row],[ASER_]],D1_MAYO_202681[[ASESOR_CRR]:[META]],2,0)</f>
        <v>44700</v>
      </c>
      <c r="R29" t="s">
        <v>13</v>
      </c>
      <c r="T29" s="45"/>
      <c r="U29" s="45">
        <v>1600</v>
      </c>
      <c r="V29" s="45"/>
      <c r="W29" s="45"/>
      <c r="X29" s="45"/>
      <c r="Y29" s="45"/>
      <c r="Z29" s="45"/>
      <c r="AA29" s="45"/>
      <c r="AB29" s="45">
        <v>2001</v>
      </c>
      <c r="AC29" s="45">
        <v>10000</v>
      </c>
      <c r="AD29" s="45">
        <v>500</v>
      </c>
      <c r="AE29">
        <v>1500</v>
      </c>
      <c r="AF29">
        <v>700</v>
      </c>
      <c r="AK29">
        <v>1300</v>
      </c>
      <c r="AL29">
        <v>9000</v>
      </c>
      <c r="AM29">
        <v>3250</v>
      </c>
      <c r="AP29">
        <v>8550</v>
      </c>
      <c r="AQ29">
        <v>1000</v>
      </c>
      <c r="AS29">
        <v>8000</v>
      </c>
      <c r="AT29">
        <v>7500</v>
      </c>
      <c r="AU29">
        <v>1123</v>
      </c>
      <c r="AW29" s="55" t="str" cm="1">
        <f t="array" ref="AW2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5" x14ac:dyDescent="0.25">
      <c r="A30" s="34" t="str" cm="1">
        <f t="array" ref="A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0" s="34" t="str" cm="1">
        <f t="array" ref="B3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ALEJANDRA QUISPE</v>
      </c>
      <c r="C30" s="34" cm="1">
        <f t="array" ref="C30">_xlfn.XLOOKUP(1,(TablaMeta[CONCAT]=$M$3&amp;$N$3&amp;D1_MAYO_202681[[#This Row],[SUPER]])*(TablaMeta[SEGG]=D1_MAYO_202681[[#This Row],[SEGMENTO]]),TablaMeta[Meta_Asesor])</f>
        <v>38500</v>
      </c>
      <c r="D30" s="35">
        <f>IF(D1_MAYO_202681[[#This Row],[RECUPERO]]="VACACIONES","VACACIONES",IFERROR(D1_MAYO_202681[[#This Row],[RECUPERO]]/D1_MAYO_202681[[#This Row],[META]],""))</f>
        <v>0.8433506493506493</v>
      </c>
      <c r="E30" s="35" t="str">
        <f>D1_MAYO_202681[[#This Row],[SUPER]]</f>
        <v>SANDY</v>
      </c>
      <c r="F30" t="s">
        <v>58</v>
      </c>
      <c r="G30" s="36">
        <v>32469</v>
      </c>
      <c r="H30" s="34" cm="1">
        <f t="array" ref="H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0" s="61" cm="1">
        <f t="array" ref="I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0" s="61" t="str" cm="1">
        <f t="array" ref="J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61" t="str" cm="1">
        <f t="array" ref="K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DATA_MAYO_202684[[#This Row],[RECUPERO]]/DATA_MAYO_202684[[#This Row],[META]]</f>
        <v>0.78355844155844157</v>
      </c>
      <c r="N30" s="5" t="str" cm="1">
        <f t="array" ref="N30">IF(DATA_MAYO_202684[[#This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IFERROR(VLOOKUP(DATA_MAYO_202684[[#This Row],[ASER_]],$B:$G,4,0),"")</f>
        <v>SANDY</v>
      </c>
      <c r="P30" s="6">
        <f>SUM(DATA_MAYO_202684[[#This Row],[2]:[31]])</f>
        <v>30167</v>
      </c>
      <c r="Q30" s="6">
        <f>VLOOKUP(DATA_MAYO_202684[[#This Row],[ASER_]],D1_MAYO_202681[[ASESOR_CRR]:[META]],2,0)</f>
        <v>38500</v>
      </c>
      <c r="R30" t="s">
        <v>32</v>
      </c>
      <c r="W30">
        <v>3000</v>
      </c>
      <c r="AA30">
        <v>412</v>
      </c>
      <c r="AB30">
        <v>5000</v>
      </c>
      <c r="AC30">
        <v>190</v>
      </c>
      <c r="AI30">
        <v>4000</v>
      </c>
      <c r="AK30">
        <v>1180</v>
      </c>
      <c r="AM30">
        <v>1450</v>
      </c>
      <c r="AP30">
        <v>10080</v>
      </c>
      <c r="AR30">
        <v>300</v>
      </c>
      <c r="AT30">
        <v>2400</v>
      </c>
      <c r="AU30">
        <v>1155</v>
      </c>
      <c r="AV30">
        <v>1000</v>
      </c>
      <c r="AW30" s="55" t="str" cm="1">
        <f t="array" ref="AW3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1" spans="1:85" x14ac:dyDescent="0.25">
      <c r="A31" s="34" t="str" cm="1">
        <f t="array" ref="A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1" s="34" t="str" cm="1">
        <f t="array" ref="B3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GIANNINA AGUILAR</v>
      </c>
      <c r="C31" s="34" cm="1">
        <f t="array" ref="C31">_xlfn.XLOOKUP(1,(TablaMeta[CONCAT]=$M$3&amp;$N$3&amp;D1_MAYO_202681[[#This Row],[SUPER]])*(TablaMeta[SEGG]=D1_MAYO_202681[[#This Row],[SEGMENTO]]),TablaMeta[Meta_Asesor])</f>
        <v>38500</v>
      </c>
      <c r="D31" s="35">
        <f>IF(D1_MAYO_202681[[#This Row],[RECUPERO]]="VACACIONES","VACACIONES",IFERROR(D1_MAYO_202681[[#This Row],[RECUPERO]]/D1_MAYO_202681[[#This Row],[META]],""))</f>
        <v>0.78355844155844157</v>
      </c>
      <c r="E31" s="35" t="str">
        <f>D1_MAYO_202681[[#This Row],[SUPER]]</f>
        <v>SANDY</v>
      </c>
      <c r="F31" t="s">
        <v>32</v>
      </c>
      <c r="G31" s="36">
        <v>30167</v>
      </c>
      <c r="H31" s="34" cm="1">
        <f t="array" ref="H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31" s="61" cm="1">
        <f t="array" ref="I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31" s="61" t="str" cm="1">
        <f t="array" ref="J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61" t="str" cm="1">
        <f t="array" ref="K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DATA_MAYO_202684[[#This Row],[RECUPERO]]/DATA_MAYO_202684[[#This Row],[META]]</f>
        <v>0.78812080536912754</v>
      </c>
      <c r="N31" s="5" t="str" cm="1">
        <f t="array" ref="N31">IF(DATA_MAYO_202684[[#This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IFERROR(VLOOKUP(DATA_MAYO_202684[[#This Row],[ASER_]],$B:$G,4,0),"")</f>
        <v>JORGE</v>
      </c>
      <c r="P31" s="6">
        <f>SUM(DATA_MAYO_202684[[#This Row],[2]:[31]])</f>
        <v>35229</v>
      </c>
      <c r="Q31" s="6">
        <f>VLOOKUP(DATA_MAYO_202684[[#This Row],[ASER_]],D1_MAYO_202681[[ASESOR_CRR]:[META]],2,0)</f>
        <v>44700</v>
      </c>
      <c r="R31" t="s">
        <v>42</v>
      </c>
      <c r="S31">
        <v>400</v>
      </c>
      <c r="W31">
        <v>1300</v>
      </c>
      <c r="Y31">
        <v>875</v>
      </c>
      <c r="AD31">
        <v>1885</v>
      </c>
      <c r="AE31">
        <v>300</v>
      </c>
      <c r="AF31">
        <v>2000</v>
      </c>
      <c r="AM31">
        <v>5550</v>
      </c>
      <c r="AP31">
        <v>1560</v>
      </c>
      <c r="AR31">
        <v>10850</v>
      </c>
      <c r="AS31">
        <v>400</v>
      </c>
      <c r="AT31">
        <v>10109</v>
      </c>
      <c r="AW31" s="55" t="str" cm="1">
        <f t="array" ref="AW3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5" x14ac:dyDescent="0.25">
      <c r="A32" s="34" t="str" cm="1">
        <f t="array" ref="A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2" s="34" t="str" cm="1">
        <f t="array" ref="B3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ANTHONY VICENTE</v>
      </c>
      <c r="C32" s="34" cm="1">
        <f t="array" ref="C32">_xlfn.XLOOKUP(1,(TablaMeta[CONCAT]=$M$3&amp;$N$3&amp;D1_MAYO_202681[[#This Row],[SUPER]])*(TablaMeta[SEGG]=D1_MAYO_202681[[#This Row],[SEGMENTO]]),TablaMeta[Meta_Asesor])</f>
        <v>38500</v>
      </c>
      <c r="D32" s="35">
        <f>IF(D1_MAYO_202681[[#This Row],[RECUPERO]]="VACACIONES","VACACIONES",IFERROR(D1_MAYO_202681[[#This Row],[RECUPERO]]/D1_MAYO_202681[[#This Row],[META]],""))</f>
        <v>0.61436363636363633</v>
      </c>
      <c r="E32" s="35" t="str">
        <f>D1_MAYO_202681[[#This Row],[SUPER]]</f>
        <v>SANDY</v>
      </c>
      <c r="F32" t="s">
        <v>85</v>
      </c>
      <c r="G32" s="36">
        <v>23653</v>
      </c>
      <c r="H32" s="34" cm="1">
        <f t="array" ref="H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2" s="61" cm="1">
        <f t="array" ref="I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2" s="61" t="str" cm="1">
        <f t="array" ref="J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61" t="str" cm="1">
        <f t="array" ref="K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DATA_MAYO_202684[[#This Row],[RECUPERO]]/DATA_MAYO_202684[[#This Row],[META]]</f>
        <v>0.76166666666666671</v>
      </c>
      <c r="N32" s="5" t="str" cm="1">
        <f t="array" ref="N32">IF(DATA_MAYO_202684[[#This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IFERROR(VLOOKUP(DATA_MAYO_202684[[#This Row],[ASER_]],$B:$G,4,0),"")</f>
        <v>LISELY</v>
      </c>
      <c r="P32" s="6">
        <f>SUM(DATA_MAYO_202684[[#This Row],[2]:[31]])</f>
        <v>17366</v>
      </c>
      <c r="Q32" s="6">
        <f>VLOOKUP(DATA_MAYO_202684[[#This Row],[ASER_]],D1_MAYO_202681[[ASESOR_CRR]:[META]],2,0)</f>
        <v>22800</v>
      </c>
      <c r="R32" t="s">
        <v>49</v>
      </c>
      <c r="U32">
        <v>5800</v>
      </c>
      <c r="AF32">
        <v>600</v>
      </c>
      <c r="AG32">
        <v>744</v>
      </c>
      <c r="AI32">
        <v>3706</v>
      </c>
      <c r="AL32">
        <v>400</v>
      </c>
      <c r="AQ32">
        <v>308</v>
      </c>
      <c r="AR32">
        <v>2000</v>
      </c>
      <c r="AS32">
        <v>2500</v>
      </c>
      <c r="AT32">
        <v>1000</v>
      </c>
      <c r="AU32">
        <v>308</v>
      </c>
      <c r="AW32" s="55" t="str" cm="1">
        <f t="array" ref="AW3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3" spans="1:49" x14ac:dyDescent="0.25">
      <c r="A33" s="34" t="str" cm="1">
        <f t="array" ref="A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3" s="34" t="str" cm="1">
        <f t="array" ref="B3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MAYRA AVALOS</v>
      </c>
      <c r="C33" s="34" cm="1">
        <f t="array" ref="C33">_xlfn.XLOOKUP(1,(TablaMeta[CONCAT]=$M$3&amp;$N$3&amp;D1_MAYO_202681[[#This Row],[SUPER]])*(TablaMeta[SEGG]=D1_MAYO_202681[[#This Row],[SEGMENTO]]),TablaMeta[Meta_Asesor])</f>
        <v>18100</v>
      </c>
      <c r="D33" s="35">
        <f>IF(D1_MAYO_202681[[#This Row],[RECUPERO]]="VACACIONES","VACACIONES",IFERROR(D1_MAYO_202681[[#This Row],[RECUPERO]]/D1_MAYO_202681[[#This Row],[META]],""))</f>
        <v>1.1293922651933701</v>
      </c>
      <c r="E33" s="35" t="str">
        <f>D1_MAYO_202681[[#This Row],[SUPER]]</f>
        <v>LISELY</v>
      </c>
      <c r="F33" t="s">
        <v>55</v>
      </c>
      <c r="G33" s="36">
        <v>20442</v>
      </c>
      <c r="H33" s="34" cm="1">
        <f t="array" ref="H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3" s="61" cm="1">
        <f t="array" ref="I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3" s="61" t="str" cm="1">
        <f t="array" ref="J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61" t="str" cm="1">
        <f t="array" ref="K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3" s="56"/>
      <c r="M33" s="5">
        <f>DATA_MAYO_202684[[#This Row],[RECUPERO]]/DATA_MAYO_202684[[#This Row],[META]]</f>
        <v>0.48143176733780763</v>
      </c>
      <c r="N33" s="5" t="str" cm="1">
        <f t="array" ref="N33">IF(DATA_MAYO_202684[[#This Row],[ASER_]]="","",IFERROR(_xlfn.IFS(M33&gt;=100%,"&gt;100%",AND(M33&lt;100%,M33&gt;=70%),"&gt;70%",AND(M33&lt;70%,M33&gt;=40%),"&gt;40%",AND(M33&lt;40%,M33&gt;=0%),"&gt;0%"),""))</f>
        <v>&gt;40%</v>
      </c>
      <c r="O33" s="55" t="str">
        <f>IFERROR(VLOOKUP(DATA_MAYO_202684[[#This Row],[ASER_]],$B:$G,4,0),"")</f>
        <v>LEONOR</v>
      </c>
      <c r="P33" s="6">
        <f>SUM(DATA_MAYO_202684[[#This Row],[2]:[31]])</f>
        <v>21520</v>
      </c>
      <c r="Q33" s="6">
        <f>VLOOKUP(DATA_MAYO_202684[[#This Row],[ASER_]],D1_MAYO_202681[[ASESOR_CRR]:[META]],2,0)</f>
        <v>44700</v>
      </c>
      <c r="R33" t="s">
        <v>26</v>
      </c>
      <c r="U33">
        <v>1000</v>
      </c>
      <c r="W33">
        <v>470</v>
      </c>
      <c r="Z33">
        <v>300</v>
      </c>
      <c r="AB33">
        <v>200</v>
      </c>
      <c r="AE33">
        <v>200</v>
      </c>
      <c r="AF33">
        <v>250</v>
      </c>
      <c r="AI33">
        <v>3000</v>
      </c>
      <c r="AK33" s="6">
        <v>200</v>
      </c>
      <c r="AL33" s="6">
        <v>1280</v>
      </c>
      <c r="AM33" s="6"/>
      <c r="AN33" s="6"/>
      <c r="AO33" s="6"/>
      <c r="AP33" s="6"/>
      <c r="AQ33" s="6"/>
      <c r="AR33">
        <v>7500</v>
      </c>
      <c r="AT33">
        <v>7120</v>
      </c>
      <c r="AW33" s="55" t="str" cm="1">
        <f t="array" ref="AW3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49" x14ac:dyDescent="0.25">
      <c r="A34" s="34" t="str" cm="1">
        <f t="array" ref="A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CHRISTIAN ALVARADO</v>
      </c>
      <c r="C34" s="34" cm="1">
        <f t="array" ref="C34">_xlfn.XLOOKUP(1,(TablaMeta[CONCAT]=$M$3&amp;$N$3&amp;D1_MAYO_202681[[#This Row],[SUPER]])*(TablaMeta[SEGG]=D1_MAYO_202681[[#This Row],[SEGMENTO]]),TablaMeta[Meta_Asesor])</f>
        <v>18100</v>
      </c>
      <c r="D34" s="35">
        <f>IF(D1_MAYO_202681[[#This Row],[RECUPERO]]="VACACIONES","VACACIONES",IFERROR(D1_MAYO_202681[[#This Row],[RECUPERO]]/D1_MAYO_202681[[#This Row],[META]],""))</f>
        <v>1.071878453038674</v>
      </c>
      <c r="E34" s="35" t="str">
        <f>D1_MAYO_202681[[#This Row],[SUPER]]</f>
        <v>LISELY</v>
      </c>
      <c r="F34" t="s">
        <v>41</v>
      </c>
      <c r="G34" s="36">
        <v>19401</v>
      </c>
      <c r="H34" s="34" cm="1">
        <f t="array" ref="H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4" s="61" cm="1">
        <f t="array" ref="I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4" s="61" t="str" cm="1">
        <f t="array" ref="J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61" t="str" cm="1">
        <f t="array" ref="K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4" s="56"/>
      <c r="M34" s="5">
        <f>DATA_MAYO_202684[[#This Row],[RECUPERO]]/DATA_MAYO_202684[[#This Row],[META]]</f>
        <v>1.0003116883116883</v>
      </c>
      <c r="N34" s="5" t="str" cm="1">
        <f t="array" ref="N34">IF(DATA_MAYO_202684[[#This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IFERROR(VLOOKUP(DATA_MAYO_202684[[#This Row],[ASER_]],$B:$G,4,0),"")</f>
        <v>SANDY</v>
      </c>
      <c r="P34" s="6">
        <f>SUM(DATA_MAYO_202684[[#This Row],[2]:[31]])</f>
        <v>38512</v>
      </c>
      <c r="Q34" s="6">
        <f>VLOOKUP(DATA_MAYO_202684[[#This Row],[ASER_]],D1_MAYO_202681[[ASESOR_CRR]:[META]],2,0)</f>
        <v>38500</v>
      </c>
      <c r="R34" t="s">
        <v>564</v>
      </c>
      <c r="W34">
        <v>1000</v>
      </c>
      <c r="X34">
        <v>1405</v>
      </c>
      <c r="AB34">
        <v>250</v>
      </c>
      <c r="AD34">
        <v>1800</v>
      </c>
      <c r="AE34">
        <v>1000</v>
      </c>
      <c r="AF34">
        <v>1562</v>
      </c>
      <c r="AJ34">
        <v>4500</v>
      </c>
      <c r="AK34" s="6"/>
      <c r="AL34" s="6">
        <v>4000</v>
      </c>
      <c r="AM34" s="6">
        <v>1800</v>
      </c>
      <c r="AN34" s="6"/>
      <c r="AO34" s="6"/>
      <c r="AP34" s="6"/>
      <c r="AQ34" s="6">
        <v>18300</v>
      </c>
      <c r="AR34">
        <v>400</v>
      </c>
      <c r="AT34">
        <v>1970</v>
      </c>
      <c r="AU34">
        <v>525</v>
      </c>
      <c r="AW34" s="55" t="str" cm="1">
        <f t="array" ref="AW3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5" spans="1:49" x14ac:dyDescent="0.25">
      <c r="A35" s="34" t="str" cm="1">
        <f t="array" ref="A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JOSELIN MONTALVO</v>
      </c>
      <c r="C35" s="34" cm="1">
        <f t="array" ref="C35">_xlfn.XLOOKUP(1,(TablaMeta[CONCAT]=$M$3&amp;$N$3&amp;D1_MAYO_202681[[#This Row],[SUPER]])*(TablaMeta[SEGG]=D1_MAYO_202681[[#This Row],[SEGMENTO]]),TablaMeta[Meta_Asesor])</f>
        <v>18100</v>
      </c>
      <c r="D35" s="35">
        <f>IF(D1_MAYO_202681[[#This Row],[RECUPERO]]="VACACIONES","VACACIONES",IFERROR(D1_MAYO_202681[[#This Row],[RECUPERO]]/D1_MAYO_202681[[#This Row],[META]],""))</f>
        <v>0.78088397790055253</v>
      </c>
      <c r="E35" s="35" t="str">
        <f>D1_MAYO_202681[[#This Row],[SUPER]]</f>
        <v>LISELY</v>
      </c>
      <c r="F35" t="s">
        <v>549</v>
      </c>
      <c r="G35" s="36">
        <v>14134</v>
      </c>
      <c r="H35" s="34" cm="1">
        <f t="array" ref="H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61" cm="1">
        <f t="array" ref="I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61" t="str" cm="1">
        <f t="array" ref="J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61" t="str" cm="1">
        <f t="array" ref="K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DATA_MAYO_202684[[#This Row],[RECUPERO]]/DATA_MAYO_202684[[#This Row],[META]]</f>
        <v>0.15497237569060773</v>
      </c>
      <c r="N35" s="5" t="str" cm="1">
        <f t="array" ref="N35">IF(DATA_MAYO_202684[[#This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IFERROR(VLOOKUP(DATA_MAYO_202684[[#This Row],[ASER_]],$B:$G,4,0),"")</f>
        <v>LISELY</v>
      </c>
      <c r="P35" s="6">
        <f>SUM(DATA_MAYO_202684[[#This Row],[2]:[31]])</f>
        <v>2805</v>
      </c>
      <c r="Q35" s="6">
        <f>VLOOKUP(DATA_MAYO_202684[[#This Row],[ASER_]],D1_MAYO_202681[[ASESOR_CRR]:[META]],2,0)</f>
        <v>18100</v>
      </c>
      <c r="R35" t="s">
        <v>599</v>
      </c>
      <c r="Y35">
        <v>1225</v>
      </c>
      <c r="AC35">
        <v>400</v>
      </c>
      <c r="AD35">
        <v>180</v>
      </c>
      <c r="AF35" s="5"/>
      <c r="AG35" s="6"/>
      <c r="AH35" s="6"/>
      <c r="AI35" s="6">
        <v>500</v>
      </c>
      <c r="AJ35" s="6"/>
      <c r="AK35" s="6"/>
      <c r="AL35" s="6"/>
      <c r="AM35" s="6"/>
      <c r="AN35" s="6"/>
      <c r="AO35" s="6"/>
      <c r="AP35" s="6">
        <v>300</v>
      </c>
      <c r="AQ35" s="6"/>
      <c r="AR35" s="6"/>
      <c r="AS35" s="6">
        <v>200</v>
      </c>
      <c r="AT35" s="6"/>
      <c r="AU35" s="6"/>
      <c r="AV35" s="6"/>
      <c r="AW35" s="55" t="str" cm="1">
        <f t="array" ref="AW3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6" spans="1:49" x14ac:dyDescent="0.25">
      <c r="A36" s="34" t="str" cm="1">
        <f t="array" ref="A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ZAYDA CORTEZ</v>
      </c>
      <c r="C36" s="34" cm="1">
        <f t="array" ref="C36">_xlfn.XLOOKUP(1,(TablaMeta[CONCAT]=$M$3&amp;$N$3&amp;D1_MAYO_202681[[#This Row],[SUPER]])*(TablaMeta[SEGG]=D1_MAYO_202681[[#This Row],[SEGMENTO]]),TablaMeta[Meta_Asesor])</f>
        <v>18100</v>
      </c>
      <c r="D36" s="35">
        <f>IF(D1_MAYO_202681[[#This Row],[RECUPERO]]="VACACIONES","VACACIONES",IFERROR(D1_MAYO_202681[[#This Row],[RECUPERO]]/D1_MAYO_202681[[#This Row],[META]],""))</f>
        <v>0.16850828729281769</v>
      </c>
      <c r="E36" s="35" t="str">
        <f>D1_MAYO_202681[[#This Row],[SUPER]]</f>
        <v>LISELY</v>
      </c>
      <c r="F36" t="s">
        <v>601</v>
      </c>
      <c r="G36" s="36">
        <v>3050</v>
      </c>
      <c r="H36" s="34" cm="1">
        <f t="array" ref="H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6" s="61" cm="1">
        <f t="array" ref="I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6" s="61" t="str" cm="1">
        <f t="array" ref="J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6" s="61" t="str" cm="1">
        <f t="array" ref="K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DATA_MAYO_202684[[#This Row],[RECUPERO]]/DATA_MAYO_202684[[#This Row],[META]]</f>
        <v>0.8836623376623377</v>
      </c>
      <c r="N36" s="5" t="str" cm="1">
        <f t="array" ref="N36">IF(DATA_MAYO_202684[[#This Row],[ASER_]]="","",IFERROR(_xlfn.IFS(M36&gt;=100%,"&gt;100%",AND(M36&lt;100%,M36&gt;=70%),"&gt;70%",AND(M36&lt;70%,M36&gt;=40%),"&gt;40%",AND(M36&lt;40%,M36&gt;=0%),"&gt;0%"),""))</f>
        <v>&gt;70%</v>
      </c>
      <c r="O36" s="55" t="str">
        <f>IFERROR(VLOOKUP(DATA_MAYO_202684[[#This Row],[ASER_]],$B:$G,4,0),"")</f>
        <v>SANDY</v>
      </c>
      <c r="P36" s="6">
        <f>SUM(DATA_MAYO_202684[[#This Row],[2]:[31]])</f>
        <v>34021</v>
      </c>
      <c r="Q36" s="6">
        <f>VLOOKUP(DATA_MAYO_202684[[#This Row],[ASER_]],D1_MAYO_202681[[ASESOR_CRR]:[META]],2,0)</f>
        <v>38500</v>
      </c>
      <c r="R36" t="s">
        <v>96</v>
      </c>
      <c r="V36">
        <v>976</v>
      </c>
      <c r="W36">
        <v>2500</v>
      </c>
      <c r="AB36">
        <v>1510</v>
      </c>
      <c r="AC36">
        <v>660</v>
      </c>
      <c r="AD36">
        <v>900</v>
      </c>
      <c r="AE36">
        <v>600</v>
      </c>
      <c r="AF36" s="5"/>
      <c r="AG36" s="6"/>
      <c r="AH36" s="6"/>
      <c r="AI36" s="6">
        <v>7650</v>
      </c>
      <c r="AJ36" s="6">
        <v>300</v>
      </c>
      <c r="AK36" s="6">
        <v>500</v>
      </c>
      <c r="AL36" s="6">
        <v>3000</v>
      </c>
      <c r="AM36" s="6">
        <v>1200</v>
      </c>
      <c r="AN36" s="6"/>
      <c r="AO36" s="6"/>
      <c r="AP36" s="6">
        <v>1200</v>
      </c>
      <c r="AQ36" s="6">
        <v>8000</v>
      </c>
      <c r="AR36" s="6"/>
      <c r="AS36" s="6">
        <v>500</v>
      </c>
      <c r="AT36" s="6">
        <v>4000</v>
      </c>
      <c r="AU36" s="6">
        <v>525</v>
      </c>
      <c r="AV36" s="6"/>
      <c r="AW36" s="55" t="str" cm="1">
        <f t="array" ref="AW3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7" spans="1:49" x14ac:dyDescent="0.25">
      <c r="A37" s="34" t="str" cm="1">
        <f t="array" ref="A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JEREMY RODRIGUEZ</v>
      </c>
      <c r="C37" s="34" cm="1">
        <f t="array" ref="C37">_xlfn.XLOOKUP(1,(TablaMeta[CONCAT]=$M$3&amp;$N$3&amp;D1_MAYO_202681[[#This Row],[SUPER]])*(TablaMeta[SEGG]=D1_MAYO_202681[[#This Row],[SEGMENTO]]),TablaMeta[Meta_Asesor])</f>
        <v>18100</v>
      </c>
      <c r="D37" s="35">
        <f>IF(D1_MAYO_202681[[#This Row],[RECUPERO]]="VACACIONES","VACACIONES",IFERROR(D1_MAYO_202681[[#This Row],[RECUPERO]]/D1_MAYO_202681[[#This Row],[META]],""))</f>
        <v>0.15497237569060773</v>
      </c>
      <c r="E37" s="35" t="str">
        <f>D1_MAYO_202681[[#This Row],[SUPER]]</f>
        <v>LISELY</v>
      </c>
      <c r="F37" t="s">
        <v>599</v>
      </c>
      <c r="G37" s="36">
        <v>2805</v>
      </c>
      <c r="H37" s="34" cm="1">
        <f t="array" ref="H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7" s="61" cm="1">
        <f t="array" ref="I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7" s="61" t="str" cm="1">
        <f t="array" ref="J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61" t="str" cm="1">
        <f t="array" ref="K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DATA_MAYO_202684[[#This Row],[RECUPERO]]/DATA_MAYO_202684[[#This Row],[META]]</f>
        <v>0.85384787472035795</v>
      </c>
      <c r="N37" s="5" t="str" cm="1">
        <f t="array" ref="N37">IF(DATA_MAYO_202684[[#This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IFERROR(VLOOKUP(DATA_MAYO_202684[[#This Row],[ASER_]],$B:$G,4,0),"")</f>
        <v>JORGE</v>
      </c>
      <c r="P37" s="6">
        <f>SUM(DATA_MAYO_202684[[#This Row],[2]:[31]])</f>
        <v>38167</v>
      </c>
      <c r="Q37" s="6">
        <f>VLOOKUP(DATA_MAYO_202684[[#This Row],[ASER_]],D1_MAYO_202681[[ASESOR_CRR]:[META]],2,0)</f>
        <v>44700</v>
      </c>
      <c r="R37" t="s">
        <v>65</v>
      </c>
      <c r="S37">
        <v>824</v>
      </c>
      <c r="T37">
        <v>700</v>
      </c>
      <c r="U37">
        <v>265</v>
      </c>
      <c r="W37">
        <v>2785</v>
      </c>
      <c r="Y37">
        <v>1685</v>
      </c>
      <c r="AB37">
        <v>618</v>
      </c>
      <c r="AD37">
        <v>3550</v>
      </c>
      <c r="AF37" s="5">
        <v>6443</v>
      </c>
      <c r="AG37" s="6"/>
      <c r="AH37" s="6"/>
      <c r="AI37" s="6">
        <v>578</v>
      </c>
      <c r="AJ37" s="6">
        <v>1440</v>
      </c>
      <c r="AK37" s="6">
        <v>1450</v>
      </c>
      <c r="AL37" s="6">
        <v>2439</v>
      </c>
      <c r="AM37" s="6"/>
      <c r="AN37" s="6"/>
      <c r="AO37" s="6">
        <v>805</v>
      </c>
      <c r="AP37" s="6">
        <v>500</v>
      </c>
      <c r="AQ37" s="6">
        <v>4800</v>
      </c>
      <c r="AR37" s="6">
        <v>290</v>
      </c>
      <c r="AS37" s="6">
        <v>3000</v>
      </c>
      <c r="AT37" s="6">
        <v>5274</v>
      </c>
      <c r="AU37" s="6">
        <v>721</v>
      </c>
      <c r="AV37" s="6"/>
      <c r="AW37" s="55" t="str" cm="1">
        <f t="array" ref="AW3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49" x14ac:dyDescent="0.25">
      <c r="A38" s="34" t="str" cm="1">
        <f t="array" ref="A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NICOLE CAURURO</v>
      </c>
      <c r="C38" s="34" cm="1">
        <f t="array" ref="C38">_xlfn.XLOOKUP(1,(TablaMeta[CONCAT]=$M$3&amp;$N$3&amp;D1_MAYO_202681[[#This Row],[SUPER]])*(TablaMeta[SEGG]=D1_MAYO_202681[[#This Row],[SEGMENTO]]),TablaMeta[Meta_Asesor])</f>
        <v>18100</v>
      </c>
      <c r="D38" s="35">
        <f>IF(D1_MAYO_202681[[#This Row],[RECUPERO]]="VACACIONES","VACACIONES",IFERROR(D1_MAYO_202681[[#This Row],[RECUPERO]]/D1_MAYO_202681[[#This Row],[META]],""))</f>
        <v>0.11906077348066299</v>
      </c>
      <c r="E38" s="35" t="str">
        <f>D1_MAYO_202681[[#This Row],[SUPER]]</f>
        <v>LISELY</v>
      </c>
      <c r="F38" t="s">
        <v>566</v>
      </c>
      <c r="G38" s="36">
        <v>2155</v>
      </c>
      <c r="H38" s="34" cm="1">
        <f t="array" ref="H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8" s="61" cm="1">
        <f t="array" ref="I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8" s="61" t="str" cm="1">
        <f t="array" ref="J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8" s="61" t="str" cm="1">
        <f t="array" ref="K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DATA_MAYO_202684[[#This Row],[RECUPERO]]/DATA_MAYO_202684[[#This Row],[META]]</f>
        <v>0.70691275167785239</v>
      </c>
      <c r="N38" s="5" t="str" cm="1">
        <f t="array" ref="N38">IF(DATA_MAYO_202684[[#This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IFERROR(VLOOKUP(DATA_MAYO_202684[[#This Row],[ASER_]],$B:$G,4,0),"")</f>
        <v>JORGE</v>
      </c>
      <c r="P38" s="6">
        <f>SUM(DATA_MAYO_202684[[#This Row],[2]:[31]])</f>
        <v>31599</v>
      </c>
      <c r="Q38" s="6">
        <f>VLOOKUP(DATA_MAYO_202684[[#This Row],[ASER_]],D1_MAYO_202681[[ASESOR_CRR]:[META]],2,0)</f>
        <v>44700</v>
      </c>
      <c r="R38" t="s">
        <v>37</v>
      </c>
      <c r="V38">
        <v>6000</v>
      </c>
      <c r="X38">
        <v>950</v>
      </c>
      <c r="AC38">
        <v>150</v>
      </c>
      <c r="AD38">
        <v>350</v>
      </c>
      <c r="AE38">
        <v>1191</v>
      </c>
      <c r="AF38" s="5">
        <v>500</v>
      </c>
      <c r="AG38" s="6">
        <v>350</v>
      </c>
      <c r="AH38" s="6"/>
      <c r="AI38" s="6"/>
      <c r="AJ38" s="6"/>
      <c r="AK38" s="6">
        <v>1925</v>
      </c>
      <c r="AL38" s="6"/>
      <c r="AM38" s="6"/>
      <c r="AN38" s="6"/>
      <c r="AO38" s="6"/>
      <c r="AP38" s="6"/>
      <c r="AQ38" s="6">
        <v>2500</v>
      </c>
      <c r="AR38" s="6">
        <v>330</v>
      </c>
      <c r="AS38" s="6">
        <v>13619</v>
      </c>
      <c r="AT38" s="6">
        <v>1100</v>
      </c>
      <c r="AU38" s="6">
        <v>2634</v>
      </c>
      <c r="AV38" s="6"/>
      <c r="AW38" s="55" t="str" cm="1">
        <f t="array" ref="AW3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49" x14ac:dyDescent="0.25">
      <c r="A39" s="34" t="str" cm="1">
        <f t="array" ref="A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ALANOCCA</v>
      </c>
      <c r="C39" s="34" cm="1">
        <f t="array" ref="C39">_xlfn.XLOOKUP(1,(TablaMeta[CONCAT]=$M$3&amp;$N$3&amp;D1_MAYO_202681[[#This Row],[SUPER]])*(TablaMeta[SEGG]=D1_MAYO_202681[[#This Row],[SEGMENTO]]),TablaMeta[Meta_Asesor])</f>
        <v>22800</v>
      </c>
      <c r="D39" s="35">
        <f>IF(D1_MAYO_202681[[#This Row],[RECUPERO]]="VACACIONES","VACACIONES",IFERROR(D1_MAYO_202681[[#This Row],[RECUPERO]]/D1_MAYO_202681[[#This Row],[META]],""))</f>
        <v>1.3173245614035087</v>
      </c>
      <c r="E39" s="35" t="str">
        <f>D1_MAYO_202681[[#This Row],[SUPER]]</f>
        <v>LISELY</v>
      </c>
      <c r="F39" t="s">
        <v>77</v>
      </c>
      <c r="G39" s="36">
        <v>30035</v>
      </c>
      <c r="H39" s="34" cm="1">
        <f t="array" ref="H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9" s="61" cm="1">
        <f t="array" ref="I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9" s="61" t="str" cm="1">
        <f t="array" ref="J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61" t="str" cm="1">
        <f t="array" ref="K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9" s="56"/>
      <c r="M39" s="5">
        <f>DATA_MAYO_202684[[#This Row],[RECUPERO]]/DATA_MAYO_202684[[#This Row],[META]]</f>
        <v>0.78088397790055253</v>
      </c>
      <c r="N39" s="5" t="str" cm="1">
        <f t="array" ref="N39">IF(DATA_MAYO_202684[[#This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IFERROR(VLOOKUP(DATA_MAYO_202684[[#This Row],[ASER_]],$B:$G,4,0),"")</f>
        <v>LISELY</v>
      </c>
      <c r="P39" s="6">
        <f>SUM(DATA_MAYO_202684[[#This Row],[2]:[31]])</f>
        <v>14134</v>
      </c>
      <c r="Q39" s="6">
        <f>VLOOKUP(DATA_MAYO_202684[[#This Row],[ASER_]],D1_MAYO_202681[[ASESOR_CRR]:[META]],2,0)</f>
        <v>18100</v>
      </c>
      <c r="R39" t="s">
        <v>549</v>
      </c>
      <c r="U39">
        <v>350</v>
      </c>
      <c r="V39">
        <v>660</v>
      </c>
      <c r="W39">
        <v>734</v>
      </c>
      <c r="AC39">
        <v>90</v>
      </c>
      <c r="AD39">
        <v>500</v>
      </c>
      <c r="AE39">
        <v>700</v>
      </c>
      <c r="AF39" s="5">
        <v>300</v>
      </c>
      <c r="AG39" s="6"/>
      <c r="AH39" s="6"/>
      <c r="AI39" s="6"/>
      <c r="AJ39" s="6">
        <v>2400</v>
      </c>
      <c r="AK39" s="6">
        <v>800</v>
      </c>
      <c r="AL39" s="6"/>
      <c r="AM39" s="6">
        <v>1300</v>
      </c>
      <c r="AN39" s="6"/>
      <c r="AO39" s="6"/>
      <c r="AP39" s="6"/>
      <c r="AQ39" s="6"/>
      <c r="AR39" s="6">
        <v>5300</v>
      </c>
      <c r="AS39" s="6"/>
      <c r="AT39" s="6">
        <v>1000</v>
      </c>
      <c r="AU39" s="6"/>
      <c r="AV39" s="6"/>
      <c r="AW39" s="55" t="str" cm="1">
        <f t="array" ref="AW3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0" spans="1:49" x14ac:dyDescent="0.25">
      <c r="A40" s="34" t="str" cm="1">
        <f t="array" ref="A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HUARCA</v>
      </c>
      <c r="C40" s="34" cm="1">
        <f t="array" ref="C40">_xlfn.XLOOKUP(1,(TablaMeta[CONCAT]=$M$3&amp;$N$3&amp;D1_MAYO_202681[[#This Row],[SUPER]])*(TablaMeta[SEGG]=D1_MAYO_202681[[#This Row],[SEGMENTO]]),TablaMeta[Meta_Asesor])</f>
        <v>22800</v>
      </c>
      <c r="D40" s="35">
        <f>IF(D1_MAYO_202681[[#This Row],[RECUPERO]]="VACACIONES","VACACIONES",IFERROR(D1_MAYO_202681[[#This Row],[RECUPERO]]/D1_MAYO_202681[[#This Row],[META]],""))</f>
        <v>1.1355701754385965</v>
      </c>
      <c r="E40" s="35" t="str">
        <f>D1_MAYO_202681[[#This Row],[SUPER]]</f>
        <v>LISELY</v>
      </c>
      <c r="F40" t="s">
        <v>48</v>
      </c>
      <c r="G40" s="36">
        <v>25891</v>
      </c>
      <c r="H40" s="34" cm="1">
        <f t="array" ref="H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40" s="61" cm="1">
        <f t="array" ref="I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0" s="61" t="str" cm="1">
        <f t="array" ref="J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61" t="str" cm="1">
        <f t="array" ref="K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DATA_MAYO_202684[[#This Row],[RECUPERO]]/DATA_MAYO_202684[[#This Row],[META]]</f>
        <v>1.3173245614035087</v>
      </c>
      <c r="N40" s="5" t="str" cm="1">
        <f t="array" ref="N40">IF(DATA_MAYO_202684[[#This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IFERROR(VLOOKUP(DATA_MAYO_202684[[#This Row],[ASER_]],$B:$G,4,0),"")</f>
        <v>LISELY</v>
      </c>
      <c r="P40" s="6">
        <f>SUM(DATA_MAYO_202684[[#This Row],[2]:[31]])</f>
        <v>30035</v>
      </c>
      <c r="Q40" s="6">
        <f>VLOOKUP(DATA_MAYO_202684[[#This Row],[ASER_]],D1_MAYO_202681[[ASESOR_CRR]:[META]],2,0)</f>
        <v>22800</v>
      </c>
      <c r="R40" t="s">
        <v>77</v>
      </c>
      <c r="U40">
        <v>4924</v>
      </c>
      <c r="V40">
        <v>865</v>
      </c>
      <c r="W40">
        <v>3500</v>
      </c>
      <c r="Z40">
        <v>220</v>
      </c>
      <c r="AD40">
        <v>160</v>
      </c>
      <c r="AF40">
        <v>2100</v>
      </c>
      <c r="AG40" s="5"/>
      <c r="AH40" s="77"/>
      <c r="AI40" s="6"/>
      <c r="AJ40" s="6"/>
      <c r="AK40" s="6"/>
      <c r="AL40" s="6"/>
      <c r="AM40" s="6"/>
      <c r="AN40" s="6"/>
      <c r="AO40" s="6"/>
      <c r="AP40" s="6">
        <v>420</v>
      </c>
      <c r="AQ40" s="6"/>
      <c r="AR40" s="6"/>
      <c r="AS40" s="6">
        <v>12016</v>
      </c>
      <c r="AT40" s="6">
        <v>2000</v>
      </c>
      <c r="AU40" s="6">
        <v>3830</v>
      </c>
      <c r="AV40" s="6"/>
      <c r="AW40" s="55" t="str" cm="1">
        <f t="array" ref="AW4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1" spans="1:49" x14ac:dyDescent="0.25">
      <c r="A41" s="34" t="str" cm="1">
        <f t="array" ref="A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1" s="34" t="str" cm="1">
        <f t="array" ref="B4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ALEJANDRO GONZALES</v>
      </c>
      <c r="C41" s="34" cm="1">
        <f t="array" ref="C41">_xlfn.XLOOKUP(1,(TablaMeta[CONCAT]=$M$3&amp;$N$3&amp;D1_MAYO_202681[[#This Row],[SUPER]])*(TablaMeta[SEGG]=D1_MAYO_202681[[#This Row],[SEGMENTO]]),TablaMeta[Meta_Asesor])</f>
        <v>22800</v>
      </c>
      <c r="D41" s="35">
        <f>IF(D1_MAYO_202681[[#This Row],[RECUPERO]]="VACACIONES","VACACIONES",IFERROR(D1_MAYO_202681[[#This Row],[RECUPERO]]/D1_MAYO_202681[[#This Row],[META]],""))</f>
        <v>1.0237719298245613</v>
      </c>
      <c r="E41" s="35" t="str">
        <f>D1_MAYO_202681[[#This Row],[SUPER]]</f>
        <v>LISELY</v>
      </c>
      <c r="F41" t="s">
        <v>109</v>
      </c>
      <c r="G41" s="36">
        <v>23342</v>
      </c>
      <c r="H41" s="34" cm="1">
        <f t="array" ref="H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1" s="61" cm="1">
        <f t="array" ref="I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1" s="61" t="str" cm="1">
        <f t="array" ref="J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61" t="str" cm="1">
        <f t="array" ref="K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1" s="56"/>
      <c r="M41" s="5">
        <f>DATA_MAYO_202684[[#This Row],[RECUPERO]]/DATA_MAYO_202684[[#This Row],[META]]</f>
        <v>0.85006525285481238</v>
      </c>
      <c r="N41" s="5" t="str" cm="1">
        <f t="array" ref="N41">IF(DATA_MAYO_202684[[#This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IFERROR(VLOOKUP(DATA_MAYO_202684[[#This Row],[ASER_]],$B:$G,4,0),"")</f>
        <v>KENNETH</v>
      </c>
      <c r="P41" s="6">
        <f>SUM(DATA_MAYO_202684[[#This Row],[2]:[31]])</f>
        <v>52109</v>
      </c>
      <c r="Q41" s="6">
        <f>VLOOKUP(DATA_MAYO_202684[[#This Row],[ASER_]],D1_MAYO_202681[[ASESOR_CRR]:[META]],2,0)</f>
        <v>61300</v>
      </c>
      <c r="R41" t="s">
        <v>35</v>
      </c>
      <c r="U41">
        <v>500</v>
      </c>
      <c r="W41">
        <v>480</v>
      </c>
      <c r="X41">
        <v>2000</v>
      </c>
      <c r="Z41">
        <v>380</v>
      </c>
      <c r="AB41">
        <v>2600</v>
      </c>
      <c r="AE41">
        <v>5850</v>
      </c>
      <c r="AF41">
        <v>2930</v>
      </c>
      <c r="AG41" s="5"/>
      <c r="AH41" s="6"/>
      <c r="AI41" s="6">
        <v>1500</v>
      </c>
      <c r="AJ41" s="6">
        <v>3160</v>
      </c>
      <c r="AK41" s="6">
        <v>3178</v>
      </c>
      <c r="AL41" s="6"/>
      <c r="AM41" s="6">
        <v>5500</v>
      </c>
      <c r="AN41" s="6"/>
      <c r="AO41" s="6"/>
      <c r="AP41" s="6">
        <v>900</v>
      </c>
      <c r="AQ41" s="6"/>
      <c r="AR41" s="6">
        <v>500</v>
      </c>
      <c r="AS41" s="6">
        <v>1401</v>
      </c>
      <c r="AT41" s="6">
        <v>12960</v>
      </c>
      <c r="AU41" s="6">
        <v>8270</v>
      </c>
      <c r="AV41" s="6"/>
      <c r="AW41" s="55" t="str" cm="1">
        <f t="array" ref="AW4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49" x14ac:dyDescent="0.25">
      <c r="A42" s="34" t="str" cm="1">
        <f t="array" ref="A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2" s="34" t="str" cm="1">
        <f t="array" ref="B4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PANTA</v>
      </c>
      <c r="C42" s="34" cm="1">
        <f t="array" ref="C42">_xlfn.XLOOKUP(1,(TablaMeta[CONCAT]=$M$3&amp;$N$3&amp;D1_MAYO_202681[[#This Row],[SUPER]])*(TablaMeta[SEGG]=D1_MAYO_202681[[#This Row],[SEGMENTO]]),TablaMeta[Meta_Asesor])</f>
        <v>22800</v>
      </c>
      <c r="D42" s="35">
        <f>IF(D1_MAYO_202681[[#This Row],[RECUPERO]]="VACACIONES","VACACIONES",IFERROR(D1_MAYO_202681[[#This Row],[RECUPERO]]/D1_MAYO_202681[[#This Row],[META]],""))</f>
        <v>0.98333333333333328</v>
      </c>
      <c r="E42" s="35" t="str">
        <f>D1_MAYO_202681[[#This Row],[SUPER]]</f>
        <v>LISELY</v>
      </c>
      <c r="F42" t="s">
        <v>495</v>
      </c>
      <c r="G42" s="36">
        <v>22420</v>
      </c>
      <c r="H42" s="34" cm="1">
        <f t="array" ref="H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2" s="61" cm="1">
        <f t="array" ref="I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2" s="61" t="str" cm="1">
        <f t="array" ref="J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61" t="str" cm="1">
        <f t="array" ref="K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2" s="56"/>
      <c r="M42" s="5">
        <f>DATA_MAYO_202684[[#This Row],[RECUPERO]]/DATA_MAYO_202684[[#This Row],[META]]</f>
        <v>0.8617402597402597</v>
      </c>
      <c r="N42" s="5" t="str" cm="1">
        <f t="array" ref="N42">IF(DATA_MAYO_202684[[#This Row],[ASER_]]="","",IFERROR(_xlfn.IFS(M42&gt;=100%,"&gt;100%",AND(M42&lt;100%,M42&gt;=70%),"&gt;70%",AND(M42&lt;70%,M42&gt;=40%),"&gt;40%",AND(M42&lt;40%,M42&gt;=0%),"&gt;0%"),""))</f>
        <v>&gt;70%</v>
      </c>
      <c r="O42" s="55" t="str">
        <f>IFERROR(VLOOKUP(DATA_MAYO_202684[[#This Row],[ASER_]],$B:$G,4,0),"")</f>
        <v>SANDY</v>
      </c>
      <c r="P42" s="6">
        <f>SUM(DATA_MAYO_202684[[#This Row],[2]:[31]])</f>
        <v>33177</v>
      </c>
      <c r="Q42" s="6">
        <f>VLOOKUP(DATA_MAYO_202684[[#This Row],[ASER_]],D1_MAYO_202681[[ASESOR_CRR]:[META]],2,0)</f>
        <v>38500</v>
      </c>
      <c r="R42" t="s">
        <v>68</v>
      </c>
      <c r="U42">
        <v>2900</v>
      </c>
      <c r="W42">
        <v>2000</v>
      </c>
      <c r="X42">
        <v>2973</v>
      </c>
      <c r="Y42">
        <v>500</v>
      </c>
      <c r="AB42">
        <v>103</v>
      </c>
      <c r="AC42">
        <v>341</v>
      </c>
      <c r="AD42">
        <v>485</v>
      </c>
      <c r="AE42">
        <v>650</v>
      </c>
      <c r="AF42">
        <v>350</v>
      </c>
      <c r="AG42" s="5"/>
      <c r="AH42" s="6"/>
      <c r="AI42" s="6">
        <v>500</v>
      </c>
      <c r="AJ42" s="6"/>
      <c r="AK42" s="6">
        <v>4435</v>
      </c>
      <c r="AL42" s="6">
        <v>7410</v>
      </c>
      <c r="AM42" s="6">
        <v>1200</v>
      </c>
      <c r="AN42" s="6"/>
      <c r="AO42" s="6"/>
      <c r="AP42" s="6">
        <v>890</v>
      </c>
      <c r="AQ42" s="6">
        <v>2200</v>
      </c>
      <c r="AR42" s="6"/>
      <c r="AS42" s="6"/>
      <c r="AT42" s="6">
        <v>6240</v>
      </c>
      <c r="AU42" s="6"/>
      <c r="AV42" s="6"/>
      <c r="AW42" s="55" t="str" cm="1">
        <f t="array" ref="AW4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49" x14ac:dyDescent="0.25">
      <c r="A43" s="34" t="str" cm="1">
        <f t="array" ref="A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3" s="34" t="str" cm="1">
        <f t="array" ref="B4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FERNANDA APAZA</v>
      </c>
      <c r="C43" s="34" cm="1">
        <f t="array" ref="C43">_xlfn.XLOOKUP(1,(TablaMeta[CONCAT]=$M$3&amp;$N$3&amp;D1_MAYO_202681[[#This Row],[SUPER]])*(TablaMeta[SEGG]=D1_MAYO_202681[[#This Row],[SEGMENTO]]),TablaMeta[Meta_Asesor])</f>
        <v>22800</v>
      </c>
      <c r="D43" s="35">
        <f>IF(D1_MAYO_202681[[#This Row],[RECUPERO]]="VACACIONES","VACACIONES",IFERROR(D1_MAYO_202681[[#This Row],[RECUPERO]]/D1_MAYO_202681[[#This Row],[META]],""))</f>
        <v>0.87850877192982457</v>
      </c>
      <c r="E43" s="35" t="str">
        <f>D1_MAYO_202681[[#This Row],[SUPER]]</f>
        <v>LISELY</v>
      </c>
      <c r="F43" t="s">
        <v>600</v>
      </c>
      <c r="G43" s="36">
        <v>20030</v>
      </c>
      <c r="H43" s="34" cm="1">
        <f t="array" ref="H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3" s="61" cm="1">
        <f t="array" ref="I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3" s="61" t="str" cm="1">
        <f t="array" ref="J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61" t="str" cm="1">
        <f t="array" ref="K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3" s="56"/>
      <c r="M43" s="5">
        <f>DATA_MAYO_202684[[#This Row],[RECUPERO]]/DATA_MAYO_202684[[#This Row],[META]]</f>
        <v>0.59116331096196872</v>
      </c>
      <c r="N43" s="5" t="str" cm="1">
        <f t="array" ref="N43">IF(DATA_MAYO_202684[[#This Row],[ASER_]]="","",IFERROR(_xlfn.IFS(M43&gt;=100%,"&gt;100%",AND(M43&lt;100%,M43&gt;=70%),"&gt;70%",AND(M43&lt;70%,M43&gt;=40%),"&gt;40%",AND(M43&lt;40%,M43&gt;=0%),"&gt;0%"),""))</f>
        <v>&gt;40%</v>
      </c>
      <c r="O43" s="55" t="str">
        <f>IFERROR(VLOOKUP(DATA_MAYO_202684[[#This Row],[ASER_]],$B:$G,4,0),"")</f>
        <v>JORGE</v>
      </c>
      <c r="P43" s="6">
        <f>SUM(DATA_MAYO_202684[[#This Row],[2]:[31]])</f>
        <v>26425</v>
      </c>
      <c r="Q43" s="6">
        <f>VLOOKUP(DATA_MAYO_202684[[#This Row],[ASER_]],D1_MAYO_202681[[ASESOR_CRR]:[META]],2,0)</f>
        <v>44700</v>
      </c>
      <c r="R43" t="s">
        <v>31</v>
      </c>
      <c r="V43">
        <v>2000</v>
      </c>
      <c r="W43">
        <v>11264</v>
      </c>
      <c r="AD43">
        <v>2000</v>
      </c>
      <c r="AG43" s="5">
        <v>225</v>
      </c>
      <c r="AH43" s="6"/>
      <c r="AI43" s="6"/>
      <c r="AJ43" s="6">
        <v>6736</v>
      </c>
      <c r="AK43" s="6"/>
      <c r="AL43" s="6"/>
      <c r="AM43" s="6">
        <v>1800</v>
      </c>
      <c r="AN43" s="6"/>
      <c r="AO43" s="6"/>
      <c r="AP43" s="6"/>
      <c r="AQ43" s="6"/>
      <c r="AR43" s="6"/>
      <c r="AS43" s="6"/>
      <c r="AT43" s="6">
        <v>2400</v>
      </c>
      <c r="AU43" s="6"/>
      <c r="AV43" s="6"/>
      <c r="AW43" s="55" t="str" cm="1">
        <f t="array" ref="AW4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49" x14ac:dyDescent="0.25">
      <c r="A44" s="34" t="str" cm="1">
        <f t="array" ref="A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4" s="34" t="str" cm="1">
        <f t="array" ref="B4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JANETH PORTOCARRERO</v>
      </c>
      <c r="C44" s="34" cm="1">
        <f t="array" ref="C44">_xlfn.XLOOKUP(1,(TablaMeta[CONCAT]=$M$3&amp;$N$3&amp;D1_MAYO_202681[[#This Row],[SUPER]])*(TablaMeta[SEGG]=D1_MAYO_202681[[#This Row],[SEGMENTO]]),TablaMeta[Meta_Asesor])</f>
        <v>22800</v>
      </c>
      <c r="D44" s="35">
        <f>IF(D1_MAYO_202681[[#This Row],[RECUPERO]]="VACACIONES","VACACIONES",IFERROR(D1_MAYO_202681[[#This Row],[RECUPERO]]/D1_MAYO_202681[[#This Row],[META]],""))</f>
        <v>0.76166666666666671</v>
      </c>
      <c r="E44" s="35" t="str">
        <f>D1_MAYO_202681[[#This Row],[SUPER]]</f>
        <v>LISELY</v>
      </c>
      <c r="F44" t="s">
        <v>49</v>
      </c>
      <c r="G44" s="36">
        <v>17366</v>
      </c>
      <c r="H44" s="34" cm="1">
        <f t="array" ref="H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4" s="61" cm="1">
        <f t="array" ref="I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4" s="61" t="str" cm="1">
        <f t="array" ref="J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61" t="str" cm="1">
        <f t="array" ref="K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4" s="56"/>
      <c r="M44" s="5">
        <f>DATA_MAYO_202684[[#This Row],[RECUPERO]]/DATA_MAYO_202684[[#This Row],[META]]</f>
        <v>1.0765402597402598</v>
      </c>
      <c r="N44" s="5" t="str" cm="1">
        <f t="array" ref="N44">IF(DATA_MAYO_202684[[#This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IFERROR(VLOOKUP(DATA_MAYO_202684[[#This Row],[ASER_]],$B:$G,4,0),"")</f>
        <v>SANDY</v>
      </c>
      <c r="P44" s="6">
        <f>SUM(DATA_MAYO_202684[[#This Row],[2]:[31]])</f>
        <v>41446.800000000003</v>
      </c>
      <c r="Q44" s="6">
        <f>VLOOKUP(DATA_MAYO_202684[[#This Row],[ASER_]],D1_MAYO_202681[[ASESOR_CRR]:[META]],2,0)</f>
        <v>38500</v>
      </c>
      <c r="R44" t="s">
        <v>29</v>
      </c>
      <c r="U44">
        <v>343.8</v>
      </c>
      <c r="V44">
        <v>236</v>
      </c>
      <c r="W44">
        <v>1885</v>
      </c>
      <c r="X44">
        <v>1000</v>
      </c>
      <c r="Y44">
        <v>275</v>
      </c>
      <c r="AB44">
        <v>1521</v>
      </c>
      <c r="AC44">
        <v>100</v>
      </c>
      <c r="AD44">
        <v>650</v>
      </c>
      <c r="AE44">
        <v>1115</v>
      </c>
      <c r="AF44">
        <v>530</v>
      </c>
      <c r="AG44" s="5">
        <v>850</v>
      </c>
      <c r="AH44" s="6"/>
      <c r="AI44" s="6">
        <v>5200</v>
      </c>
      <c r="AJ44" s="6">
        <v>1360</v>
      </c>
      <c r="AK44" s="6">
        <v>584</v>
      </c>
      <c r="AL44" s="6">
        <v>3980</v>
      </c>
      <c r="AM44" s="6">
        <v>1075</v>
      </c>
      <c r="AN44" s="6">
        <v>380</v>
      </c>
      <c r="AO44" s="6"/>
      <c r="AP44" s="6">
        <v>1979</v>
      </c>
      <c r="AQ44" s="6">
        <v>3500</v>
      </c>
      <c r="AR44" s="6">
        <v>2700</v>
      </c>
      <c r="AS44" s="6">
        <v>5650</v>
      </c>
      <c r="AT44" s="6">
        <v>6533</v>
      </c>
      <c r="AU44" s="6"/>
      <c r="AV44" s="6"/>
      <c r="AW44" s="55" t="str" cm="1">
        <f t="array" ref="AW4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5" spans="1:49" x14ac:dyDescent="0.25">
      <c r="A45" s="34" t="str" cm="1">
        <f t="array" ref="A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5" s="34" t="str" cm="1">
        <f t="array" ref="B4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URSULA CENTENO</v>
      </c>
      <c r="C45" s="34" cm="1">
        <f t="array" ref="C45">_xlfn.XLOOKUP(1,(TablaMeta[CONCAT]=$M$3&amp;$N$3&amp;D1_MAYO_202681[[#This Row],[SUPER]])*(TablaMeta[SEGG]=D1_MAYO_202681[[#This Row],[SEGMENTO]]),TablaMeta[Meta_Asesor])</f>
        <v>22800</v>
      </c>
      <c r="D45" s="35">
        <f>IF(D1_MAYO_202681[[#This Row],[RECUPERO]]="VACACIONES","VACACIONES",IFERROR(D1_MAYO_202681[[#This Row],[RECUPERO]]/D1_MAYO_202681[[#This Row],[META]],""))</f>
        <v>0.73070175438596496</v>
      </c>
      <c r="E45" s="35" t="str">
        <f>D1_MAYO_202681[[#This Row],[SUPER]]</f>
        <v>LISELY</v>
      </c>
      <c r="F45" t="s">
        <v>78</v>
      </c>
      <c r="G45" s="36">
        <v>16660</v>
      </c>
      <c r="H45" s="34" cm="1">
        <f t="array" ref="H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5" s="61" cm="1">
        <f t="array" ref="I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5" s="61" t="str" cm="1">
        <f t="array" ref="J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61" t="str" cm="1">
        <f t="array" ref="K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5" s="56"/>
      <c r="M45" s="5">
        <f>DATA_MAYO_202684[[#This Row],[RECUPERO]]/DATA_MAYO_202684[[#This Row],[META]]</f>
        <v>0.88145413870246081</v>
      </c>
      <c r="N45" s="5" t="str" cm="1">
        <f t="array" ref="N45">IF(DATA_MAYO_202684[[#This Row],[ASER_]]="","",IFERROR(_xlfn.IFS(M45&gt;=100%,"&gt;100%",AND(M45&lt;100%,M45&gt;=70%),"&gt;70%",AND(M45&lt;70%,M45&gt;=40%),"&gt;40%",AND(M45&lt;40%,M45&gt;=0%),"&gt;0%"),""))</f>
        <v>&gt;70%</v>
      </c>
      <c r="O45" s="55" t="str">
        <f>IFERROR(VLOOKUP(DATA_MAYO_202684[[#This Row],[ASER_]],$B:$G,4,0),"")</f>
        <v>JORGE</v>
      </c>
      <c r="P45" s="6">
        <f>SUM(DATA_MAYO_202684[[#This Row],[2]:[31]])</f>
        <v>39401</v>
      </c>
      <c r="Q45" s="6">
        <f>VLOOKUP(DATA_MAYO_202684[[#This Row],[ASER_]],D1_MAYO_202681[[ASESOR_CRR]:[META]],2,0)</f>
        <v>44700</v>
      </c>
      <c r="R45" t="s">
        <v>25</v>
      </c>
      <c r="U45">
        <v>1100</v>
      </c>
      <c r="W45">
        <v>3080</v>
      </c>
      <c r="X45">
        <v>500</v>
      </c>
      <c r="Y45">
        <v>400</v>
      </c>
      <c r="AB45">
        <v>2000</v>
      </c>
      <c r="AC45">
        <v>525</v>
      </c>
      <c r="AD45">
        <v>1500</v>
      </c>
      <c r="AG45" s="5"/>
      <c r="AH45" s="6"/>
      <c r="AI45" s="6"/>
      <c r="AJ45" s="6">
        <v>390</v>
      </c>
      <c r="AK45" s="6">
        <v>500</v>
      </c>
      <c r="AL45" s="6">
        <v>11785</v>
      </c>
      <c r="AM45" s="6">
        <v>1400</v>
      </c>
      <c r="AN45" s="6"/>
      <c r="AO45" s="6"/>
      <c r="AP45" s="6"/>
      <c r="AQ45" s="6">
        <v>10252</v>
      </c>
      <c r="AR45" s="6"/>
      <c r="AS45" s="6">
        <v>300</v>
      </c>
      <c r="AT45" s="6">
        <v>4212</v>
      </c>
      <c r="AU45" s="6">
        <v>1275</v>
      </c>
      <c r="AV45" s="6">
        <v>182</v>
      </c>
      <c r="AW45" s="55" t="str" cm="1">
        <f t="array" ref="AW4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49" x14ac:dyDescent="0.25">
      <c r="A46" s="34" t="str" cm="1">
        <f t="array" ref="A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6" s="34" t="str" cm="1">
        <f t="array" ref="B4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PIERINA TESEN</v>
      </c>
      <c r="C46" s="34" cm="1">
        <f t="array" ref="C46">_xlfn.XLOOKUP(1,(TablaMeta[CONCAT]=$M$3&amp;$N$3&amp;D1_MAYO_202681[[#This Row],[SUPER]])*(TablaMeta[SEGG]=D1_MAYO_202681[[#This Row],[SEGMENTO]]),TablaMeta[Meta_Asesor])</f>
        <v>44700</v>
      </c>
      <c r="D46" s="35">
        <f>IF(D1_MAYO_202681[[#This Row],[RECUPERO]]="VACACIONES","VACACIONES",IFERROR(D1_MAYO_202681[[#This Row],[RECUPERO]]/D1_MAYO_202681[[#This Row],[META]],""))</f>
        <v>1.5928299776286354</v>
      </c>
      <c r="E46" s="35" t="str">
        <f>D1_MAYO_202681[[#This Row],[SUPER]]</f>
        <v>LEONOR</v>
      </c>
      <c r="F46" t="s">
        <v>59</v>
      </c>
      <c r="G46" s="36">
        <v>71199.5</v>
      </c>
      <c r="H46" s="34" cm="1">
        <f t="array" ref="H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6" s="61" cm="1">
        <f t="array" ref="I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6" s="61" t="str" cm="1">
        <f t="array" ref="J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61" t="str" cm="1">
        <f t="array" ref="K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DATA_MAYO_202684[[#This Row],[RECUPERO]]/DATA_MAYO_202684[[#This Row],[META]]</f>
        <v>0.36261744966442955</v>
      </c>
      <c r="N46" s="5" t="str" cm="1">
        <f t="array" ref="N46">IF(DATA_MAYO_202684[[#This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IFERROR(VLOOKUP(DATA_MAYO_202684[[#This Row],[ASER_]],$B:$G,4,0),"")</f>
        <v>LEONOR</v>
      </c>
      <c r="P46" s="6">
        <f>SUM(DATA_MAYO_202684[[#This Row],[2]:[31]])</f>
        <v>16209</v>
      </c>
      <c r="Q46" s="6">
        <f>VLOOKUP(DATA_MAYO_202684[[#This Row],[ASER_]],D1_MAYO_202681[[ASESOR_CRR]:[META]],2,0)</f>
        <v>44700</v>
      </c>
      <c r="R46" t="s">
        <v>75</v>
      </c>
      <c r="U46">
        <v>2000</v>
      </c>
      <c r="V46">
        <v>2000</v>
      </c>
      <c r="AG46" s="5"/>
      <c r="AH46" s="6"/>
      <c r="AI46" s="6">
        <v>700</v>
      </c>
      <c r="AJ46" s="6"/>
      <c r="AK46" s="6">
        <v>1500</v>
      </c>
      <c r="AL46" s="6"/>
      <c r="AM46" s="6"/>
      <c r="AN46" s="6"/>
      <c r="AO46" s="6"/>
      <c r="AP46" s="6"/>
      <c r="AQ46" s="6">
        <v>7732</v>
      </c>
      <c r="AR46" s="6"/>
      <c r="AS46" s="6">
        <v>430</v>
      </c>
      <c r="AT46" s="6">
        <v>1397</v>
      </c>
      <c r="AU46" s="6">
        <v>450</v>
      </c>
      <c r="AV46" s="6"/>
      <c r="AW46" s="55" t="str" cm="1">
        <f t="array" ref="AW4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49" x14ac:dyDescent="0.25">
      <c r="A47" s="34" t="str" cm="1">
        <f t="array" ref="A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CRISTINA TICONA</v>
      </c>
      <c r="C47" s="34" cm="1">
        <f t="array" ref="C47">_xlfn.XLOOKUP(1,(TablaMeta[CONCAT]=$M$3&amp;$N$3&amp;D1_MAYO_202681[[#This Row],[SUPER]])*(TablaMeta[SEGG]=D1_MAYO_202681[[#This Row],[SEGMENTO]]),TablaMeta[Meta_Asesor])</f>
        <v>44700</v>
      </c>
      <c r="D47" s="35">
        <f>IF(D1_MAYO_202681[[#This Row],[RECUPERO]]="VACACIONES","VACACIONES",IFERROR(D1_MAYO_202681[[#This Row],[RECUPERO]]/D1_MAYO_202681[[#This Row],[META]],""))</f>
        <v>1.0455480984340044</v>
      </c>
      <c r="E47" s="35" t="str">
        <f>D1_MAYO_202681[[#This Row],[SUPER]]</f>
        <v>LEONOR</v>
      </c>
      <c r="F47" t="s">
        <v>61</v>
      </c>
      <c r="G47" s="36">
        <v>46736</v>
      </c>
      <c r="H47" s="34" cm="1">
        <f t="array" ref="H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7" s="61" cm="1">
        <f t="array" ref="I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7" s="61" t="str" cm="1">
        <f t="array" ref="J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61" t="str" cm="1">
        <f t="array" ref="K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DATA_MAYO_202684[[#This Row],[RECUPERO]]/DATA_MAYO_202684[[#This Row],[META]]</f>
        <v>1.1293922651933701</v>
      </c>
      <c r="N47" s="5" t="str" cm="1">
        <f t="array" ref="N47">IF(DATA_MAYO_202684[[#This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IFERROR(VLOOKUP(DATA_MAYO_202684[[#This Row],[ASER_]],$B:$G,4,0),"")</f>
        <v>LISELY</v>
      </c>
      <c r="P47" s="6">
        <f>SUM(DATA_MAYO_202684[[#This Row],[2]:[31]])</f>
        <v>20442</v>
      </c>
      <c r="Q47" s="6">
        <f>VLOOKUP(DATA_MAYO_202684[[#This Row],[ASER_]],D1_MAYO_202681[[ASESOR_CRR]:[META]],2,0)</f>
        <v>18100</v>
      </c>
      <c r="R47" t="s">
        <v>55</v>
      </c>
      <c r="W47">
        <v>8500</v>
      </c>
      <c r="Y47">
        <v>305</v>
      </c>
      <c r="AB47">
        <v>1035</v>
      </c>
      <c r="AC47">
        <v>200</v>
      </c>
      <c r="AD47">
        <v>600</v>
      </c>
      <c r="AF47">
        <v>280</v>
      </c>
      <c r="AG47" s="5"/>
      <c r="AH47" s="6"/>
      <c r="AI47" s="6">
        <v>350</v>
      </c>
      <c r="AJ47" s="6"/>
      <c r="AK47" s="6">
        <v>160</v>
      </c>
      <c r="AL47" s="6"/>
      <c r="AM47" s="6"/>
      <c r="AN47" s="6"/>
      <c r="AO47" s="6">
        <v>540</v>
      </c>
      <c r="AP47" s="6">
        <v>580</v>
      </c>
      <c r="AQ47" s="6">
        <v>2440</v>
      </c>
      <c r="AR47" s="6">
        <v>127</v>
      </c>
      <c r="AS47" s="6">
        <v>1450</v>
      </c>
      <c r="AT47" s="6">
        <v>2220</v>
      </c>
      <c r="AU47" s="6">
        <v>1655</v>
      </c>
      <c r="AV47" s="6"/>
      <c r="AW47" s="55" t="str" cm="1">
        <f t="array" ref="AW4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8" spans="1:49" x14ac:dyDescent="0.25">
      <c r="A48" s="34" t="str" cm="1">
        <f t="array" ref="A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ALEIDITH GUEVARA</v>
      </c>
      <c r="C48" s="34" cm="1">
        <f t="array" ref="C48">_xlfn.XLOOKUP(1,(TablaMeta[CONCAT]=$M$3&amp;$N$3&amp;D1_MAYO_202681[[#This Row],[SUPER]])*(TablaMeta[SEGG]=D1_MAYO_202681[[#This Row],[SEGMENTO]]),TablaMeta[Meta_Asesor])</f>
        <v>44700</v>
      </c>
      <c r="D48" s="35">
        <f>IF(D1_MAYO_202681[[#This Row],[RECUPERO]]="VACACIONES","VACACIONES",IFERROR(D1_MAYO_202681[[#This Row],[RECUPERO]]/D1_MAYO_202681[[#This Row],[META]],""))</f>
        <v>0.8530201342281879</v>
      </c>
      <c r="E48" s="35" t="str">
        <f>D1_MAYO_202681[[#This Row],[SUPER]]</f>
        <v>LEONOR</v>
      </c>
      <c r="F48" t="s">
        <v>18</v>
      </c>
      <c r="G48" s="36">
        <v>38130</v>
      </c>
      <c r="H48" s="34" cm="1">
        <f t="array" ref="H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8" s="61" cm="1">
        <f t="array" ref="I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8" s="61" t="str" cm="1">
        <f t="array" ref="J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61" t="str" cm="1">
        <f t="array" ref="K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DATA_MAYO_202684[[#This Row],[RECUPERO]]/DATA_MAYO_202684[[#This Row],[META]]</f>
        <v>1.1106362153344209</v>
      </c>
      <c r="N48" s="5" t="str" cm="1">
        <f t="array" ref="N48">IF(DATA_MAYO_202684[[#This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IFERROR(VLOOKUP(DATA_MAYO_202684[[#This Row],[ASER_]],$B:$G,4,0),"")</f>
        <v>KENNETH</v>
      </c>
      <c r="P48" s="6">
        <f>SUM(DATA_MAYO_202684[[#This Row],[2]:[31]])</f>
        <v>68082</v>
      </c>
      <c r="Q48" s="6">
        <f>VLOOKUP(DATA_MAYO_202684[[#This Row],[ASER_]],D1_MAYO_202681[[ASESOR_CRR]:[META]],2,0)</f>
        <v>61300</v>
      </c>
      <c r="R48" t="s">
        <v>11</v>
      </c>
      <c r="W48">
        <v>150</v>
      </c>
      <c r="X48">
        <v>300</v>
      </c>
      <c r="Y48">
        <v>5500</v>
      </c>
      <c r="AB48">
        <v>1000</v>
      </c>
      <c r="AC48">
        <v>17100</v>
      </c>
      <c r="AE48">
        <v>3000</v>
      </c>
      <c r="AG48" s="5"/>
      <c r="AH48" s="6"/>
      <c r="AI48" s="6"/>
      <c r="AJ48" s="6">
        <v>750</v>
      </c>
      <c r="AK48" s="6">
        <v>500</v>
      </c>
      <c r="AL48" s="6">
        <v>1000</v>
      </c>
      <c r="AM48" s="6">
        <v>7500</v>
      </c>
      <c r="AN48" s="6"/>
      <c r="AO48" s="6"/>
      <c r="AP48" s="6">
        <v>840</v>
      </c>
      <c r="AQ48" s="6">
        <v>9000</v>
      </c>
      <c r="AR48" s="6">
        <v>4111</v>
      </c>
      <c r="AS48" s="6">
        <v>1200</v>
      </c>
      <c r="AT48" s="6">
        <v>12700</v>
      </c>
      <c r="AU48" s="6">
        <v>2764</v>
      </c>
      <c r="AV48" s="6">
        <v>667</v>
      </c>
      <c r="AW48" s="55" t="str" cm="1">
        <f t="array" ref="AW4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9" spans="1:49" x14ac:dyDescent="0.25">
      <c r="A49" s="34" t="str" cm="1">
        <f t="array" ref="A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DANIEL ZAPATA</v>
      </c>
      <c r="C49" s="34" cm="1">
        <f t="array" ref="C49">_xlfn.XLOOKUP(1,(TablaMeta[CONCAT]=$M$3&amp;$N$3&amp;D1_MAYO_202681[[#This Row],[SUPER]])*(TablaMeta[SEGG]=D1_MAYO_202681[[#This Row],[SEGMENTO]]),TablaMeta[Meta_Asesor])</f>
        <v>44700</v>
      </c>
      <c r="D49" s="35">
        <f>IF(D1_MAYO_202681[[#This Row],[RECUPERO]]="VACACIONES","VACACIONES",IFERROR(D1_MAYO_202681[[#This Row],[RECUPERO]]/D1_MAYO_202681[[#This Row],[META]],""))</f>
        <v>0.85134228187919458</v>
      </c>
      <c r="E49" s="35" t="str">
        <f>D1_MAYO_202681[[#This Row],[SUPER]]</f>
        <v>LEONOR</v>
      </c>
      <c r="F49" t="s">
        <v>80</v>
      </c>
      <c r="G49" s="36">
        <v>38055</v>
      </c>
      <c r="H49" s="34" cm="1">
        <f t="array" ref="H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9" s="61" cm="1">
        <f t="array" ref="I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9" s="61" t="str" cm="1">
        <f t="array" ref="J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61" t="str" cm="1">
        <f t="array" ref="K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DATA_MAYO_202684[[#This Row],[RECUPERO]]/DATA_MAYO_202684[[#This Row],[META]]</f>
        <v>1.484935064935065</v>
      </c>
      <c r="N49" s="5" t="str" cm="1">
        <f t="array" ref="N49">IF(DATA_MAYO_202684[[#This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IFERROR(VLOOKUP(DATA_MAYO_202684[[#This Row],[ASER_]],$B:$G,4,0),"")</f>
        <v>SANDY</v>
      </c>
      <c r="P49" s="6">
        <f>SUM(DATA_MAYO_202684[[#This Row],[2]:[31]])</f>
        <v>57170</v>
      </c>
      <c r="Q49" s="6">
        <f>VLOOKUP(DATA_MAYO_202684[[#This Row],[ASER_]],D1_MAYO_202681[[ASESOR_CRR]:[META]],2,0)</f>
        <v>38500</v>
      </c>
      <c r="R49" t="s">
        <v>79</v>
      </c>
      <c r="V49">
        <v>15500</v>
      </c>
      <c r="W49">
        <v>1150</v>
      </c>
      <c r="AC49">
        <v>1000</v>
      </c>
      <c r="AD49">
        <v>550</v>
      </c>
      <c r="AG49" s="5"/>
      <c r="AH49" s="6"/>
      <c r="AI49" s="6">
        <v>2600</v>
      </c>
      <c r="AJ49" s="6">
        <v>2520</v>
      </c>
      <c r="AK49" s="6">
        <v>15000</v>
      </c>
      <c r="AL49" s="6"/>
      <c r="AM49" s="6">
        <v>7000</v>
      </c>
      <c r="AN49" s="6"/>
      <c r="AO49" s="6"/>
      <c r="AP49" s="6"/>
      <c r="AQ49" s="6"/>
      <c r="AR49" s="6">
        <v>520</v>
      </c>
      <c r="AS49" s="6">
        <v>2080</v>
      </c>
      <c r="AT49" s="6">
        <v>8950</v>
      </c>
      <c r="AU49" s="6">
        <v>300</v>
      </c>
      <c r="AV49" s="6"/>
      <c r="AW49" s="55" t="str" cm="1">
        <f t="array" ref="AW4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0" spans="1:49" x14ac:dyDescent="0.25">
      <c r="A50" s="34" t="str" cm="1">
        <f t="array" ref="A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ANALUCIA PONCE</v>
      </c>
      <c r="C50" s="34" cm="1">
        <f t="array" ref="C50">_xlfn.XLOOKUP(1,(TablaMeta[CONCAT]=$M$3&amp;$N$3&amp;D1_MAYO_202681[[#This Row],[SUPER]])*(TablaMeta[SEGG]=D1_MAYO_202681[[#This Row],[SEGMENTO]]),TablaMeta[Meta_Asesor])</f>
        <v>44700</v>
      </c>
      <c r="D50" s="35">
        <f>IF(D1_MAYO_202681[[#This Row],[RECUPERO]]="VACACIONES","VACACIONES",IFERROR(D1_MAYO_202681[[#This Row],[RECUPERO]]/D1_MAYO_202681[[#This Row],[META]],""))</f>
        <v>0.7966319910514541</v>
      </c>
      <c r="E50" s="35" t="str">
        <f>D1_MAYO_202681[[#This Row],[SUPER]]</f>
        <v>LEONOR</v>
      </c>
      <c r="F50" t="s">
        <v>60</v>
      </c>
      <c r="G50" s="36">
        <v>35609.449999999997</v>
      </c>
      <c r="H50" s="34" cm="1">
        <f t="array" ref="H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0" s="61" cm="1">
        <f t="array" ref="I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0" s="61" t="str" cm="1">
        <f t="array" ref="J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61" t="str" cm="1">
        <f t="array" ref="K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DATA_MAYO_202684[[#This Row],[RECUPERO]]/DATA_MAYO_202684[[#This Row],[META]]</f>
        <v>0.11906077348066299</v>
      </c>
      <c r="N50" s="5" t="str" cm="1">
        <f t="array" ref="N50">IF(DATA_MAYO_202684[[#This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IFERROR(VLOOKUP(DATA_MAYO_202684[[#This Row],[ASER_]],$B:$G,4,0),"")</f>
        <v>LISELY</v>
      </c>
      <c r="P50" s="6">
        <f>SUM(DATA_MAYO_202684[[#This Row],[2]:[31]])</f>
        <v>2155</v>
      </c>
      <c r="Q50" s="6">
        <f>VLOOKUP(DATA_MAYO_202684[[#This Row],[ASER_]],D1_MAYO_202681[[ASESOR_CRR]:[META]],2,0)</f>
        <v>18100</v>
      </c>
      <c r="R50" t="s">
        <v>566</v>
      </c>
      <c r="U50">
        <v>300</v>
      </c>
      <c r="Y50">
        <v>1615</v>
      </c>
      <c r="AC50">
        <v>60</v>
      </c>
      <c r="AG50" s="5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>
        <v>180</v>
      </c>
      <c r="AU50" s="6"/>
      <c r="AV50" s="6"/>
      <c r="AW50" s="55" t="str" cm="1">
        <f t="array" ref="AW5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1" spans="1:49" x14ac:dyDescent="0.25">
      <c r="A51" s="34" t="str" cm="1">
        <f t="array" ref="A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VILLAR</v>
      </c>
      <c r="C51" s="34" cm="1">
        <f t="array" ref="C51">_xlfn.XLOOKUP(1,(TablaMeta[CONCAT]=$M$3&amp;$N$3&amp;D1_MAYO_202681[[#This Row],[SUPER]])*(TablaMeta[SEGG]=D1_MAYO_202681[[#This Row],[SEGMENTO]]),TablaMeta[Meta_Asesor])</f>
        <v>44700</v>
      </c>
      <c r="D51" s="35">
        <f>IF(D1_MAYO_202681[[#This Row],[RECUPERO]]="VACACIONES","VACACIONES",IFERROR(D1_MAYO_202681[[#This Row],[RECUPERO]]/D1_MAYO_202681[[#This Row],[META]],""))</f>
        <v>0.76570469798657714</v>
      </c>
      <c r="E51" s="35" t="str">
        <f>D1_MAYO_202681[[#This Row],[SUPER]]</f>
        <v>LEONOR</v>
      </c>
      <c r="F51" t="s">
        <v>72</v>
      </c>
      <c r="G51" s="36">
        <v>34227</v>
      </c>
      <c r="H51" s="34" cm="1">
        <f t="array" ref="H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1" s="61" cm="1">
        <f t="array" ref="I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1" s="61" t="str" cm="1">
        <f t="array" ref="J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61" t="str" cm="1">
        <f t="array" ref="K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DATA_MAYO_202684[[#This Row],[RECUPERO]]/DATA_MAYO_202684[[#This Row],[META]]</f>
        <v>1.1421071778140293</v>
      </c>
      <c r="N51" s="5" t="str" cm="1">
        <f t="array" ref="N51">IF(DATA_MAYO_202684[[#This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IFERROR(VLOOKUP(DATA_MAYO_202684[[#This Row],[ASER_]],$B:$G,4,0),"")</f>
        <v>KENNETH</v>
      </c>
      <c r="P51" s="6">
        <f>SUM(DATA_MAYO_202684[[#This Row],[2]:[31]])</f>
        <v>70011.17</v>
      </c>
      <c r="Q51" s="6">
        <f>VLOOKUP(DATA_MAYO_202684[[#This Row],[ASER_]],D1_MAYO_202681[[ASESOR_CRR]:[META]],2,0)</f>
        <v>61300</v>
      </c>
      <c r="R51" t="s">
        <v>97</v>
      </c>
      <c r="U51">
        <v>2050</v>
      </c>
      <c r="V51">
        <v>985</v>
      </c>
      <c r="W51">
        <v>340</v>
      </c>
      <c r="X51">
        <v>225</v>
      </c>
      <c r="Y51">
        <v>1085</v>
      </c>
      <c r="AB51">
        <v>2225</v>
      </c>
      <c r="AC51">
        <v>3000</v>
      </c>
      <c r="AD51">
        <v>12926.17</v>
      </c>
      <c r="AE51">
        <v>5000</v>
      </c>
      <c r="AF51">
        <v>925</v>
      </c>
      <c r="AG51" s="5">
        <v>310</v>
      </c>
      <c r="AH51" s="6"/>
      <c r="AI51" s="6">
        <v>6070</v>
      </c>
      <c r="AJ51" s="6">
        <v>4220</v>
      </c>
      <c r="AK51" s="6">
        <v>3000</v>
      </c>
      <c r="AL51" s="6">
        <v>500</v>
      </c>
      <c r="AM51" s="6">
        <v>1150</v>
      </c>
      <c r="AN51" s="6">
        <v>610</v>
      </c>
      <c r="AO51" s="6"/>
      <c r="AP51" s="6">
        <v>3820</v>
      </c>
      <c r="AQ51" s="6"/>
      <c r="AR51" s="6">
        <v>400</v>
      </c>
      <c r="AS51" s="6">
        <v>2905</v>
      </c>
      <c r="AT51" s="6">
        <v>5155</v>
      </c>
      <c r="AU51" s="6">
        <v>13110</v>
      </c>
      <c r="AV51" s="6"/>
      <c r="AW51" s="55" t="str" cm="1">
        <f t="array" ref="AW5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2" spans="1:49" x14ac:dyDescent="0.25">
      <c r="A52" s="34" t="str" cm="1">
        <f t="array" ref="A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VICUNA</v>
      </c>
      <c r="C52" s="34" cm="1">
        <f t="array" ref="C52">_xlfn.XLOOKUP(1,(TablaMeta[CONCAT]=$M$3&amp;$N$3&amp;D1_MAYO_202681[[#This Row],[SUPER]])*(TablaMeta[SEGG]=D1_MAYO_202681[[#This Row],[SEGMENTO]]),TablaMeta[Meta_Asesor])</f>
        <v>44700</v>
      </c>
      <c r="D52" s="35">
        <f>IF(D1_MAYO_202681[[#This Row],[RECUPERO]]="VACACIONES","VACACIONES",IFERROR(D1_MAYO_202681[[#This Row],[RECUPERO]]/D1_MAYO_202681[[#This Row],[META]],""))</f>
        <v>0.73328859060402685</v>
      </c>
      <c r="E52" s="35" t="str">
        <f>D1_MAYO_202681[[#This Row],[SUPER]]</f>
        <v>LEONOR</v>
      </c>
      <c r="F52" t="s">
        <v>12</v>
      </c>
      <c r="G52" s="36">
        <v>32778</v>
      </c>
      <c r="H52" s="34" cm="1">
        <f t="array" ref="H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2" s="61" cm="1">
        <f t="array" ref="I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2" s="61" t="str" cm="1">
        <f t="array" ref="J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61" t="str" cm="1">
        <f t="array" ref="K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DATA_MAYO_202684[[#This Row],[RECUPERO]]/DATA_MAYO_202684[[#This Row],[META]]</f>
        <v>1.5928299776286354</v>
      </c>
      <c r="N52" s="5" t="str" cm="1">
        <f t="array" ref="N52">IF(DATA_MAYO_202684[[#This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IFERROR(VLOOKUP(DATA_MAYO_202684[[#This Row],[ASER_]],$B:$G,4,0),"")</f>
        <v>LEONOR</v>
      </c>
      <c r="P52" s="6">
        <f>SUM(DATA_MAYO_202684[[#This Row],[2]:[31]])</f>
        <v>71199.5</v>
      </c>
      <c r="Q52" s="6">
        <f>VLOOKUP(DATA_MAYO_202684[[#This Row],[ASER_]],D1_MAYO_202681[[ASESOR_CRR]:[META]],2,0)</f>
        <v>44700</v>
      </c>
      <c r="R52" t="s">
        <v>59</v>
      </c>
      <c r="U52">
        <v>1000</v>
      </c>
      <c r="V52">
        <v>5600</v>
      </c>
      <c r="X52">
        <v>3050</v>
      </c>
      <c r="AB52">
        <v>1100</v>
      </c>
      <c r="AC52">
        <v>3500</v>
      </c>
      <c r="AD52">
        <v>1800</v>
      </c>
      <c r="AE52">
        <v>1200</v>
      </c>
      <c r="AF52">
        <v>2700</v>
      </c>
      <c r="AG52" s="5"/>
      <c r="AH52" s="6"/>
      <c r="AI52" s="6">
        <v>2000</v>
      </c>
      <c r="AJ52" s="6">
        <v>5560</v>
      </c>
      <c r="AK52" s="6"/>
      <c r="AL52" s="6"/>
      <c r="AM52" s="6">
        <v>3600</v>
      </c>
      <c r="AN52" s="6">
        <v>688</v>
      </c>
      <c r="AO52" s="6"/>
      <c r="AP52" s="6">
        <v>800</v>
      </c>
      <c r="AQ52" s="6">
        <v>5640</v>
      </c>
      <c r="AR52" s="6">
        <v>4000</v>
      </c>
      <c r="AS52" s="6">
        <v>11700</v>
      </c>
      <c r="AT52" s="6">
        <v>1550</v>
      </c>
      <c r="AU52" s="6">
        <v>15711.5</v>
      </c>
      <c r="AV52" s="6"/>
      <c r="AW52" s="55" t="str" cm="1">
        <f t="array" ref="AW5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3" spans="1:49" x14ac:dyDescent="0.25">
      <c r="A53" s="34" t="str" cm="1">
        <f t="array" ref="A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LAZARO</v>
      </c>
      <c r="C53" s="34" cm="1">
        <f t="array" ref="C53">_xlfn.XLOOKUP(1,(TablaMeta[CONCAT]=$M$3&amp;$N$3&amp;D1_MAYO_202681[[#This Row],[SUPER]])*(TablaMeta[SEGG]=D1_MAYO_202681[[#This Row],[SEGMENTO]]),TablaMeta[Meta_Asesor])</f>
        <v>44700</v>
      </c>
      <c r="D53" s="35">
        <f>IF(D1_MAYO_202681[[#This Row],[RECUPERO]]="VACACIONES","VACACIONES",IFERROR(D1_MAYO_202681[[#This Row],[RECUPERO]]/D1_MAYO_202681[[#This Row],[META]],""))</f>
        <v>0.48143176733780763</v>
      </c>
      <c r="E53" s="35" t="str">
        <f>D1_MAYO_202681[[#This Row],[SUPER]]</f>
        <v>LEONOR</v>
      </c>
      <c r="F53" t="s">
        <v>26</v>
      </c>
      <c r="G53" s="36">
        <v>21520</v>
      </c>
      <c r="H53" s="34" cm="1">
        <f t="array" ref="H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53" s="61" cm="1">
        <f t="array" ref="I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53" s="61" t="str" cm="1">
        <f t="array" ref="J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61" t="str" cm="1">
        <f t="array" ref="K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DATA_MAYO_202684[[#This Row],[RECUPERO]]/DATA_MAYO_202684[[#This Row],[META]]</f>
        <v>1.1226753670473084</v>
      </c>
      <c r="N53" s="5" t="str" cm="1">
        <f t="array" ref="N53">IF(DATA_MAYO_202684[[#This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IFERROR(VLOOKUP(DATA_MAYO_202684[[#This Row],[ASER_]],$B:$G,4,0),"")</f>
        <v>KENNETH</v>
      </c>
      <c r="P53" s="6">
        <f>SUM(DATA_MAYO_202684[[#This Row],[2]:[31]])</f>
        <v>68820</v>
      </c>
      <c r="Q53" s="6">
        <f>VLOOKUP(DATA_MAYO_202684[[#This Row],[ASER_]],D1_MAYO_202681[[ASESOR_CRR]:[META]],2,0)</f>
        <v>61300</v>
      </c>
      <c r="R53" t="s">
        <v>34</v>
      </c>
      <c r="U53">
        <v>5700</v>
      </c>
      <c r="V53">
        <v>5000</v>
      </c>
      <c r="W53">
        <v>1000</v>
      </c>
      <c r="X53">
        <v>6000</v>
      </c>
      <c r="Y53">
        <v>220</v>
      </c>
      <c r="AB53">
        <v>5000</v>
      </c>
      <c r="AC53">
        <v>450</v>
      </c>
      <c r="AD53">
        <v>200</v>
      </c>
      <c r="AF53">
        <v>3000</v>
      </c>
      <c r="AI53">
        <v>600</v>
      </c>
      <c r="AJ53">
        <v>3000</v>
      </c>
      <c r="AK53" s="6"/>
      <c r="AL53" s="6">
        <v>3150</v>
      </c>
      <c r="AM53" s="6"/>
      <c r="AN53" s="6"/>
      <c r="AO53" s="6"/>
      <c r="AP53" s="6">
        <v>1600</v>
      </c>
      <c r="AQ53" s="6">
        <v>12500</v>
      </c>
      <c r="AR53" s="6"/>
      <c r="AS53" s="6"/>
      <c r="AT53" s="6">
        <v>21200</v>
      </c>
      <c r="AU53">
        <v>200</v>
      </c>
      <c r="AW53" s="55" t="str" cm="1">
        <f t="array" ref="AW5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4" spans="1:49" x14ac:dyDescent="0.25">
      <c r="A54" s="34" t="str" cm="1">
        <f t="array" ref="A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MARIA TINTAYA</v>
      </c>
      <c r="C54" s="34" cm="1">
        <f t="array" ref="C54">_xlfn.XLOOKUP(1,(TablaMeta[CONCAT]=$M$3&amp;$N$3&amp;D1_MAYO_202681[[#This Row],[SUPER]])*(TablaMeta[SEGG]=D1_MAYO_202681[[#This Row],[SEGMENTO]]),TablaMeta[Meta_Asesor])</f>
        <v>44700</v>
      </c>
      <c r="D54" s="35">
        <f>IF(D1_MAYO_202681[[#This Row],[RECUPERO]]="VACACIONES","VACACIONES",IFERROR(D1_MAYO_202681[[#This Row],[RECUPERO]]/D1_MAYO_202681[[#This Row],[META]],""))</f>
        <v>0.36261744966442955</v>
      </c>
      <c r="E54" s="35" t="str">
        <f>D1_MAYO_202681[[#This Row],[SUPER]]</f>
        <v>LEONOR</v>
      </c>
      <c r="F54" t="s">
        <v>75</v>
      </c>
      <c r="G54" s="36">
        <v>16209</v>
      </c>
      <c r="H54" s="34" cm="1">
        <f t="array" ref="H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54" s="61" cm="1">
        <f t="array" ref="I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54" s="61" t="str" cm="1">
        <f t="array" ref="J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61" t="str" cm="1">
        <f t="array" ref="K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DATA_MAYO_202684[[#This Row],[RECUPERO]]/DATA_MAYO_202684[[#This Row],[META]]</f>
        <v>0.73070175438596496</v>
      </c>
      <c r="N54" s="5" t="str" cm="1">
        <f t="array" ref="N54">IF(DATA_MAYO_202684[[#This Row],[ASER_]]="","",IFERROR(_xlfn.IFS(M54&gt;=100%,"&gt;100%",AND(M54&lt;100%,M54&gt;=70%),"&gt;70%",AND(M54&lt;70%,M54&gt;=40%),"&gt;40%",AND(M54&lt;40%,M54&gt;=0%),"&gt;0%"),""))</f>
        <v>&gt;70%</v>
      </c>
      <c r="O54" s="55" t="str">
        <f>IFERROR(VLOOKUP(DATA_MAYO_202684[[#This Row],[ASER_]],$B:$G,4,0),"")</f>
        <v>LISELY</v>
      </c>
      <c r="P54" s="6">
        <f>SUM(DATA_MAYO_202684[[#This Row],[2]:[31]])</f>
        <v>16660</v>
      </c>
      <c r="Q54" s="6">
        <f>VLOOKUP(DATA_MAYO_202684[[#This Row],[ASER_]],D1_MAYO_202681[[ASESOR_CRR]:[META]],2,0)</f>
        <v>22800</v>
      </c>
      <c r="R54" t="s">
        <v>78</v>
      </c>
      <c r="V54">
        <v>2000</v>
      </c>
      <c r="AB54">
        <v>300</v>
      </c>
      <c r="AD54">
        <v>300</v>
      </c>
      <c r="AE54">
        <v>1300</v>
      </c>
      <c r="AI54">
        <v>1100</v>
      </c>
      <c r="AJ54">
        <v>180</v>
      </c>
      <c r="AK54" s="6"/>
      <c r="AL54" s="6">
        <v>2500</v>
      </c>
      <c r="AM54" s="6">
        <v>1700</v>
      </c>
      <c r="AN54" s="6"/>
      <c r="AO54" s="6"/>
      <c r="AP54" s="6"/>
      <c r="AQ54" s="6">
        <v>3500</v>
      </c>
      <c r="AR54" s="6">
        <v>600</v>
      </c>
      <c r="AS54" s="6">
        <v>1700</v>
      </c>
      <c r="AT54" s="6">
        <v>580</v>
      </c>
      <c r="AU54">
        <v>900</v>
      </c>
      <c r="AW54" s="55" t="str" cm="1">
        <f t="array" ref="AW5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5" spans="1:49" x14ac:dyDescent="0.25">
      <c r="A55" s="34" t="str" cm="1">
        <f t="array" ref="A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GERALDINE ARROYO</v>
      </c>
      <c r="C55" s="34" cm="1">
        <f t="array" ref="C55">_xlfn.XLOOKUP(1,(TablaMeta[CONCAT]=$M$3&amp;$N$3&amp;D1_MAYO_202681[[#This Row],[SUPER]])*(TablaMeta[SEGG]=D1_MAYO_202681[[#This Row],[SEGMENTO]]),TablaMeta[Meta_Asesor])</f>
        <v>44700</v>
      </c>
      <c r="D55" s="35">
        <f>IF(D1_MAYO_202681[[#This Row],[RECUPERO]]="VACACIONES","VACACIONES",IFERROR(D1_MAYO_202681[[#This Row],[RECUPERO]]/D1_MAYO_202681[[#This Row],[META]],""))</f>
        <v>0.1360178970917226</v>
      </c>
      <c r="E55" s="35" t="str">
        <f>D1_MAYO_202681[[#This Row],[SUPER]]</f>
        <v>LEONOR</v>
      </c>
      <c r="F55" t="s">
        <v>51</v>
      </c>
      <c r="G55" s="36">
        <v>6080</v>
      </c>
      <c r="H55" s="34" cm="1">
        <f t="array" ref="H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5" s="61" cm="1">
        <f t="array" ref="I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5" s="61" t="str" cm="1">
        <f t="array" ref="J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61" t="str" cm="1">
        <f t="array" ref="K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DATA_MAYO_202684[[#This Row],[RECUPERO]]/DATA_MAYO_202684[[#This Row],[META]]</f>
        <v>1.1355701754385965</v>
      </c>
      <c r="N55" s="5" t="str" cm="1">
        <f t="array" ref="N55">IF(DATA_MAYO_202684[[#This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IFERROR(VLOOKUP(DATA_MAYO_202684[[#This Row],[ASER_]],$B:$G,4,0),"")</f>
        <v>LISELY</v>
      </c>
      <c r="P55" s="6">
        <f>SUM(DATA_MAYO_202684[[#This Row],[2]:[31]])</f>
        <v>25891</v>
      </c>
      <c r="Q55" s="6">
        <f>VLOOKUP(DATA_MAYO_202684[[#This Row],[ASER_]],D1_MAYO_202681[[ASESOR_CRR]:[META]],2,0)</f>
        <v>22800</v>
      </c>
      <c r="R55" t="s">
        <v>48</v>
      </c>
      <c r="X55">
        <v>550</v>
      </c>
      <c r="Y55">
        <v>10000</v>
      </c>
      <c r="AC55">
        <v>770</v>
      </c>
      <c r="AF55">
        <v>1900</v>
      </c>
      <c r="AK55" s="6">
        <v>1300</v>
      </c>
      <c r="AL55" s="6">
        <v>600</v>
      </c>
      <c r="AM55" s="6">
        <v>2500</v>
      </c>
      <c r="AN55" s="6"/>
      <c r="AO55" s="6"/>
      <c r="AP55" s="6">
        <v>6880</v>
      </c>
      <c r="AQ55" s="6"/>
      <c r="AR55" s="6"/>
      <c r="AS55" s="6"/>
      <c r="AT55" s="6">
        <v>1100</v>
      </c>
      <c r="AU55">
        <v>291</v>
      </c>
      <c r="AW55" s="55" t="str" cm="1">
        <f t="array" ref="AW5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6" spans="1:49" x14ac:dyDescent="0.25">
      <c r="A56" s="34" t="str" cm="1">
        <f t="array" ref="A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CARLA VALENCIA</v>
      </c>
      <c r="C56" s="34" cm="1">
        <f t="array" ref="C56">_xlfn.XLOOKUP(1,(TablaMeta[CONCAT]=$M$3&amp;$N$3&amp;D1_MAYO_202681[[#This Row],[SUPER]])*(TablaMeta[SEGG]=D1_MAYO_202681[[#This Row],[SEGMENTO]]),TablaMeta[Meta_Asesor])</f>
        <v>38500</v>
      </c>
      <c r="D56" s="35">
        <f>IF(D1_MAYO_202681[[#This Row],[RECUPERO]]="VACACIONES","VACACIONES",IFERROR(D1_MAYO_202681[[#This Row],[RECUPERO]]/D1_MAYO_202681[[#This Row],[META]],""))</f>
        <v>0.12168831168831169</v>
      </c>
      <c r="E56" s="35" t="str">
        <f>D1_MAYO_202681[[#This Row],[SUPER]]</f>
        <v>SANDY</v>
      </c>
      <c r="F56" t="s">
        <v>174</v>
      </c>
      <c r="G56" s="36">
        <v>4685</v>
      </c>
      <c r="H56" s="34" cm="1">
        <f t="array" ref="H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6" s="61" cm="1">
        <f t="array" ref="I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6" s="61" t="str" cm="1">
        <f t="array" ref="J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6" s="61" t="str" cm="1">
        <f t="array" ref="K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6" s="5">
        <f>DATA_MAYO_202684[[#This Row],[RECUPERO]]/DATA_MAYO_202684[[#This Row],[META]]</f>
        <v>0.94208053691275173</v>
      </c>
      <c r="N56" s="5" t="str" cm="1">
        <f t="array" ref="N56">IF(DATA_MAYO_202684[[#This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IFERROR(VLOOKUP(DATA_MAYO_202684[[#This Row],[ASER_]],$B:$G,4,0),"")</f>
        <v>JORGE</v>
      </c>
      <c r="P56" s="6">
        <f>SUM(DATA_MAYO_202684[[#This Row],[2]:[31]])</f>
        <v>42111</v>
      </c>
      <c r="Q56" s="6">
        <f>VLOOKUP(DATA_MAYO_202684[[#This Row],[ASER_]],D1_MAYO_202681[[ASESOR_CRR]:[META]],2,0)</f>
        <v>44700</v>
      </c>
      <c r="R56" t="s">
        <v>10</v>
      </c>
      <c r="W56">
        <v>16987</v>
      </c>
      <c r="AE56">
        <v>10300</v>
      </c>
      <c r="AF56">
        <v>2500</v>
      </c>
      <c r="AI56">
        <v>1000</v>
      </c>
      <c r="AK56" s="6">
        <v>4200</v>
      </c>
      <c r="AL56" s="6"/>
      <c r="AM56" s="6">
        <v>812</v>
      </c>
      <c r="AN56" s="6"/>
      <c r="AO56" s="6"/>
      <c r="AP56" s="6"/>
      <c r="AQ56" s="6"/>
      <c r="AR56" s="6"/>
      <c r="AS56" s="6">
        <v>435</v>
      </c>
      <c r="AT56" s="6">
        <v>5877</v>
      </c>
      <c r="AW56" s="55" t="str" cm="1">
        <f t="array" ref="AW5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7" spans="1:49" x14ac:dyDescent="0.25">
      <c r="A57" s="34" t="str" cm="1">
        <f t="array" ref="A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DAVID SANCHEZ</v>
      </c>
      <c r="C57" s="34" cm="1">
        <f t="array" ref="C57">_xlfn.XLOOKUP(1,(TablaMeta[CONCAT]=$M$3&amp;$N$3&amp;D1_MAYO_202681[[#This Row],[SUPER]])*(TablaMeta[SEGG]=D1_MAYO_202681[[#This Row],[SEGMENTO]]),TablaMeta[Meta_Asesor])</f>
        <v>44700</v>
      </c>
      <c r="D57" s="35">
        <f>IF(D1_MAYO_202681[[#This Row],[RECUPERO]]="VACACIONES","VACACIONES",IFERROR(D1_MAYO_202681[[#This Row],[RECUPERO]]/D1_MAYO_202681[[#This Row],[META]],""))</f>
        <v>0.25328859060402686</v>
      </c>
      <c r="E57" s="35" t="str">
        <f>D1_MAYO_202681[[#This Row],[SUPER]]</f>
        <v>JORGE</v>
      </c>
      <c r="F57" t="s">
        <v>81</v>
      </c>
      <c r="G57" s="36">
        <v>11322</v>
      </c>
      <c r="H57" s="34" cm="1">
        <f t="array" ref="H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57" s="61" cm="1">
        <f t="array" ref="I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57" s="61" t="str" cm="1">
        <f t="array" ref="J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57" s="61" t="str" cm="1">
        <f t="array" ref="K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DATA_MAYO_202684[[#This Row],[RECUPERO]]/DATA_MAYO_202684[[#This Row],[META]]</f>
        <v>0.18261011419249593</v>
      </c>
      <c r="N57" s="5" t="str" cm="1">
        <f t="array" ref="N57">IF(DATA_MAYO_202684[[#This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IFERROR(VLOOKUP(DATA_MAYO_202684[[#This Row],[ASER_]],$B:$G,4,0),"")</f>
        <v>KENNETH</v>
      </c>
      <c r="P57" s="6">
        <f>SUM(DATA_MAYO_202684[[#This Row],[2]:[31]])</f>
        <v>11194</v>
      </c>
      <c r="Q57" s="6">
        <f>VLOOKUP(DATA_MAYO_202684[[#This Row],[ASER_]],D1_MAYO_202681[[ASESOR_CRR]:[META]],2,0)</f>
        <v>61300</v>
      </c>
      <c r="R57" t="s">
        <v>76</v>
      </c>
      <c r="W57">
        <v>500</v>
      </c>
      <c r="X57">
        <v>260</v>
      </c>
      <c r="AF57">
        <v>1500</v>
      </c>
      <c r="AJ57">
        <v>350</v>
      </c>
      <c r="AK57" s="6"/>
      <c r="AL57" s="6">
        <v>2930</v>
      </c>
      <c r="AM57" s="6">
        <v>1000</v>
      </c>
      <c r="AN57" s="6"/>
      <c r="AO57" s="6"/>
      <c r="AP57" s="6"/>
      <c r="AQ57" s="6">
        <v>1900</v>
      </c>
      <c r="AR57" s="6"/>
      <c r="AS57" s="6">
        <v>254</v>
      </c>
      <c r="AT57" s="6">
        <v>2500</v>
      </c>
      <c r="AW57" s="55" t="str" cm="1">
        <f t="array" ref="AW5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8" spans="1:49" x14ac:dyDescent="0.25">
      <c r="M58" s="5">
        <f>DATA_MAYO_202684[[#This Row],[RECUPERO]]/DATA_MAYO_202684[[#This Row],[META]]</f>
        <v>0.16850828729281769</v>
      </c>
      <c r="N58" s="5" t="str" cm="1">
        <f t="array" ref="N58">IF(DATA_MAYO_202684[[#This Row],[ASER_]]="","",IFERROR(_xlfn.IFS(M58&gt;=100%,"&gt;100%",AND(M58&lt;100%,M58&gt;=70%),"&gt;70%",AND(M58&lt;70%,M58&gt;=40%),"&gt;40%",AND(M58&lt;40%,M58&gt;=0%),"&gt;0%"),""))</f>
        <v>&gt;0%</v>
      </c>
      <c r="O58" s="55" t="str">
        <f>IFERROR(VLOOKUP(DATA_MAYO_202684[[#This Row],[ASER_]],$B:$G,4,0),"")</f>
        <v>LISELY</v>
      </c>
      <c r="P58" s="6">
        <f>SUM(DATA_MAYO_202684[[#This Row],[2]:[31]])</f>
        <v>3050</v>
      </c>
      <c r="Q58" s="6">
        <f>VLOOKUP(DATA_MAYO_202684[[#This Row],[ASER_]],D1_MAYO_202681[[ASESOR_CRR]:[META]],2,0)</f>
        <v>18100</v>
      </c>
      <c r="R58" t="s">
        <v>601</v>
      </c>
      <c r="Y58">
        <v>1800</v>
      </c>
      <c r="AE58">
        <v>500</v>
      </c>
      <c r="AF58">
        <v>250</v>
      </c>
      <c r="AK58" s="6"/>
      <c r="AL58" s="6"/>
      <c r="AM58" s="6"/>
      <c r="AN58" s="6"/>
      <c r="AO58" s="6"/>
      <c r="AP58" s="6">
        <v>500</v>
      </c>
      <c r="AQ58" s="6"/>
      <c r="AR58" s="6"/>
      <c r="AS58" s="6"/>
      <c r="AT58" s="6"/>
      <c r="AW58" s="55" t="str" cm="1">
        <f t="array" ref="AW5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</sheetData>
  <phoneticPr fontId="2" type="noConversion"/>
  <conditionalFormatting sqref="E3:E57">
    <cfRule type="containsText" dxfId="3" priority="4" operator="containsText" text="kenneth">
      <formula>NOT(ISERROR(SEARCH("kenneth",E3)))</formula>
    </cfRule>
  </conditionalFormatting>
  <conditionalFormatting sqref="R9:R58">
    <cfRule type="duplicateValues" dxfId="2" priority="75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DC247"/>
  <sheetViews>
    <sheetView tabSelected="1" topLeftCell="BM8" zoomScale="70" zoomScaleNormal="70" workbookViewId="0">
      <selection activeCell="BT21" sqref="BT21"/>
    </sheetView>
  </sheetViews>
  <sheetFormatPr baseColWidth="10" defaultRowHeight="15" x14ac:dyDescent="0.25"/>
  <cols>
    <col min="1" max="1" width="14.5703125" style="34" customWidth="1"/>
    <col min="2" max="2" width="27.28515625" style="34" bestFit="1" customWidth="1"/>
    <col min="3" max="3" width="11.42578125" style="35" bestFit="1" customWidth="1"/>
    <col min="4" max="4" width="16" style="35" bestFit="1" customWidth="1"/>
    <col min="5" max="5" width="14.5703125" style="35" bestFit="1" customWidth="1"/>
    <col min="6" max="6" width="27.28515625" bestFit="1" customWidth="1"/>
    <col min="7" max="7" width="17.85546875" bestFit="1" customWidth="1"/>
    <col min="8" max="8" width="11.140625" style="34" bestFit="1" customWidth="1"/>
    <col min="9" max="9" width="24.28515625" bestFit="1" customWidth="1"/>
    <col min="10" max="10" width="14.5703125" bestFit="1" customWidth="1"/>
    <col min="11" max="11" width="18.140625" bestFit="1" customWidth="1"/>
    <col min="12" max="12" width="27.85546875" customWidth="1"/>
    <col min="13" max="13" width="16" bestFit="1" customWidth="1"/>
    <col min="14" max="14" width="26" bestFit="1" customWidth="1"/>
    <col min="15" max="15" width="20.7109375" style="5" bestFit="1" customWidth="1"/>
    <col min="16" max="16" width="17.85546875" bestFit="1" customWidth="1"/>
    <col min="18" max="18" width="27.28515625" bestFit="1" customWidth="1"/>
    <col min="19" max="19" width="13.5703125" customWidth="1"/>
    <col min="20" max="20" width="10" bestFit="1" customWidth="1"/>
    <col min="21" max="22" width="7.42578125" bestFit="1" customWidth="1"/>
    <col min="23" max="23" width="10" bestFit="1" customWidth="1"/>
    <col min="24" max="25" width="7.42578125" bestFit="1" customWidth="1"/>
    <col min="26" max="26" width="11.140625" bestFit="1" customWidth="1"/>
    <col min="27" max="30" width="7.42578125" bestFit="1" customWidth="1"/>
    <col min="31" max="31" width="7.85546875" bestFit="1" customWidth="1"/>
    <col min="32" max="32" width="8.7109375" bestFit="1" customWidth="1"/>
    <col min="33" max="39" width="7.85546875" bestFit="1" customWidth="1"/>
    <col min="40" max="40" width="26.7109375" bestFit="1" customWidth="1"/>
    <col min="41" max="41" width="13" customWidth="1"/>
    <col min="42" max="42" width="20" bestFit="1" customWidth="1"/>
    <col min="43" max="44" width="11.5703125" customWidth="1"/>
    <col min="45" max="45" width="13" bestFit="1" customWidth="1"/>
    <col min="46" max="46" width="7.28515625" bestFit="1" customWidth="1"/>
    <col min="47" max="52" width="8.140625" bestFit="1" customWidth="1"/>
    <col min="53" max="59" width="8.85546875" bestFit="1" customWidth="1"/>
    <col min="60" max="60" width="9.28515625" bestFit="1" customWidth="1"/>
    <col min="61" max="66" width="10.7109375" customWidth="1"/>
    <col min="67" max="67" width="16" bestFit="1" customWidth="1"/>
    <col min="69" max="69" width="17.7109375" bestFit="1" customWidth="1"/>
    <col min="70" max="70" width="11.5703125" bestFit="1" customWidth="1"/>
    <col min="71" max="73" width="10.7109375" bestFit="1" customWidth="1"/>
    <col min="78" max="78" width="27.28515625" bestFit="1" customWidth="1"/>
    <col min="80" max="80" width="24.7109375" customWidth="1"/>
    <col min="81" max="81" width="13.42578125" customWidth="1"/>
    <col min="82" max="82" width="14.140625" customWidth="1"/>
    <col min="83" max="83" width="19" customWidth="1"/>
    <col min="85" max="85" width="35.85546875" customWidth="1"/>
    <col min="86" max="86" width="22.85546875" customWidth="1"/>
    <col min="87" max="87" width="20.42578125" customWidth="1"/>
    <col min="88" max="88" width="22.28515625" customWidth="1"/>
    <col min="89" max="89" width="27.5703125" customWidth="1"/>
    <col min="90" max="90" width="14.85546875" customWidth="1"/>
    <col min="91" max="91" width="15.140625" customWidth="1"/>
    <col min="92" max="92" width="27.42578125" bestFit="1" customWidth="1"/>
    <col min="93" max="93" width="22.42578125" bestFit="1" customWidth="1"/>
    <col min="94" max="94" width="28.5703125" bestFit="1" customWidth="1"/>
    <col min="97" max="98" width="15.85546875" customWidth="1"/>
    <col min="99" max="99" width="14.42578125" customWidth="1"/>
    <col min="100" max="100" width="17" customWidth="1"/>
    <col min="101" max="101" width="17.5703125" customWidth="1"/>
    <col min="102" max="102" width="18.5703125" customWidth="1"/>
    <col min="104" max="104" width="16.7109375" customWidth="1"/>
    <col min="105" max="105" width="21.28515625" customWidth="1"/>
    <col min="106" max="106" width="12.7109375" customWidth="1"/>
    <col min="107" max="107" width="16.5703125" customWidth="1"/>
  </cols>
  <sheetData>
    <row r="1" spans="1:107" x14ac:dyDescent="0.25">
      <c r="H1"/>
      <c r="J1" s="56"/>
      <c r="K1" s="56"/>
      <c r="L1" s="56"/>
      <c r="N1" s="5"/>
      <c r="O1"/>
    </row>
    <row r="2" spans="1:10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107" ht="26.25" x14ac:dyDescent="0.4">
      <c r="A3" s="62" t="str" cm="1">
        <f t="array" ref="A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MARGARITA PIANCHACHI</v>
      </c>
      <c r="C3" s="62" t="e" cm="1">
        <f t="array" ref="C3">_xlfn.XLOOKUP(1,(TablaMeta[CONCAT]=$M$3&amp;$N$3&amp;D1_MAYO_2026[[#This Row],[SUPER]])*(TablaMeta[SEGG]=D1_MAYO_2026[[#This Row],[SEGMENTO]]),TablaMeta[Meta_Asesor])</f>
        <v>#N/A</v>
      </c>
      <c r="D3" s="63"/>
      <c r="E3" s="63" t="str">
        <f>D1_MAYO_2026[[#This Row],[SUPER]]</f>
        <v>LICENCIA</v>
      </c>
      <c r="F3" s="62" t="s">
        <v>17</v>
      </c>
      <c r="G3" s="62"/>
      <c r="H3" s="62" cm="1">
        <f t="array" ref="H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144</v>
      </c>
      <c r="O3" s="33">
        <v>21</v>
      </c>
    </row>
    <row r="4" spans="1:107" x14ac:dyDescent="0.25">
      <c r="A4" s="62" t="str" cm="1">
        <f t="array" ref="A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VALLADARES</v>
      </c>
      <c r="C4" s="62" t="e" cm="1">
        <f t="array" ref="C4">_xlfn.XLOOKUP(1,(TablaMeta[CONCAT]=$M$3&amp;$N$3&amp;D1_MAYO_2026[[#This Row],[SUPER]])*(TablaMeta[SEGG]=D1_MAYO_2026[[#This Row],[SEGMENTO]]),TablaMeta[Meta_Asesor])</f>
        <v>#N/A</v>
      </c>
      <c r="D4" s="63"/>
      <c r="E4" s="63" t="str">
        <f>D1_MAYO_2026[[#This Row],[SUPER]]</f>
        <v>VACACIONES</v>
      </c>
      <c r="F4" s="62" t="s">
        <v>29</v>
      </c>
      <c r="G4" s="62"/>
      <c r="H4" s="62" cm="1">
        <f t="array" ref="H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4" s="64" cm="1">
        <f t="array" ref="I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4" s="64" t="str" cm="1">
        <f t="array" ref="J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107" x14ac:dyDescent="0.25">
      <c r="A5" s="62" t="str" cm="1">
        <f t="array" ref="A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ALEIDITH GUEVARA</v>
      </c>
      <c r="C5" s="62" t="e" cm="1">
        <f t="array" ref="C5">_xlfn.XLOOKUP(1,(TablaMeta[CONCAT]=$M$3&amp;$N$3&amp;D1_MAYO_2026[[#This Row],[SUPER]])*(TablaMeta[SEGG]=D1_MAYO_2026[[#This Row],[SEGMENTO]]),TablaMeta[Meta_Asesor])</f>
        <v>#N/A</v>
      </c>
      <c r="D5" s="63"/>
      <c r="E5" s="63" t="str">
        <f>D1_MAYO_2026[[#This Row],[SUPER]]</f>
        <v>VACACIONES</v>
      </c>
      <c r="F5" s="62" t="s">
        <v>18</v>
      </c>
      <c r="G5" s="62"/>
      <c r="H5" s="62" cm="1">
        <f t="array" ref="H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5" s="64" cm="1">
        <f t="array" ref="I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5" s="64" t="str" cm="1">
        <f t="array" ref="J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107" x14ac:dyDescent="0.25">
      <c r="A6" s="66" t="str" cm="1">
        <f t="array" ref="A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HUARCA</v>
      </c>
      <c r="C6" s="62" t="e" cm="1">
        <f t="array" ref="C6">_xlfn.XLOOKUP(1,(TablaMeta[CONCAT]=$M$3&amp;$N$3&amp;D1_MAYO_2026[[#This Row],[SUPER]])*(TablaMeta[SEGG]=D1_MAYO_2026[[#This Row],[SEGMENTO]]),TablaMeta[Meta_Asesor])</f>
        <v>#N/A</v>
      </c>
      <c r="D6" s="63"/>
      <c r="E6" s="67" t="str">
        <f>D1_MAYO_2026[[#This Row],[SUPER]]</f>
        <v>VACACIONES</v>
      </c>
      <c r="F6" s="66" t="s">
        <v>48</v>
      </c>
      <c r="G6" s="73"/>
      <c r="H6" s="66" cm="1">
        <f t="array" ref="H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6" s="68" cm="1">
        <f t="array" ref="I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6" s="68" t="str" cm="1">
        <f t="array" ref="J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107" x14ac:dyDescent="0.25">
      <c r="A7" s="34" t="str" cm="1">
        <f t="array" ref="A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7" s="34" t="str" cm="1">
        <f t="array" ref="B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DANIEL ZAPATA</v>
      </c>
      <c r="C7" s="34" cm="1">
        <f t="array" ref="C7">_xlfn.XLOOKUP(1,(TablaMeta[CONCAT]=$M$3&amp;$N$3&amp;D1_MAYO_2026[[#This Row],[SUPER]])*(TablaMeta[SEGG]=D1_MAYO_2026[[#This Row],[SEGMENTO]]),TablaMeta[Meta_Asesor])</f>
        <v>29500</v>
      </c>
      <c r="D7" s="35">
        <f>IF(D1_MAYO_2026[[#This Row],[RECUPERO]]="VACACIONES","VACACIONES",IFERROR(D1_MAYO_2026[[#This Row],[RECUPERO]]/D1_MAYO_2026[[#This Row],[META]],""))</f>
        <v>0.56610169491525419</v>
      </c>
      <c r="E7" s="35" t="str">
        <f>D1_MAYO_2026[[#This Row],[SUPER]]</f>
        <v>JOHAN</v>
      </c>
      <c r="F7" s="34" t="s">
        <v>80</v>
      </c>
      <c r="G7" s="36">
        <v>16700</v>
      </c>
      <c r="H7" s="34" cm="1">
        <f t="array" ref="H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7" s="61" cm="1">
        <f t="array" ref="I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7" s="61" t="str" cm="1">
        <f t="array" ref="J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O7"/>
      <c r="BQ7" t="s">
        <v>626</v>
      </c>
      <c r="BR7" t="s">
        <v>141</v>
      </c>
      <c r="BS7" t="s">
        <v>142</v>
      </c>
      <c r="BT7" t="s">
        <v>143</v>
      </c>
      <c r="BU7" t="s">
        <v>144</v>
      </c>
      <c r="BW7" t="s">
        <v>638</v>
      </c>
    </row>
    <row r="8" spans="1:107" x14ac:dyDescent="0.25">
      <c r="A8" s="34" t="str" cm="1">
        <f t="array" ref="A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8" s="34" t="str" cm="1">
        <f t="array" ref="B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VICUNA</v>
      </c>
      <c r="C8" s="34" cm="1">
        <f t="array" ref="C8">_xlfn.XLOOKUP(1,(TablaMeta[CONCAT]=$M$3&amp;$N$3&amp;D1_MAYO_2026[[#This Row],[SUPER]])*(TablaMeta[SEGG]=D1_MAYO_2026[[#This Row],[SEGMENTO]]),TablaMeta[Meta_Asesor])</f>
        <v>29500</v>
      </c>
      <c r="D8" s="35">
        <f>IF(D1_MAYO_2026[[#This Row],[RECUPERO]]="VACACIONES","VACACIONES",IFERROR(D1_MAYO_2026[[#This Row],[RECUPERO]]/D1_MAYO_2026[[#This Row],[META]],""))</f>
        <v>0.2965762711864407</v>
      </c>
      <c r="E8" s="35" t="str">
        <f>D1_MAYO_2026[[#This Row],[SUPER]]</f>
        <v>JOHAN</v>
      </c>
      <c r="F8" s="34" t="s">
        <v>12</v>
      </c>
      <c r="G8" s="36">
        <v>8749</v>
      </c>
      <c r="H8" s="34" cm="1">
        <f t="array" ref="H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8" s="61" cm="1">
        <f t="array" ref="I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8" s="61" t="str" cm="1">
        <f t="array" ref="J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509</v>
      </c>
      <c r="AC8" s="13" t="s">
        <v>512</v>
      </c>
      <c r="AD8" s="13" t="s">
        <v>513</v>
      </c>
      <c r="AE8" s="13" t="s">
        <v>527</v>
      </c>
      <c r="AF8" s="13" t="s">
        <v>531</v>
      </c>
      <c r="AG8" s="13" t="s">
        <v>514</v>
      </c>
      <c r="AH8" s="13" t="s">
        <v>517</v>
      </c>
      <c r="AI8" s="13" t="s">
        <v>518</v>
      </c>
      <c r="AJ8" s="13" t="s">
        <v>528</v>
      </c>
      <c r="AK8" s="13" t="s">
        <v>532</v>
      </c>
      <c r="AL8" s="13" t="s">
        <v>519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533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507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512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517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523</v>
      </c>
      <c r="BO8" s="18" t="s">
        <v>134</v>
      </c>
      <c r="BQ8" s="74" t="s">
        <v>627</v>
      </c>
      <c r="BR8" s="74" t="s">
        <v>533</v>
      </c>
      <c r="BS8" s="74" t="s">
        <v>503</v>
      </c>
      <c r="BT8" s="74" t="s">
        <v>525</v>
      </c>
      <c r="BU8" s="74" t="s">
        <v>529</v>
      </c>
      <c r="BW8" t="s">
        <v>642</v>
      </c>
      <c r="BX8" t="s">
        <v>643</v>
      </c>
      <c r="BY8" t="s">
        <v>644</v>
      </c>
      <c r="BZ8" t="s">
        <v>645</v>
      </c>
      <c r="CA8" t="s">
        <v>646</v>
      </c>
      <c r="CB8" t="s">
        <v>647</v>
      </c>
      <c r="CC8" t="s">
        <v>648</v>
      </c>
      <c r="CD8" t="s">
        <v>649</v>
      </c>
      <c r="CE8" t="s">
        <v>650</v>
      </c>
      <c r="CF8" t="s">
        <v>651</v>
      </c>
      <c r="CG8" t="s">
        <v>652</v>
      </c>
      <c r="CH8" t="s">
        <v>653</v>
      </c>
      <c r="CI8" t="s">
        <v>654</v>
      </c>
      <c r="CJ8" t="s">
        <v>655</v>
      </c>
      <c r="CK8" t="s">
        <v>656</v>
      </c>
      <c r="CL8" t="s">
        <v>657</v>
      </c>
      <c r="CM8" t="s">
        <v>658</v>
      </c>
      <c r="CN8" t="s">
        <v>659</v>
      </c>
      <c r="CO8" t="s">
        <v>660</v>
      </c>
      <c r="CP8" t="s">
        <v>661</v>
      </c>
      <c r="CQ8" t="s">
        <v>662</v>
      </c>
      <c r="CR8" t="s">
        <v>663</v>
      </c>
      <c r="CS8" t="s">
        <v>664</v>
      </c>
      <c r="CT8" t="s">
        <v>665</v>
      </c>
      <c r="CU8" t="s">
        <v>666</v>
      </c>
      <c r="CV8" t="s">
        <v>667</v>
      </c>
      <c r="CW8" t="s">
        <v>668</v>
      </c>
      <c r="CX8" t="s">
        <v>669</v>
      </c>
      <c r="CY8" t="s">
        <v>670</v>
      </c>
      <c r="CZ8" t="s">
        <v>671</v>
      </c>
      <c r="DA8" t="s">
        <v>672</v>
      </c>
      <c r="DB8" t="s">
        <v>673</v>
      </c>
      <c r="DC8" t="s">
        <v>674</v>
      </c>
    </row>
    <row r="9" spans="1:107" x14ac:dyDescent="0.25">
      <c r="A9" s="34" t="str" cm="1">
        <f t="array" ref="A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9" s="34" t="str" cm="1">
        <f t="array" ref="B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CRISTINA TICONA</v>
      </c>
      <c r="C9" s="34" cm="1">
        <f t="array" ref="C9">_xlfn.XLOOKUP(1,(TablaMeta[CONCAT]=$M$3&amp;$N$3&amp;D1_MAYO_2026[[#This Row],[SUPER]])*(TablaMeta[SEGG]=D1_MAYO_2026[[#This Row],[SEGMENTO]]),TablaMeta[Meta_Asesor])</f>
        <v>29500</v>
      </c>
      <c r="D9" s="35">
        <f>IF(D1_MAYO_2026[[#This Row],[RECUPERO]]="VACACIONES","VACACIONES",IFERROR(D1_MAYO_2026[[#This Row],[RECUPERO]]/D1_MAYO_2026[[#This Row],[META]],""))</f>
        <v>0.26264406779661015</v>
      </c>
      <c r="E9" s="35" t="str">
        <f>D1_MAYO_2026[[#This Row],[SUPER]]</f>
        <v>JOHAN</v>
      </c>
      <c r="F9" s="34" t="s">
        <v>61</v>
      </c>
      <c r="G9" s="36">
        <v>7748</v>
      </c>
      <c r="H9" s="34" cm="1">
        <f t="array" ref="H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9" s="61" cm="1">
        <f t="array" ref="I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9" s="61" t="str" cm="1">
        <f t="array" ref="J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DATA_MAYO_2026[[#This Row],[RECUPERO]]/DATA_MAYO_2026[[#This Row],[META]]</f>
        <v>0.13050847457627118</v>
      </c>
      <c r="N9" s="5" t="str" cm="1">
        <f t="array" ref="N9">IF(DATA_MAYO_2026[[#This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IFERROR(VLOOKUP(DATA_MAYO_2026[[#This Row],[ASER_]],$B:$G,4,0),"")</f>
        <v>JOHAN</v>
      </c>
      <c r="P9" s="6">
        <f>VLOOKUP(DATA_MAYO_2026[[#This Row],[ASER_]],D1_MAYO_2026[[ASESOR_CRR]:[RECUPERO]],6,0)</f>
        <v>3850</v>
      </c>
      <c r="Q9" s="6">
        <f>VLOOKUP(DATA_MAYO_2026[[#This Row],[ASER_]],D1_MAYO_2026[[ASESOR_CRR]:[META]],2,0)</f>
        <v>29500</v>
      </c>
      <c r="R9" t="s">
        <v>564</v>
      </c>
      <c r="S9">
        <v>0</v>
      </c>
      <c r="T9">
        <v>0</v>
      </c>
      <c r="U9">
        <v>0</v>
      </c>
      <c r="V9">
        <v>0</v>
      </c>
      <c r="W9">
        <v>3500</v>
      </c>
      <c r="X9">
        <v>350</v>
      </c>
      <c r="AN9" s="55"/>
      <c r="AP9" s="10">
        <f>SUMIFS(TablaMeta[Meta_Equipo],TablaMeta[CONCAT],$M$3&amp;$N$3&amp;DITE_MAYO_2026[[#This Row],[SUPER]])</f>
        <v>554897</v>
      </c>
      <c r="AQ9" s="10">
        <f>MAX(DITE_MAYO_2026[[#This Row],[SUPER]:[CARTERA]])</f>
        <v>98370</v>
      </c>
      <c r="AR9" s="16">
        <f>IFERROR(DITE_MAYO_2026[[#This Row],[RECUPERO SUPERVISOR]]/DITE_MAYO_2026[[#This Row],[META SUPER]],"")</f>
        <v>0.17727614314007825</v>
      </c>
      <c r="AS9" s="10" t="s">
        <v>3</v>
      </c>
      <c r="AT9" s="46">
        <v>9665</v>
      </c>
      <c r="AU9" s="46">
        <v>51987</v>
      </c>
      <c r="AV9" s="46">
        <v>62160</v>
      </c>
      <c r="AW9" s="46">
        <v>70560</v>
      </c>
      <c r="AX9" s="46">
        <v>82770</v>
      </c>
      <c r="AY9" s="46">
        <v>98370</v>
      </c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10" t="str" cm="1">
        <f t="array" ref="BO9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t="s">
        <v>3</v>
      </c>
      <c r="BR9" t="s">
        <v>3</v>
      </c>
      <c r="BS9" t="s">
        <v>3</v>
      </c>
      <c r="BT9" t="s">
        <v>3</v>
      </c>
      <c r="BU9" t="s">
        <v>3</v>
      </c>
      <c r="BW9" t="s">
        <v>639</v>
      </c>
      <c r="BX9" t="s">
        <v>346</v>
      </c>
      <c r="BY9" t="s">
        <v>125</v>
      </c>
      <c r="BZ9" t="s">
        <v>109</v>
      </c>
      <c r="CA9" s="56">
        <v>46174</v>
      </c>
      <c r="CB9">
        <v>1</v>
      </c>
      <c r="CC9">
        <v>1</v>
      </c>
      <c r="CE9">
        <v>1</v>
      </c>
      <c r="CG9" s="79">
        <v>3.7037037037037035E-4</v>
      </c>
      <c r="CH9" s="79">
        <v>3.7037037037037035E-4</v>
      </c>
      <c r="CI9" s="79">
        <v>0.25026620370370373</v>
      </c>
      <c r="CJ9" s="79">
        <v>7.5474537037037034E-2</v>
      </c>
      <c r="CK9">
        <v>80</v>
      </c>
      <c r="CL9">
        <v>110</v>
      </c>
      <c r="CM9">
        <v>26</v>
      </c>
      <c r="CN9">
        <v>1.423076923</v>
      </c>
      <c r="CO9">
        <v>24031</v>
      </c>
      <c r="CP9" s="1">
        <v>0.32500000000000001</v>
      </c>
      <c r="CQ9">
        <v>6</v>
      </c>
      <c r="CR9" s="1">
        <v>0.23080000000000001</v>
      </c>
      <c r="CS9">
        <v>3052</v>
      </c>
      <c r="CT9">
        <v>509</v>
      </c>
      <c r="CW9" s="1"/>
      <c r="CX9" s="1"/>
      <c r="CY9">
        <v>84</v>
      </c>
      <c r="CZ9">
        <v>29500</v>
      </c>
      <c r="DA9" s="1"/>
      <c r="DB9">
        <v>1</v>
      </c>
      <c r="DC9" t="s">
        <v>209</v>
      </c>
    </row>
    <row r="10" spans="1:107" x14ac:dyDescent="0.25">
      <c r="A10" s="34" t="str" cm="1">
        <f t="array" ref="A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0" s="34" t="str" cm="1">
        <f t="array" ref="B1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TINTAYA</v>
      </c>
      <c r="C10" s="34" cm="1">
        <f t="array" ref="C10">_xlfn.XLOOKUP(1,(TablaMeta[CONCAT]=$M$3&amp;$N$3&amp;D1_MAYO_2026[[#This Row],[SUPER]])*(TablaMeta[SEGG]=D1_MAYO_2026[[#This Row],[SEGMENTO]]),TablaMeta[Meta_Asesor])</f>
        <v>29500</v>
      </c>
      <c r="D10" s="35">
        <f>IF(D1_MAYO_2026[[#This Row],[RECUPERO]]="VACACIONES","VACACIONES",IFERROR(D1_MAYO_2026[[#This Row],[RECUPERO]]/D1_MAYO_2026[[#This Row],[META]],""))</f>
        <v>0.17050847457627119</v>
      </c>
      <c r="E10" s="35" t="str">
        <f>D1_MAYO_2026[[#This Row],[SUPER]]</f>
        <v>JOHAN</v>
      </c>
      <c r="F10" t="s">
        <v>75</v>
      </c>
      <c r="G10" s="3">
        <v>5030</v>
      </c>
      <c r="H10" cm="1">
        <f t="array" ref="H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10" s="56" cm="1">
        <f t="array" ref="I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10" s="56" t="str" cm="1">
        <f t="array" ref="J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DATA_MAYO_2026[[#This Row],[RECUPERO]]/DATA_MAYO_2026[[#This Row],[META]]</f>
        <v>5.0847457627118647E-2</v>
      </c>
      <c r="N10" s="5" t="str" cm="1">
        <f t="array" ref="N10">IF(DATA_MAYO_2026[[#This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IFERROR(VLOOKUP(DATA_MAYO_2026[[#This Row],[ASER_]],$B:$G,4,0),"")</f>
        <v>JOHAN</v>
      </c>
      <c r="P10" s="6">
        <f>VLOOKUP(DATA_MAYO_2026[[#This Row],[ASER_]],D1_MAYO_2026[[ASESOR_CRR]:[RECUPERO]],6,0)</f>
        <v>1500</v>
      </c>
      <c r="Q10" s="6">
        <f>VLOOKUP(DATA_MAYO_2026[[#This Row],[ASER_]],D1_MAYO_2026[[ASESOR_CRR]:[META]],2,0)</f>
        <v>29500</v>
      </c>
      <c r="R10" t="s">
        <v>109</v>
      </c>
      <c r="S10">
        <v>0</v>
      </c>
      <c r="T10">
        <v>0</v>
      </c>
      <c r="U10">
        <v>0</v>
      </c>
      <c r="V10">
        <v>1500</v>
      </c>
      <c r="W10">
        <v>0</v>
      </c>
      <c r="X10">
        <v>0</v>
      </c>
      <c r="AN10" s="55"/>
      <c r="AP10" s="11">
        <f>SUMIFS(TablaMeta[Meta_Equipo],TablaMeta[CONCAT],$M$3&amp;$N$3&amp;DITE_MAYO_2026[[#This Row],[SUPER]])</f>
        <v>320861</v>
      </c>
      <c r="AQ10" s="11">
        <f>MAX(DITE_MAYO_2026[[#This Row],[SUPER]:[CARTERA]])</f>
        <v>89750</v>
      </c>
      <c r="AR10" s="17">
        <f>IFERROR(DITE_MAYO_2026[[#This Row],[RECUPERO SUPERVISOR]]/DITE_MAYO_2026[[#This Row],[META SUPER]],"")</f>
        <v>0.27971613876413776</v>
      </c>
      <c r="AS10" s="11" t="s">
        <v>6</v>
      </c>
      <c r="AT10" s="46">
        <v>4425</v>
      </c>
      <c r="AU10" s="46">
        <v>26245</v>
      </c>
      <c r="AV10" s="46">
        <v>31740</v>
      </c>
      <c r="AW10" s="46">
        <v>47020</v>
      </c>
      <c r="AX10" s="46">
        <v>60150</v>
      </c>
      <c r="AY10" s="46">
        <v>89750</v>
      </c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11" t="str" cm="1">
        <f t="array" ref="BO10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10" t="s">
        <v>6</v>
      </c>
      <c r="BR10" t="s">
        <v>6</v>
      </c>
      <c r="BS10" t="s">
        <v>6</v>
      </c>
      <c r="BT10" t="s">
        <v>6</v>
      </c>
      <c r="BU10" t="s">
        <v>6</v>
      </c>
      <c r="BW10" t="s">
        <v>639</v>
      </c>
      <c r="BX10" t="s">
        <v>346</v>
      </c>
      <c r="BY10" t="s">
        <v>125</v>
      </c>
      <c r="BZ10" t="s">
        <v>109</v>
      </c>
      <c r="CA10" s="56">
        <v>46175</v>
      </c>
      <c r="CB10">
        <v>1</v>
      </c>
      <c r="CC10">
        <v>1</v>
      </c>
      <c r="CE10">
        <v>1</v>
      </c>
      <c r="CG10" s="79">
        <v>0</v>
      </c>
      <c r="CH10" s="79">
        <v>0</v>
      </c>
      <c r="CI10" s="79">
        <v>0.22430555555555556</v>
      </c>
      <c r="CJ10" s="79">
        <v>8.637731481481481E-2</v>
      </c>
      <c r="CK10">
        <v>87</v>
      </c>
      <c r="CL10">
        <v>171</v>
      </c>
      <c r="CM10">
        <v>19</v>
      </c>
      <c r="CN10">
        <v>1.5263157890000001</v>
      </c>
      <c r="CO10">
        <v>24458</v>
      </c>
      <c r="CP10" s="1">
        <v>0.21840000000000001</v>
      </c>
      <c r="CR10" s="1"/>
      <c r="CW10" s="1"/>
      <c r="CX10" s="1"/>
      <c r="CY10">
        <v>84</v>
      </c>
      <c r="CZ10">
        <v>29500</v>
      </c>
      <c r="DA10" s="1"/>
      <c r="DB10">
        <v>2</v>
      </c>
      <c r="DC10" t="s">
        <v>159</v>
      </c>
    </row>
    <row r="11" spans="1:107" x14ac:dyDescent="0.25">
      <c r="A11" s="34" t="str" cm="1">
        <f t="array" ref="A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1" s="34" t="str" cm="1">
        <f t="array" ref="B1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LAZARO</v>
      </c>
      <c r="C11" s="34" cm="1">
        <f t="array" ref="C11">_xlfn.XLOOKUP(1,(TablaMeta[CONCAT]=$M$3&amp;$N$3&amp;D1_MAYO_2026[[#This Row],[SUPER]])*(TablaMeta[SEGG]=D1_MAYO_2026[[#This Row],[SEGMENTO]]),TablaMeta[Meta_Asesor])</f>
        <v>29500</v>
      </c>
      <c r="D11" s="35">
        <f>IF(D1_MAYO_2026[[#This Row],[RECUPERO]]="VACACIONES","VACACIONES",IFERROR(D1_MAYO_2026[[#This Row],[RECUPERO]]/D1_MAYO_2026[[#This Row],[META]],""))</f>
        <v>0.13559322033898305</v>
      </c>
      <c r="E11" s="35" t="str">
        <f>D1_MAYO_2026[[#This Row],[SUPER]]</f>
        <v>JOHAN</v>
      </c>
      <c r="F11" t="s">
        <v>26</v>
      </c>
      <c r="G11" s="3">
        <v>4000</v>
      </c>
      <c r="H11" cm="1">
        <f t="array" ref="H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11" s="56" cm="1">
        <f t="array" ref="I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11" s="56" t="str" cm="1">
        <f t="array" ref="J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56" t="str" cm="1">
        <f t="array" ref="K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DATA_MAYO_2026[[#This Row],[RECUPERO]]/DATA_MAYO_2026[[#This Row],[META]]</f>
        <v>0.17050847457627119</v>
      </c>
      <c r="N11" s="5" t="str" cm="1">
        <f t="array" ref="N11">IF(DATA_MAYO_2026[[#This Row],[ASER_]]="","",IFERROR(_xlfn.IFS(M11&gt;=100%,"&gt;100%",AND(M11&lt;100%,M11&gt;=70%),"&gt;70%",AND(M11&lt;70%,M11&gt;=40%),"&gt;40%",AND(M11&lt;40%,M11&gt;=0%),"&gt;0%"),""))</f>
        <v>&gt;0%</v>
      </c>
      <c r="O11" s="55" t="str">
        <f>IFERROR(VLOOKUP(DATA_MAYO_2026[[#This Row],[ASER_]],$B:$G,4,0),"")</f>
        <v>JOHAN</v>
      </c>
      <c r="P11" s="6">
        <f>VLOOKUP(DATA_MAYO_2026[[#This Row],[ASER_]],D1_MAYO_2026[[ASESOR_CRR]:[RECUPERO]],6,0)</f>
        <v>5030</v>
      </c>
      <c r="Q11" s="6">
        <f>VLOOKUP(DATA_MAYO_2026[[#This Row],[ASER_]],D1_MAYO_2026[[ASESOR_CRR]:[META]],2,0)</f>
        <v>29500</v>
      </c>
      <c r="R11" t="s">
        <v>75</v>
      </c>
      <c r="S11">
        <v>0</v>
      </c>
      <c r="T11">
        <v>800</v>
      </c>
      <c r="U11">
        <v>230</v>
      </c>
      <c r="V11">
        <v>2000</v>
      </c>
      <c r="W11">
        <v>0</v>
      </c>
      <c r="X11">
        <v>2000</v>
      </c>
      <c r="AN11" s="55"/>
      <c r="AP11" s="10">
        <f>SUMIFS(TablaMeta[Meta_Equipo],TablaMeta[CONCAT],$M$3&amp;$N$3&amp;DITE_MAYO_2026[[#This Row],[SUPER]])</f>
        <v>537194</v>
      </c>
      <c r="AQ11" s="10">
        <f>MAX(DITE_MAYO_2026[[#This Row],[SUPER]:[CARTERA]])</f>
        <v>54568</v>
      </c>
      <c r="AR11" s="16">
        <f>IFERROR(DITE_MAYO_2026[[#This Row],[RECUPERO SUPERVISOR]]/DITE_MAYO_2026[[#This Row],[META SUPER]],"")</f>
        <v>0.10157969001887586</v>
      </c>
      <c r="AS11" s="10" t="s">
        <v>2</v>
      </c>
      <c r="AT11" s="46">
        <v>5000</v>
      </c>
      <c r="AU11" s="46">
        <v>19034</v>
      </c>
      <c r="AV11" s="46">
        <v>31288</v>
      </c>
      <c r="AW11" s="46">
        <v>41953</v>
      </c>
      <c r="AX11" s="46">
        <v>49298</v>
      </c>
      <c r="AY11" s="46">
        <v>54568</v>
      </c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10" t="str" cm="1">
        <f t="array" ref="BO1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t="s">
        <v>2</v>
      </c>
      <c r="BR11" t="s">
        <v>2</v>
      </c>
      <c r="BS11" t="s">
        <v>2</v>
      </c>
      <c r="BT11" t="s">
        <v>2</v>
      </c>
      <c r="BU11" t="s">
        <v>2</v>
      </c>
      <c r="BW11" t="s">
        <v>639</v>
      </c>
      <c r="BX11" t="s">
        <v>346</v>
      </c>
      <c r="BY11" t="s">
        <v>125</v>
      </c>
      <c r="BZ11" t="s">
        <v>109</v>
      </c>
      <c r="CA11" s="56">
        <v>46176</v>
      </c>
      <c r="CB11">
        <v>1</v>
      </c>
      <c r="CC11">
        <v>1</v>
      </c>
      <c r="CE11">
        <v>1</v>
      </c>
      <c r="CG11" s="79">
        <v>7.5231481481481482E-4</v>
      </c>
      <c r="CH11" s="79">
        <v>7.5231481481481482E-4</v>
      </c>
      <c r="CI11" s="79">
        <v>0.28899305555555554</v>
      </c>
      <c r="CJ11" s="79">
        <v>9.6226851851851855E-2</v>
      </c>
      <c r="CK11">
        <v>133</v>
      </c>
      <c r="CL11">
        <v>215</v>
      </c>
      <c r="CM11">
        <v>25</v>
      </c>
      <c r="CN11">
        <v>1.76</v>
      </c>
      <c r="CO11">
        <v>17225</v>
      </c>
      <c r="CP11" s="1">
        <v>0.188</v>
      </c>
      <c r="CR11" s="1"/>
      <c r="CW11" s="1"/>
      <c r="CX11" s="1"/>
      <c r="CY11">
        <v>68</v>
      </c>
      <c r="CZ11">
        <v>29500</v>
      </c>
      <c r="DA11" s="1"/>
      <c r="DB11">
        <v>3</v>
      </c>
      <c r="DC11" t="s">
        <v>158</v>
      </c>
    </row>
    <row r="12" spans="1:107" x14ac:dyDescent="0.25">
      <c r="A12" s="34" t="str" cm="1">
        <f t="array" ref="A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2" s="34" t="str" cm="1">
        <f t="array" ref="B1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VILLAR</v>
      </c>
      <c r="C12" s="34" cm="1">
        <f t="array" ref="C12">_xlfn.XLOOKUP(1,(TablaMeta[CONCAT]=$M$3&amp;$N$3&amp;D1_MAYO_2026[[#This Row],[SUPER]])*(TablaMeta[SEGG]=D1_MAYO_2026[[#This Row],[SEGMENTO]]),TablaMeta[Meta_Asesor])</f>
        <v>29500</v>
      </c>
      <c r="D12" s="35">
        <f>IF(D1_MAYO_2026[[#This Row],[RECUPERO]]="VACACIONES","VACACIONES",IFERROR(D1_MAYO_2026[[#This Row],[RECUPERO]]/D1_MAYO_2026[[#This Row],[META]],""))</f>
        <v>0.1271186440677966</v>
      </c>
      <c r="E12" s="35" t="str">
        <f>D1_MAYO_2026[[#This Row],[SUPER]]</f>
        <v>JOHAN</v>
      </c>
      <c r="F12" t="s">
        <v>72</v>
      </c>
      <c r="G12" s="3">
        <v>3750</v>
      </c>
      <c r="H12" cm="1">
        <f t="array" ref="H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12" s="56" cm="1">
        <f t="array" ref="I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12" s="56" t="str" cm="1">
        <f t="array" ref="J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DATA_MAYO_2026[[#This Row],[RECUPERO]]/DATA_MAYO_2026[[#This Row],[META]]</f>
        <v>0.1271186440677966</v>
      </c>
      <c r="N12" s="5" t="str" cm="1">
        <f t="array" ref="N12">IF(DATA_MAYO_2026[[#This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IFERROR(VLOOKUP(DATA_MAYO_2026[[#This Row],[ASER_]],$B:$G,4,0),"")</f>
        <v>JOHAN</v>
      </c>
      <c r="P12" s="6">
        <f>VLOOKUP(DATA_MAYO_2026[[#This Row],[ASER_]],D1_MAYO_2026[[ASESOR_CRR]:[RECUPERO]],6,0)</f>
        <v>3750</v>
      </c>
      <c r="Q12" s="6">
        <f>VLOOKUP(DATA_MAYO_2026[[#This Row],[ASER_]],D1_MAYO_2026[[ASESOR_CRR]:[META]],2,0)</f>
        <v>29500</v>
      </c>
      <c r="R12" t="s">
        <v>72</v>
      </c>
      <c r="S12">
        <v>0</v>
      </c>
      <c r="T12">
        <v>0</v>
      </c>
      <c r="U12">
        <v>2000</v>
      </c>
      <c r="V12">
        <v>1750</v>
      </c>
      <c r="W12">
        <v>0</v>
      </c>
      <c r="X12">
        <v>0</v>
      </c>
      <c r="AN12" s="55"/>
      <c r="AP12" s="11">
        <f>SUMIFS(TablaMeta[Meta_Equipo],TablaMeta[CONCAT],$M$3&amp;$N$3&amp;DITE_MAYO_2026[[#This Row],[SUPER]])</f>
        <v>292300</v>
      </c>
      <c r="AQ12" s="11">
        <f>MAX(DITE_MAYO_2026[[#This Row],[SUPER]:[CARTERA]])</f>
        <v>57827</v>
      </c>
      <c r="AR12" s="17">
        <f>IFERROR(DITE_MAYO_2026[[#This Row],[RECUPERO SUPERVISOR]]/DITE_MAYO_2026[[#This Row],[META SUPER]],"")</f>
        <v>0.19783441669517618</v>
      </c>
      <c r="AS12" s="11" t="s">
        <v>125</v>
      </c>
      <c r="AT12" s="46">
        <v>2000</v>
      </c>
      <c r="AU12" s="46">
        <v>3100</v>
      </c>
      <c r="AV12" s="46">
        <v>11978</v>
      </c>
      <c r="AW12" s="46">
        <v>22667</v>
      </c>
      <c r="AX12" s="46">
        <v>37367</v>
      </c>
      <c r="AY12" s="46">
        <v>57827</v>
      </c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11" t="s">
        <v>158</v>
      </c>
      <c r="BQ12" t="s">
        <v>7</v>
      </c>
      <c r="BR12" t="s">
        <v>7</v>
      </c>
      <c r="BS12" t="s">
        <v>7</v>
      </c>
      <c r="BT12" t="s">
        <v>604</v>
      </c>
      <c r="BU12" t="s">
        <v>7</v>
      </c>
      <c r="BW12" t="s">
        <v>639</v>
      </c>
      <c r="BX12" t="s">
        <v>346</v>
      </c>
      <c r="BY12" t="s">
        <v>125</v>
      </c>
      <c r="BZ12" t="s">
        <v>41</v>
      </c>
      <c r="CA12" s="56">
        <v>46174</v>
      </c>
      <c r="CB12">
        <v>1</v>
      </c>
      <c r="CC12">
        <v>1</v>
      </c>
      <c r="CE12">
        <v>1</v>
      </c>
      <c r="CG12" s="79">
        <v>4.1666666666666669E-4</v>
      </c>
      <c r="CH12" s="79">
        <v>4.1666666666666669E-4</v>
      </c>
      <c r="CI12" s="79">
        <v>0.17571759259259259</v>
      </c>
      <c r="CJ12" s="79">
        <v>0.14400462962962962</v>
      </c>
      <c r="CK12">
        <v>67</v>
      </c>
      <c r="CL12">
        <v>97</v>
      </c>
      <c r="CM12">
        <v>19</v>
      </c>
      <c r="CN12">
        <v>1.5263157890000001</v>
      </c>
      <c r="CO12">
        <v>17527</v>
      </c>
      <c r="CP12" s="1">
        <v>0.28360000000000002</v>
      </c>
      <c r="CQ12">
        <v>1</v>
      </c>
      <c r="CR12" s="1">
        <v>5.2600000000000001E-2</v>
      </c>
      <c r="CS12">
        <v>6035</v>
      </c>
      <c r="CT12">
        <v>6035</v>
      </c>
      <c r="CW12" s="1"/>
      <c r="CX12" s="1"/>
      <c r="CY12">
        <v>70</v>
      </c>
      <c r="CZ12">
        <v>29500</v>
      </c>
      <c r="DA12" s="1"/>
      <c r="DB12">
        <v>4</v>
      </c>
      <c r="DC12" t="s">
        <v>209</v>
      </c>
    </row>
    <row r="13" spans="1:107" x14ac:dyDescent="0.25">
      <c r="A13" s="34" t="str" cm="1">
        <f t="array" ref="A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3" s="34" t="str" cm="1">
        <f t="array" ref="B1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PANTA</v>
      </c>
      <c r="C13" s="34" cm="1">
        <f t="array" ref="C13">_xlfn.XLOOKUP(1,(TablaMeta[CONCAT]=$M$3&amp;$N$3&amp;D1_MAYO_2026[[#This Row],[SUPER]])*(TablaMeta[SEGG]=D1_MAYO_2026[[#This Row],[SEGMENTO]]),TablaMeta[Meta_Asesor])</f>
        <v>29500</v>
      </c>
      <c r="D13" s="35">
        <f>IF(D1_MAYO_2026[[#This Row],[RECUPERO]]="VACACIONES","VACACIONES",IFERROR(D1_MAYO_2026[[#This Row],[RECUPERO]]/D1_MAYO_2026[[#This Row],[META]],""))</f>
        <v>0.12542372881355932</v>
      </c>
      <c r="E13" s="35" t="str">
        <f>D1_MAYO_2026[[#This Row],[SUPER]]</f>
        <v>JOHAN</v>
      </c>
      <c r="F13" t="s">
        <v>495</v>
      </c>
      <c r="G13" s="3">
        <v>3700</v>
      </c>
      <c r="H13" cm="1">
        <f t="array" ref="H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13" s="56" cm="1">
        <f t="array" ref="I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13" s="56" t="str" cm="1">
        <f t="array" ref="J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DATA_MAYO_2026[[#This Row],[RECUPERO]]/DATA_MAYO_2026[[#This Row],[META]]</f>
        <v>0.2965762711864407</v>
      </c>
      <c r="N13" s="5" t="str" cm="1">
        <f t="array" ref="N13">IF(DATA_MAYO_2026[[#This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IFERROR(VLOOKUP(DATA_MAYO_2026[[#This Row],[ASER_]],$B:$G,4,0),"")</f>
        <v>JOHAN</v>
      </c>
      <c r="P13" s="6">
        <f>VLOOKUP(DATA_MAYO_2026[[#This Row],[ASER_]],D1_MAYO_2026[[ASESOR_CRR]:[RECUPERO]],6,0)</f>
        <v>8749</v>
      </c>
      <c r="Q13" s="6">
        <f>VLOOKUP(DATA_MAYO_2026[[#This Row],[ASER_]],D1_MAYO_2026[[ASESOR_CRR]:[META]],2,0)</f>
        <v>29500</v>
      </c>
      <c r="R13" t="s">
        <v>12</v>
      </c>
      <c r="S13" s="47">
        <v>0</v>
      </c>
      <c r="T13">
        <v>0</v>
      </c>
      <c r="U13">
        <v>210</v>
      </c>
      <c r="V13">
        <v>1439</v>
      </c>
      <c r="W13">
        <v>6000</v>
      </c>
      <c r="X13">
        <v>1100</v>
      </c>
      <c r="AN13" s="55"/>
      <c r="AP13" s="10">
        <f>SUMIFS(TablaMeta[Meta_Equipo],TablaMeta[CONCAT],$M$3&amp;$N$3&amp;DITE_MAYO_2026[[#This Row],[SUPER]])</f>
        <v>143766</v>
      </c>
      <c r="AQ13" s="10">
        <f>MAX(DITE_MAYO_2026[[#This Row],[SUPER]:[CARTERA]])</f>
        <v>13356</v>
      </c>
      <c r="AR13" s="16">
        <f>IFERROR(DITE_MAYO_2026[[#This Row],[RECUPERO SUPERVISOR]]/DITE_MAYO_2026[[#This Row],[META SUPER]],"")</f>
        <v>9.2900964066608235E-2</v>
      </c>
      <c r="AS13" s="10" t="s">
        <v>7</v>
      </c>
      <c r="AT13" s="46">
        <v>1620</v>
      </c>
      <c r="AU13" s="46">
        <v>3473</v>
      </c>
      <c r="AV13" s="45">
        <v>5833</v>
      </c>
      <c r="AW13" s="46">
        <v>10538</v>
      </c>
      <c r="AX13" s="46">
        <v>11350</v>
      </c>
      <c r="AY13" s="46">
        <v>13356</v>
      </c>
      <c r="AZ13" s="46"/>
      <c r="BA13" s="45"/>
      <c r="BB13" s="46"/>
      <c r="BC13" s="46"/>
      <c r="BD13" s="46"/>
      <c r="BE13" s="45"/>
      <c r="BF13" s="46"/>
      <c r="BG13" s="46"/>
      <c r="BH13" s="46"/>
      <c r="BI13" s="46"/>
      <c r="BJ13" s="46"/>
      <c r="BK13" s="46"/>
      <c r="BL13" s="46"/>
      <c r="BM13" s="46"/>
      <c r="BN13" s="46"/>
      <c r="BO13" s="10" t="str" cm="1">
        <f t="array" ref="BO13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</v>
      </c>
      <c r="BQ13" t="s">
        <v>125</v>
      </c>
      <c r="BR13" t="s">
        <v>125</v>
      </c>
      <c r="BS13" t="s">
        <v>125</v>
      </c>
      <c r="BT13" t="s">
        <v>7</v>
      </c>
      <c r="BU13" t="s">
        <v>125</v>
      </c>
      <c r="BW13" t="s">
        <v>639</v>
      </c>
      <c r="BX13" t="s">
        <v>346</v>
      </c>
      <c r="BY13" t="s">
        <v>125</v>
      </c>
      <c r="BZ13" t="s">
        <v>41</v>
      </c>
      <c r="CA13" s="56">
        <v>46175</v>
      </c>
      <c r="CB13">
        <v>1</v>
      </c>
      <c r="CC13">
        <v>1</v>
      </c>
      <c r="CE13">
        <v>1</v>
      </c>
      <c r="CG13" s="79">
        <v>2.4305555555555555E-4</v>
      </c>
      <c r="CH13" s="79">
        <v>2.4305555555555555E-4</v>
      </c>
      <c r="CI13" s="79">
        <v>0.20096064814814815</v>
      </c>
      <c r="CJ13" s="79">
        <v>8.2268518518518519E-2</v>
      </c>
      <c r="CK13">
        <v>70</v>
      </c>
      <c r="CL13">
        <v>153</v>
      </c>
      <c r="CM13">
        <v>18</v>
      </c>
      <c r="CN13">
        <v>1.8333333329999999</v>
      </c>
      <c r="CO13">
        <v>23749</v>
      </c>
      <c r="CP13" s="1">
        <v>0.2571</v>
      </c>
      <c r="CR13" s="1"/>
      <c r="CW13" s="1"/>
      <c r="CX13" s="1"/>
      <c r="CY13">
        <v>84</v>
      </c>
      <c r="CZ13">
        <v>29500</v>
      </c>
      <c r="DA13" s="1"/>
      <c r="DB13">
        <v>5</v>
      </c>
      <c r="DC13" t="s">
        <v>159</v>
      </c>
    </row>
    <row r="14" spans="1:107" x14ac:dyDescent="0.25">
      <c r="A14" s="34" t="str" cm="1">
        <f t="array" ref="A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4" s="34" t="str" cm="1">
        <f t="array" ref="B1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QUINONES</v>
      </c>
      <c r="C14" s="34" cm="1">
        <f t="array" ref="C14">_xlfn.XLOOKUP(1,(TablaMeta[CONCAT]=$M$3&amp;$N$3&amp;D1_MAYO_2026[[#This Row],[SUPER]])*(TablaMeta[SEGG]=D1_MAYO_2026[[#This Row],[SEGMENTO]]),TablaMeta[Meta_Asesor])</f>
        <v>29500</v>
      </c>
      <c r="D14" s="35">
        <f>IF(D1_MAYO_2026[[#This Row],[RECUPERO]]="VACACIONES","VACACIONES",IFERROR(D1_MAYO_2026[[#This Row],[RECUPERO]]/D1_MAYO_2026[[#This Row],[META]],""))</f>
        <v>0.13050847457627118</v>
      </c>
      <c r="E14" s="35" t="str">
        <f>D1_MAYO_2026[[#This Row],[SUPER]]</f>
        <v>JOHAN</v>
      </c>
      <c r="F14" t="s">
        <v>641</v>
      </c>
      <c r="G14" s="3">
        <v>3850</v>
      </c>
      <c r="H14" cm="1">
        <f t="array" ref="H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14" s="56" cm="1">
        <f t="array" ref="I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14" s="56" t="str" cm="1">
        <f t="array" ref="J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DATA_MAYO_2026[[#This Row],[RECUPERO]]/DATA_MAYO_2026[[#This Row],[META]]</f>
        <v>0.12542372881355932</v>
      </c>
      <c r="N14" s="5" t="str" cm="1">
        <f t="array" ref="N14">IF(DATA_MAYO_2026[[#This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IFERROR(VLOOKUP(DATA_MAYO_2026[[#This Row],[ASER_]],$B:$G,4,0),"")</f>
        <v>JOHAN</v>
      </c>
      <c r="P14" s="6">
        <f>VLOOKUP(DATA_MAYO_2026[[#This Row],[ASER_]],D1_MAYO_2026[[ASESOR_CRR]:[RECUPERO]],6,0)</f>
        <v>3700</v>
      </c>
      <c r="Q14" s="6">
        <f>VLOOKUP(DATA_MAYO_2026[[#This Row],[ASER_]],D1_MAYO_2026[[ASESOR_CRR]:[META]],2,0)</f>
        <v>29500</v>
      </c>
      <c r="R14" t="s">
        <v>495</v>
      </c>
      <c r="S14" s="47">
        <v>1000</v>
      </c>
      <c r="T14">
        <v>0</v>
      </c>
      <c r="U14">
        <v>1100</v>
      </c>
      <c r="V14">
        <v>1500</v>
      </c>
      <c r="W14">
        <v>0</v>
      </c>
      <c r="X14">
        <v>100</v>
      </c>
      <c r="AN14" s="55"/>
      <c r="BW14" t="s">
        <v>639</v>
      </c>
      <c r="BX14" t="s">
        <v>346</v>
      </c>
      <c r="BY14" t="s">
        <v>125</v>
      </c>
      <c r="BZ14" t="s">
        <v>41</v>
      </c>
      <c r="CA14" s="56">
        <v>46176</v>
      </c>
      <c r="CB14">
        <v>1</v>
      </c>
      <c r="CC14">
        <v>1</v>
      </c>
      <c r="CE14">
        <v>1</v>
      </c>
      <c r="CG14" s="79">
        <v>3.4722222222222224E-4</v>
      </c>
      <c r="CH14" s="79">
        <v>3.4722222222222224E-4</v>
      </c>
      <c r="CI14" s="79">
        <v>0.2434837962962963</v>
      </c>
      <c r="CJ14" s="79">
        <v>0.13721064814814815</v>
      </c>
      <c r="CK14">
        <v>87</v>
      </c>
      <c r="CL14">
        <v>273</v>
      </c>
      <c r="CM14">
        <v>21</v>
      </c>
      <c r="CN14">
        <v>1.7619047619999999</v>
      </c>
      <c r="CO14">
        <v>24193</v>
      </c>
      <c r="CP14" s="1">
        <v>0.2414</v>
      </c>
      <c r="CR14" s="1"/>
      <c r="CW14" s="1"/>
      <c r="CX14" s="1"/>
      <c r="CY14">
        <v>68</v>
      </c>
      <c r="CZ14">
        <v>29500</v>
      </c>
      <c r="DA14" s="1"/>
      <c r="DB14">
        <v>1</v>
      </c>
      <c r="DC14" t="s">
        <v>158</v>
      </c>
    </row>
    <row r="15" spans="1:107" x14ac:dyDescent="0.25">
      <c r="A15" s="34" t="str" cm="1">
        <f t="array" ref="A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5" s="34" t="str" cm="1">
        <f t="array" ref="B1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CHRISTIAN ALVARADO</v>
      </c>
      <c r="C15" s="34" cm="1">
        <f t="array" ref="C15">_xlfn.XLOOKUP(1,(TablaMeta[CONCAT]=$M$3&amp;$N$3&amp;D1_MAYO_2026[[#This Row],[SUPER]])*(TablaMeta[SEGG]=D1_MAYO_2026[[#This Row],[SEGMENTO]]),TablaMeta[Meta_Asesor])</f>
        <v>29500</v>
      </c>
      <c r="D15" s="35">
        <f>IF(D1_MAYO_2026[[#This Row],[RECUPERO]]="VACACIONES","VACACIONES",IFERROR(D1_MAYO_2026[[#This Row],[RECUPERO]]/D1_MAYO_2026[[#This Row],[META]],""))</f>
        <v>8.4745762711864403E-2</v>
      </c>
      <c r="E15" s="35" t="str">
        <f>D1_MAYO_2026[[#This Row],[SUPER]]</f>
        <v>JOHAN</v>
      </c>
      <c r="F15" t="s">
        <v>41</v>
      </c>
      <c r="G15" s="3">
        <v>2500</v>
      </c>
      <c r="H15" cm="1">
        <f t="array" ref="H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15" s="56" cm="1">
        <f t="array" ref="I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15" s="56" t="str" cm="1">
        <f t="array" ref="J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DATA_MAYO_2026[[#This Row],[RECUPERO]]/DATA_MAYO_2026[[#This Row],[META]]</f>
        <v>0.13559322033898305</v>
      </c>
      <c r="N15" s="5" t="str" cm="1">
        <f t="array" ref="N15">IF(DATA_MAYO_2026[[#This Row],[ASER_]]="","",IFERROR(_xlfn.IFS(M15&gt;=100%,"&gt;100%",AND(M15&lt;100%,M15&gt;=70%),"&gt;70%",AND(M15&lt;70%,M15&gt;=40%),"&gt;40%",AND(M15&lt;40%,M15&gt;=0%),"&gt;0%"),""))</f>
        <v>&gt;0%</v>
      </c>
      <c r="O15" s="55" t="str">
        <f>IFERROR(VLOOKUP(DATA_MAYO_2026[[#This Row],[ASER_]],$B:$G,4,0),"")</f>
        <v>JOHAN</v>
      </c>
      <c r="P15" s="6">
        <f>VLOOKUP(DATA_MAYO_2026[[#This Row],[ASER_]],D1_MAYO_2026[[ASESOR_CRR]:[RECUPERO]],6,0)</f>
        <v>4000</v>
      </c>
      <c r="Q15" s="6">
        <f>VLOOKUP(DATA_MAYO_2026[[#This Row],[ASER_]],D1_MAYO_2026[[ASESOR_CRR]:[META]],2,0)</f>
        <v>29500</v>
      </c>
      <c r="R15" t="s">
        <v>26</v>
      </c>
      <c r="S15" s="47">
        <v>0</v>
      </c>
      <c r="T15">
        <v>0</v>
      </c>
      <c r="U15">
        <v>3700</v>
      </c>
      <c r="V15">
        <v>0</v>
      </c>
      <c r="W15">
        <v>0</v>
      </c>
      <c r="X15">
        <v>300</v>
      </c>
      <c r="Y15" s="45"/>
      <c r="AN15" s="55"/>
      <c r="AY15" s="45"/>
      <c r="BA15" s="45"/>
      <c r="BB15" s="45"/>
      <c r="BD15" s="45"/>
      <c r="BW15" t="s">
        <v>639</v>
      </c>
      <c r="BX15" t="s">
        <v>346</v>
      </c>
      <c r="BY15" t="s">
        <v>125</v>
      </c>
      <c r="BZ15" t="s">
        <v>61</v>
      </c>
      <c r="CA15" s="56">
        <v>46174</v>
      </c>
      <c r="CB15">
        <v>1</v>
      </c>
      <c r="CC15">
        <v>1</v>
      </c>
      <c r="CE15">
        <v>1</v>
      </c>
      <c r="CG15" s="79">
        <v>2.0833333333333335E-4</v>
      </c>
      <c r="CH15" s="79">
        <v>2.0833333333333335E-4</v>
      </c>
      <c r="CI15" s="79">
        <v>0.26672453703703702</v>
      </c>
      <c r="CJ15" s="79">
        <v>5.8252314814814812E-2</v>
      </c>
      <c r="CK15">
        <v>136</v>
      </c>
      <c r="CL15">
        <v>244</v>
      </c>
      <c r="CM15">
        <v>36</v>
      </c>
      <c r="CN15">
        <v>1.5</v>
      </c>
      <c r="CO15">
        <v>23557</v>
      </c>
      <c r="CP15" s="1">
        <v>0.26469999999999999</v>
      </c>
      <c r="CQ15">
        <v>7</v>
      </c>
      <c r="CR15" s="1">
        <v>0.19439999999999999</v>
      </c>
      <c r="CS15">
        <v>4965</v>
      </c>
      <c r="CT15">
        <v>709</v>
      </c>
      <c r="CU15">
        <v>438</v>
      </c>
      <c r="CV15">
        <v>438</v>
      </c>
      <c r="CW15" s="1">
        <v>8.8200000000000001E-2</v>
      </c>
      <c r="CX15" s="1"/>
      <c r="CY15">
        <v>80</v>
      </c>
      <c r="CZ15">
        <v>29500</v>
      </c>
      <c r="DA15" s="1">
        <v>1.4800000000000001E-2</v>
      </c>
      <c r="DB15">
        <v>2</v>
      </c>
      <c r="DC15" t="s">
        <v>209</v>
      </c>
    </row>
    <row r="16" spans="1:107" x14ac:dyDescent="0.25">
      <c r="A16" s="34" t="str" cm="1">
        <f t="array" ref="A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6" s="34" t="str" cm="1">
        <f t="array" ref="B1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ALEJANDRO GONZALES</v>
      </c>
      <c r="C16" s="34" cm="1">
        <f t="array" ref="C16">_xlfn.XLOOKUP(1,(TablaMeta[CONCAT]=$M$3&amp;$N$3&amp;D1_MAYO_2026[[#This Row],[SUPER]])*(TablaMeta[SEGG]=D1_MAYO_2026[[#This Row],[SEGMENTO]]),TablaMeta[Meta_Asesor])</f>
        <v>29500</v>
      </c>
      <c r="D16" s="35">
        <f>IF(D1_MAYO_2026[[#This Row],[RECUPERO]]="VACACIONES","VACACIONES",IFERROR(D1_MAYO_2026[[#This Row],[RECUPERO]]/D1_MAYO_2026[[#This Row],[META]],""))</f>
        <v>5.0847457627118647E-2</v>
      </c>
      <c r="E16" s="35" t="str">
        <f>D1_MAYO_2026[[#This Row],[SUPER]]</f>
        <v>JOHAN</v>
      </c>
      <c r="F16" t="s">
        <v>109</v>
      </c>
      <c r="G16" s="3">
        <v>1500</v>
      </c>
      <c r="H16" cm="1">
        <f t="array" ref="H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16" s="56" cm="1">
        <f t="array" ref="I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16" s="56" t="str" cm="1">
        <f t="array" ref="J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DATA_MAYO_2026[[#This Row],[RECUPERO]]/DATA_MAYO_2026[[#This Row],[META]]</f>
        <v>0.56610169491525419</v>
      </c>
      <c r="N16" s="5" t="str" cm="1">
        <f t="array" ref="N16">IF(DATA_MAYO_2026[[#This Row],[ASER_]]="","",IFERROR(_xlfn.IFS(M16&gt;=100%,"&gt;100%",AND(M16&lt;100%,M16&gt;=70%),"&gt;70%",AND(M16&lt;70%,M16&gt;=40%),"&gt;40%",AND(M16&lt;40%,M16&gt;=0%),"&gt;0%"),""))</f>
        <v>&gt;40%</v>
      </c>
      <c r="O16" s="55" t="str">
        <f>IFERROR(VLOOKUP(DATA_MAYO_2026[[#This Row],[ASER_]],$B:$G,4,0),"")</f>
        <v>JOHAN</v>
      </c>
      <c r="P16" s="6">
        <f>VLOOKUP(DATA_MAYO_2026[[#This Row],[ASER_]],D1_MAYO_2026[[ASESOR_CRR]:[RECUPERO]],6,0)</f>
        <v>16700</v>
      </c>
      <c r="Q16" s="6">
        <f>VLOOKUP(DATA_MAYO_2026[[#This Row],[ASER_]],D1_MAYO_2026[[ASESOR_CRR]:[META]],2,0)</f>
        <v>29500</v>
      </c>
      <c r="R16" t="s">
        <v>80</v>
      </c>
      <c r="S16">
        <v>1000</v>
      </c>
      <c r="T16">
        <v>0</v>
      </c>
      <c r="U16">
        <v>1200</v>
      </c>
      <c r="V16">
        <v>0</v>
      </c>
      <c r="W16">
        <v>1500</v>
      </c>
      <c r="X16">
        <v>13000</v>
      </c>
      <c r="AN16" s="55"/>
      <c r="AY16" s="45"/>
      <c r="AZ16" s="45"/>
      <c r="BA16" s="45"/>
      <c r="BB16" s="45"/>
      <c r="BD16" s="45"/>
      <c r="BE16" s="45"/>
      <c r="BF16" s="45"/>
      <c r="BN16" s="45"/>
      <c r="BW16" t="s">
        <v>639</v>
      </c>
      <c r="BX16" t="s">
        <v>346</v>
      </c>
      <c r="BY16" t="s">
        <v>125</v>
      </c>
      <c r="BZ16" t="s">
        <v>61</v>
      </c>
      <c r="CA16" s="56">
        <v>46176</v>
      </c>
      <c r="CB16">
        <v>1</v>
      </c>
      <c r="CC16">
        <v>1</v>
      </c>
      <c r="CE16">
        <v>1</v>
      </c>
      <c r="CG16" s="79">
        <v>0</v>
      </c>
      <c r="CH16" s="79">
        <v>0</v>
      </c>
      <c r="CI16" s="79">
        <v>0.31482638888888886</v>
      </c>
      <c r="CJ16" s="79">
        <v>9.1446759259259255E-2</v>
      </c>
      <c r="CK16">
        <v>196</v>
      </c>
      <c r="CL16">
        <v>411</v>
      </c>
      <c r="CM16">
        <v>31</v>
      </c>
      <c r="CN16">
        <v>1.838709677</v>
      </c>
      <c r="CO16">
        <v>42314</v>
      </c>
      <c r="CP16" s="1">
        <v>0.15820000000000001</v>
      </c>
      <c r="CR16" s="1"/>
      <c r="CW16" s="1"/>
      <c r="CX16" s="1"/>
      <c r="CY16">
        <v>68</v>
      </c>
      <c r="CZ16">
        <v>29500</v>
      </c>
      <c r="DA16" s="1"/>
      <c r="DB16">
        <v>3</v>
      </c>
      <c r="DC16" t="s">
        <v>159</v>
      </c>
    </row>
    <row r="17" spans="1:107" x14ac:dyDescent="0.25">
      <c r="A17" s="34" t="str" cm="1">
        <f t="array" ref="A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7" s="34" t="str" cm="1">
        <f t="array" ref="B1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CARMEN PUMA</v>
      </c>
      <c r="C17" s="34" cm="1">
        <f t="array" ref="C17">_xlfn.XLOOKUP(1,(TablaMeta[CONCAT]=$M$3&amp;$N$3&amp;D1_MAYO_2026[[#This Row],[SUPER]])*(TablaMeta[SEGG]=D1_MAYO_2026[[#This Row],[SEGMENTO]]),TablaMeta[Meta_Asesor])</f>
        <v>40500</v>
      </c>
      <c r="D17" s="35">
        <f>IF(D1_MAYO_2026[[#This Row],[RECUPERO]]="VACACIONES","VACACIONES",IFERROR(D1_MAYO_2026[[#This Row],[RECUPERO]]/D1_MAYO_2026[[#This Row],[META]],""))</f>
        <v>0.53333333333333333</v>
      </c>
      <c r="E17" s="35" t="str">
        <f>D1_MAYO_2026[[#This Row],[SUPER]]</f>
        <v>KENNETH</v>
      </c>
      <c r="F17" t="s">
        <v>19</v>
      </c>
      <c r="G17" s="3">
        <v>21600</v>
      </c>
      <c r="H17" cm="1">
        <f t="array" ref="H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7" s="56" cm="1">
        <f t="array" ref="I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7" s="56" t="str" cm="1">
        <f t="array" ref="J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7" s="56"/>
      <c r="M17" s="5">
        <f>DATA_MAYO_2026[[#This Row],[RECUPERO]]/DATA_MAYO_2026[[#This Row],[META]]</f>
        <v>0.26264406779661015</v>
      </c>
      <c r="N17" s="5" t="str" cm="1">
        <f t="array" ref="N17">IF(DATA_MAYO_2026[[#This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IFERROR(VLOOKUP(DATA_MAYO_2026[[#This Row],[ASER_]],$B:$G,4,0),"")</f>
        <v>JOHAN</v>
      </c>
      <c r="P17" s="6">
        <f>VLOOKUP(DATA_MAYO_2026[[#This Row],[ASER_]],D1_MAYO_2026[[ASESOR_CRR]:[RECUPERO]],6,0)</f>
        <v>7748</v>
      </c>
      <c r="Q17" s="6">
        <f>VLOOKUP(DATA_MAYO_2026[[#This Row],[ASER_]],D1_MAYO_2026[[ASESOR_CRR]:[META]],2,0)</f>
        <v>29500</v>
      </c>
      <c r="R17" t="s">
        <v>61</v>
      </c>
      <c r="S17" s="45">
        <v>0</v>
      </c>
      <c r="T17">
        <v>0</v>
      </c>
      <c r="U17">
        <v>438</v>
      </c>
      <c r="V17">
        <v>0</v>
      </c>
      <c r="W17">
        <v>3700</v>
      </c>
      <c r="X17">
        <v>3610</v>
      </c>
      <c r="AN17" s="55"/>
      <c r="AX17" s="45"/>
      <c r="AZ17" s="45"/>
      <c r="BA17" s="47"/>
      <c r="BB17" s="47"/>
      <c r="BD17" s="47"/>
      <c r="BE17" s="45"/>
      <c r="BF17" s="45"/>
      <c r="BH17" s="45"/>
      <c r="BM17" s="45"/>
      <c r="BN17" s="45"/>
      <c r="BW17" t="s">
        <v>639</v>
      </c>
      <c r="BX17" t="s">
        <v>346</v>
      </c>
      <c r="BY17" t="s">
        <v>125</v>
      </c>
      <c r="BZ17" t="s">
        <v>61</v>
      </c>
      <c r="CA17" s="56">
        <v>46178</v>
      </c>
      <c r="CB17">
        <v>1</v>
      </c>
      <c r="CC17">
        <v>1</v>
      </c>
      <c r="CE17">
        <v>1</v>
      </c>
      <c r="CG17" s="79">
        <v>1.3888888888888889E-4</v>
      </c>
      <c r="CH17" s="79">
        <v>1.3888888888888889E-4</v>
      </c>
      <c r="CI17" s="79">
        <v>0.14957175925925925</v>
      </c>
      <c r="CJ17" s="79">
        <v>4.4155092592592593E-2</v>
      </c>
      <c r="CK17">
        <v>47</v>
      </c>
      <c r="CL17">
        <v>99</v>
      </c>
      <c r="CM17">
        <v>9</v>
      </c>
      <c r="CN17">
        <v>1</v>
      </c>
      <c r="CO17">
        <v>20882</v>
      </c>
      <c r="CP17" s="1">
        <v>0.1915</v>
      </c>
      <c r="CR17" s="1"/>
      <c r="CW17" s="1"/>
      <c r="CX17" s="1"/>
      <c r="CY17">
        <v>100</v>
      </c>
      <c r="CZ17">
        <v>29500</v>
      </c>
      <c r="DA17" s="1"/>
      <c r="DB17">
        <v>4</v>
      </c>
      <c r="DC17" t="s">
        <v>158</v>
      </c>
    </row>
    <row r="18" spans="1:107" x14ac:dyDescent="0.25">
      <c r="A18" s="34" t="str" cm="1">
        <f t="array" ref="A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8" s="34" t="str" cm="1">
        <f t="array" ref="B1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STWUAR MACURI</v>
      </c>
      <c r="C18" s="34" cm="1">
        <f t="array" ref="C18">_xlfn.XLOOKUP(1,(TablaMeta[CONCAT]=$M$3&amp;$N$3&amp;D1_MAYO_2026[[#This Row],[SUPER]])*(TablaMeta[SEGG]=D1_MAYO_2026[[#This Row],[SEGMENTO]]),TablaMeta[Meta_Asesor])</f>
        <v>40500</v>
      </c>
      <c r="D18" s="35">
        <f>IF(D1_MAYO_2026[[#This Row],[RECUPERO]]="VACACIONES","VACACIONES",IFERROR(D1_MAYO_2026[[#This Row],[RECUPERO]]/D1_MAYO_2026[[#This Row],[META]],""))</f>
        <v>0.44098765432098763</v>
      </c>
      <c r="E18" s="35" t="str">
        <f>D1_MAYO_2026[[#This Row],[SUPER]]</f>
        <v>KENNETH</v>
      </c>
      <c r="F18" t="s">
        <v>34</v>
      </c>
      <c r="G18" s="3">
        <v>17860</v>
      </c>
      <c r="H18" cm="1">
        <f t="array" ref="H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8" s="56" cm="1">
        <f t="array" ref="I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8" s="56" t="str" cm="1">
        <f t="array" ref="J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DATA_MAYO_2026[[#This Row],[RECUPERO]]/DATA_MAYO_2026[[#This Row],[META]]</f>
        <v>8.4745762711864403E-2</v>
      </c>
      <c r="N18" s="5" t="str" cm="1">
        <f t="array" ref="N18">IF(DATA_MAYO_2026[[#This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IFERROR(VLOOKUP(DATA_MAYO_2026[[#This Row],[ASER_]],$B:$G,4,0),"")</f>
        <v>JOHAN</v>
      </c>
      <c r="P18" s="6">
        <f>VLOOKUP(DATA_MAYO_2026[[#This Row],[ASER_]],D1_MAYO_2026[[ASESOR_CRR]:[RECUPERO]],6,0)</f>
        <v>2500</v>
      </c>
      <c r="Q18" s="6">
        <f>VLOOKUP(DATA_MAYO_2026[[#This Row],[ASER_]],D1_MAYO_2026[[ASESOR_CRR]:[META]],2,0)</f>
        <v>29500</v>
      </c>
      <c r="R18" t="s">
        <v>41</v>
      </c>
      <c r="S18">
        <v>0</v>
      </c>
      <c r="T18">
        <v>0</v>
      </c>
      <c r="U18">
        <v>0</v>
      </c>
      <c r="V18">
        <v>2500</v>
      </c>
      <c r="W18">
        <v>0</v>
      </c>
      <c r="X18">
        <v>0</v>
      </c>
      <c r="AN18" s="55"/>
      <c r="AZ18" s="47"/>
      <c r="BA18" s="45"/>
      <c r="BB18" s="45"/>
      <c r="BD18" s="45"/>
      <c r="BE18" s="47"/>
      <c r="BF18" s="47"/>
      <c r="BH18" s="45"/>
      <c r="BI18" s="45"/>
      <c r="BM18" s="45"/>
      <c r="BN18" s="47"/>
      <c r="BW18" t="s">
        <v>639</v>
      </c>
      <c r="BX18" t="s">
        <v>346</v>
      </c>
      <c r="BY18" t="s">
        <v>125</v>
      </c>
      <c r="BZ18" t="s">
        <v>80</v>
      </c>
      <c r="CA18" s="56">
        <v>46174</v>
      </c>
      <c r="CB18">
        <v>1</v>
      </c>
      <c r="CC18">
        <v>1</v>
      </c>
      <c r="CE18">
        <v>1</v>
      </c>
      <c r="CG18" s="79">
        <v>6.9444444444444444E-5</v>
      </c>
      <c r="CH18" s="79">
        <v>6.9444444444444444E-5</v>
      </c>
      <c r="CI18" s="79">
        <v>0.17969907407407407</v>
      </c>
      <c r="CJ18" s="79">
        <v>0.12446759259259259</v>
      </c>
      <c r="CK18">
        <v>62</v>
      </c>
      <c r="CL18">
        <v>108</v>
      </c>
      <c r="CM18">
        <v>13</v>
      </c>
      <c r="CN18">
        <v>2</v>
      </c>
      <c r="CO18">
        <v>27645</v>
      </c>
      <c r="CP18" s="1">
        <v>0.2097</v>
      </c>
      <c r="CQ18">
        <v>5</v>
      </c>
      <c r="CR18" s="1">
        <v>0.3846</v>
      </c>
      <c r="CS18">
        <v>4933</v>
      </c>
      <c r="CT18">
        <v>987</v>
      </c>
      <c r="CW18" s="1"/>
      <c r="CX18" s="1"/>
      <c r="CY18">
        <v>94</v>
      </c>
      <c r="CZ18">
        <v>29500</v>
      </c>
      <c r="DA18" s="1"/>
      <c r="DB18">
        <v>5</v>
      </c>
      <c r="DC18" t="s">
        <v>209</v>
      </c>
    </row>
    <row r="19" spans="1:107" x14ac:dyDescent="0.25">
      <c r="A19" s="34" t="str" cm="1">
        <f t="array" ref="A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NOEMI CHUQUILIN</v>
      </c>
      <c r="C19" s="34" cm="1">
        <f t="array" ref="C19">_xlfn.XLOOKUP(1,(TablaMeta[CONCAT]=$M$3&amp;$N$3&amp;D1_MAYO_2026[[#This Row],[SUPER]])*(TablaMeta[SEGG]=D1_MAYO_2026[[#This Row],[SEGMENTO]]),TablaMeta[Meta_Asesor])</f>
        <v>40500</v>
      </c>
      <c r="D19" s="35">
        <f>IF(D1_MAYO_2026[[#This Row],[RECUPERO]]="VACACIONES","VACACIONES",IFERROR(D1_MAYO_2026[[#This Row],[RECUPERO]]/D1_MAYO_2026[[#This Row],[META]],""))</f>
        <v>0.30839506172839504</v>
      </c>
      <c r="E19" s="35" t="str">
        <f>D1_MAYO_2026[[#This Row],[SUPER]]</f>
        <v>KENNETH</v>
      </c>
      <c r="F19" t="s">
        <v>97</v>
      </c>
      <c r="G19" s="3">
        <v>12490</v>
      </c>
      <c r="H19" cm="1">
        <f t="array" ref="H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19" s="56" cm="1">
        <f t="array" ref="I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19" s="56" t="str" cm="1">
        <f t="array" ref="J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DATA_MAYO_2026[[#This Row],[RECUPERO]]/DATA_MAYO_2026[[#This Row],[META]]</f>
        <v>0.27358024691358024</v>
      </c>
      <c r="N19" s="5" t="str" cm="1">
        <f t="array" ref="N19">IF(DATA_MAYO_2026[[#This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IFERROR(VLOOKUP(DATA_MAYO_2026[[#This Row],[ASER_]],$B:$G,4,0),"")</f>
        <v>KENNETH</v>
      </c>
      <c r="P19" s="6">
        <f>VLOOKUP(DATA_MAYO_2026[[#This Row],[ASER_]],D1_MAYO_2026[[ASESOR_CRR]:[RECUPERO]],6,0)</f>
        <v>11080</v>
      </c>
      <c r="Q19" s="6">
        <f>VLOOKUP(DATA_MAYO_2026[[#This Row],[ASER_]],D1_MAYO_2026[[ASESOR_CRR]:[META]],2,0)</f>
        <v>40500</v>
      </c>
      <c r="R19" t="s">
        <v>31</v>
      </c>
      <c r="S19">
        <v>1000</v>
      </c>
      <c r="T19">
        <v>80</v>
      </c>
      <c r="U19">
        <v>0</v>
      </c>
      <c r="V19">
        <v>9000</v>
      </c>
      <c r="W19">
        <v>0</v>
      </c>
      <c r="X19">
        <v>1000</v>
      </c>
      <c r="AN19" s="55"/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  <c r="BW19" t="s">
        <v>639</v>
      </c>
      <c r="BX19" t="s">
        <v>346</v>
      </c>
      <c r="BY19" t="s">
        <v>125</v>
      </c>
      <c r="BZ19" t="s">
        <v>80</v>
      </c>
      <c r="CA19" s="56">
        <v>46175</v>
      </c>
      <c r="CB19">
        <v>1</v>
      </c>
      <c r="CC19">
        <v>1</v>
      </c>
      <c r="CE19">
        <v>1</v>
      </c>
      <c r="CG19" s="79">
        <v>1.1574074074074075E-4</v>
      </c>
      <c r="CH19" s="79">
        <v>1.1574074074074075E-4</v>
      </c>
      <c r="CI19" s="79">
        <v>0.18714120370370371</v>
      </c>
      <c r="CJ19" s="79">
        <v>0.11861111111111111</v>
      </c>
      <c r="CK19">
        <v>59</v>
      </c>
      <c r="CL19">
        <v>119</v>
      </c>
      <c r="CM19">
        <v>19</v>
      </c>
      <c r="CN19">
        <v>1.6315789469999999</v>
      </c>
      <c r="CO19">
        <v>34738</v>
      </c>
      <c r="CP19" s="1">
        <v>0.32200000000000001</v>
      </c>
      <c r="CR19" s="1"/>
      <c r="CW19" s="1"/>
      <c r="CX19" s="1"/>
      <c r="CY19">
        <v>84</v>
      </c>
      <c r="CZ19">
        <v>29500</v>
      </c>
      <c r="DA19" s="1"/>
      <c r="DB19">
        <v>1</v>
      </c>
      <c r="DC19" t="s">
        <v>159</v>
      </c>
    </row>
    <row r="20" spans="1:107" x14ac:dyDescent="0.25">
      <c r="A20" s="34" t="str" cm="1">
        <f t="array" ref="A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CENTENO</v>
      </c>
      <c r="C20" s="34" cm="1">
        <f t="array" ref="C20">_xlfn.XLOOKUP(1,(TablaMeta[CONCAT]=$M$3&amp;$N$3&amp;D1_MAYO_2026[[#This Row],[SUPER]])*(TablaMeta[SEGG]=D1_MAYO_2026[[#This Row],[SEGMENTO]]),TablaMeta[Meta_Asesor])</f>
        <v>40500</v>
      </c>
      <c r="D20" s="35">
        <f>IF(D1_MAYO_2026[[#This Row],[RECUPERO]]="VACACIONES","VACACIONES",IFERROR(D1_MAYO_2026[[#This Row],[RECUPERO]]/D1_MAYO_2026[[#This Row],[META]],""))</f>
        <v>0.27358024691358024</v>
      </c>
      <c r="E20" s="35" t="str">
        <f>D1_MAYO_2026[[#This Row],[SUPER]]</f>
        <v>KENNETH</v>
      </c>
      <c r="F20" t="s">
        <v>31</v>
      </c>
      <c r="G20" s="3">
        <v>11080</v>
      </c>
      <c r="H20" cm="1">
        <f t="array" ref="H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20" s="56" cm="1">
        <f t="array" ref="I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20" s="56" t="str" cm="1">
        <f t="array" ref="J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DATA_MAYO_2026[[#This Row],[RECUPERO]]/DATA_MAYO_2026[[#This Row],[META]]</f>
        <v>5.6296296296296296E-2</v>
      </c>
      <c r="N20" s="5" t="str" cm="1">
        <f t="array" ref="N20">IF(DATA_MAYO_2026[[#This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IFERROR(VLOOKUP(DATA_MAYO_2026[[#This Row],[ASER_]],$B:$G,4,0),"")</f>
        <v>KENNETH</v>
      </c>
      <c r="P20" s="6">
        <f>VLOOKUP(DATA_MAYO_2026[[#This Row],[ASER_]],D1_MAYO_2026[[ASESOR_CRR]:[RECUPERO]],6,0)</f>
        <v>2280</v>
      </c>
      <c r="Q20" s="6">
        <f>VLOOKUP(DATA_MAYO_2026[[#This Row],[ASER_]],D1_MAYO_2026[[ASESOR_CRR]:[META]],2,0)</f>
        <v>40500</v>
      </c>
      <c r="R20" t="s">
        <v>38</v>
      </c>
      <c r="S20">
        <v>0</v>
      </c>
      <c r="T20">
        <v>0</v>
      </c>
      <c r="U20">
        <v>0</v>
      </c>
      <c r="V20">
        <v>580</v>
      </c>
      <c r="W20">
        <v>100</v>
      </c>
      <c r="X20">
        <v>1600</v>
      </c>
      <c r="AN20" s="55"/>
      <c r="AT20" s="47"/>
      <c r="AZ20" s="45"/>
      <c r="BF20" s="45"/>
      <c r="BH20" s="45"/>
      <c r="BI20" s="47"/>
      <c r="BL20" s="45"/>
      <c r="BM20" s="47"/>
      <c r="BN20" s="45"/>
      <c r="BW20" t="s">
        <v>639</v>
      </c>
      <c r="BX20" t="s">
        <v>346</v>
      </c>
      <c r="BY20" t="s">
        <v>125</v>
      </c>
      <c r="BZ20" t="s">
        <v>80</v>
      </c>
      <c r="CA20" s="56">
        <v>46176</v>
      </c>
      <c r="CB20">
        <v>1</v>
      </c>
      <c r="CC20">
        <v>1</v>
      </c>
      <c r="CE20">
        <v>1</v>
      </c>
      <c r="CG20" s="79">
        <v>1.1574074074074075E-4</v>
      </c>
      <c r="CH20" s="79">
        <v>1.1574074074074075E-4</v>
      </c>
      <c r="CI20" s="79">
        <v>0.12097222222222222</v>
      </c>
      <c r="CJ20" s="79">
        <v>0.24967592592592591</v>
      </c>
      <c r="CK20">
        <v>95</v>
      </c>
      <c r="CL20">
        <v>178</v>
      </c>
      <c r="CM20">
        <v>6</v>
      </c>
      <c r="CN20">
        <v>4.1666666670000003</v>
      </c>
      <c r="CO20">
        <v>28059</v>
      </c>
      <c r="CP20" s="1">
        <v>6.3200000000000006E-2</v>
      </c>
      <c r="CQ20">
        <v>1</v>
      </c>
      <c r="CR20" s="1">
        <v>0.16669999999999999</v>
      </c>
      <c r="CS20">
        <v>1200</v>
      </c>
      <c r="CT20">
        <v>1200</v>
      </c>
      <c r="CU20">
        <v>1200</v>
      </c>
      <c r="CV20">
        <v>1200</v>
      </c>
      <c r="CW20" s="1">
        <v>1</v>
      </c>
      <c r="CX20" s="1">
        <v>0.1176</v>
      </c>
      <c r="CY20">
        <v>98</v>
      </c>
      <c r="CZ20">
        <v>29500</v>
      </c>
      <c r="DA20" s="1">
        <v>4.07E-2</v>
      </c>
      <c r="DB20">
        <v>2</v>
      </c>
      <c r="DC20" t="s">
        <v>158</v>
      </c>
    </row>
    <row r="21" spans="1:107" x14ac:dyDescent="0.25">
      <c r="A21" s="34" t="str" cm="1">
        <f t="array" ref="A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MILAGROS QUIO</v>
      </c>
      <c r="C21" s="34" cm="1">
        <f t="array" ref="C21">_xlfn.XLOOKUP(1,(TablaMeta[CONCAT]=$M$3&amp;$N$3&amp;D1_MAYO_2026[[#This Row],[SUPER]])*(TablaMeta[SEGG]=D1_MAYO_2026[[#This Row],[SEGMENTO]]),TablaMeta[Meta_Asesor])</f>
        <v>40500</v>
      </c>
      <c r="D21" s="35">
        <f>IF(D1_MAYO_2026[[#This Row],[RECUPERO]]="VACACIONES","VACACIONES",IFERROR(D1_MAYO_2026[[#This Row],[RECUPERO]]/D1_MAYO_2026[[#This Row],[META]],""))</f>
        <v>0.23950617283950618</v>
      </c>
      <c r="E21" s="35" t="str">
        <f>D1_MAYO_2026[[#This Row],[SUPER]]</f>
        <v>KENNETH</v>
      </c>
      <c r="F21" t="s">
        <v>11</v>
      </c>
      <c r="G21" s="3">
        <v>9700</v>
      </c>
      <c r="H21" cm="1">
        <f t="array" ref="H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21" s="56" cm="1">
        <f t="array" ref="I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21" s="56" t="str" cm="1">
        <f t="array" ref="J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DATA_MAYO_2026[[#This Row],[RECUPERO]]/DATA_MAYO_2026[[#This Row],[META]]</f>
        <v>0.16641975308641976</v>
      </c>
      <c r="N21" s="5" t="str" cm="1">
        <f t="array" ref="N21">IF(DATA_MAYO_2026[[#This Row],[ASER_]]="","",IFERROR(_xlfn.IFS(M21&gt;=100%,"&gt;100%",AND(M21&lt;100%,M21&gt;=70%),"&gt;70%",AND(M21&lt;70%,M21&gt;=40%),"&gt;40%",AND(M21&lt;40%,M21&gt;=0%),"&gt;0%"),""))</f>
        <v>&gt;0%</v>
      </c>
      <c r="O21" s="55" t="str">
        <f>IFERROR(VLOOKUP(DATA_MAYO_2026[[#This Row],[ASER_]],$B:$G,4,0),"")</f>
        <v>KENNETH</v>
      </c>
      <c r="P21" s="6">
        <f>VLOOKUP(DATA_MAYO_2026[[#This Row],[ASER_]],D1_MAYO_2026[[ASESOR_CRR]:[RECUPERO]],6,0)</f>
        <v>6740</v>
      </c>
      <c r="Q21" s="6">
        <f>VLOOKUP(DATA_MAYO_2026[[#This Row],[ASER_]],D1_MAYO_2026[[ASESOR_CRR]:[META]],2,0)</f>
        <v>40500</v>
      </c>
      <c r="R21" t="s">
        <v>35</v>
      </c>
      <c r="S21">
        <v>700</v>
      </c>
      <c r="T21">
        <v>2240</v>
      </c>
      <c r="U21">
        <v>0</v>
      </c>
      <c r="V21">
        <v>3000</v>
      </c>
      <c r="W21">
        <v>0</v>
      </c>
      <c r="X21">
        <v>800</v>
      </c>
      <c r="AN21" s="55"/>
      <c r="AT21" s="45"/>
      <c r="BH21" s="45"/>
      <c r="BI21" s="47"/>
      <c r="BL21" s="45"/>
      <c r="BM21" s="45"/>
      <c r="BW21" t="s">
        <v>639</v>
      </c>
      <c r="BX21" t="s">
        <v>346</v>
      </c>
      <c r="BY21" t="s">
        <v>125</v>
      </c>
      <c r="BZ21" t="s">
        <v>80</v>
      </c>
      <c r="CA21" s="56">
        <v>46177</v>
      </c>
      <c r="CB21">
        <v>1</v>
      </c>
      <c r="CC21">
        <v>1</v>
      </c>
      <c r="CE21">
        <v>1</v>
      </c>
      <c r="CG21" s="79">
        <v>9.2592592592592588E-5</v>
      </c>
      <c r="CH21" s="79">
        <v>9.2592592592592588E-5</v>
      </c>
      <c r="CI21" s="79">
        <v>0.26836805555555554</v>
      </c>
      <c r="CJ21" s="79">
        <v>7.1354166666666663E-2</v>
      </c>
      <c r="CK21">
        <v>122</v>
      </c>
      <c r="CL21">
        <v>187</v>
      </c>
      <c r="CM21">
        <v>12</v>
      </c>
      <c r="CN21">
        <v>1.5</v>
      </c>
      <c r="CO21">
        <v>17504</v>
      </c>
      <c r="CP21" s="1">
        <v>9.8400000000000001E-2</v>
      </c>
      <c r="CR21" s="1"/>
      <c r="CW21" s="1"/>
      <c r="CX21" s="1"/>
      <c r="CY21">
        <v>84</v>
      </c>
      <c r="CZ21">
        <v>29500</v>
      </c>
      <c r="DA21" s="1"/>
      <c r="DB21">
        <v>3</v>
      </c>
      <c r="DC21" t="s">
        <v>209</v>
      </c>
    </row>
    <row r="22" spans="1:107" x14ac:dyDescent="0.25">
      <c r="A22" s="34" t="str" cm="1">
        <f t="array" ref="A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FRANK PACORA</v>
      </c>
      <c r="C22" s="34" cm="1">
        <f t="array" ref="C22">_xlfn.XLOOKUP(1,(TablaMeta[CONCAT]=$M$3&amp;$N$3&amp;D1_MAYO_2026[[#This Row],[SUPER]])*(TablaMeta[SEGG]=D1_MAYO_2026[[#This Row],[SEGMENTO]]),TablaMeta[Meta_Asesor])</f>
        <v>40500</v>
      </c>
      <c r="D22" s="35">
        <f>IF(D1_MAYO_2026[[#This Row],[RECUPERO]]="VACACIONES","VACACIONES",IFERROR(D1_MAYO_2026[[#This Row],[RECUPERO]]/D1_MAYO_2026[[#This Row],[META]],""))</f>
        <v>0.19753086419753085</v>
      </c>
      <c r="E22" s="35" t="str">
        <f>D1_MAYO_2026[[#This Row],[SUPER]]</f>
        <v>KENNETH</v>
      </c>
      <c r="F22" t="s">
        <v>105</v>
      </c>
      <c r="G22" s="3">
        <v>8000</v>
      </c>
      <c r="H22" cm="1">
        <f t="array" ref="H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2" s="56" cm="1">
        <f t="array" ref="I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2" s="56" t="str" cm="1">
        <f t="array" ref="J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DATA_MAYO_2026[[#This Row],[RECUPERO]]/DATA_MAYO_2026[[#This Row],[META]]</f>
        <v>0.30839506172839504</v>
      </c>
      <c r="N22" s="5" t="str" cm="1">
        <f t="array" ref="N22">IF(DATA_MAYO_2026[[#This Row],[ASER_]]="","",IFERROR(_xlfn.IFS(M22&gt;=100%,"&gt;100%",AND(M22&lt;100%,M22&gt;=70%),"&gt;70%",AND(M22&lt;70%,M22&gt;=40%),"&gt;40%",AND(M22&lt;40%,M22&gt;=0%),"&gt;0%"),""))</f>
        <v>&gt;0%</v>
      </c>
      <c r="O22" s="55" t="str">
        <f>IFERROR(VLOOKUP(DATA_MAYO_2026[[#This Row],[ASER_]],$B:$G,4,0),"")</f>
        <v>KENNETH</v>
      </c>
      <c r="P22" s="6">
        <f>VLOOKUP(DATA_MAYO_2026[[#This Row],[ASER_]],D1_MAYO_2026[[ASESOR_CRR]:[RECUPERO]],6,0)</f>
        <v>12490</v>
      </c>
      <c r="Q22" s="6">
        <f>VLOOKUP(DATA_MAYO_2026[[#This Row],[ASER_]],D1_MAYO_2026[[ASESOR_CRR]:[META]],2,0)</f>
        <v>40500</v>
      </c>
      <c r="R22" t="s">
        <v>97</v>
      </c>
      <c r="S22">
        <v>2725</v>
      </c>
      <c r="T22">
        <v>5000</v>
      </c>
      <c r="U22">
        <v>4285</v>
      </c>
      <c r="V22">
        <v>0</v>
      </c>
      <c r="W22">
        <v>480</v>
      </c>
      <c r="X22">
        <v>0</v>
      </c>
      <c r="AN22" s="55"/>
      <c r="AT22" s="47"/>
      <c r="BH22" s="47"/>
      <c r="BI22" s="45"/>
      <c r="BL22" s="45"/>
      <c r="BW22" t="s">
        <v>639</v>
      </c>
      <c r="BX22" t="s">
        <v>346</v>
      </c>
      <c r="BY22" t="s">
        <v>125</v>
      </c>
      <c r="BZ22" t="s">
        <v>495</v>
      </c>
      <c r="CA22" s="56">
        <v>46176</v>
      </c>
      <c r="CB22">
        <v>1</v>
      </c>
      <c r="CC22">
        <v>1</v>
      </c>
      <c r="CE22">
        <v>1</v>
      </c>
      <c r="CG22" s="79">
        <v>2.6041666666666665E-3</v>
      </c>
      <c r="CH22" s="79">
        <v>2.6041666666666665E-3</v>
      </c>
      <c r="CI22" s="79">
        <v>0.30344907407407407</v>
      </c>
      <c r="CJ22" s="79">
        <v>0.10856481481481481</v>
      </c>
      <c r="CK22">
        <v>107</v>
      </c>
      <c r="CL22">
        <v>227</v>
      </c>
      <c r="CM22">
        <v>19</v>
      </c>
      <c r="CN22">
        <v>2.0526315789999998</v>
      </c>
      <c r="CO22">
        <v>37731</v>
      </c>
      <c r="CP22" s="1">
        <v>0.17760000000000001</v>
      </c>
      <c r="CQ22">
        <v>3</v>
      </c>
      <c r="CR22" s="1">
        <v>0.15790000000000001</v>
      </c>
      <c r="CS22">
        <v>5300</v>
      </c>
      <c r="CT22">
        <v>1767</v>
      </c>
      <c r="CU22">
        <v>1100</v>
      </c>
      <c r="CV22">
        <v>1100</v>
      </c>
      <c r="CW22" s="1">
        <v>0.20749999999999999</v>
      </c>
      <c r="CX22" s="1"/>
      <c r="CY22">
        <v>88</v>
      </c>
      <c r="CZ22">
        <v>29500</v>
      </c>
      <c r="DA22" s="1">
        <v>3.73E-2</v>
      </c>
      <c r="DB22">
        <v>4</v>
      </c>
      <c r="DC22" t="s">
        <v>159</v>
      </c>
    </row>
    <row r="23" spans="1:107" x14ac:dyDescent="0.25">
      <c r="A23" s="34" t="str" cm="1">
        <f t="array" ref="A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3" s="34" t="str" cm="1">
        <f t="array" ref="B2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LOZA</v>
      </c>
      <c r="C23" s="34" cm="1">
        <f t="array" ref="C23">_xlfn.XLOOKUP(1,(TablaMeta[CONCAT]=$M$3&amp;$N$3&amp;D1_MAYO_2026[[#This Row],[SUPER]])*(TablaMeta[SEGG]=D1_MAYO_2026[[#This Row],[SEGMENTO]]),TablaMeta[Meta_Asesor])</f>
        <v>40500</v>
      </c>
      <c r="D23" s="35">
        <f>IF(D1_MAYO_2026[[#This Row],[RECUPERO]]="VACACIONES","VACACIONES",IFERROR(D1_MAYO_2026[[#This Row],[RECUPERO]]/D1_MAYO_2026[[#This Row],[META]],""))</f>
        <v>0.16641975308641976</v>
      </c>
      <c r="E23" s="35" t="str">
        <f>D1_MAYO_2026[[#This Row],[SUPER]]</f>
        <v>KENNETH</v>
      </c>
      <c r="F23" t="s">
        <v>35</v>
      </c>
      <c r="G23" s="3">
        <v>6740</v>
      </c>
      <c r="H23" cm="1">
        <f t="array" ref="H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3" s="56" cm="1">
        <f t="array" ref="I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3" s="56" t="str" cm="1">
        <f t="array" ref="J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DATA_MAYO_2026[[#This Row],[RECUPERO]]/DATA_MAYO_2026[[#This Row],[META]]</f>
        <v>0.19753086419753085</v>
      </c>
      <c r="N23" s="5" t="str" cm="1">
        <f t="array" ref="N23">IF(DATA_MAYO_2026[[#This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IFERROR(VLOOKUP(DATA_MAYO_2026[[#This Row],[ASER_]],$B:$G,4,0),"")</f>
        <v>KENNETH</v>
      </c>
      <c r="P23" s="6">
        <f>VLOOKUP(DATA_MAYO_2026[[#This Row],[ASER_]],D1_MAYO_2026[[ASESOR_CRR]:[RECUPERO]],6,0)</f>
        <v>8000</v>
      </c>
      <c r="Q23" s="6">
        <f>VLOOKUP(DATA_MAYO_2026[[#This Row],[ASER_]],D1_MAYO_2026[[ASESOR_CRR]:[META]],2,0)</f>
        <v>40500</v>
      </c>
      <c r="R23" t="s">
        <v>105</v>
      </c>
      <c r="S23">
        <v>0</v>
      </c>
      <c r="T23">
        <v>4000</v>
      </c>
      <c r="U23">
        <v>0</v>
      </c>
      <c r="V23">
        <v>0</v>
      </c>
      <c r="W23">
        <v>3500</v>
      </c>
      <c r="X23">
        <v>500</v>
      </c>
      <c r="AN23" s="55"/>
      <c r="BH23" s="45"/>
      <c r="BW23" t="s">
        <v>639</v>
      </c>
      <c r="BX23" t="s">
        <v>346</v>
      </c>
      <c r="BY23" t="s">
        <v>125</v>
      </c>
      <c r="BZ23" t="s">
        <v>495</v>
      </c>
      <c r="CA23" s="56">
        <v>46177</v>
      </c>
      <c r="CB23">
        <v>1</v>
      </c>
      <c r="CC23">
        <v>1</v>
      </c>
      <c r="CE23">
        <v>1</v>
      </c>
      <c r="CG23" s="79">
        <v>0</v>
      </c>
      <c r="CH23" s="79">
        <v>0</v>
      </c>
      <c r="CI23" s="79">
        <v>0.24482638888888889</v>
      </c>
      <c r="CJ23" s="79">
        <v>0.10802083333333333</v>
      </c>
      <c r="CK23">
        <v>99</v>
      </c>
      <c r="CL23">
        <v>253</v>
      </c>
      <c r="CM23">
        <v>19</v>
      </c>
      <c r="CN23">
        <v>1.684210526</v>
      </c>
      <c r="CO23">
        <v>33307</v>
      </c>
      <c r="CP23" s="1">
        <v>0.19189999999999999</v>
      </c>
      <c r="CR23" s="1"/>
      <c r="CW23" s="1"/>
      <c r="CX23" s="1"/>
      <c r="CY23">
        <v>84</v>
      </c>
      <c r="CZ23">
        <v>29500</v>
      </c>
      <c r="DA23" s="1"/>
      <c r="DB23">
        <v>5</v>
      </c>
      <c r="DC23" t="s">
        <v>158</v>
      </c>
    </row>
    <row r="24" spans="1:107" x14ac:dyDescent="0.25">
      <c r="A24" s="34" t="str" cm="1">
        <f t="array" ref="A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4" s="34" t="str" cm="1">
        <f t="array" ref="B2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HUARCAYA</v>
      </c>
      <c r="C24" s="34" cm="1">
        <f t="array" ref="C24">_xlfn.XLOOKUP(1,(TablaMeta[CONCAT]=$M$3&amp;$N$3&amp;D1_MAYO_2026[[#This Row],[SUPER]])*(TablaMeta[SEGG]=D1_MAYO_2026[[#This Row],[SEGMENTO]]),TablaMeta[Meta_Asesor])</f>
        <v>40500</v>
      </c>
      <c r="D24" s="35">
        <f>IF(D1_MAYO_2026[[#This Row],[RECUPERO]]="VACACIONES","VACACIONES",IFERROR(D1_MAYO_2026[[#This Row],[RECUPERO]]/D1_MAYO_2026[[#This Row],[META]],""))</f>
        <v>5.6296296296296296E-2</v>
      </c>
      <c r="E24" s="35" t="str">
        <f>D1_MAYO_2026[[#This Row],[SUPER]]</f>
        <v>KENNETH</v>
      </c>
      <c r="F24" t="s">
        <v>38</v>
      </c>
      <c r="G24" s="3">
        <v>2280</v>
      </c>
      <c r="H24" cm="1">
        <f t="array" ref="H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DATA_MAYO_2026[[#This Row],[RECUPERO]]/DATA_MAYO_2026[[#This Row],[META]]</f>
        <v>0.23950617283950618</v>
      </c>
      <c r="N24" s="5" t="str" cm="1">
        <f t="array" ref="N24">IF(DATA_MAYO_2026[[#This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IFERROR(VLOOKUP(DATA_MAYO_2026[[#This Row],[ASER_]],$B:$G,4,0),"")</f>
        <v>KENNETH</v>
      </c>
      <c r="P24" s="6">
        <f>VLOOKUP(DATA_MAYO_2026[[#This Row],[ASER_]],D1_MAYO_2026[[ASESOR_CRR]:[RECUPERO]],6,0)</f>
        <v>9700</v>
      </c>
      <c r="Q24" s="6">
        <f>VLOOKUP(DATA_MAYO_2026[[#This Row],[ASER_]],D1_MAYO_2026[[ASESOR_CRR]:[META]],2,0)</f>
        <v>40500</v>
      </c>
      <c r="R24" t="s">
        <v>11</v>
      </c>
      <c r="S24">
        <v>0</v>
      </c>
      <c r="T24">
        <v>4500</v>
      </c>
      <c r="U24">
        <v>0</v>
      </c>
      <c r="V24">
        <v>2700</v>
      </c>
      <c r="W24">
        <v>0</v>
      </c>
      <c r="X24">
        <v>2500</v>
      </c>
      <c r="AN24" s="55"/>
      <c r="BL24" s="45"/>
      <c r="BW24" t="s">
        <v>639</v>
      </c>
      <c r="BX24" t="s">
        <v>346</v>
      </c>
      <c r="BY24" t="s">
        <v>125</v>
      </c>
      <c r="BZ24" t="s">
        <v>495</v>
      </c>
      <c r="CA24" s="56">
        <v>46178</v>
      </c>
      <c r="CB24">
        <v>1</v>
      </c>
      <c r="CC24">
        <v>1</v>
      </c>
      <c r="CE24">
        <v>1</v>
      </c>
      <c r="CG24" s="79">
        <v>6.5972222222222224E-4</v>
      </c>
      <c r="CH24" s="79">
        <v>6.5972222222222224E-4</v>
      </c>
      <c r="CI24" s="79">
        <v>0.14416666666666667</v>
      </c>
      <c r="CJ24" s="79">
        <v>4.8692129629629627E-2</v>
      </c>
      <c r="CK24">
        <v>39</v>
      </c>
      <c r="CL24">
        <v>109</v>
      </c>
      <c r="CM24">
        <v>8</v>
      </c>
      <c r="CN24">
        <v>1.375</v>
      </c>
      <c r="CO24">
        <v>36022</v>
      </c>
      <c r="CP24" s="1">
        <v>0.2051</v>
      </c>
      <c r="CR24" s="1"/>
      <c r="CW24" s="1"/>
      <c r="CX24" s="1"/>
      <c r="CY24">
        <v>100</v>
      </c>
      <c r="CZ24">
        <v>29500</v>
      </c>
      <c r="DA24" s="1"/>
      <c r="DB24">
        <v>1</v>
      </c>
      <c r="DC24" t="s">
        <v>209</v>
      </c>
    </row>
    <row r="25" spans="1:107" x14ac:dyDescent="0.25">
      <c r="A25" s="34" t="str" cm="1">
        <f t="array" ref="A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5" s="34" t="str" cm="1">
        <f t="array" ref="B2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GIANFRANCO PINEDO</v>
      </c>
      <c r="C25" s="34" cm="1">
        <f t="array" ref="C25">_xlfn.XLOOKUP(1,(TablaMeta[CONCAT]=$M$3&amp;$N$3&amp;D1_MAYO_2026[[#This Row],[SUPER]])*(TablaMeta[SEGG]=D1_MAYO_2026[[#This Row],[SEGMENTO]]),TablaMeta[Meta_Asesor])</f>
        <v>67500</v>
      </c>
      <c r="D25" s="35">
        <f>IF(D1_MAYO_2026[[#This Row],[RECUPERO]]="VACACIONES","VACACIONES",IFERROR(D1_MAYO_2026[[#This Row],[RECUPERO]]/D1_MAYO_2026[[#This Row],[META]],""))</f>
        <v>0.33585185185185185</v>
      </c>
      <c r="E25" s="35" t="str">
        <f>D1_MAYO_2026[[#This Row],[SUPER]]</f>
        <v>JORGE</v>
      </c>
      <c r="F25" t="s">
        <v>13</v>
      </c>
      <c r="G25" s="3">
        <v>22670</v>
      </c>
      <c r="H25" cm="1">
        <f t="array" ref="H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25" s="56" cm="1">
        <f t="array" ref="I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25" s="56" t="str" cm="1">
        <f t="array" ref="J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5" s="56"/>
      <c r="M25" s="5">
        <f>DATA_MAYO_2026[[#This Row],[RECUPERO]]/DATA_MAYO_2026[[#This Row],[META]]</f>
        <v>0.53333333333333333</v>
      </c>
      <c r="N25" s="5" t="str" cm="1">
        <f t="array" ref="N25">IF(DATA_MAYO_2026[[#This Row],[ASER_]]="","",IFERROR(_xlfn.IFS(M25&gt;=100%,"&gt;100%",AND(M25&lt;100%,M25&gt;=70%),"&gt;70%",AND(M25&lt;70%,M25&gt;=40%),"&gt;40%",AND(M25&lt;40%,M25&gt;=0%),"&gt;0%"),""))</f>
        <v>&gt;40%</v>
      </c>
      <c r="O25" s="55" t="str">
        <f>IFERROR(VLOOKUP(DATA_MAYO_2026[[#This Row],[ASER_]],$B:$G,4,0),"")</f>
        <v>KENNETH</v>
      </c>
      <c r="P25" s="6">
        <f>VLOOKUP(DATA_MAYO_2026[[#This Row],[ASER_]],D1_MAYO_2026[[ASESOR_CRR]:[RECUPERO]],6,0)</f>
        <v>21600</v>
      </c>
      <c r="Q25" s="6">
        <f>VLOOKUP(DATA_MAYO_2026[[#This Row],[ASER_]],D1_MAYO_2026[[ASESOR_CRR]:[META]],2,0)</f>
        <v>40500</v>
      </c>
      <c r="R25" t="s">
        <v>19</v>
      </c>
      <c r="S25" s="45">
        <v>0</v>
      </c>
      <c r="T25">
        <v>0</v>
      </c>
      <c r="U25">
        <v>300</v>
      </c>
      <c r="V25">
        <v>0</v>
      </c>
      <c r="W25">
        <v>300</v>
      </c>
      <c r="X25">
        <v>21000</v>
      </c>
      <c r="AN25" s="55"/>
      <c r="BW25" t="s">
        <v>639</v>
      </c>
      <c r="BX25" t="s">
        <v>346</v>
      </c>
      <c r="BY25" t="s">
        <v>125</v>
      </c>
      <c r="BZ25" t="s">
        <v>72</v>
      </c>
      <c r="CA25" s="56">
        <v>46174</v>
      </c>
      <c r="CB25">
        <v>1</v>
      </c>
      <c r="CC25">
        <v>1</v>
      </c>
      <c r="CE25">
        <v>1</v>
      </c>
      <c r="CG25" s="79">
        <v>3.4722222222222222E-5</v>
      </c>
      <c r="CH25" s="79">
        <v>3.4722222222222222E-5</v>
      </c>
      <c r="CI25" s="79">
        <v>0.25590277777777776</v>
      </c>
      <c r="CJ25" s="79">
        <v>5.8749999999999997E-2</v>
      </c>
      <c r="CK25">
        <v>200</v>
      </c>
      <c r="CL25">
        <v>342</v>
      </c>
      <c r="CM25">
        <v>46</v>
      </c>
      <c r="CN25">
        <v>1.6521739129999999</v>
      </c>
      <c r="CO25">
        <v>27985</v>
      </c>
      <c r="CP25" s="1">
        <v>0.23</v>
      </c>
      <c r="CQ25">
        <v>6</v>
      </c>
      <c r="CR25" s="1">
        <v>0.13039999999999999</v>
      </c>
      <c r="CS25">
        <v>2845</v>
      </c>
      <c r="CT25">
        <v>474</v>
      </c>
      <c r="CW25" s="1"/>
      <c r="CX25" s="1"/>
      <c r="CY25">
        <v>64</v>
      </c>
      <c r="CZ25">
        <v>29500</v>
      </c>
      <c r="DA25" s="1"/>
      <c r="DB25">
        <v>2</v>
      </c>
      <c r="DC25" t="s">
        <v>159</v>
      </c>
    </row>
    <row r="26" spans="1:107" x14ac:dyDescent="0.25">
      <c r="A26" s="34" t="str" cm="1">
        <f t="array" ref="A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6" s="34" t="str" cm="1">
        <f t="array" ref="B2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MALORY MONTEBLANCO</v>
      </c>
      <c r="C26" s="34" cm="1">
        <f t="array" ref="C26">_xlfn.XLOOKUP(1,(TablaMeta[CONCAT]=$M$3&amp;$N$3&amp;D1_MAYO_2026[[#This Row],[SUPER]])*(TablaMeta[SEGG]=D1_MAYO_2026[[#This Row],[SEGMENTO]]),TablaMeta[Meta_Asesor])</f>
        <v>67500</v>
      </c>
      <c r="D26" s="35">
        <f>IF(D1_MAYO_2026[[#This Row],[RECUPERO]]="VACACIONES","VACACIONES",IFERROR(D1_MAYO_2026[[#This Row],[RECUPERO]]/D1_MAYO_2026[[#This Row],[META]],""))</f>
        <v>0.19145185185185185</v>
      </c>
      <c r="E26" s="35" t="str">
        <f>D1_MAYO_2026[[#This Row],[SUPER]]</f>
        <v>JORGE</v>
      </c>
      <c r="F26" t="s">
        <v>25</v>
      </c>
      <c r="G26" s="3">
        <v>12923</v>
      </c>
      <c r="H26" cm="1">
        <f t="array" ref="H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26" s="56" cm="1">
        <f t="array" ref="I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26" s="56" t="str" cm="1">
        <f t="array" ref="J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6" s="56"/>
      <c r="M26" s="5">
        <f>DATA_MAYO_2026[[#This Row],[RECUPERO]]/DATA_MAYO_2026[[#This Row],[META]]</f>
        <v>0.44098765432098763</v>
      </c>
      <c r="N26" s="5" t="str" cm="1">
        <f t="array" ref="N26">IF(DATA_MAYO_2026[[#This Row],[ASER_]]="","",IFERROR(_xlfn.IFS(M26&gt;=100%,"&gt;100%",AND(M26&lt;100%,M26&gt;=70%),"&gt;70%",AND(M26&lt;70%,M26&gt;=40%),"&gt;40%",AND(M26&lt;40%,M26&gt;=0%),"&gt;0%"),""))</f>
        <v>&gt;40%</v>
      </c>
      <c r="O26" s="55" t="str">
        <f>IFERROR(VLOOKUP(DATA_MAYO_2026[[#This Row],[ASER_]],$B:$G,4,0),"")</f>
        <v>KENNETH</v>
      </c>
      <c r="P26" s="6">
        <f>VLOOKUP(DATA_MAYO_2026[[#This Row],[ASER_]],D1_MAYO_2026[[ASESOR_CRR]:[RECUPERO]],6,0)</f>
        <v>17860</v>
      </c>
      <c r="Q26" s="6">
        <f>VLOOKUP(DATA_MAYO_2026[[#This Row],[ASER_]],D1_MAYO_2026[[ASESOR_CRR]:[META]],2,0)</f>
        <v>40500</v>
      </c>
      <c r="R26" t="s">
        <v>34</v>
      </c>
      <c r="S26" s="45">
        <v>0</v>
      </c>
      <c r="T26">
        <v>6000</v>
      </c>
      <c r="U26">
        <v>910</v>
      </c>
      <c r="V26">
        <v>0</v>
      </c>
      <c r="W26">
        <v>8850</v>
      </c>
      <c r="X26">
        <v>2100</v>
      </c>
      <c r="AN26" s="55"/>
      <c r="BW26" t="s">
        <v>639</v>
      </c>
      <c r="BX26" t="s">
        <v>346</v>
      </c>
      <c r="BY26" t="s">
        <v>125</v>
      </c>
      <c r="BZ26" t="s">
        <v>72</v>
      </c>
      <c r="CA26" s="56">
        <v>46176</v>
      </c>
      <c r="CB26">
        <v>1</v>
      </c>
      <c r="CC26">
        <v>1</v>
      </c>
      <c r="CE26">
        <v>1</v>
      </c>
      <c r="CG26" s="79">
        <v>1.9675925925925926E-4</v>
      </c>
      <c r="CH26" s="79">
        <v>1.9675925925925926E-4</v>
      </c>
      <c r="CI26" s="79">
        <v>0.22040509259259258</v>
      </c>
      <c r="CJ26" s="79">
        <v>0.16793981481481482</v>
      </c>
      <c r="CK26">
        <v>173</v>
      </c>
      <c r="CL26">
        <v>423</v>
      </c>
      <c r="CM26">
        <v>25</v>
      </c>
      <c r="CN26">
        <v>1.96</v>
      </c>
      <c r="CO26">
        <v>26709</v>
      </c>
      <c r="CP26" s="1">
        <v>0.14449999999999999</v>
      </c>
      <c r="CQ26">
        <v>3</v>
      </c>
      <c r="CR26" s="1">
        <v>0.12</v>
      </c>
      <c r="CS26">
        <v>5750</v>
      </c>
      <c r="CT26">
        <v>1917</v>
      </c>
      <c r="CU26">
        <v>2000</v>
      </c>
      <c r="CV26">
        <v>2000</v>
      </c>
      <c r="CW26" s="1">
        <v>0.3478</v>
      </c>
      <c r="CX26" s="1">
        <v>7.5600000000000001E-2</v>
      </c>
      <c r="CY26">
        <v>84</v>
      </c>
      <c r="CZ26">
        <v>29500</v>
      </c>
      <c r="DA26" s="1">
        <v>6.7799999999999999E-2</v>
      </c>
      <c r="DB26">
        <v>3</v>
      </c>
      <c r="DC26" t="s">
        <v>158</v>
      </c>
    </row>
    <row r="27" spans="1:107" x14ac:dyDescent="0.25">
      <c r="A27" s="34" t="str" cm="1">
        <f t="array" ref="A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7" s="34" t="str" cm="1">
        <f t="array" ref="B2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TASAYCO</v>
      </c>
      <c r="C27" s="34" cm="1">
        <f t="array" ref="C27">_xlfn.XLOOKUP(1,(TablaMeta[CONCAT]=$M$3&amp;$N$3&amp;D1_MAYO_2026[[#This Row],[SUPER]])*(TablaMeta[SEGG]=D1_MAYO_2026[[#This Row],[SEGMENTO]]),TablaMeta[Meta_Asesor])</f>
        <v>67500</v>
      </c>
      <c r="D27" s="35">
        <f>IF(D1_MAYO_2026[[#This Row],[RECUPERO]]="VACACIONES","VACACIONES",IFERROR(D1_MAYO_2026[[#This Row],[RECUPERO]]/D1_MAYO_2026[[#This Row],[META]],""))</f>
        <v>0.11851851851851852</v>
      </c>
      <c r="E27" s="35" t="str">
        <f>D1_MAYO_2026[[#This Row],[SUPER]]</f>
        <v>JORGE</v>
      </c>
      <c r="F27" t="s">
        <v>10</v>
      </c>
      <c r="G27" s="3">
        <v>8000</v>
      </c>
      <c r="H27" cm="1">
        <f t="array" ref="H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27" s="56" cm="1">
        <f t="array" ref="I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27" s="56" t="str" cm="1">
        <f t="array" ref="J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7" s="56"/>
      <c r="M27" s="5">
        <f>DATA_MAYO_2026[[#This Row],[RECUPERO]]/DATA_MAYO_2026[[#This Row],[META]]</f>
        <v>4.4207407407407411E-2</v>
      </c>
      <c r="N27" s="5" t="str" cm="1">
        <f t="array" ref="N27">IF(DATA_MAYO_2026[[#This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IFERROR(VLOOKUP(DATA_MAYO_2026[[#This Row],[ASER_]],$B:$G,4,0),"")</f>
        <v>JORGE</v>
      </c>
      <c r="P27" s="6">
        <f>VLOOKUP(DATA_MAYO_2026[[#This Row],[ASER_]],D1_MAYO_2026[[ASESOR_CRR]:[RECUPERO]],6,0)</f>
        <v>2984</v>
      </c>
      <c r="Q27" s="6">
        <f>VLOOKUP(DATA_MAYO_2026[[#This Row],[ASER_]],D1_MAYO_2026[[ASESOR_CRR]:[META]],2,0)</f>
        <v>67500</v>
      </c>
      <c r="R27" t="s">
        <v>76</v>
      </c>
      <c r="S27">
        <v>0</v>
      </c>
      <c r="T27">
        <v>1034</v>
      </c>
      <c r="U27">
        <v>0</v>
      </c>
      <c r="V27">
        <v>0</v>
      </c>
      <c r="W27">
        <v>1950</v>
      </c>
      <c r="X27">
        <v>0</v>
      </c>
      <c r="AN27" s="55"/>
      <c r="BW27" t="s">
        <v>639</v>
      </c>
      <c r="BX27" t="s">
        <v>346</v>
      </c>
      <c r="BY27" t="s">
        <v>125</v>
      </c>
      <c r="BZ27" t="s">
        <v>72</v>
      </c>
      <c r="CA27" s="56">
        <v>46177</v>
      </c>
      <c r="CB27">
        <v>1</v>
      </c>
      <c r="CC27">
        <v>1</v>
      </c>
      <c r="CE27">
        <v>1</v>
      </c>
      <c r="CG27" s="79">
        <v>1.1574074074074075E-4</v>
      </c>
      <c r="CH27" s="79">
        <v>1.1574074074074075E-4</v>
      </c>
      <c r="CI27" s="79">
        <v>0.19226851851851851</v>
      </c>
      <c r="CJ27" s="79">
        <v>0.13805555555555554</v>
      </c>
      <c r="CK27">
        <v>147</v>
      </c>
      <c r="CL27">
        <v>319</v>
      </c>
      <c r="CM27">
        <v>27</v>
      </c>
      <c r="CN27">
        <v>1.703703704</v>
      </c>
      <c r="CO27">
        <v>31247</v>
      </c>
      <c r="CP27" s="1">
        <v>0.1837</v>
      </c>
      <c r="CR27" s="1"/>
      <c r="CW27" s="1"/>
      <c r="CX27" s="1"/>
      <c r="CY27">
        <v>84</v>
      </c>
      <c r="CZ27">
        <v>29500</v>
      </c>
      <c r="DA27" s="1"/>
      <c r="DB27">
        <v>4</v>
      </c>
      <c r="DC27" t="s">
        <v>209</v>
      </c>
    </row>
    <row r="28" spans="1:107" x14ac:dyDescent="0.25">
      <c r="A28" s="34" t="str" cm="1">
        <f t="array" ref="A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8" s="34" t="str" cm="1">
        <f t="array" ref="B2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JHONATAN CHAVEZ</v>
      </c>
      <c r="C28" s="34" cm="1">
        <f t="array" ref="C28">_xlfn.XLOOKUP(1,(TablaMeta[CONCAT]=$M$3&amp;$N$3&amp;D1_MAYO_2026[[#This Row],[SUPER]])*(TablaMeta[SEGG]=D1_MAYO_2026[[#This Row],[SEGMENTO]]),TablaMeta[Meta_Asesor])</f>
        <v>67500</v>
      </c>
      <c r="D28" s="35">
        <f>IF(D1_MAYO_2026[[#This Row],[RECUPERO]]="VACACIONES","VACACIONES",IFERROR(D1_MAYO_2026[[#This Row],[RECUPERO]]/D1_MAYO_2026[[#This Row],[META]],""))</f>
        <v>7.0088888888888895E-2</v>
      </c>
      <c r="E28" s="35" t="str">
        <f>D1_MAYO_2026[[#This Row],[SUPER]]</f>
        <v>JORGE</v>
      </c>
      <c r="F28" t="s">
        <v>65</v>
      </c>
      <c r="G28" s="3">
        <v>4731</v>
      </c>
      <c r="H28" cm="1">
        <f t="array" ref="H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28" s="56" cm="1">
        <f t="array" ref="I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28" s="56" t="str" cm="1">
        <f t="array" ref="J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8" s="56"/>
      <c r="M28" s="5">
        <f>DATA_MAYO_2026[[#This Row],[RECUPERO]]/DATA_MAYO_2026[[#This Row],[META]]</f>
        <v>3.4222222222222223E-2</v>
      </c>
      <c r="N28" s="5" t="str" cm="1">
        <f t="array" ref="N28">IF(DATA_MAYO_2026[[#This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IFERROR(VLOOKUP(DATA_MAYO_2026[[#This Row],[ASER_]],$B:$G,4,0),"")</f>
        <v>JORGE</v>
      </c>
      <c r="P28" s="6">
        <f>VLOOKUP(DATA_MAYO_2026[[#This Row],[ASER_]],D1_MAYO_2026[[ASESOR_CRR]:[RECUPERO]],6,0)</f>
        <v>2310</v>
      </c>
      <c r="Q28" s="6">
        <f>VLOOKUP(DATA_MAYO_2026[[#This Row],[ASER_]],D1_MAYO_2026[[ASESOR_CRR]:[META]],2,0)</f>
        <v>67500</v>
      </c>
      <c r="R28" t="s">
        <v>15</v>
      </c>
      <c r="S28">
        <v>0</v>
      </c>
      <c r="T28">
        <v>0</v>
      </c>
      <c r="U28">
        <v>0</v>
      </c>
      <c r="V28">
        <v>2100</v>
      </c>
      <c r="W28">
        <v>210</v>
      </c>
      <c r="X28">
        <v>0</v>
      </c>
      <c r="AN28" s="55"/>
      <c r="BW28" t="s">
        <v>639</v>
      </c>
      <c r="BX28" t="s">
        <v>346</v>
      </c>
      <c r="BY28" t="s">
        <v>125</v>
      </c>
      <c r="BZ28" t="s">
        <v>72</v>
      </c>
      <c r="CA28" s="56">
        <v>46178</v>
      </c>
      <c r="CB28">
        <v>1</v>
      </c>
      <c r="CC28">
        <v>1</v>
      </c>
      <c r="CE28">
        <v>1</v>
      </c>
      <c r="CG28" s="79">
        <v>8.1018518518518516E-5</v>
      </c>
      <c r="CH28" s="79">
        <v>8.1018518518518516E-5</v>
      </c>
      <c r="CI28" s="79">
        <v>0.1174537037037037</v>
      </c>
      <c r="CJ28" s="79">
        <v>8.3055555555555549E-2</v>
      </c>
      <c r="CK28">
        <v>32</v>
      </c>
      <c r="CL28">
        <v>80</v>
      </c>
      <c r="CM28">
        <v>6</v>
      </c>
      <c r="CN28">
        <v>1</v>
      </c>
      <c r="CO28">
        <v>18014</v>
      </c>
      <c r="CP28" s="1">
        <v>0.1875</v>
      </c>
      <c r="CR28" s="1"/>
      <c r="CW28" s="1"/>
      <c r="CX28" s="1"/>
      <c r="CY28">
        <v>100</v>
      </c>
      <c r="CZ28">
        <v>29500</v>
      </c>
      <c r="DA28" s="1"/>
      <c r="DB28">
        <v>5</v>
      </c>
      <c r="DC28" t="s">
        <v>159</v>
      </c>
    </row>
    <row r="29" spans="1:107" x14ac:dyDescent="0.25">
      <c r="A29" s="34" t="str" cm="1">
        <f t="array" ref="A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9" s="34" t="str" cm="1">
        <f t="array" ref="B2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VICTOR RAMIREZ</v>
      </c>
      <c r="C29" s="34" cm="1">
        <f t="array" ref="C29">_xlfn.XLOOKUP(1,(TablaMeta[CONCAT]=$M$3&amp;$N$3&amp;D1_MAYO_2026[[#This Row],[SUPER]])*(TablaMeta[SEGG]=D1_MAYO_2026[[#This Row],[SEGMENTO]]),TablaMeta[Meta_Asesor])</f>
        <v>67500</v>
      </c>
      <c r="D29" s="35">
        <f>IF(D1_MAYO_2026[[#This Row],[RECUPERO]]="VACACIONES","VACACIONES",IFERROR(D1_MAYO_2026[[#This Row],[RECUPERO]]/D1_MAYO_2026[[#This Row],[META]],""))</f>
        <v>4.4207407407407411E-2</v>
      </c>
      <c r="E29" s="35" t="str">
        <f>D1_MAYO_2026[[#This Row],[SUPER]]</f>
        <v>JORGE</v>
      </c>
      <c r="F29" t="s">
        <v>76</v>
      </c>
      <c r="G29" s="3">
        <v>2984</v>
      </c>
      <c r="H29" cm="1">
        <f t="array" ref="H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9" s="56" cm="1">
        <f t="array" ref="I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9" s="56" t="str" cm="1">
        <f t="array" ref="J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9" s="56"/>
      <c r="M29" s="5">
        <f>DATA_MAYO_2026[[#This Row],[RECUPERO]]/DATA_MAYO_2026[[#This Row],[META]]</f>
        <v>7.0088888888888895E-2</v>
      </c>
      <c r="N29" s="5" t="str" cm="1">
        <f t="array" ref="N29">IF(DATA_MAYO_2026[[#This Row],[ASER_]]="","",IFERROR(_xlfn.IFS(M29&gt;=100%,"&gt;100%",AND(M29&lt;100%,M29&gt;=70%),"&gt;70%",AND(M29&lt;70%,M29&gt;=40%),"&gt;40%",AND(M29&lt;40%,M29&gt;=0%),"&gt;0%"),""))</f>
        <v>&gt;0%</v>
      </c>
      <c r="O29" s="55" t="str">
        <f>IFERROR(VLOOKUP(DATA_MAYO_2026[[#This Row],[ASER_]],$B:$G,4,0),"")</f>
        <v>JORGE</v>
      </c>
      <c r="P29" s="6">
        <f>VLOOKUP(DATA_MAYO_2026[[#This Row],[ASER_]],D1_MAYO_2026[[ASESOR_CRR]:[RECUPERO]],6,0)</f>
        <v>4731</v>
      </c>
      <c r="Q29" s="6">
        <f>VLOOKUP(DATA_MAYO_2026[[#This Row],[ASER_]],D1_MAYO_2026[[ASESOR_CRR]:[META]],2,0)</f>
        <v>67500</v>
      </c>
      <c r="R29" t="s">
        <v>65</v>
      </c>
      <c r="S29" s="47">
        <v>0</v>
      </c>
      <c r="T29">
        <v>0</v>
      </c>
      <c r="U29" s="45">
        <v>2281</v>
      </c>
      <c r="V29">
        <v>265</v>
      </c>
      <c r="W29">
        <v>2185</v>
      </c>
      <c r="X29">
        <v>0</v>
      </c>
      <c r="AN29" s="55"/>
      <c r="BW29" t="s">
        <v>639</v>
      </c>
      <c r="BX29" t="s">
        <v>346</v>
      </c>
      <c r="BY29" t="s">
        <v>125</v>
      </c>
      <c r="BZ29" t="s">
        <v>12</v>
      </c>
      <c r="CA29" s="56">
        <v>46174</v>
      </c>
      <c r="CB29">
        <v>1</v>
      </c>
      <c r="CC29">
        <v>1</v>
      </c>
      <c r="CE29">
        <v>1</v>
      </c>
      <c r="CG29" s="79">
        <v>1.7361111111111112E-4</v>
      </c>
      <c r="CH29" s="79">
        <v>1.7361111111111112E-4</v>
      </c>
      <c r="CI29" s="79">
        <v>0.23979166666666665</v>
      </c>
      <c r="CJ29" s="79">
        <v>8.8842592592592598E-2</v>
      </c>
      <c r="CK29">
        <v>110</v>
      </c>
      <c r="CL29">
        <v>258</v>
      </c>
      <c r="CM29">
        <v>36</v>
      </c>
      <c r="CN29">
        <v>1.6944444439999999</v>
      </c>
      <c r="CO29">
        <v>28855</v>
      </c>
      <c r="CP29" s="1">
        <v>0.32729999999999998</v>
      </c>
      <c r="CQ29">
        <v>7</v>
      </c>
      <c r="CR29" s="1">
        <v>0.19439999999999999</v>
      </c>
      <c r="CS29">
        <v>3369</v>
      </c>
      <c r="CT29">
        <v>481</v>
      </c>
      <c r="CU29">
        <v>300</v>
      </c>
      <c r="CV29">
        <v>300</v>
      </c>
      <c r="CW29" s="1">
        <v>8.8999999999999996E-2</v>
      </c>
      <c r="CX29" s="1"/>
      <c r="CY29">
        <v>82</v>
      </c>
      <c r="CZ29">
        <v>29500</v>
      </c>
      <c r="DA29" s="1">
        <v>1.0200000000000001E-2</v>
      </c>
      <c r="DB29">
        <v>1</v>
      </c>
      <c r="DC29" t="s">
        <v>158</v>
      </c>
    </row>
    <row r="30" spans="1:107" x14ac:dyDescent="0.25">
      <c r="A30" s="34" t="str" cm="1">
        <f t="array" ref="A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0" s="34" t="str" cm="1">
        <f t="array" ref="B3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ANDERSON RODRIGUEZ</v>
      </c>
      <c r="C30" s="34" cm="1">
        <f t="array" ref="C30">_xlfn.XLOOKUP(1,(TablaMeta[CONCAT]=$M$3&amp;$N$3&amp;D1_MAYO_2026[[#This Row],[SUPER]])*(TablaMeta[SEGG]=D1_MAYO_2026[[#This Row],[SEGMENTO]]),TablaMeta[Meta_Asesor])</f>
        <v>67500</v>
      </c>
      <c r="D30" s="35">
        <f>IF(D1_MAYO_2026[[#This Row],[RECUPERO]]="VACACIONES","VACACIONES",IFERROR(D1_MAYO_2026[[#This Row],[RECUPERO]]/D1_MAYO_2026[[#This Row],[META]],""))</f>
        <v>3.4222222222222223E-2</v>
      </c>
      <c r="E30" s="35" t="str">
        <f>D1_MAYO_2026[[#This Row],[SUPER]]</f>
        <v>JORGE</v>
      </c>
      <c r="F30" t="s">
        <v>15</v>
      </c>
      <c r="G30" s="3">
        <v>2310</v>
      </c>
      <c r="H30" cm="1">
        <f t="array" ref="H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30" s="56" cm="1">
        <f t="array" ref="I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30" s="56" t="str" cm="1">
        <f t="array" ref="J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0" s="56"/>
      <c r="M30" s="5">
        <f>DATA_MAYO_2026[[#This Row],[RECUPERO]]/DATA_MAYO_2026[[#This Row],[META]]</f>
        <v>0.11851851851851852</v>
      </c>
      <c r="N30" s="5" t="str" cm="1">
        <f t="array" ref="N30">IF(DATA_MAYO_2026[[#This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IFERROR(VLOOKUP(DATA_MAYO_2026[[#This Row],[ASER_]],$B:$G,4,0),"")</f>
        <v>JORGE</v>
      </c>
      <c r="P30" s="6">
        <f>VLOOKUP(DATA_MAYO_2026[[#This Row],[ASER_]],D1_MAYO_2026[[ASESOR_CRR]:[RECUPERO]],6,0)</f>
        <v>8000</v>
      </c>
      <c r="Q30" s="6">
        <f>VLOOKUP(DATA_MAYO_2026[[#This Row],[ASER_]],D1_MAYO_2026[[ASESOR_CRR]:[META]],2,0)</f>
        <v>67500</v>
      </c>
      <c r="R30" t="s">
        <v>10</v>
      </c>
      <c r="S30" s="47">
        <v>0</v>
      </c>
      <c r="T30">
        <v>0</v>
      </c>
      <c r="U30">
        <v>0</v>
      </c>
      <c r="V30">
        <v>8000</v>
      </c>
      <c r="W30">
        <v>0</v>
      </c>
      <c r="X30">
        <v>0</v>
      </c>
      <c r="AN30" s="55"/>
      <c r="BW30" t="s">
        <v>639</v>
      </c>
      <c r="BX30" t="s">
        <v>346</v>
      </c>
      <c r="BY30" t="s">
        <v>125</v>
      </c>
      <c r="BZ30" t="s">
        <v>12</v>
      </c>
      <c r="CA30" s="56">
        <v>46175</v>
      </c>
      <c r="CB30">
        <v>1</v>
      </c>
      <c r="CC30">
        <v>1</v>
      </c>
      <c r="CE30">
        <v>1</v>
      </c>
      <c r="CG30" s="79">
        <v>4.5138888888888887E-4</v>
      </c>
      <c r="CH30" s="79">
        <v>4.5138888888888887E-4</v>
      </c>
      <c r="CI30" s="79">
        <v>0.20879629629629629</v>
      </c>
      <c r="CJ30" s="79">
        <v>0.10247685185185185</v>
      </c>
      <c r="CK30">
        <v>93</v>
      </c>
      <c r="CL30">
        <v>199</v>
      </c>
      <c r="CM30">
        <v>29</v>
      </c>
      <c r="CN30">
        <v>1.448275862</v>
      </c>
      <c r="CO30">
        <v>29718</v>
      </c>
      <c r="CP30" s="1">
        <v>0.31180000000000002</v>
      </c>
      <c r="CR30" s="1"/>
      <c r="CW30" s="1"/>
      <c r="CX30" s="1"/>
      <c r="CY30">
        <v>84</v>
      </c>
      <c r="CZ30">
        <v>29500</v>
      </c>
      <c r="DA30" s="1"/>
      <c r="DB30">
        <v>2</v>
      </c>
      <c r="DC30" t="s">
        <v>209</v>
      </c>
    </row>
    <row r="31" spans="1:107" x14ac:dyDescent="0.25">
      <c r="A31" s="34" t="str" cm="1">
        <f t="array" ref="A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1" s="34" t="str" cm="1">
        <f t="array" ref="B3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FRANCO HUAMANI</v>
      </c>
      <c r="C31" s="34" cm="1">
        <f t="array" ref="C31">_xlfn.XLOOKUP(1,(TablaMeta[CONCAT]=$M$3&amp;$N$3&amp;D1_MAYO_2026[[#This Row],[SUPER]])*(TablaMeta[SEGG]=D1_MAYO_2026[[#This Row],[SEGMENTO]]),TablaMeta[Meta_Asesor])</f>
        <v>67500</v>
      </c>
      <c r="D31" s="35">
        <f>IF(D1_MAYO_2026[[#This Row],[RECUPERO]]="VACACIONES","VACACIONES",IFERROR(D1_MAYO_2026[[#This Row],[RECUPERO]]/D1_MAYO_2026[[#This Row],[META]],""))</f>
        <v>5.185185185185185E-3</v>
      </c>
      <c r="E31" s="35" t="str">
        <f>D1_MAYO_2026[[#This Row],[SUPER]]</f>
        <v>JORGE</v>
      </c>
      <c r="F31" t="s">
        <v>24</v>
      </c>
      <c r="G31" s="3">
        <v>350</v>
      </c>
      <c r="H31" cm="1">
        <f t="array" ref="H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31" s="56" cm="1">
        <f t="array" ref="I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31" s="56" t="str" cm="1">
        <f t="array" ref="J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1" s="56"/>
      <c r="M31" s="5">
        <f>DATA_MAYO_2026[[#This Row],[RECUPERO]]/DATA_MAYO_2026[[#This Row],[META]]</f>
        <v>5.185185185185185E-3</v>
      </c>
      <c r="N31" s="54" t="str" cm="1">
        <f t="array" ref="N31">IF(DATA_MAYO_2026[[#This Row],[ASER_]]="","",IFERROR(_xlfn.IFS(M31&gt;=100%,"&gt;100%",AND(M31&lt;100%,M31&gt;=70%),"&gt;70%",AND(M31&lt;70%,M31&gt;=40%),"&gt;40%",AND(M31&lt;40%,M31&gt;=0%),"&gt;0%"),""))</f>
        <v>&gt;0%</v>
      </c>
      <c r="O31" s="55" t="str">
        <f>IFERROR(VLOOKUP(DATA_MAYO_2026[[#This Row],[ASER_]],$B:$G,4,0),"")</f>
        <v>JORGE</v>
      </c>
      <c r="P31" s="6">
        <f>VLOOKUP(DATA_MAYO_2026[[#This Row],[ASER_]],D1_MAYO_2026[[ASESOR_CRR]:[RECUPERO]],6,0)</f>
        <v>350</v>
      </c>
      <c r="Q31" s="6">
        <f>VLOOKUP(DATA_MAYO_2026[[#This Row],[ASER_]],D1_MAYO_2026[[ASESOR_CRR]:[META]],2,0)</f>
        <v>67500</v>
      </c>
      <c r="R31" t="s">
        <v>24</v>
      </c>
      <c r="S31" s="47">
        <v>0</v>
      </c>
      <c r="T31">
        <v>0</v>
      </c>
      <c r="U31">
        <v>350</v>
      </c>
      <c r="V31">
        <v>0</v>
      </c>
      <c r="W31">
        <v>0</v>
      </c>
      <c r="X31">
        <v>0</v>
      </c>
      <c r="AN31" s="55"/>
      <c r="BW31" t="s">
        <v>639</v>
      </c>
      <c r="BX31" t="s">
        <v>346</v>
      </c>
      <c r="BY31" t="s">
        <v>125</v>
      </c>
      <c r="BZ31" t="s">
        <v>12</v>
      </c>
      <c r="CA31" s="56">
        <v>46177</v>
      </c>
      <c r="CB31">
        <v>1</v>
      </c>
      <c r="CC31">
        <v>1</v>
      </c>
      <c r="CE31">
        <v>1</v>
      </c>
      <c r="CG31" s="79">
        <v>3.4722222222222224E-4</v>
      </c>
      <c r="CH31" s="79">
        <v>3.4722222222222224E-4</v>
      </c>
      <c r="CI31" s="79">
        <v>0.2497337962962963</v>
      </c>
      <c r="CJ31" s="79">
        <v>8.9641203703703709E-2</v>
      </c>
      <c r="CK31">
        <v>89</v>
      </c>
      <c r="CL31">
        <v>210</v>
      </c>
      <c r="CM31">
        <v>24</v>
      </c>
      <c r="CN31">
        <v>1.6666666670000001</v>
      </c>
      <c r="CO31">
        <v>38967</v>
      </c>
      <c r="CP31" s="1">
        <v>0.2697</v>
      </c>
      <c r="CQ31">
        <v>1</v>
      </c>
      <c r="CR31" s="1">
        <v>4.1700000000000001E-2</v>
      </c>
      <c r="CS31">
        <v>870</v>
      </c>
      <c r="CT31">
        <v>870</v>
      </c>
      <c r="CW31" s="1"/>
      <c r="CX31" s="1"/>
      <c r="CY31">
        <v>92</v>
      </c>
      <c r="CZ31">
        <v>29500</v>
      </c>
      <c r="DA31" s="1"/>
      <c r="DB31">
        <v>3</v>
      </c>
      <c r="DC31" t="s">
        <v>159</v>
      </c>
    </row>
    <row r="32" spans="1:107" x14ac:dyDescent="0.25">
      <c r="A32" s="34" t="str" cm="1">
        <f t="array" ref="A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2" s="34" t="str" cm="1">
        <f t="array" ref="B3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DAVID SANCHEZ</v>
      </c>
      <c r="C32" s="34" cm="1">
        <f t="array" ref="C32">_xlfn.XLOOKUP(1,(TablaMeta[CONCAT]=$M$3&amp;$N$3&amp;D1_MAYO_2026[[#This Row],[SUPER]])*(TablaMeta[SEGG]=D1_MAYO_2026[[#This Row],[SEGMENTO]]),TablaMeta[Meta_Asesor])</f>
        <v>67500</v>
      </c>
      <c r="D32" s="35">
        <f>IF(D1_MAYO_2026[[#This Row],[RECUPERO]]="VACACIONES","VACACIONES",IFERROR(D1_MAYO_2026[[#This Row],[RECUPERO]]/D1_MAYO_2026[[#This Row],[META]],""))</f>
        <v>0</v>
      </c>
      <c r="E32" s="35" t="str">
        <f>D1_MAYO_2026[[#This Row],[SUPER]]</f>
        <v>JORGE</v>
      </c>
      <c r="F32" t="s">
        <v>81</v>
      </c>
      <c r="G32" s="3">
        <v>0</v>
      </c>
      <c r="H32" cm="1">
        <f t="array" ref="H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32" s="56" cm="1">
        <f t="array" ref="I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32" s="56" t="str" cm="1">
        <f t="array" ref="J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2" s="56"/>
      <c r="M32" s="5">
        <f>DATA_MAYO_2026[[#This Row],[RECUPERO]]/DATA_MAYO_2026[[#This Row],[META]]</f>
        <v>0.33585185185185185</v>
      </c>
      <c r="N32" s="54" t="str" cm="1">
        <f t="array" ref="N32">IF(DATA_MAYO_2026[[#This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IFERROR(VLOOKUP(DATA_MAYO_2026[[#This Row],[ASER_]],$B:$G,4,0),"")</f>
        <v>JORGE</v>
      </c>
      <c r="P32" s="6">
        <f>VLOOKUP(DATA_MAYO_2026[[#This Row],[ASER_]],D1_MAYO_2026[[ASESOR_CRR]:[RECUPERO]],6,0)</f>
        <v>22670</v>
      </c>
      <c r="Q32" s="6">
        <f>VLOOKUP(DATA_MAYO_2026[[#This Row],[ASER_]],D1_MAYO_2026[[ASESOR_CRR]:[META]],2,0)</f>
        <v>67500</v>
      </c>
      <c r="R32" t="s">
        <v>13</v>
      </c>
      <c r="S32" s="47">
        <v>5000</v>
      </c>
      <c r="T32">
        <v>7000</v>
      </c>
      <c r="U32">
        <v>2700</v>
      </c>
      <c r="V32">
        <v>0</v>
      </c>
      <c r="W32">
        <v>3000</v>
      </c>
      <c r="X32">
        <v>4970</v>
      </c>
      <c r="AN32" s="55"/>
      <c r="BW32" t="s">
        <v>639</v>
      </c>
      <c r="BX32" t="s">
        <v>346</v>
      </c>
      <c r="BY32" t="s">
        <v>125</v>
      </c>
      <c r="BZ32" t="s">
        <v>12</v>
      </c>
      <c r="CA32" s="56">
        <v>46178</v>
      </c>
      <c r="CB32">
        <v>1</v>
      </c>
      <c r="CC32">
        <v>1</v>
      </c>
      <c r="CE32">
        <v>1</v>
      </c>
      <c r="CG32" s="79">
        <v>2.5462962962962961E-4</v>
      </c>
      <c r="CH32" s="79">
        <v>2.5462962962962961E-4</v>
      </c>
      <c r="CI32" s="79">
        <v>0.12479166666666666</v>
      </c>
      <c r="CJ32" s="79">
        <v>6.5462962962962959E-2</v>
      </c>
      <c r="CK32">
        <v>23</v>
      </c>
      <c r="CL32">
        <v>44</v>
      </c>
      <c r="CM32">
        <v>13</v>
      </c>
      <c r="CN32">
        <v>1.076923077</v>
      </c>
      <c r="CO32">
        <v>15138</v>
      </c>
      <c r="CP32" s="1">
        <v>0.56520000000000004</v>
      </c>
      <c r="CR32" s="1"/>
      <c r="CW32" s="1"/>
      <c r="CX32" s="1"/>
      <c r="CY32">
        <v>100</v>
      </c>
      <c r="CZ32">
        <v>29500</v>
      </c>
      <c r="DA32" s="1"/>
      <c r="DB32">
        <v>4</v>
      </c>
      <c r="DC32" t="s">
        <v>158</v>
      </c>
    </row>
    <row r="33" spans="1:107" x14ac:dyDescent="0.25">
      <c r="A33" s="34" t="str" cm="1">
        <f t="array" ref="A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FERNANDA APAZA</v>
      </c>
      <c r="C33" s="34" cm="1">
        <f t="array" ref="C33">_xlfn.XLOOKUP(1,(TablaMeta[CONCAT]=$M$3&amp;$N$3&amp;D1_MAYO_2026[[#This Row],[SUPER]])*(TablaMeta[SEGG]=D1_MAYO_2026[[#This Row],[SEGMENTO]]),TablaMeta[Meta_Asesor])</f>
        <v>12000</v>
      </c>
      <c r="D33" s="35">
        <f>IF(D1_MAYO_2026[[#This Row],[RECUPERO]]="VACACIONES","VACACIONES",IFERROR(D1_MAYO_2026[[#This Row],[RECUPERO]]/D1_MAYO_2026[[#This Row],[META]],""))</f>
        <v>0.22416666666666665</v>
      </c>
      <c r="E33" s="35" t="str">
        <f>D1_MAYO_2026[[#This Row],[SUPER]]</f>
        <v>LEONOR</v>
      </c>
      <c r="F33" t="s">
        <v>603</v>
      </c>
      <c r="G33" s="3">
        <v>2690</v>
      </c>
      <c r="H33" cm="1">
        <f t="array" ref="H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33" s="56" cm="1">
        <f t="array" ref="I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33" s="56" t="str" cm="1">
        <f t="array" ref="J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3" s="56"/>
      <c r="M33" s="5">
        <f>DATA_MAYO_2026[[#This Row],[RECUPERO]]/DATA_MAYO_2026[[#This Row],[META]]</f>
        <v>0.19145185185185185</v>
      </c>
      <c r="N33" s="54" t="str" cm="1">
        <f t="array" ref="N33">IF(DATA_MAYO_2026[[#This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IFERROR(VLOOKUP(DATA_MAYO_2026[[#This Row],[ASER_]],$B:$G,4,0),"")</f>
        <v>JORGE</v>
      </c>
      <c r="P33" s="6">
        <f>VLOOKUP(DATA_MAYO_2026[[#This Row],[ASER_]],D1_MAYO_2026[[ASESOR_CRR]:[RECUPERO]],6,0)</f>
        <v>12923</v>
      </c>
      <c r="Q33" s="6">
        <f>VLOOKUP(DATA_MAYO_2026[[#This Row],[ASER_]],D1_MAYO_2026[[ASESOR_CRR]:[META]],2,0)</f>
        <v>67500</v>
      </c>
      <c r="R33" t="s">
        <v>25</v>
      </c>
      <c r="S33" s="47">
        <v>0</v>
      </c>
      <c r="T33">
        <v>6000</v>
      </c>
      <c r="U33">
        <v>6623</v>
      </c>
      <c r="V33">
        <v>0</v>
      </c>
      <c r="W33">
        <v>0</v>
      </c>
      <c r="X33">
        <v>300</v>
      </c>
      <c r="AB33" s="6"/>
      <c r="AC33" s="6"/>
      <c r="AD33" s="6"/>
      <c r="AE33" s="6"/>
      <c r="AF33" s="6"/>
      <c r="AG33" s="6"/>
      <c r="AH33" s="6"/>
      <c r="AN33" s="55"/>
      <c r="BW33" t="s">
        <v>639</v>
      </c>
      <c r="BX33" t="s">
        <v>346</v>
      </c>
      <c r="BY33" t="s">
        <v>125</v>
      </c>
      <c r="BZ33" t="s">
        <v>26</v>
      </c>
      <c r="CA33" s="56">
        <v>46174</v>
      </c>
      <c r="CB33">
        <v>1</v>
      </c>
      <c r="CC33">
        <v>1</v>
      </c>
      <c r="CE33">
        <v>1</v>
      </c>
      <c r="CG33" s="79">
        <v>5.7870370370370373E-5</v>
      </c>
      <c r="CH33" s="79">
        <v>5.7870370370370373E-5</v>
      </c>
      <c r="CI33" s="79">
        <v>0.33280092592592592</v>
      </c>
      <c r="CJ33" s="79">
        <v>3.1620370370370368E-2</v>
      </c>
      <c r="CK33">
        <v>173</v>
      </c>
      <c r="CL33">
        <v>327</v>
      </c>
      <c r="CM33">
        <v>50</v>
      </c>
      <c r="CN33">
        <v>1.9</v>
      </c>
      <c r="CO33">
        <v>21318</v>
      </c>
      <c r="CP33" s="1">
        <v>0.28899999999999998</v>
      </c>
      <c r="CQ33">
        <v>7</v>
      </c>
      <c r="CR33" s="1">
        <v>0.14000000000000001</v>
      </c>
      <c r="CS33">
        <v>2774</v>
      </c>
      <c r="CT33">
        <v>396</v>
      </c>
      <c r="CW33" s="1"/>
      <c r="CX33" s="1"/>
      <c r="CY33">
        <v>68</v>
      </c>
      <c r="CZ33">
        <v>29500</v>
      </c>
      <c r="DA33" s="1"/>
      <c r="DB33">
        <v>5</v>
      </c>
      <c r="DC33" t="s">
        <v>209</v>
      </c>
    </row>
    <row r="34" spans="1:107" x14ac:dyDescent="0.25">
      <c r="A34" s="34" t="str" cm="1">
        <f t="array" ref="A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JIMENA MEDINA</v>
      </c>
      <c r="C34" s="34" cm="1">
        <f t="array" ref="C34">_xlfn.XLOOKUP(1,(TablaMeta[CONCAT]=$M$3&amp;$N$3&amp;D1_MAYO_2026[[#This Row],[SUPER]])*(TablaMeta[SEGG]=D1_MAYO_2026[[#This Row],[SEGMENTO]]),TablaMeta[Meta_Asesor])</f>
        <v>12000</v>
      </c>
      <c r="D34" s="35">
        <f>IF(D1_MAYO_2026[[#This Row],[RECUPERO]]="VACACIONES","VACACIONES",IFERROR(D1_MAYO_2026[[#This Row],[RECUPERO]]/D1_MAYO_2026[[#This Row],[META]],""))</f>
        <v>0.13983333333333334</v>
      </c>
      <c r="E34" s="35" t="str">
        <f>D1_MAYO_2026[[#This Row],[SUPER]]</f>
        <v>LEONOR</v>
      </c>
      <c r="F34" t="s">
        <v>631</v>
      </c>
      <c r="G34" s="3">
        <v>1678</v>
      </c>
      <c r="H34" cm="1">
        <f t="array" ref="H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34" s="56" cm="1">
        <f t="array" ref="I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34" s="56" t="str" cm="1">
        <f t="array" ref="J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4" s="56"/>
      <c r="M34" s="5">
        <f>DATA_MAYO_2026[[#This Row],[RECUPERO]]/DATA_MAYO_2026[[#This Row],[META]]</f>
        <v>0</v>
      </c>
      <c r="N34" s="54" t="str" cm="1">
        <f t="array" ref="N34">IF(DATA_MAYO_2026[[#This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IFERROR(VLOOKUP(DATA_MAYO_2026[[#This Row],[ASER_]],$B:$G,4,0),"")</f>
        <v>JORGE</v>
      </c>
      <c r="P34" s="6">
        <f>VLOOKUP(DATA_MAYO_2026[[#This Row],[ASER_]],D1_MAYO_2026[[ASESOR_CRR]:[RECUPERO]],6,0)</f>
        <v>0</v>
      </c>
      <c r="Q34" s="6">
        <f>VLOOKUP(DATA_MAYO_2026[[#This Row],[ASER_]],D1_MAYO_2026[[ASESOR_CRR]:[META]],2,0)</f>
        <v>67500</v>
      </c>
      <c r="R34" t="s">
        <v>81</v>
      </c>
      <c r="S34" s="47">
        <v>0</v>
      </c>
      <c r="T34">
        <v>0</v>
      </c>
      <c r="U34">
        <v>0</v>
      </c>
      <c r="V34">
        <v>0</v>
      </c>
      <c r="W34">
        <v>0</v>
      </c>
      <c r="X34">
        <v>0</v>
      </c>
      <c r="AB34" s="6"/>
      <c r="AC34" s="6"/>
      <c r="AD34" s="6"/>
      <c r="AE34" s="6"/>
      <c r="AF34" s="6"/>
      <c r="AG34" s="6"/>
      <c r="AH34" s="6"/>
      <c r="AN34" s="55"/>
      <c r="BW34" t="s">
        <v>639</v>
      </c>
      <c r="BX34" t="s">
        <v>346</v>
      </c>
      <c r="BY34" t="s">
        <v>125</v>
      </c>
      <c r="BZ34" t="s">
        <v>26</v>
      </c>
      <c r="CA34" s="56">
        <v>46175</v>
      </c>
      <c r="CB34">
        <v>1</v>
      </c>
      <c r="CC34">
        <v>1</v>
      </c>
      <c r="CE34">
        <v>1</v>
      </c>
      <c r="CG34" s="79">
        <v>1.273148148148148E-4</v>
      </c>
      <c r="CH34" s="79">
        <v>1.273148148148148E-4</v>
      </c>
      <c r="CI34" s="79">
        <v>0.25203703703703706</v>
      </c>
      <c r="CJ34" s="79">
        <v>8.385416666666666E-2</v>
      </c>
      <c r="CK34">
        <v>142</v>
      </c>
      <c r="CL34">
        <v>274</v>
      </c>
      <c r="CM34">
        <v>35</v>
      </c>
      <c r="CN34">
        <v>1.8</v>
      </c>
      <c r="CO34">
        <v>28153</v>
      </c>
      <c r="CP34" s="1">
        <v>0.2465</v>
      </c>
      <c r="CQ34">
        <v>1</v>
      </c>
      <c r="CR34" s="1">
        <v>2.86E-2</v>
      </c>
      <c r="CS34">
        <v>1250</v>
      </c>
      <c r="CT34">
        <v>1250</v>
      </c>
      <c r="CW34" s="1"/>
      <c r="CX34" s="1"/>
      <c r="CY34">
        <v>94</v>
      </c>
      <c r="CZ34">
        <v>29500</v>
      </c>
      <c r="DA34" s="1"/>
      <c r="DB34">
        <v>1</v>
      </c>
      <c r="DC34" t="s">
        <v>159</v>
      </c>
    </row>
    <row r="35" spans="1:107" x14ac:dyDescent="0.25">
      <c r="A35" s="34" t="str" cm="1">
        <f t="array" ref="A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JOSELIN MONTALVO</v>
      </c>
      <c r="C35" s="34" cm="1">
        <f t="array" ref="C35">_xlfn.XLOOKUP(1,(TablaMeta[CONCAT]=$M$3&amp;$N$3&amp;D1_MAYO_2026[[#This Row],[SUPER]])*(TablaMeta[SEGG]=D1_MAYO_2026[[#This Row],[SEGMENTO]]),TablaMeta[Meta_Asesor])</f>
        <v>12000</v>
      </c>
      <c r="D35" s="35">
        <f>IF(D1_MAYO_2026[[#This Row],[RECUPERO]]="VACACIONES","VACACIONES",IFERROR(D1_MAYO_2026[[#This Row],[RECUPERO]]/D1_MAYO_2026[[#This Row],[META]],""))</f>
        <v>0.10916666666666666</v>
      </c>
      <c r="E35" s="35" t="str">
        <f>D1_MAYO_2026[[#This Row],[SUPER]]</f>
        <v>LEONOR</v>
      </c>
      <c r="F35" t="s">
        <v>637</v>
      </c>
      <c r="G35" s="3">
        <v>1310</v>
      </c>
      <c r="H35" cm="1">
        <f t="array" ref="H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5" s="56"/>
      <c r="M35" s="5">
        <f>DATA_MAYO_2026[[#This Row],[RECUPERO]]/DATA_MAYO_2026[[#This Row],[META]]</f>
        <v>0.06</v>
      </c>
      <c r="N35" s="54" t="str" cm="1">
        <f t="array" ref="N35">IF(DATA_MAYO_2026[[#This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IFERROR(VLOOKUP(DATA_MAYO_2026[[#This Row],[ASER_]],$B:$G,4,0),"")</f>
        <v>LEONOR</v>
      </c>
      <c r="P35" s="6">
        <f>VLOOKUP(DATA_MAYO_2026[[#This Row],[ASER_]],D1_MAYO_2026[[ASESOR_CRR]:[RECUPERO]],6,0)</f>
        <v>720</v>
      </c>
      <c r="Q35" s="6">
        <f>VLOOKUP(DATA_MAYO_2026[[#This Row],[ASER_]],D1_MAYO_2026[[ASESOR_CRR]:[META]],2,0)</f>
        <v>12000</v>
      </c>
      <c r="R35" t="s">
        <v>49</v>
      </c>
      <c r="S35" s="45">
        <v>220</v>
      </c>
      <c r="T35">
        <v>0</v>
      </c>
      <c r="U35">
        <v>0</v>
      </c>
      <c r="V35">
        <v>500</v>
      </c>
      <c r="W35" s="5">
        <v>0</v>
      </c>
      <c r="X35" s="6">
        <v>0</v>
      </c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55"/>
      <c r="BW35" t="s">
        <v>639</v>
      </c>
      <c r="BX35" t="s">
        <v>346</v>
      </c>
      <c r="BY35" t="s">
        <v>125</v>
      </c>
      <c r="BZ35" t="s">
        <v>26</v>
      </c>
      <c r="CA35" s="56">
        <v>46177</v>
      </c>
      <c r="CB35">
        <v>1</v>
      </c>
      <c r="CC35">
        <v>1</v>
      </c>
      <c r="CE35">
        <v>1</v>
      </c>
      <c r="CG35" s="79">
        <v>6.9444444444444444E-5</v>
      </c>
      <c r="CH35" s="79">
        <v>6.9444444444444444E-5</v>
      </c>
      <c r="CI35" s="79">
        <v>0.26734953703703701</v>
      </c>
      <c r="CJ35" s="79">
        <v>8.6018518518518522E-2</v>
      </c>
      <c r="CK35">
        <v>217</v>
      </c>
      <c r="CL35">
        <v>443</v>
      </c>
      <c r="CM35">
        <v>29</v>
      </c>
      <c r="CN35">
        <v>1.3448275860000001</v>
      </c>
      <c r="CO35">
        <v>30839</v>
      </c>
      <c r="CP35" s="1">
        <v>0.1336</v>
      </c>
      <c r="CR35" s="1"/>
      <c r="CW35" s="1"/>
      <c r="CX35" s="1"/>
      <c r="CY35">
        <v>84</v>
      </c>
      <c r="CZ35">
        <v>29500</v>
      </c>
      <c r="DA35" s="1"/>
      <c r="DB35">
        <v>2</v>
      </c>
      <c r="DC35" t="s">
        <v>158</v>
      </c>
    </row>
    <row r="36" spans="1:107" x14ac:dyDescent="0.25">
      <c r="A36" s="34" t="str" cm="1">
        <f t="array" ref="A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MAYRA AVALOS</v>
      </c>
      <c r="C36" s="34" cm="1">
        <f t="array" ref="C36">_xlfn.XLOOKUP(1,(TablaMeta[CONCAT]=$M$3&amp;$N$3&amp;D1_MAYO_2026[[#This Row],[SUPER]])*(TablaMeta[SEGG]=D1_MAYO_2026[[#This Row],[SEGMENTO]]),TablaMeta[Meta_Asesor])</f>
        <v>12000</v>
      </c>
      <c r="D36" s="35">
        <f>IF(D1_MAYO_2026[[#This Row],[RECUPERO]]="VACACIONES","VACACIONES",IFERROR(D1_MAYO_2026[[#This Row],[RECUPERO]]/D1_MAYO_2026[[#This Row],[META]],""))</f>
        <v>0.10791666666666666</v>
      </c>
      <c r="E36" s="35" t="str">
        <f>D1_MAYO_2026[[#This Row],[SUPER]]</f>
        <v>LEONOR</v>
      </c>
      <c r="F36" t="s">
        <v>55</v>
      </c>
      <c r="G36" s="3">
        <v>1295</v>
      </c>
      <c r="H36" cm="1">
        <f t="array" ref="H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6" s="56" cm="1">
        <f t="array" ref="I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6" s="56" t="str" cm="1">
        <f t="array" ref="J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6" s="56"/>
      <c r="M36" s="5">
        <f>DATA_MAYO_2026[[#This Row],[RECUPERO]]/DATA_MAYO_2026[[#This Row],[META]]</f>
        <v>0.22416666666666665</v>
      </c>
      <c r="N36" s="54" t="str" cm="1">
        <f t="array" ref="N36">IF(DATA_MAYO_2026[[#This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IFERROR(VLOOKUP(DATA_MAYO_2026[[#This Row],[ASER_]],$B:$G,4,0),"")</f>
        <v>LEONOR</v>
      </c>
      <c r="P36" s="6">
        <f>VLOOKUP(DATA_MAYO_2026[[#This Row],[ASER_]],D1_MAYO_2026[[ASESOR_CRR]:[RECUPERO]],6,0)</f>
        <v>2690</v>
      </c>
      <c r="Q36" s="6">
        <f>VLOOKUP(DATA_MAYO_2026[[#This Row],[ASER_]],D1_MAYO_2026[[ASESOR_CRR]:[META]],2,0)</f>
        <v>12000</v>
      </c>
      <c r="R36" t="s">
        <v>600</v>
      </c>
      <c r="S36" s="45">
        <v>750</v>
      </c>
      <c r="T36">
        <v>700</v>
      </c>
      <c r="U36">
        <v>0</v>
      </c>
      <c r="V36">
        <v>0</v>
      </c>
      <c r="W36" s="5">
        <v>1240</v>
      </c>
      <c r="X36" s="6">
        <v>0</v>
      </c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55"/>
      <c r="BW36" t="s">
        <v>639</v>
      </c>
      <c r="BX36" t="s">
        <v>346</v>
      </c>
      <c r="BY36" t="s">
        <v>125</v>
      </c>
      <c r="BZ36" t="s">
        <v>26</v>
      </c>
      <c r="CA36" s="56">
        <v>46178</v>
      </c>
      <c r="CB36">
        <v>1</v>
      </c>
      <c r="CC36">
        <v>1</v>
      </c>
      <c r="CE36">
        <v>1</v>
      </c>
      <c r="CG36" s="79">
        <v>6.9444444444444444E-5</v>
      </c>
      <c r="CH36" s="79">
        <v>6.9444444444444444E-5</v>
      </c>
      <c r="CI36" s="79">
        <v>0.14839120370370371</v>
      </c>
      <c r="CJ36" s="79">
        <v>4.9988425925925929E-2</v>
      </c>
      <c r="CK36">
        <v>53</v>
      </c>
      <c r="CL36">
        <v>100</v>
      </c>
      <c r="CM36">
        <v>4</v>
      </c>
      <c r="CN36">
        <v>1</v>
      </c>
      <c r="CO36">
        <v>46372</v>
      </c>
      <c r="CP36" s="1">
        <v>7.5499999999999998E-2</v>
      </c>
      <c r="CR36" s="1"/>
      <c r="CW36" s="1"/>
      <c r="CX36" s="1"/>
      <c r="CY36">
        <v>100</v>
      </c>
      <c r="CZ36">
        <v>29500</v>
      </c>
      <c r="DA36" s="1"/>
      <c r="DB36">
        <v>3</v>
      </c>
      <c r="DC36" t="s">
        <v>209</v>
      </c>
    </row>
    <row r="37" spans="1:107" x14ac:dyDescent="0.25">
      <c r="A37" s="34" t="str" cm="1">
        <f t="array" ref="A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JEREMY RODRIGUEZ</v>
      </c>
      <c r="C37" s="34" cm="1">
        <f t="array" ref="C37">_xlfn.XLOOKUP(1,(TablaMeta[CONCAT]=$M$3&amp;$N$3&amp;D1_MAYO_2026[[#This Row],[SUPER]])*(TablaMeta[SEGG]=D1_MAYO_2026[[#This Row],[SEGMENTO]]),TablaMeta[Meta_Asesor])</f>
        <v>12000</v>
      </c>
      <c r="D37" s="35">
        <f>IF(D1_MAYO_2026[[#This Row],[RECUPERO]]="VACACIONES","VACACIONES",IFERROR(D1_MAYO_2026[[#This Row],[RECUPERO]]/D1_MAYO_2026[[#This Row],[META]],""))</f>
        <v>9.7500000000000003E-2</v>
      </c>
      <c r="E37" s="35" t="str">
        <f>D1_MAYO_2026[[#This Row],[SUPER]]</f>
        <v>LEONOR</v>
      </c>
      <c r="F37" t="s">
        <v>632</v>
      </c>
      <c r="G37" s="3">
        <v>1170</v>
      </c>
      <c r="H37" cm="1">
        <f t="array" ref="H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7" s="56" cm="1">
        <f t="array" ref="I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7" s="56" t="str" cm="1">
        <f t="array" ref="J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7" s="56"/>
      <c r="M37" s="5">
        <f>DATA_MAYO_2026[[#This Row],[RECUPERO]]/DATA_MAYO_2026[[#This Row],[META]]</f>
        <v>9.5000000000000001E-2</v>
      </c>
      <c r="N37" s="54" t="str" cm="1">
        <f t="array" ref="N37">IF(DATA_MAYO_2026[[#This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IFERROR(VLOOKUP(DATA_MAYO_2026[[#This Row],[ASER_]],$B:$G,4,0),"")</f>
        <v>LEONOR</v>
      </c>
      <c r="P37" s="6">
        <f>VLOOKUP(DATA_MAYO_2026[[#This Row],[ASER_]],D1_MAYO_2026[[ASESOR_CRR]:[RECUPERO]],6,0)</f>
        <v>1140</v>
      </c>
      <c r="Q37" s="6">
        <f>VLOOKUP(DATA_MAYO_2026[[#This Row],[ASER_]],D1_MAYO_2026[[ASESOR_CRR]:[META]],2,0)</f>
        <v>12000</v>
      </c>
      <c r="R37" t="s">
        <v>51</v>
      </c>
      <c r="S37" s="45">
        <v>100</v>
      </c>
      <c r="T37">
        <v>0</v>
      </c>
      <c r="U37">
        <v>0</v>
      </c>
      <c r="V37">
        <v>800</v>
      </c>
      <c r="W37" s="5">
        <v>240</v>
      </c>
      <c r="X37" s="6">
        <v>0</v>
      </c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55"/>
      <c r="BW37" t="s">
        <v>639</v>
      </c>
      <c r="BX37" t="s">
        <v>346</v>
      </c>
      <c r="BY37" t="s">
        <v>125</v>
      </c>
      <c r="BZ37" t="s">
        <v>564</v>
      </c>
      <c r="CA37" s="56">
        <v>46174</v>
      </c>
      <c r="CB37">
        <v>1</v>
      </c>
      <c r="CC37">
        <v>1</v>
      </c>
      <c r="CE37">
        <v>1</v>
      </c>
      <c r="CG37" s="79">
        <v>4.1666666666666669E-4</v>
      </c>
      <c r="CH37" s="79">
        <v>4.1666666666666669E-4</v>
      </c>
      <c r="CI37" s="79">
        <v>0.29771990740740739</v>
      </c>
      <c r="CJ37" s="79">
        <v>4.1944444444444444E-2</v>
      </c>
      <c r="CK37">
        <v>165</v>
      </c>
      <c r="CL37">
        <v>230</v>
      </c>
      <c r="CM37">
        <v>29</v>
      </c>
      <c r="CN37">
        <v>1.5862068970000001</v>
      </c>
      <c r="CO37">
        <v>19800</v>
      </c>
      <c r="CP37" s="1">
        <v>0.17580000000000001</v>
      </c>
      <c r="CQ37">
        <v>7</v>
      </c>
      <c r="CR37" s="1">
        <v>0.2414</v>
      </c>
      <c r="CS37">
        <v>2695</v>
      </c>
      <c r="CT37">
        <v>385</v>
      </c>
      <c r="CW37" s="1"/>
      <c r="CX37" s="1"/>
      <c r="CY37">
        <v>86</v>
      </c>
      <c r="CZ37">
        <v>29500</v>
      </c>
      <c r="DA37" s="1"/>
      <c r="DB37">
        <v>4</v>
      </c>
      <c r="DC37" t="s">
        <v>159</v>
      </c>
    </row>
    <row r="38" spans="1:107" x14ac:dyDescent="0.25">
      <c r="A38" s="34" t="str" cm="1">
        <f t="array" ref="A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ALANOCCA</v>
      </c>
      <c r="C38" s="34" cm="1">
        <f t="array" ref="C38">_xlfn.XLOOKUP(1,(TablaMeta[CONCAT]=$M$3&amp;$N$3&amp;D1_MAYO_2026[[#This Row],[SUPER]])*(TablaMeta[SEGG]=D1_MAYO_2026[[#This Row],[SEGMENTO]]),TablaMeta[Meta_Asesor])</f>
        <v>12000</v>
      </c>
      <c r="D38" s="35">
        <f>IF(D1_MAYO_2026[[#This Row],[RECUPERO]]="VACACIONES","VACACIONES",IFERROR(D1_MAYO_2026[[#This Row],[RECUPERO]]/D1_MAYO_2026[[#This Row],[META]],""))</f>
        <v>9.5916666666666664E-2</v>
      </c>
      <c r="E38" s="35" t="str">
        <f>D1_MAYO_2026[[#This Row],[SUPER]]</f>
        <v>LEONOR</v>
      </c>
      <c r="F38" t="s">
        <v>77</v>
      </c>
      <c r="G38" s="3">
        <v>1151</v>
      </c>
      <c r="H38" cm="1">
        <f t="array" ref="H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8" s="56" cm="1">
        <f t="array" ref="I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8" s="56" t="str" cm="1">
        <f t="array" ref="J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8" s="56"/>
      <c r="M38" s="5">
        <f>DATA_MAYO_2026[[#This Row],[RECUPERO]]/DATA_MAYO_2026[[#This Row],[META]]</f>
        <v>4.766666666666667E-2</v>
      </c>
      <c r="N38" s="54" t="str" cm="1">
        <f t="array" ref="N38">IF(DATA_MAYO_2026[[#This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IFERROR(VLOOKUP(DATA_MAYO_2026[[#This Row],[ASER_]],$B:$G,4,0),"")</f>
        <v>LEONOR</v>
      </c>
      <c r="P38" s="6">
        <f>VLOOKUP(DATA_MAYO_2026[[#This Row],[ASER_]],D1_MAYO_2026[[ASESOR_CRR]:[RECUPERO]],6,0)</f>
        <v>572</v>
      </c>
      <c r="Q38" s="6">
        <f>VLOOKUP(DATA_MAYO_2026[[#This Row],[ASER_]],D1_MAYO_2026[[ASESOR_CRR]:[META]],2,0)</f>
        <v>12000</v>
      </c>
      <c r="R38" t="s">
        <v>50</v>
      </c>
      <c r="S38" s="45">
        <v>0</v>
      </c>
      <c r="T38">
        <v>0</v>
      </c>
      <c r="U38">
        <v>0</v>
      </c>
      <c r="V38">
        <v>500</v>
      </c>
      <c r="W38" s="5">
        <v>72</v>
      </c>
      <c r="X38" s="6">
        <v>0</v>
      </c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55"/>
      <c r="BW38" t="s">
        <v>639</v>
      </c>
      <c r="BX38" t="s">
        <v>346</v>
      </c>
      <c r="BY38" t="s">
        <v>125</v>
      </c>
      <c r="BZ38" t="s">
        <v>564</v>
      </c>
      <c r="CA38" s="56">
        <v>46175</v>
      </c>
      <c r="CB38">
        <v>1</v>
      </c>
      <c r="CC38">
        <v>1</v>
      </c>
      <c r="CE38">
        <v>1</v>
      </c>
      <c r="CG38" s="79">
        <v>6.9444444444444444E-5</v>
      </c>
      <c r="CH38" s="79">
        <v>6.9444444444444444E-5</v>
      </c>
      <c r="CI38" s="79">
        <v>0.24752314814814816</v>
      </c>
      <c r="CJ38" s="79">
        <v>6.3287037037037031E-2</v>
      </c>
      <c r="CK38">
        <v>144</v>
      </c>
      <c r="CL38">
        <v>201</v>
      </c>
      <c r="CM38">
        <v>32</v>
      </c>
      <c r="CN38">
        <v>1.5625</v>
      </c>
      <c r="CO38">
        <v>28306</v>
      </c>
      <c r="CP38" s="1">
        <v>0.22220000000000001</v>
      </c>
      <c r="CQ38">
        <v>1</v>
      </c>
      <c r="CR38" s="1">
        <v>3.1300000000000001E-2</v>
      </c>
      <c r="CS38">
        <v>480</v>
      </c>
      <c r="CT38">
        <v>480</v>
      </c>
      <c r="CW38" s="1"/>
      <c r="CX38" s="1"/>
      <c r="CY38">
        <v>92</v>
      </c>
      <c r="CZ38">
        <v>29500</v>
      </c>
      <c r="DA38" s="1"/>
      <c r="DB38">
        <v>5</v>
      </c>
      <c r="DC38" t="s">
        <v>158</v>
      </c>
    </row>
    <row r="39" spans="1:107" x14ac:dyDescent="0.25">
      <c r="A39" s="34" t="str" cm="1">
        <f t="array" ref="A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GERALDINE ARROYO</v>
      </c>
      <c r="C39" s="34" cm="1">
        <f t="array" ref="C39">_xlfn.XLOOKUP(1,(TablaMeta[CONCAT]=$M$3&amp;$N$3&amp;D1_MAYO_2026[[#This Row],[SUPER]])*(TablaMeta[SEGG]=D1_MAYO_2026[[#This Row],[SEGMENTO]]),TablaMeta[Meta_Asesor])</f>
        <v>12000</v>
      </c>
      <c r="D39" s="35">
        <f>IF(D1_MAYO_2026[[#This Row],[RECUPERO]]="VACACIONES","VACACIONES",IFERROR(D1_MAYO_2026[[#This Row],[RECUPERO]]/D1_MAYO_2026[[#This Row],[META]],""))</f>
        <v>9.5000000000000001E-2</v>
      </c>
      <c r="E39" s="35" t="str">
        <f>D1_MAYO_2026[[#This Row],[SUPER]]</f>
        <v>LEONOR</v>
      </c>
      <c r="F39" t="s">
        <v>634</v>
      </c>
      <c r="G39" s="3">
        <v>1140</v>
      </c>
      <c r="H39" cm="1">
        <f t="array" ref="H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9" s="56" cm="1">
        <f t="array" ref="I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9" s="56" t="str" cm="1">
        <f t="array" ref="J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9" s="56"/>
      <c r="M39" s="5">
        <f>DATA_MAYO_2026[[#This Row],[RECUPERO]]/DATA_MAYO_2026[[#This Row],[META]]</f>
        <v>7.9166666666666663E-2</v>
      </c>
      <c r="N39" s="54" t="str" cm="1">
        <f t="array" ref="N39">IF(DATA_MAYO_2026[[#This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IFERROR(VLOOKUP(DATA_MAYO_2026[[#This Row],[ASER_]],$B:$G,4,0),"")</f>
        <v>LEONOR</v>
      </c>
      <c r="P39" s="6">
        <f>VLOOKUP(DATA_MAYO_2026[[#This Row],[ASER_]],D1_MAYO_2026[[ASESOR_CRR]:[RECUPERO]],6,0)</f>
        <v>950</v>
      </c>
      <c r="Q39" s="6">
        <f>VLOOKUP(DATA_MAYO_2026[[#This Row],[ASER_]],D1_MAYO_2026[[ASESOR_CRR]:[META]],2,0)</f>
        <v>12000</v>
      </c>
      <c r="R39" t="s">
        <v>73</v>
      </c>
      <c r="S39" s="45">
        <v>0</v>
      </c>
      <c r="T39">
        <v>0</v>
      </c>
      <c r="U39">
        <v>950</v>
      </c>
      <c r="V39">
        <v>0</v>
      </c>
      <c r="W39" s="5">
        <v>0</v>
      </c>
      <c r="X39" s="6">
        <v>0</v>
      </c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55"/>
      <c r="BW39" t="s">
        <v>639</v>
      </c>
      <c r="BX39" t="s">
        <v>346</v>
      </c>
      <c r="BY39" t="s">
        <v>125</v>
      </c>
      <c r="BZ39" t="s">
        <v>564</v>
      </c>
      <c r="CA39" s="56">
        <v>46176</v>
      </c>
      <c r="CB39">
        <v>1</v>
      </c>
      <c r="CC39">
        <v>1</v>
      </c>
      <c r="CE39">
        <v>1</v>
      </c>
      <c r="CG39" s="79">
        <v>1.273148148148148E-4</v>
      </c>
      <c r="CH39" s="79">
        <v>1.273148148148148E-4</v>
      </c>
      <c r="CI39" s="79">
        <v>0.31737268518518519</v>
      </c>
      <c r="CJ39" s="79">
        <v>9.1655092592592594E-2</v>
      </c>
      <c r="CK39">
        <v>166</v>
      </c>
      <c r="CL39">
        <v>286</v>
      </c>
      <c r="CM39">
        <v>26</v>
      </c>
      <c r="CN39">
        <v>1.538461538</v>
      </c>
      <c r="CO39">
        <v>26071</v>
      </c>
      <c r="CP39" s="1">
        <v>0.15659999999999999</v>
      </c>
      <c r="CR39" s="1"/>
      <c r="CW39" s="1"/>
      <c r="CX39" s="1"/>
      <c r="CY39">
        <v>68</v>
      </c>
      <c r="CZ39">
        <v>29500</v>
      </c>
      <c r="DA39" s="1"/>
      <c r="DB39">
        <v>1</v>
      </c>
      <c r="DC39" t="s">
        <v>209</v>
      </c>
    </row>
    <row r="40" spans="1:107" x14ac:dyDescent="0.25">
      <c r="A40" s="34" t="str" cm="1">
        <f t="array" ref="A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SARITA GARAY</v>
      </c>
      <c r="C40" s="34" cm="1">
        <f t="array" ref="C40">_xlfn.XLOOKUP(1,(TablaMeta[CONCAT]=$M$3&amp;$N$3&amp;D1_MAYO_2026[[#This Row],[SUPER]])*(TablaMeta[SEGG]=D1_MAYO_2026[[#This Row],[SEGMENTO]]),TablaMeta[Meta_Asesor])</f>
        <v>12000</v>
      </c>
      <c r="D40" s="35">
        <f>IF(D1_MAYO_2026[[#This Row],[RECUPERO]]="VACACIONES","VACACIONES",IFERROR(D1_MAYO_2026[[#This Row],[RECUPERO]]/D1_MAYO_2026[[#This Row],[META]],""))</f>
        <v>7.9166666666666663E-2</v>
      </c>
      <c r="E40" s="35" t="str">
        <f>D1_MAYO_2026[[#This Row],[SUPER]]</f>
        <v>LEONOR</v>
      </c>
      <c r="F40" t="s">
        <v>636</v>
      </c>
      <c r="G40" s="3">
        <v>950</v>
      </c>
      <c r="H40" cm="1">
        <f t="array" ref="H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40" s="56" cm="1">
        <f t="array" ref="I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40" s="56" t="str" cm="1">
        <f t="array" ref="J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0" s="56"/>
      <c r="M40" s="5">
        <f>DATA_MAYO_2026[[#This Row],[RECUPERO]]/DATA_MAYO_2026[[#This Row],[META]]</f>
        <v>9.7500000000000003E-2</v>
      </c>
      <c r="N40" s="54" t="str" cm="1">
        <f t="array" ref="N40">IF(DATA_MAYO_2026[[#This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IFERROR(VLOOKUP(DATA_MAYO_2026[[#This Row],[ASER_]],$B:$G,4,0),"")</f>
        <v>LEONOR</v>
      </c>
      <c r="P40" s="6">
        <f>VLOOKUP(DATA_MAYO_2026[[#This Row],[ASER_]],D1_MAYO_2026[[ASESOR_CRR]:[RECUPERO]],6,0)</f>
        <v>1170</v>
      </c>
      <c r="Q40" s="6">
        <f>VLOOKUP(DATA_MAYO_2026[[#This Row],[ASER_]],D1_MAYO_2026[[ASESOR_CRR]:[META]],2,0)</f>
        <v>12000</v>
      </c>
      <c r="R40" t="s">
        <v>599</v>
      </c>
      <c r="S40">
        <v>0</v>
      </c>
      <c r="T40">
        <v>300</v>
      </c>
      <c r="U40">
        <v>350</v>
      </c>
      <c r="V40">
        <v>295</v>
      </c>
      <c r="W40" s="5">
        <v>0</v>
      </c>
      <c r="X40" s="6">
        <v>225</v>
      </c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55"/>
      <c r="BW40" t="s">
        <v>639</v>
      </c>
      <c r="BX40" t="s">
        <v>346</v>
      </c>
      <c r="BY40" t="s">
        <v>125</v>
      </c>
      <c r="BZ40" t="s">
        <v>564</v>
      </c>
      <c r="CA40" s="56">
        <v>46177</v>
      </c>
      <c r="CB40">
        <v>1</v>
      </c>
      <c r="CC40">
        <v>1</v>
      </c>
      <c r="CE40">
        <v>1</v>
      </c>
      <c r="CG40" s="79">
        <v>0</v>
      </c>
      <c r="CH40" s="79">
        <v>0</v>
      </c>
      <c r="CI40" s="79">
        <v>0.27368055555555554</v>
      </c>
      <c r="CJ40" s="79">
        <v>9.8657407407407402E-2</v>
      </c>
      <c r="CK40">
        <v>120</v>
      </c>
      <c r="CL40">
        <v>218</v>
      </c>
      <c r="CM40">
        <v>20</v>
      </c>
      <c r="CN40">
        <v>1.85</v>
      </c>
      <c r="CO40">
        <v>20369</v>
      </c>
      <c r="CP40" s="1">
        <v>0.16669999999999999</v>
      </c>
      <c r="CR40" s="1"/>
      <c r="CW40" s="1"/>
      <c r="CX40" s="1"/>
      <c r="CY40">
        <v>84</v>
      </c>
      <c r="CZ40">
        <v>29500</v>
      </c>
      <c r="DA40" s="1"/>
      <c r="DB40">
        <v>2</v>
      </c>
      <c r="DC40" t="s">
        <v>159</v>
      </c>
    </row>
    <row r="41" spans="1:107" x14ac:dyDescent="0.25">
      <c r="A41" s="34" t="str" cm="1">
        <f t="array" ref="A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1" s="34" t="str" cm="1">
        <f t="array" ref="B4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JANETH PORTOCARRERO</v>
      </c>
      <c r="C41" s="34" cm="1">
        <f t="array" ref="C41">_xlfn.XLOOKUP(1,(TablaMeta[CONCAT]=$M$3&amp;$N$3&amp;D1_MAYO_2026[[#This Row],[SUPER]])*(TablaMeta[SEGG]=D1_MAYO_2026[[#This Row],[SEGMENTO]]),TablaMeta[Meta_Asesor])</f>
        <v>12000</v>
      </c>
      <c r="D41" s="35">
        <f>IF(D1_MAYO_2026[[#This Row],[RECUPERO]]="VACACIONES","VACACIONES",IFERROR(D1_MAYO_2026[[#This Row],[RECUPERO]]/D1_MAYO_2026[[#This Row],[META]],""))</f>
        <v>0.06</v>
      </c>
      <c r="E41" s="35" t="str">
        <f>D1_MAYO_2026[[#This Row],[SUPER]]</f>
        <v>LEONOR</v>
      </c>
      <c r="F41" t="s">
        <v>49</v>
      </c>
      <c r="G41" s="3">
        <v>720</v>
      </c>
      <c r="H41" cm="1">
        <f t="array" ref="H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1" s="56" cm="1">
        <f t="array" ref="I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1" s="56" t="str" cm="1">
        <f t="array" ref="J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1" s="56"/>
      <c r="M41" s="5">
        <f>DATA_MAYO_2026[[#This Row],[RECUPERO]]/DATA_MAYO_2026[[#This Row],[META]]</f>
        <v>9.5916666666666664E-2</v>
      </c>
      <c r="N41" s="54" t="str" cm="1">
        <f t="array" ref="N41">IF(DATA_MAYO_2026[[#This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IFERROR(VLOOKUP(DATA_MAYO_2026[[#This Row],[ASER_]],$B:$G,4,0),"")</f>
        <v>LEONOR</v>
      </c>
      <c r="P41" s="6">
        <f>VLOOKUP(DATA_MAYO_2026[[#This Row],[ASER_]],D1_MAYO_2026[[ASESOR_CRR]:[RECUPERO]],6,0)</f>
        <v>1151</v>
      </c>
      <c r="Q41" s="6">
        <f>VLOOKUP(DATA_MAYO_2026[[#This Row],[ASER_]],D1_MAYO_2026[[ASESOR_CRR]:[META]],2,0)</f>
        <v>12000</v>
      </c>
      <c r="R41" t="s">
        <v>77</v>
      </c>
      <c r="S41" s="45">
        <v>0</v>
      </c>
      <c r="T41">
        <v>0</v>
      </c>
      <c r="U41">
        <v>200</v>
      </c>
      <c r="V41">
        <v>600</v>
      </c>
      <c r="W41">
        <v>0</v>
      </c>
      <c r="X41" s="5">
        <v>351</v>
      </c>
      <c r="Y41" s="77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55"/>
      <c r="BW41" t="s">
        <v>639</v>
      </c>
      <c r="BX41" t="s">
        <v>346</v>
      </c>
      <c r="BY41" t="s">
        <v>125</v>
      </c>
      <c r="BZ41" t="s">
        <v>564</v>
      </c>
      <c r="CA41" s="56">
        <v>46178</v>
      </c>
      <c r="CB41">
        <v>1</v>
      </c>
      <c r="CC41">
        <v>1</v>
      </c>
      <c r="CE41">
        <v>1</v>
      </c>
      <c r="CG41" s="79">
        <v>9.2592592592592588E-5</v>
      </c>
      <c r="CH41" s="79">
        <v>9.2592592592592588E-5</v>
      </c>
      <c r="CI41" s="79">
        <v>0.14233796296296297</v>
      </c>
      <c r="CJ41" s="79">
        <v>6.3599537037037038E-2</v>
      </c>
      <c r="CK41">
        <v>40</v>
      </c>
      <c r="CL41">
        <v>67</v>
      </c>
      <c r="CM41">
        <v>5</v>
      </c>
      <c r="CN41">
        <v>1</v>
      </c>
      <c r="CO41">
        <v>28825</v>
      </c>
      <c r="CP41" s="1">
        <v>0.125</v>
      </c>
      <c r="CR41" s="1"/>
      <c r="CW41" s="1"/>
      <c r="CX41" s="1"/>
      <c r="CY41">
        <v>100</v>
      </c>
      <c r="CZ41">
        <v>29500</v>
      </c>
      <c r="DA41" s="1"/>
      <c r="DB41">
        <v>3</v>
      </c>
      <c r="DC41" t="s">
        <v>158</v>
      </c>
    </row>
    <row r="42" spans="1:107" x14ac:dyDescent="0.25">
      <c r="A42" s="34" t="str" cm="1">
        <f t="array" ref="A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2" s="34" t="str" cm="1">
        <f t="array" ref="B4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KIARA CANEPA</v>
      </c>
      <c r="C42" s="34" cm="1">
        <f t="array" ref="C42">_xlfn.XLOOKUP(1,(TablaMeta[CONCAT]=$M$3&amp;$N$3&amp;D1_MAYO_2026[[#This Row],[SUPER]])*(TablaMeta[SEGG]=D1_MAYO_2026[[#This Row],[SEGMENTO]]),TablaMeta[Meta_Asesor])</f>
        <v>12000</v>
      </c>
      <c r="D42" s="35">
        <f>IF(D1_MAYO_2026[[#This Row],[RECUPERO]]="VACACIONES","VACACIONES",IFERROR(D1_MAYO_2026[[#This Row],[RECUPERO]]/D1_MAYO_2026[[#This Row],[META]],""))</f>
        <v>4.766666666666667E-2</v>
      </c>
      <c r="E42" s="35" t="str">
        <f>D1_MAYO_2026[[#This Row],[SUPER]]</f>
        <v>LEONOR</v>
      </c>
      <c r="F42" t="s">
        <v>635</v>
      </c>
      <c r="G42" s="3">
        <v>572</v>
      </c>
      <c r="H42" cm="1">
        <f t="array" ref="H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42" s="56" cm="1">
        <f t="array" ref="I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42" s="56" t="str" cm="1">
        <f t="array" ref="J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2" s="56"/>
      <c r="M42" s="5">
        <f>DATA_MAYO_2026[[#This Row],[RECUPERO]]/DATA_MAYO_2026[[#This Row],[META]]</f>
        <v>0.10791666666666666</v>
      </c>
      <c r="N42" s="54" t="str" cm="1">
        <f t="array" ref="N42">IF(DATA_MAYO_2026[[#This Row],[ASER_]]="","",IFERROR(_xlfn.IFS(M42&gt;=100%,"&gt;100%",AND(M42&lt;100%,M42&gt;=70%),"&gt;70%",AND(M42&lt;70%,M42&gt;=40%),"&gt;40%",AND(M42&lt;40%,M42&gt;=0%),"&gt;0%"),""))</f>
        <v>&gt;0%</v>
      </c>
      <c r="O42" s="55" t="str">
        <f>IFERROR(VLOOKUP(DATA_MAYO_2026[[#This Row],[ASER_]],$B:$G,4,0),"")</f>
        <v>LEONOR</v>
      </c>
      <c r="P42" s="6">
        <f>VLOOKUP(DATA_MAYO_2026[[#This Row],[ASER_]],D1_MAYO_2026[[ASESOR_CRR]:[RECUPERO]],6,0)</f>
        <v>1295</v>
      </c>
      <c r="Q42" s="6">
        <f>VLOOKUP(DATA_MAYO_2026[[#This Row],[ASER_]],D1_MAYO_2026[[ASESOR_CRR]:[META]],2,0)</f>
        <v>12000</v>
      </c>
      <c r="R42" t="s">
        <v>55</v>
      </c>
      <c r="S42" s="3">
        <v>325</v>
      </c>
      <c r="T42">
        <v>0</v>
      </c>
      <c r="U42">
        <v>380</v>
      </c>
      <c r="V42">
        <v>300</v>
      </c>
      <c r="W42">
        <v>0</v>
      </c>
      <c r="X42" s="5">
        <v>290</v>
      </c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55"/>
      <c r="BW42" t="s">
        <v>639</v>
      </c>
      <c r="BX42" t="s">
        <v>346</v>
      </c>
      <c r="BY42" t="s">
        <v>125</v>
      </c>
      <c r="BZ42" t="s">
        <v>75</v>
      </c>
      <c r="CA42" s="56">
        <v>46174</v>
      </c>
      <c r="CB42">
        <v>1</v>
      </c>
      <c r="CC42">
        <v>1</v>
      </c>
      <c r="CE42">
        <v>1</v>
      </c>
      <c r="CG42" s="79">
        <v>5.7870370370370373E-5</v>
      </c>
      <c r="CH42" s="79">
        <v>5.7870370370370373E-5</v>
      </c>
      <c r="CI42" s="79">
        <v>0.29168981481481482</v>
      </c>
      <c r="CJ42" s="79">
        <v>4.252314814814815E-2</v>
      </c>
      <c r="CK42">
        <v>135</v>
      </c>
      <c r="CL42">
        <v>220</v>
      </c>
      <c r="CM42">
        <v>34</v>
      </c>
      <c r="CN42">
        <v>1.7647058819999999</v>
      </c>
      <c r="CO42">
        <v>30713</v>
      </c>
      <c r="CP42" s="1">
        <v>0.25190000000000001</v>
      </c>
      <c r="CQ42">
        <v>8</v>
      </c>
      <c r="CR42" s="1">
        <v>0.23530000000000001</v>
      </c>
      <c r="CS42">
        <v>4400</v>
      </c>
      <c r="CT42">
        <v>550</v>
      </c>
      <c r="CW42" s="1"/>
      <c r="CX42" s="1"/>
      <c r="CY42">
        <v>84</v>
      </c>
      <c r="CZ42">
        <v>29500</v>
      </c>
      <c r="DA42" s="1"/>
      <c r="DB42">
        <v>4</v>
      </c>
      <c r="DC42" t="s">
        <v>209</v>
      </c>
    </row>
    <row r="43" spans="1:107" x14ac:dyDescent="0.25">
      <c r="A43" s="34" t="str" cm="1">
        <f t="array" ref="A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3" s="34" t="str" cm="1">
        <f t="array" ref="B4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KATHERINE QUISPE</v>
      </c>
      <c r="C43" s="34" cm="1">
        <f t="array" ref="C43">_xlfn.XLOOKUP(1,(TablaMeta[CONCAT]=$M$3&amp;$N$3&amp;D1_MAYO_2026[[#This Row],[SUPER]])*(TablaMeta[SEGG]=D1_MAYO_2026[[#This Row],[SEGMENTO]]),TablaMeta[Meta_Asesor])</f>
        <v>12000</v>
      </c>
      <c r="D43" s="35">
        <f>IF(D1_MAYO_2026[[#This Row],[RECUPERO]]="VACACIONES","VACACIONES",IFERROR(D1_MAYO_2026[[#This Row],[RECUPERO]]/D1_MAYO_2026[[#This Row],[META]],""))</f>
        <v>2.1666666666666667E-2</v>
      </c>
      <c r="E43" s="35" t="str">
        <f>D1_MAYO_2026[[#This Row],[SUPER]]</f>
        <v>LEONOR</v>
      </c>
      <c r="F43" t="s">
        <v>630</v>
      </c>
      <c r="G43" s="3">
        <v>260</v>
      </c>
      <c r="H43" cm="1">
        <f t="array" ref="H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72505926</v>
      </c>
      <c r="I43" s="56" cm="1">
        <f t="array" ref="I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46175</v>
      </c>
      <c r="J43" s="56" t="str" cm="1">
        <f t="array" ref="J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3" s="56"/>
      <c r="M43" s="5">
        <f>DATA_MAYO_2026[[#This Row],[RECUPERO]]/DATA_MAYO_2026[[#This Row],[META]]</f>
        <v>1.2500000000000001E-2</v>
      </c>
      <c r="N43" s="54" t="str" cm="1">
        <f t="array" ref="N43">IF(DATA_MAYO_2026[[#This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IFERROR(VLOOKUP(DATA_MAYO_2026[[#This Row],[ASER_]],$B:$G,4,0),"")</f>
        <v>LEONOR</v>
      </c>
      <c r="P43" s="6">
        <f>VLOOKUP(DATA_MAYO_2026[[#This Row],[ASER_]],D1_MAYO_2026[[ASESOR_CRR]:[RECUPERO]],6,0)</f>
        <v>150</v>
      </c>
      <c r="Q43" s="6">
        <f>VLOOKUP(DATA_MAYO_2026[[#This Row],[ASER_]],D1_MAYO_2026[[ASESOR_CRR]:[META]],2,0)</f>
        <v>12000</v>
      </c>
      <c r="R43" t="s">
        <v>78</v>
      </c>
      <c r="S43" s="3">
        <v>0</v>
      </c>
      <c r="T43">
        <v>150</v>
      </c>
      <c r="U43">
        <v>0</v>
      </c>
      <c r="V43">
        <v>0</v>
      </c>
      <c r="W43">
        <v>0</v>
      </c>
      <c r="X43" s="5">
        <v>0</v>
      </c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55"/>
      <c r="BW43" t="s">
        <v>639</v>
      </c>
      <c r="BX43" t="s">
        <v>346</v>
      </c>
      <c r="BY43" t="s">
        <v>125</v>
      </c>
      <c r="BZ43" t="s">
        <v>75</v>
      </c>
      <c r="CA43" s="56">
        <v>46175</v>
      </c>
      <c r="CB43">
        <v>1</v>
      </c>
      <c r="CC43">
        <v>1</v>
      </c>
      <c r="CE43">
        <v>1</v>
      </c>
      <c r="CG43" s="79">
        <v>2.7777777777777778E-4</v>
      </c>
      <c r="CH43" s="79">
        <v>2.7777777777777778E-4</v>
      </c>
      <c r="CI43" s="79">
        <v>0.22780092592592593</v>
      </c>
      <c r="CJ43" s="79">
        <v>9.0011574074074077E-2</v>
      </c>
      <c r="CK43">
        <v>111</v>
      </c>
      <c r="CL43">
        <v>224</v>
      </c>
      <c r="CM43">
        <v>33</v>
      </c>
      <c r="CN43">
        <v>2.0909090909999999</v>
      </c>
      <c r="CO43">
        <v>20521</v>
      </c>
      <c r="CP43" s="1">
        <v>0.29730000000000001</v>
      </c>
      <c r="CQ43">
        <v>2</v>
      </c>
      <c r="CR43" s="1">
        <v>6.0600000000000001E-2</v>
      </c>
      <c r="CS43">
        <v>1030</v>
      </c>
      <c r="CT43">
        <v>515</v>
      </c>
      <c r="CU43">
        <v>800</v>
      </c>
      <c r="CV43">
        <v>800</v>
      </c>
      <c r="CW43" s="1">
        <v>0.77669999999999995</v>
      </c>
      <c r="CX43" s="1">
        <v>0.1163</v>
      </c>
      <c r="CY43">
        <v>98</v>
      </c>
      <c r="CZ43">
        <v>29500</v>
      </c>
      <c r="DA43" s="1">
        <v>2.7099999999999999E-2</v>
      </c>
      <c r="DB43">
        <v>5</v>
      </c>
      <c r="DC43" t="s">
        <v>159</v>
      </c>
    </row>
    <row r="44" spans="1:107" x14ac:dyDescent="0.25">
      <c r="A44" s="34" t="str" cm="1">
        <f t="array" ref="A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4" s="34" t="str" cm="1">
        <f t="array" ref="B4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URSULA CENTENO</v>
      </c>
      <c r="C44" s="34" cm="1">
        <f t="array" ref="C44">_xlfn.XLOOKUP(1,(TablaMeta[CONCAT]=$M$3&amp;$N$3&amp;D1_MAYO_2026[[#This Row],[SUPER]])*(TablaMeta[SEGG]=D1_MAYO_2026[[#This Row],[SEGMENTO]]),TablaMeta[Meta_Asesor])</f>
        <v>12000</v>
      </c>
      <c r="D44" s="35">
        <f>IF(D1_MAYO_2026[[#This Row],[RECUPERO]]="VACACIONES","VACACIONES",IFERROR(D1_MAYO_2026[[#This Row],[RECUPERO]]/D1_MAYO_2026[[#This Row],[META]],""))</f>
        <v>1.2500000000000001E-2</v>
      </c>
      <c r="E44" s="35" t="str">
        <f>D1_MAYO_2026[[#This Row],[SUPER]]</f>
        <v>LEONOR</v>
      </c>
      <c r="F44" t="s">
        <v>633</v>
      </c>
      <c r="G44" s="3">
        <v>150</v>
      </c>
      <c r="H44" cm="1">
        <f t="array" ref="H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4" s="56" cm="1">
        <f t="array" ref="I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4" s="56" t="str" cm="1">
        <f t="array" ref="J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4" s="56"/>
      <c r="M44" s="5">
        <f>DATA_MAYO_2026[[#This Row],[RECUPERO]]/DATA_MAYO_2026[[#This Row],[META]]</f>
        <v>0.10916666666666666</v>
      </c>
      <c r="N44" s="54" t="str" cm="1">
        <f t="array" ref="N44">IF(DATA_MAYO_2026[[#This Row],[ASER_]]="","",IFERROR(_xlfn.IFS(M44&gt;=100%,"&gt;100%",AND(M44&lt;100%,M44&gt;=70%),"&gt;70%",AND(M44&lt;70%,M44&gt;=40%),"&gt;40%",AND(M44&lt;40%,M44&gt;=0%),"&gt;0%"),""))</f>
        <v>&gt;0%</v>
      </c>
      <c r="O44" s="55" t="str">
        <f>IFERROR(VLOOKUP(DATA_MAYO_2026[[#This Row],[ASER_]],$B:$G,4,0),"")</f>
        <v>LEONOR</v>
      </c>
      <c r="P44" s="6">
        <f>VLOOKUP(DATA_MAYO_2026[[#This Row],[ASER_]],D1_MAYO_2026[[ASESOR_CRR]:[RECUPERO]],6,0)</f>
        <v>1310</v>
      </c>
      <c r="Q44" s="6">
        <f>VLOOKUP(DATA_MAYO_2026[[#This Row],[ASER_]],D1_MAYO_2026[[ASESOR_CRR]:[META]],2,0)</f>
        <v>12000</v>
      </c>
      <c r="R44" t="s">
        <v>549</v>
      </c>
      <c r="S44" s="3">
        <v>0</v>
      </c>
      <c r="T44">
        <v>250</v>
      </c>
      <c r="U44">
        <v>230</v>
      </c>
      <c r="V44">
        <v>400</v>
      </c>
      <c r="W44">
        <v>0</v>
      </c>
      <c r="X44" s="5">
        <v>0</v>
      </c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55"/>
      <c r="BW44" t="s">
        <v>639</v>
      </c>
      <c r="BX44" t="s">
        <v>346</v>
      </c>
      <c r="BY44" t="s">
        <v>125</v>
      </c>
      <c r="BZ44" t="s">
        <v>75</v>
      </c>
      <c r="CA44" s="56">
        <v>46176</v>
      </c>
      <c r="CB44">
        <v>1</v>
      </c>
      <c r="CC44">
        <v>1</v>
      </c>
      <c r="CE44">
        <v>1</v>
      </c>
      <c r="CG44" s="79">
        <v>7.0601851851851847E-4</v>
      </c>
      <c r="CH44" s="79">
        <v>7.0601851851851847E-4</v>
      </c>
      <c r="CI44" s="79">
        <v>0.29614583333333333</v>
      </c>
      <c r="CJ44" s="79">
        <v>9.9537037037037035E-2</v>
      </c>
      <c r="CK44">
        <v>143</v>
      </c>
      <c r="CL44">
        <v>282</v>
      </c>
      <c r="CM44">
        <v>20</v>
      </c>
      <c r="CN44">
        <v>1.65</v>
      </c>
      <c r="CO44">
        <v>30505</v>
      </c>
      <c r="CP44" s="1">
        <v>0.1399</v>
      </c>
      <c r="CR44" s="1"/>
      <c r="CW44" s="1"/>
      <c r="CX44" s="1"/>
      <c r="CY44">
        <v>68</v>
      </c>
      <c r="CZ44">
        <v>29500</v>
      </c>
      <c r="DA44" s="1"/>
      <c r="DB44">
        <v>1</v>
      </c>
      <c r="DC44" t="s">
        <v>158</v>
      </c>
    </row>
    <row r="45" spans="1:107" x14ac:dyDescent="0.25">
      <c r="A45" s="34" t="str" cm="1">
        <f t="array" ref="A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5" s="34" t="str" cm="1">
        <f t="array" ref="B4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PALACIOS</v>
      </c>
      <c r="C45" s="34" cm="1">
        <f t="array" ref="C45">_xlfn.XLOOKUP(1,(TablaMeta[CONCAT]=$M$3&amp;$N$3&amp;D1_MAYO_2026[[#This Row],[SUPER]])*(TablaMeta[SEGG]=D1_MAYO_2026[[#This Row],[SEGMENTO]]),TablaMeta[Meta_Asesor])</f>
        <v>38500</v>
      </c>
      <c r="D45" s="35">
        <f>IF(D1_MAYO_2026[[#This Row],[RECUPERO]]="VACACIONES","VACACIONES",IFERROR(D1_MAYO_2026[[#This Row],[RECUPERO]]/D1_MAYO_2026[[#This Row],[META]],""))</f>
        <v>0.55142857142857138</v>
      </c>
      <c r="E45" s="35" t="str">
        <f>D1_MAYO_2026[[#This Row],[SUPER]]</f>
        <v>SANDY</v>
      </c>
      <c r="F45" t="s">
        <v>493</v>
      </c>
      <c r="G45" s="3">
        <v>21230</v>
      </c>
      <c r="H45" cm="1">
        <f t="array" ref="H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45" s="56" cm="1">
        <f t="array" ref="I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5" s="56" t="str" cm="1">
        <f t="array" ref="J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5" s="56"/>
      <c r="M45" s="5">
        <f>DATA_MAYO_2026[[#This Row],[RECUPERO]]/DATA_MAYO_2026[[#This Row],[META]]</f>
        <v>2.1666666666666667E-2</v>
      </c>
      <c r="N45" s="54" t="str" cm="1">
        <f t="array" ref="N45">IF(DATA_MAYO_2026[[#This Row],[ASER_]]="","",IFERROR(_xlfn.IFS(M45&gt;=100%,"&gt;100%",AND(M45&lt;100%,M45&gt;=70%),"&gt;70%",AND(M45&lt;70%,M45&gt;=40%),"&gt;40%",AND(M45&lt;40%,M45&gt;=0%),"&gt;0%"),""))</f>
        <v>&gt;0%</v>
      </c>
      <c r="O45" s="55" t="str">
        <f>IFERROR(VLOOKUP(DATA_MAYO_2026[[#This Row],[ASER_]],$B:$G,4,0),"")</f>
        <v>LEONOR</v>
      </c>
      <c r="P45" s="6">
        <f>VLOOKUP(DATA_MAYO_2026[[#This Row],[ASER_]],D1_MAYO_2026[[ASESOR_CRR]:[RECUPERO]],6,0)</f>
        <v>260</v>
      </c>
      <c r="Q45" s="6">
        <f>VLOOKUP(DATA_MAYO_2026[[#This Row],[ASER_]],D1_MAYO_2026[[ASESOR_CRR]:[META]],2,0)</f>
        <v>12000</v>
      </c>
      <c r="R45" t="s">
        <v>630</v>
      </c>
      <c r="S45" s="3">
        <v>0</v>
      </c>
      <c r="T45">
        <v>0</v>
      </c>
      <c r="U45">
        <v>0</v>
      </c>
      <c r="V45">
        <v>160</v>
      </c>
      <c r="W45">
        <v>0</v>
      </c>
      <c r="X45" s="5">
        <v>0</v>
      </c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55"/>
      <c r="BW45" t="s">
        <v>639</v>
      </c>
      <c r="BX45" t="s">
        <v>346</v>
      </c>
      <c r="BY45" t="s">
        <v>125</v>
      </c>
      <c r="BZ45" t="s">
        <v>75</v>
      </c>
      <c r="CA45" s="56">
        <v>46177</v>
      </c>
      <c r="CB45">
        <v>1</v>
      </c>
      <c r="CC45">
        <v>1</v>
      </c>
      <c r="CE45">
        <v>1</v>
      </c>
      <c r="CG45" s="79">
        <v>1.261574074074074E-3</v>
      </c>
      <c r="CH45" s="79">
        <v>1.261574074074074E-3</v>
      </c>
      <c r="CI45" s="79">
        <v>0.24265046296296297</v>
      </c>
      <c r="CJ45" s="79">
        <v>8.6932870370370369E-2</v>
      </c>
      <c r="CK45">
        <v>114</v>
      </c>
      <c r="CL45">
        <v>208</v>
      </c>
      <c r="CM45">
        <v>16</v>
      </c>
      <c r="CN45">
        <v>2.0625</v>
      </c>
      <c r="CO45">
        <v>26576</v>
      </c>
      <c r="CP45" s="1">
        <v>0.1404</v>
      </c>
      <c r="CQ45">
        <v>1</v>
      </c>
      <c r="CR45" s="1">
        <v>6.25E-2</v>
      </c>
      <c r="CS45">
        <v>2000</v>
      </c>
      <c r="CT45">
        <v>2000</v>
      </c>
      <c r="CW45" s="1"/>
      <c r="CX45" s="1"/>
      <c r="CY45">
        <v>94</v>
      </c>
      <c r="CZ45">
        <v>29500</v>
      </c>
      <c r="DA45" s="1"/>
      <c r="DB45">
        <v>2</v>
      </c>
      <c r="DC45" t="s">
        <v>209</v>
      </c>
    </row>
    <row r="46" spans="1:107" x14ac:dyDescent="0.25">
      <c r="A46" s="34" t="str" cm="1">
        <f t="array" ref="A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6" s="34" t="str" cm="1">
        <f t="array" ref="B4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HAROLD FLORES</v>
      </c>
      <c r="C46" s="34" cm="1">
        <f t="array" ref="C46">_xlfn.XLOOKUP(1,(TablaMeta[CONCAT]=$M$3&amp;$N$3&amp;D1_MAYO_2026[[#This Row],[SUPER]])*(TablaMeta[SEGG]=D1_MAYO_2026[[#This Row],[SEGMENTO]]),TablaMeta[Meta_Asesor])</f>
        <v>38500</v>
      </c>
      <c r="D46" s="35">
        <f>IF(D1_MAYO_2026[[#This Row],[RECUPERO]]="VACACIONES","VACACIONES",IFERROR(D1_MAYO_2026[[#This Row],[RECUPERO]]/D1_MAYO_2026[[#This Row],[META]],""))</f>
        <v>0.42623376623376624</v>
      </c>
      <c r="E46" s="35" t="str">
        <f>D1_MAYO_2026[[#This Row],[SUPER]]</f>
        <v>SANDY</v>
      </c>
      <c r="F46" t="s">
        <v>42</v>
      </c>
      <c r="G46" s="3">
        <v>16410</v>
      </c>
      <c r="H46" cm="1">
        <f t="array" ref="H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46" s="56" cm="1">
        <f t="array" ref="I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46" s="56" t="str" cm="1">
        <f t="array" ref="J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6" s="56"/>
      <c r="M46" s="5">
        <f>DATA_MAYO_2026[[#This Row],[RECUPERO]]/DATA_MAYO_2026[[#This Row],[META]]</f>
        <v>0.13983333333333334</v>
      </c>
      <c r="N46" s="54" t="str" cm="1">
        <f t="array" ref="N46">IF(DATA_MAYO_2026[[#This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IFERROR(VLOOKUP(DATA_MAYO_2026[[#This Row],[ASER_]],$B:$G,4,0),"")</f>
        <v>LEONOR</v>
      </c>
      <c r="P46" s="6">
        <f>VLOOKUP(DATA_MAYO_2026[[#This Row],[ASER_]],D1_MAYO_2026[[ASESOR_CRR]:[RECUPERO]],6,0)</f>
        <v>1678</v>
      </c>
      <c r="Q46" s="6">
        <f>VLOOKUP(DATA_MAYO_2026[[#This Row],[ASER_]],D1_MAYO_2026[[ASESOR_CRR]:[META]],2,0)</f>
        <v>12000</v>
      </c>
      <c r="R46" t="s">
        <v>37</v>
      </c>
      <c r="S46" s="3">
        <v>225</v>
      </c>
      <c r="T46">
        <v>353</v>
      </c>
      <c r="U46">
        <v>0</v>
      </c>
      <c r="V46">
        <v>400</v>
      </c>
      <c r="W46">
        <v>700</v>
      </c>
      <c r="X46" s="5">
        <v>0</v>
      </c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55"/>
      <c r="BW46" t="s">
        <v>639</v>
      </c>
      <c r="BX46" t="s">
        <v>346</v>
      </c>
      <c r="BY46" t="s">
        <v>125</v>
      </c>
      <c r="BZ46" t="s">
        <v>75</v>
      </c>
      <c r="CA46" s="56">
        <v>46178</v>
      </c>
      <c r="CB46">
        <v>1</v>
      </c>
      <c r="CC46">
        <v>1</v>
      </c>
      <c r="CE46">
        <v>1</v>
      </c>
      <c r="CG46" s="79">
        <v>4.5138888888888887E-4</v>
      </c>
      <c r="CH46" s="79">
        <v>4.5138888888888887E-4</v>
      </c>
      <c r="CI46" s="79">
        <v>0.1482175925925926</v>
      </c>
      <c r="CJ46" s="79">
        <v>5.1597222222222225E-2</v>
      </c>
      <c r="CK46">
        <v>36</v>
      </c>
      <c r="CL46">
        <v>67</v>
      </c>
      <c r="CM46">
        <v>4</v>
      </c>
      <c r="CN46">
        <v>1</v>
      </c>
      <c r="CO46">
        <v>24421</v>
      </c>
      <c r="CP46" s="1">
        <v>0.1111</v>
      </c>
      <c r="CR46" s="1"/>
      <c r="CW46" s="1"/>
      <c r="CX46" s="1"/>
      <c r="CY46">
        <v>100</v>
      </c>
      <c r="CZ46">
        <v>29500</v>
      </c>
      <c r="DA46" s="1"/>
      <c r="DB46">
        <v>3</v>
      </c>
      <c r="DC46" t="s">
        <v>159</v>
      </c>
    </row>
    <row r="47" spans="1:107" x14ac:dyDescent="0.25">
      <c r="A47" s="34" t="str" cm="1">
        <f t="array" ref="A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7" s="34" t="str" cm="1">
        <f t="array" ref="B4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ALEJANDRA QUISPE</v>
      </c>
      <c r="C47" s="34" cm="1">
        <f t="array" ref="C47">_xlfn.XLOOKUP(1,(TablaMeta[CONCAT]=$M$3&amp;$N$3&amp;D1_MAYO_2026[[#This Row],[SUPER]])*(TablaMeta[SEGG]=D1_MAYO_2026[[#This Row],[SEGMENTO]]),TablaMeta[Meta_Asesor])</f>
        <v>38500</v>
      </c>
      <c r="D47" s="35">
        <f>IF(D1_MAYO_2026[[#This Row],[RECUPERO]]="VACACIONES","VACACIONES",IFERROR(D1_MAYO_2026[[#This Row],[RECUPERO]]/D1_MAYO_2026[[#This Row],[META]],""))</f>
        <v>0.33194805194805194</v>
      </c>
      <c r="E47" s="35" t="str">
        <f>D1_MAYO_2026[[#This Row],[SUPER]]</f>
        <v>SANDY</v>
      </c>
      <c r="F47" t="s">
        <v>58</v>
      </c>
      <c r="G47" s="3">
        <v>12780</v>
      </c>
      <c r="H47" cm="1">
        <f t="array" ref="H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47" s="56" cm="1">
        <f t="array" ref="I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47" s="56" t="str" cm="1">
        <f t="array" ref="J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7" s="56"/>
      <c r="M47" s="5">
        <f>DATA_MAYO_2026[[#This Row],[RECUPERO]]/DATA_MAYO_2026[[#This Row],[META]]</f>
        <v>0.42623376623376624</v>
      </c>
      <c r="N47" s="54" t="str" cm="1">
        <f t="array" ref="N47">IF(DATA_MAYO_2026[[#This Row],[ASER_]]="","",IFERROR(_xlfn.IFS(M47&gt;=100%,"&gt;100%",AND(M47&lt;100%,M47&gt;=70%),"&gt;70%",AND(M47&lt;70%,M47&gt;=40%),"&gt;40%",AND(M47&lt;40%,M47&gt;=0%),"&gt;0%"),""))</f>
        <v>&gt;40%</v>
      </c>
      <c r="O47" s="55" t="str">
        <f>IFERROR(VLOOKUP(DATA_MAYO_2026[[#This Row],[ASER_]],$B:$G,4,0),"")</f>
        <v>SANDY</v>
      </c>
      <c r="P47" s="6">
        <f>VLOOKUP(DATA_MAYO_2026[[#This Row],[ASER_]],D1_MAYO_2026[[ASESOR_CRR]:[RECUPERO]],6,0)</f>
        <v>16410</v>
      </c>
      <c r="Q47" s="6">
        <f>VLOOKUP(DATA_MAYO_2026[[#This Row],[ASER_]],D1_MAYO_2026[[ASESOR_CRR]:[META]],2,0)</f>
        <v>38500</v>
      </c>
      <c r="R47" t="s">
        <v>42</v>
      </c>
      <c r="S47" s="3">
        <v>0</v>
      </c>
      <c r="T47">
        <v>15000</v>
      </c>
      <c r="U47">
        <v>0</v>
      </c>
      <c r="V47">
        <v>1000</v>
      </c>
      <c r="W47">
        <v>410</v>
      </c>
      <c r="X47" s="5">
        <v>0</v>
      </c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55"/>
      <c r="BW47" t="s">
        <v>639</v>
      </c>
      <c r="BX47" t="s">
        <v>346</v>
      </c>
      <c r="BY47" t="s">
        <v>2</v>
      </c>
      <c r="BZ47" t="s">
        <v>15</v>
      </c>
      <c r="CA47" s="56">
        <v>46175</v>
      </c>
      <c r="CB47">
        <v>1</v>
      </c>
      <c r="CC47">
        <v>1</v>
      </c>
      <c r="CE47">
        <v>1</v>
      </c>
      <c r="CG47" s="79">
        <v>2.3148148148148147E-5</v>
      </c>
      <c r="CH47" s="79">
        <v>2.3148148148148147E-5</v>
      </c>
      <c r="CI47" s="79">
        <v>0.14059027777777777</v>
      </c>
      <c r="CJ47" s="79">
        <v>0.16702546296296297</v>
      </c>
      <c r="CK47">
        <v>64</v>
      </c>
      <c r="CL47">
        <v>91</v>
      </c>
      <c r="CM47">
        <v>32</v>
      </c>
      <c r="CN47">
        <v>1.6875</v>
      </c>
      <c r="CO47">
        <v>21979</v>
      </c>
      <c r="CP47" s="1">
        <v>0.5</v>
      </c>
      <c r="CQ47">
        <v>14</v>
      </c>
      <c r="CR47" s="1">
        <v>0.4375</v>
      </c>
      <c r="CS47">
        <v>9695</v>
      </c>
      <c r="CT47">
        <v>693</v>
      </c>
      <c r="CW47" s="1"/>
      <c r="CX47" s="1"/>
      <c r="CY47">
        <v>62</v>
      </c>
      <c r="CZ47">
        <v>67500</v>
      </c>
      <c r="DA47" s="1"/>
      <c r="DB47">
        <v>4</v>
      </c>
      <c r="DC47" t="s">
        <v>158</v>
      </c>
    </row>
    <row r="48" spans="1:107" x14ac:dyDescent="0.25">
      <c r="A48" s="34" t="str" cm="1">
        <f t="array" ref="A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8" s="34" t="str" cm="1">
        <f t="array" ref="B4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GIANNINA AGUILAR</v>
      </c>
      <c r="C48" s="34" cm="1">
        <f t="array" ref="C48">_xlfn.XLOOKUP(1,(TablaMeta[CONCAT]=$M$3&amp;$N$3&amp;D1_MAYO_2026[[#This Row],[SUPER]])*(TablaMeta[SEGG]=D1_MAYO_2026[[#This Row],[SEGMENTO]]),TablaMeta[Meta_Asesor])</f>
        <v>38500</v>
      </c>
      <c r="D48" s="35">
        <f>IF(D1_MAYO_2026[[#This Row],[RECUPERO]]="VACACIONES","VACACIONES",IFERROR(D1_MAYO_2026[[#This Row],[RECUPERO]]/D1_MAYO_2026[[#This Row],[META]],""))</f>
        <v>0.20779220779220781</v>
      </c>
      <c r="E48" s="35" t="str">
        <f>D1_MAYO_2026[[#This Row],[SUPER]]</f>
        <v>SANDY</v>
      </c>
      <c r="F48" t="s">
        <v>32</v>
      </c>
      <c r="G48" s="3">
        <v>8000</v>
      </c>
      <c r="H48" cm="1">
        <f t="array" ref="H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48" s="56" cm="1">
        <f t="array" ref="I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48" s="56" t="str" cm="1">
        <f t="array" ref="J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8" s="56"/>
      <c r="M48" s="5">
        <f>DATA_MAYO_2026[[#This Row],[RECUPERO]]/DATA_MAYO_2026[[#This Row],[META]]</f>
        <v>0.33194805194805194</v>
      </c>
      <c r="N48" s="54" t="str" cm="1">
        <f t="array" ref="N48">IF(DATA_MAYO_2026[[#This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IFERROR(VLOOKUP(DATA_MAYO_2026[[#This Row],[ASER_]],$B:$G,4,0),"")</f>
        <v>SANDY</v>
      </c>
      <c r="P48" s="6">
        <f>VLOOKUP(DATA_MAYO_2026[[#This Row],[ASER_]],D1_MAYO_2026[[ASESOR_CRR]:[RECUPERO]],6,0)</f>
        <v>12780</v>
      </c>
      <c r="Q48" s="6">
        <f>VLOOKUP(DATA_MAYO_2026[[#This Row],[ASER_]],D1_MAYO_2026[[ASESOR_CRR]:[META]],2,0)</f>
        <v>38500</v>
      </c>
      <c r="R48" t="s">
        <v>58</v>
      </c>
      <c r="S48" s="3">
        <v>250</v>
      </c>
      <c r="T48">
        <v>8780</v>
      </c>
      <c r="U48">
        <v>250</v>
      </c>
      <c r="V48">
        <v>0</v>
      </c>
      <c r="W48">
        <v>1800</v>
      </c>
      <c r="X48" s="5">
        <v>1700</v>
      </c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55"/>
      <c r="BW48" t="s">
        <v>639</v>
      </c>
      <c r="BX48" t="s">
        <v>346</v>
      </c>
      <c r="BY48" t="s">
        <v>2</v>
      </c>
      <c r="BZ48" t="s">
        <v>15</v>
      </c>
      <c r="CA48" s="56">
        <v>46176</v>
      </c>
      <c r="CB48">
        <v>1</v>
      </c>
      <c r="CC48">
        <v>1</v>
      </c>
      <c r="CE48">
        <v>1</v>
      </c>
      <c r="CG48" s="79">
        <v>8.1018518518518516E-5</v>
      </c>
      <c r="CH48" s="79">
        <v>8.1018518518518516E-5</v>
      </c>
      <c r="CI48" s="79">
        <v>0.2464699074074074</v>
      </c>
      <c r="CJ48" s="79">
        <v>0.14582175925925925</v>
      </c>
      <c r="CK48">
        <v>75</v>
      </c>
      <c r="CL48">
        <v>101</v>
      </c>
      <c r="CM48">
        <v>17</v>
      </c>
      <c r="CN48">
        <v>1.588235294</v>
      </c>
      <c r="CO48">
        <v>35100</v>
      </c>
      <c r="CP48" s="1">
        <v>0.22670000000000001</v>
      </c>
      <c r="CR48" s="1"/>
      <c r="CW48" s="1"/>
      <c r="CX48" s="1"/>
      <c r="CY48">
        <v>66</v>
      </c>
      <c r="CZ48">
        <v>67500</v>
      </c>
      <c r="DA48" s="1"/>
      <c r="DB48">
        <v>5</v>
      </c>
      <c r="DC48" t="s">
        <v>209</v>
      </c>
    </row>
    <row r="49" spans="1:107" x14ac:dyDescent="0.25">
      <c r="A49" s="34" t="str" cm="1">
        <f t="array" ref="A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9" s="34" t="str" cm="1">
        <f t="array" ref="B4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ANTHONY VICENTE</v>
      </c>
      <c r="C49" s="34" cm="1">
        <f t="array" ref="C49">_xlfn.XLOOKUP(1,(TablaMeta[CONCAT]=$M$3&amp;$N$3&amp;D1_MAYO_2026[[#This Row],[SUPER]])*(TablaMeta[SEGG]=D1_MAYO_2026[[#This Row],[SEGMENTO]]),TablaMeta[Meta_Asesor])</f>
        <v>38500</v>
      </c>
      <c r="D49" s="35">
        <f>IF(D1_MAYO_2026[[#This Row],[RECUPERO]]="VACACIONES","VACACIONES",IFERROR(D1_MAYO_2026[[#This Row],[RECUPERO]]/D1_MAYO_2026[[#This Row],[META]],""))</f>
        <v>0.20037402597402595</v>
      </c>
      <c r="E49" s="35" t="str">
        <f>D1_MAYO_2026[[#This Row],[SUPER]]</f>
        <v>SANDY</v>
      </c>
      <c r="F49" t="s">
        <v>85</v>
      </c>
      <c r="G49" s="3">
        <v>7714.4</v>
      </c>
      <c r="H49" cm="1">
        <f t="array" ref="H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9" s="56" cm="1">
        <f t="array" ref="I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9" s="56" t="str" cm="1">
        <f t="array" ref="J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9" s="56"/>
      <c r="M49" s="5">
        <f>DATA_MAYO_2026[[#This Row],[RECUPERO]]/DATA_MAYO_2026[[#This Row],[META]]</f>
        <v>0.55142857142857138</v>
      </c>
      <c r="N49" s="54" t="str" cm="1">
        <f t="array" ref="N49">IF(DATA_MAYO_2026[[#This Row],[ASER_]]="","",IFERROR(_xlfn.IFS(M49&gt;=100%,"&gt;100%",AND(M49&lt;100%,M49&gt;=70%),"&gt;70%",AND(M49&lt;70%,M49&gt;=40%),"&gt;40%",AND(M49&lt;40%,M49&gt;=0%),"&gt;0%"),""))</f>
        <v>&gt;40%</v>
      </c>
      <c r="O49" s="55" t="str">
        <f>IFERROR(VLOOKUP(DATA_MAYO_2026[[#This Row],[ASER_]],$B:$G,4,0),"")</f>
        <v>SANDY</v>
      </c>
      <c r="P49" s="6">
        <f>VLOOKUP(DATA_MAYO_2026[[#This Row],[ASER_]],D1_MAYO_2026[[ASESOR_CRR]:[RECUPERO]],6,0)</f>
        <v>21230</v>
      </c>
      <c r="Q49" s="6">
        <f>VLOOKUP(DATA_MAYO_2026[[#This Row],[ASER_]],D1_MAYO_2026[[ASESOR_CRR]:[META]],2,0)</f>
        <v>38500</v>
      </c>
      <c r="R49" t="s">
        <v>493</v>
      </c>
      <c r="S49">
        <v>0</v>
      </c>
      <c r="T49">
        <v>1730</v>
      </c>
      <c r="U49">
        <v>5680</v>
      </c>
      <c r="V49">
        <v>400</v>
      </c>
      <c r="W49">
        <v>8720</v>
      </c>
      <c r="X49" s="5">
        <v>4700</v>
      </c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55"/>
      <c r="BW49" t="s">
        <v>639</v>
      </c>
      <c r="BX49" t="s">
        <v>346</v>
      </c>
      <c r="BY49" t="s">
        <v>2</v>
      </c>
      <c r="BZ49" t="s">
        <v>15</v>
      </c>
      <c r="CA49" s="56">
        <v>46177</v>
      </c>
      <c r="CB49">
        <v>1</v>
      </c>
      <c r="CC49">
        <v>1</v>
      </c>
      <c r="CE49">
        <v>1</v>
      </c>
      <c r="CG49" s="79">
        <v>4.6296296296296294E-5</v>
      </c>
      <c r="CH49" s="79">
        <v>4.6296296296296294E-5</v>
      </c>
      <c r="CI49" s="79">
        <v>0.22971064814814815</v>
      </c>
      <c r="CJ49" s="79">
        <v>0.10355324074074074</v>
      </c>
      <c r="CK49">
        <v>81</v>
      </c>
      <c r="CL49">
        <v>111</v>
      </c>
      <c r="CM49">
        <v>24</v>
      </c>
      <c r="CN49">
        <v>1.6666666670000001</v>
      </c>
      <c r="CO49">
        <v>32376</v>
      </c>
      <c r="CP49" s="1">
        <v>0.29630000000000001</v>
      </c>
      <c r="CR49" s="1"/>
      <c r="CW49" s="1"/>
      <c r="CX49" s="1"/>
      <c r="CY49">
        <v>92</v>
      </c>
      <c r="CZ49">
        <v>67500</v>
      </c>
      <c r="DA49" s="1"/>
      <c r="DB49">
        <v>1</v>
      </c>
      <c r="DC49" t="s">
        <v>159</v>
      </c>
    </row>
    <row r="50" spans="1:107" x14ac:dyDescent="0.25">
      <c r="A50" s="34" t="str" cm="1">
        <f t="array" ref="A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0" s="34" t="str" cm="1">
        <f t="array" ref="B5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EVELY TENORIO</v>
      </c>
      <c r="C50" s="34" cm="1">
        <f t="array" ref="C50">_xlfn.XLOOKUP(1,(TablaMeta[CONCAT]=$M$3&amp;$N$3&amp;D1_MAYO_2026[[#This Row],[SUPER]])*(TablaMeta[SEGG]=D1_MAYO_2026[[#This Row],[SEGMENTO]]),TablaMeta[Meta_Asesor])</f>
        <v>38500</v>
      </c>
      <c r="D50" s="35">
        <f>IF(D1_MAYO_2026[[#This Row],[RECUPERO]]="VACACIONES","VACACIONES",IFERROR(D1_MAYO_2026[[#This Row],[RECUPERO]]/D1_MAYO_2026[[#This Row],[META]],""))</f>
        <v>4.4155844155844157E-2</v>
      </c>
      <c r="E50" s="35" t="str">
        <f>D1_MAYO_2026[[#This Row],[SUPER]]</f>
        <v>SANDY</v>
      </c>
      <c r="F50" t="s">
        <v>22</v>
      </c>
      <c r="G50" s="3">
        <v>1700</v>
      </c>
      <c r="H50" cm="1">
        <f t="array" ref="H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0" s="56"/>
      <c r="M50" s="5">
        <f>DATA_MAYO_2026[[#This Row],[RECUPERO]]/DATA_MAYO_2026[[#This Row],[META]]</f>
        <v>0.20037402597402595</v>
      </c>
      <c r="N50" s="54" t="str" cm="1">
        <f t="array" ref="N50">IF(DATA_MAYO_2026[[#This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IFERROR(VLOOKUP(DATA_MAYO_2026[[#This Row],[ASER_]],$B:$G,4,0),"")</f>
        <v>SANDY</v>
      </c>
      <c r="P50" s="6">
        <f>VLOOKUP(DATA_MAYO_2026[[#This Row],[ASER_]],D1_MAYO_2026[[ASESOR_CRR]:[RECUPERO]],6,0)</f>
        <v>7714.4</v>
      </c>
      <c r="Q50" s="6">
        <f>VLOOKUP(DATA_MAYO_2026[[#This Row],[ASER_]],D1_MAYO_2026[[ASESOR_CRR]:[META]],2,0)</f>
        <v>38500</v>
      </c>
      <c r="R50" t="s">
        <v>85</v>
      </c>
      <c r="S50">
        <v>5195</v>
      </c>
      <c r="T50">
        <v>1006</v>
      </c>
      <c r="U50">
        <v>633.4</v>
      </c>
      <c r="V50">
        <v>0</v>
      </c>
      <c r="W50">
        <v>880</v>
      </c>
      <c r="X50" s="5">
        <v>0</v>
      </c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55"/>
      <c r="BW50" t="s">
        <v>639</v>
      </c>
      <c r="BX50" t="s">
        <v>346</v>
      </c>
      <c r="BY50" t="s">
        <v>2</v>
      </c>
      <c r="BZ50" t="s">
        <v>15</v>
      </c>
      <c r="CA50" s="56">
        <v>46178</v>
      </c>
      <c r="CB50">
        <v>1</v>
      </c>
      <c r="CC50">
        <v>1</v>
      </c>
      <c r="CE50">
        <v>1</v>
      </c>
      <c r="CG50" s="79">
        <v>3.4722222222222222E-5</v>
      </c>
      <c r="CH50" s="79">
        <v>3.4722222222222222E-5</v>
      </c>
      <c r="CI50" s="79">
        <v>0.1542361111111111</v>
      </c>
      <c r="CJ50" s="79">
        <v>1.0543981481481482E-2</v>
      </c>
      <c r="CK50">
        <v>29</v>
      </c>
      <c r="CL50">
        <v>34</v>
      </c>
      <c r="CM50">
        <v>7</v>
      </c>
      <c r="CN50">
        <v>1.1428571430000001</v>
      </c>
      <c r="CO50">
        <v>38060</v>
      </c>
      <c r="CP50" s="1">
        <v>0.2414</v>
      </c>
      <c r="CR50" s="1"/>
      <c r="CW50" s="1"/>
      <c r="CX50" s="1"/>
      <c r="CY50">
        <v>92</v>
      </c>
      <c r="CZ50">
        <v>67500</v>
      </c>
      <c r="DA50" s="1"/>
      <c r="DB50">
        <v>2</v>
      </c>
      <c r="DC50" t="s">
        <v>158</v>
      </c>
    </row>
    <row r="51" spans="1:107" x14ac:dyDescent="0.25">
      <c r="A51" s="34" t="str" cm="1">
        <f t="array" ref="A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1" s="34" t="str" cm="1">
        <f t="array" ref="B5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JESSICA MELGAREJO</v>
      </c>
      <c r="C51" s="34" cm="1">
        <f t="array" ref="C51">_xlfn.XLOOKUP(1,(TablaMeta[CONCAT]=$M$3&amp;$N$3&amp;D1_MAYO_2026[[#This Row],[SUPER]])*(TablaMeta[SEGG]=D1_MAYO_2026[[#This Row],[SEGMENTO]]),TablaMeta[Meta_Asesor])</f>
        <v>38500</v>
      </c>
      <c r="D51" s="35">
        <f>IF(D1_MAYO_2026[[#This Row],[RECUPERO]]="VACACIONES","VACACIONES",IFERROR(D1_MAYO_2026[[#This Row],[RECUPERO]]/D1_MAYO_2026[[#This Row],[META]],""))</f>
        <v>3.0129870129870132E-2</v>
      </c>
      <c r="E51" s="35" t="str">
        <f>D1_MAYO_2026[[#This Row],[SUPER]]</f>
        <v>SANDY</v>
      </c>
      <c r="F51" t="s">
        <v>96</v>
      </c>
      <c r="G51" s="3">
        <v>1160</v>
      </c>
      <c r="H51" cm="1">
        <f t="array" ref="H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51" s="56" cm="1">
        <f t="array" ref="I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51" s="56" t="str" cm="1">
        <f t="array" ref="J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1" s="56"/>
      <c r="M51" s="5">
        <f>DATA_MAYO_2026[[#This Row],[RECUPERO]]/DATA_MAYO_2026[[#This Row],[META]]</f>
        <v>4.4155844155844157E-2</v>
      </c>
      <c r="N51" s="54" t="str" cm="1">
        <f t="array" ref="N51">IF(DATA_MAYO_2026[[#This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IFERROR(VLOOKUP(DATA_MAYO_2026[[#This Row],[ASER_]],$B:$G,4,0),"")</f>
        <v>SANDY</v>
      </c>
      <c r="P51" s="6">
        <f>VLOOKUP(DATA_MAYO_2026[[#This Row],[ASER_]],D1_MAYO_2026[[ASESOR_CRR]:[RECUPERO]],6,0)</f>
        <v>1700</v>
      </c>
      <c r="Q51" s="6">
        <f>VLOOKUP(DATA_MAYO_2026[[#This Row],[ASER_]],D1_MAYO_2026[[ASESOR_CRR]:[META]],2,0)</f>
        <v>38500</v>
      </c>
      <c r="R51" t="s">
        <v>22</v>
      </c>
      <c r="S51">
        <v>1400</v>
      </c>
      <c r="T51">
        <v>0</v>
      </c>
      <c r="U51">
        <v>0</v>
      </c>
      <c r="V51">
        <v>0</v>
      </c>
      <c r="W51">
        <v>100</v>
      </c>
      <c r="X51" s="5">
        <v>200</v>
      </c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55"/>
      <c r="BW51" t="s">
        <v>639</v>
      </c>
      <c r="BX51" t="s">
        <v>346</v>
      </c>
      <c r="BY51" t="s">
        <v>2</v>
      </c>
      <c r="BZ51" t="s">
        <v>24</v>
      </c>
      <c r="CA51" s="56">
        <v>46175</v>
      </c>
      <c r="CB51">
        <v>1</v>
      </c>
      <c r="CC51">
        <v>1</v>
      </c>
      <c r="CE51">
        <v>1</v>
      </c>
      <c r="CG51" s="79">
        <v>1.3888888888888889E-4</v>
      </c>
      <c r="CH51" s="79">
        <v>1.3888888888888889E-4</v>
      </c>
      <c r="CI51" s="79">
        <v>0.17958333333333334</v>
      </c>
      <c r="CJ51" s="79">
        <v>0.13045138888888888</v>
      </c>
      <c r="CK51">
        <v>54</v>
      </c>
      <c r="CL51">
        <v>122</v>
      </c>
      <c r="CM51">
        <v>25</v>
      </c>
      <c r="CN51">
        <v>2.12</v>
      </c>
      <c r="CO51">
        <v>27239</v>
      </c>
      <c r="CP51" s="1">
        <v>0.46300000000000002</v>
      </c>
      <c r="CQ51">
        <v>2</v>
      </c>
      <c r="CR51" s="1">
        <v>0.08</v>
      </c>
      <c r="CS51">
        <v>2360</v>
      </c>
      <c r="CT51">
        <v>1180</v>
      </c>
      <c r="CU51">
        <v>100</v>
      </c>
      <c r="CV51">
        <v>100</v>
      </c>
      <c r="CW51" s="1">
        <v>4.24E-2</v>
      </c>
      <c r="CX51" s="1">
        <v>1.6199999999999999E-2</v>
      </c>
      <c r="CY51">
        <v>50</v>
      </c>
      <c r="CZ51">
        <v>67500</v>
      </c>
      <c r="DA51" s="1">
        <v>1.5E-3</v>
      </c>
      <c r="DB51">
        <v>3</v>
      </c>
      <c r="DC51" t="s">
        <v>209</v>
      </c>
    </row>
    <row r="52" spans="1:107" x14ac:dyDescent="0.25">
      <c r="A52" s="34" t="str" cm="1">
        <f t="array" ref="A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2" s="34" t="str" cm="1">
        <f t="array" ref="B5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ANALUCIA PONCE</v>
      </c>
      <c r="C52" s="34" cm="1">
        <f t="array" ref="C52">_xlfn.XLOOKUP(1,(TablaMeta[CONCAT]=$M$3&amp;$N$3&amp;D1_MAYO_2026[[#This Row],[SUPER]])*(TablaMeta[SEGG]=D1_MAYO_2026[[#This Row],[SEGMENTO]]),TablaMeta[Meta_Asesor])</f>
        <v>72000</v>
      </c>
      <c r="D52" s="35">
        <f>IF(D1_MAYO_2026[[#This Row],[RECUPERO]]="VACACIONES","VACACIONES",IFERROR(D1_MAYO_2026[[#This Row],[RECUPERO]]/D1_MAYO_2026[[#This Row],[META]],""))</f>
        <v>0.18133333333333335</v>
      </c>
      <c r="E52" s="35" t="str">
        <f>D1_MAYO_2026[[#This Row],[SUPER]]</f>
        <v>SANDY</v>
      </c>
      <c r="F52" t="s">
        <v>60</v>
      </c>
      <c r="G52" s="3">
        <v>13056</v>
      </c>
      <c r="H52" cm="1">
        <f t="array" ref="H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2" s="56" cm="1">
        <f t="array" ref="I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2" s="56" t="str" cm="1">
        <f t="array" ref="J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52" s="56"/>
      <c r="M52" s="5">
        <f>DATA_MAYO_2026[[#This Row],[RECUPERO]]/DATA_MAYO_2026[[#This Row],[META]]</f>
        <v>3.0129870129870132E-2</v>
      </c>
      <c r="N52" s="54" t="str" cm="1">
        <f t="array" ref="N52">IF(DATA_MAYO_2026[[#This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IFERROR(VLOOKUP(DATA_MAYO_2026[[#This Row],[ASER_]],$B:$G,4,0),"")</f>
        <v>SANDY</v>
      </c>
      <c r="P52" s="6">
        <f>VLOOKUP(DATA_MAYO_2026[[#This Row],[ASER_]],D1_MAYO_2026[[ASESOR_CRR]:[RECUPERO]],6,0)</f>
        <v>1160</v>
      </c>
      <c r="Q52" s="6">
        <f>VLOOKUP(DATA_MAYO_2026[[#This Row],[ASER_]],D1_MAYO_2026[[ASESOR_CRR]:[META]],2,0)</f>
        <v>38500</v>
      </c>
      <c r="R52" t="s">
        <v>96</v>
      </c>
      <c r="S52">
        <v>0</v>
      </c>
      <c r="T52">
        <v>0</v>
      </c>
      <c r="U52">
        <v>460</v>
      </c>
      <c r="V52">
        <v>400</v>
      </c>
      <c r="W52">
        <v>300</v>
      </c>
      <c r="X52" s="5">
        <v>0</v>
      </c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55"/>
      <c r="BW52" t="s">
        <v>639</v>
      </c>
      <c r="BX52" t="s">
        <v>346</v>
      </c>
      <c r="BY52" t="s">
        <v>2</v>
      </c>
      <c r="BZ52" t="s">
        <v>13</v>
      </c>
      <c r="CA52" s="56">
        <v>46174</v>
      </c>
      <c r="CB52">
        <v>1</v>
      </c>
      <c r="CC52">
        <v>1</v>
      </c>
      <c r="CE52">
        <v>1</v>
      </c>
      <c r="CG52" s="79">
        <v>1.273148148148148E-4</v>
      </c>
      <c r="CH52" s="79">
        <v>1.273148148148148E-4</v>
      </c>
      <c r="CI52" s="79">
        <v>0.24517361111111111</v>
      </c>
      <c r="CJ52" s="79">
        <v>6.9340277777777778E-2</v>
      </c>
      <c r="CK52">
        <v>133</v>
      </c>
      <c r="CL52">
        <v>238</v>
      </c>
      <c r="CM52">
        <v>36</v>
      </c>
      <c r="CN52">
        <v>1.8055555560000001</v>
      </c>
      <c r="CO52">
        <v>36294</v>
      </c>
      <c r="CP52" s="1">
        <v>0.2707</v>
      </c>
      <c r="CQ52">
        <v>11</v>
      </c>
      <c r="CR52" s="1">
        <v>0.30559999999999998</v>
      </c>
      <c r="CS52">
        <v>17002</v>
      </c>
      <c r="CT52">
        <v>1546</v>
      </c>
      <c r="CU52">
        <v>7700</v>
      </c>
      <c r="CV52">
        <v>3850</v>
      </c>
      <c r="CW52" s="1">
        <v>0.45290000000000002</v>
      </c>
      <c r="CX52" s="1">
        <v>0.2455</v>
      </c>
      <c r="CY52">
        <v>88</v>
      </c>
      <c r="CZ52">
        <v>67500</v>
      </c>
      <c r="DA52" s="1">
        <v>0.11409999999999999</v>
      </c>
      <c r="DB52">
        <v>4</v>
      </c>
      <c r="DC52" t="s">
        <v>159</v>
      </c>
    </row>
    <row r="53" spans="1:107" x14ac:dyDescent="0.25">
      <c r="A53" s="34" t="str" cm="1">
        <f t="array" ref="A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3" s="34" t="str" cm="1">
        <f t="array" ref="B5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PIERINA TESEN</v>
      </c>
      <c r="C53" s="34" cm="1">
        <f t="array" ref="C53">_xlfn.XLOOKUP(1,(TablaMeta[CONCAT]=$M$3&amp;$N$3&amp;D1_MAYO_2026[[#This Row],[SUPER]])*(TablaMeta[SEGG]=D1_MAYO_2026[[#This Row],[SEGMENTO]]),TablaMeta[Meta_Asesor])</f>
        <v>72000</v>
      </c>
      <c r="D53" s="35">
        <f>IF(D1_MAYO_2026[[#This Row],[RECUPERO]]="VACACIONES","VACACIONES",IFERROR(D1_MAYO_2026[[#This Row],[RECUPERO]]/D1_MAYO_2026[[#This Row],[META]],""))</f>
        <v>0.16319444444444445</v>
      </c>
      <c r="E53" s="35" t="str">
        <f>D1_MAYO_2026[[#This Row],[SUPER]]</f>
        <v>SANDY</v>
      </c>
      <c r="F53" t="s">
        <v>59</v>
      </c>
      <c r="G53" s="3">
        <v>11750</v>
      </c>
      <c r="H53" cm="1">
        <f t="array" ref="H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53" s="56" cm="1">
        <f t="array" ref="I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53" s="56" t="str" cm="1">
        <f t="array" ref="J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53" s="56"/>
      <c r="M53" s="5">
        <f>DATA_MAYO_2026[[#This Row],[RECUPERO]]/DATA_MAYO_2026[[#This Row],[META]]</f>
        <v>0.20779220779220781</v>
      </c>
      <c r="N53" s="54" t="str" cm="1">
        <f t="array" ref="N53">IF(DATA_MAYO_2026[[#This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IFERROR(VLOOKUP(DATA_MAYO_2026[[#This Row],[ASER_]],$B:$G,4,0),"")</f>
        <v>SANDY</v>
      </c>
      <c r="P53" s="6">
        <f>VLOOKUP(DATA_MAYO_2026[[#This Row],[ASER_]],D1_MAYO_2026[[ASESOR_CRR]:[RECUPERO]],6,0)</f>
        <v>8000</v>
      </c>
      <c r="Q53" s="6">
        <f>VLOOKUP(DATA_MAYO_2026[[#This Row],[ASER_]],D1_MAYO_2026[[ASESOR_CRR]:[META]],2,0)</f>
        <v>38500</v>
      </c>
      <c r="R53" t="s">
        <v>32</v>
      </c>
      <c r="S53">
        <v>0</v>
      </c>
      <c r="T53">
        <v>0</v>
      </c>
      <c r="U53">
        <v>0</v>
      </c>
      <c r="V53">
        <v>4000</v>
      </c>
      <c r="W53">
        <v>0</v>
      </c>
      <c r="X53" s="5">
        <v>4000</v>
      </c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55"/>
      <c r="BW53" t="s">
        <v>639</v>
      </c>
      <c r="BX53" t="s">
        <v>346</v>
      </c>
      <c r="BY53" t="s">
        <v>2</v>
      </c>
      <c r="BZ53" t="s">
        <v>13</v>
      </c>
      <c r="CA53" s="56">
        <v>46177</v>
      </c>
      <c r="CB53">
        <v>1</v>
      </c>
      <c r="CC53">
        <v>1</v>
      </c>
      <c r="CE53">
        <v>1</v>
      </c>
      <c r="CG53" s="79">
        <v>1.9675925925925926E-4</v>
      </c>
      <c r="CH53" s="79">
        <v>1.9675925925925926E-4</v>
      </c>
      <c r="CI53" s="79">
        <v>0.22636574074074073</v>
      </c>
      <c r="CJ53" s="79">
        <v>9.3599537037037037E-2</v>
      </c>
      <c r="CK53">
        <v>94</v>
      </c>
      <c r="CL53">
        <v>198</v>
      </c>
      <c r="CM53">
        <v>11</v>
      </c>
      <c r="CN53">
        <v>1.636363636</v>
      </c>
      <c r="CO53">
        <v>30213</v>
      </c>
      <c r="CP53" s="1">
        <v>0.11700000000000001</v>
      </c>
      <c r="CR53" s="1"/>
      <c r="CW53" s="1"/>
      <c r="CX53" s="1"/>
      <c r="CY53">
        <v>92</v>
      </c>
      <c r="CZ53">
        <v>67500</v>
      </c>
      <c r="DA53" s="1"/>
      <c r="DB53">
        <v>5</v>
      </c>
      <c r="DC53" t="s">
        <v>158</v>
      </c>
    </row>
    <row r="54" spans="1:107" x14ac:dyDescent="0.25">
      <c r="A54" s="34" t="str" cm="1">
        <f t="array" ref="A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4" s="34" t="str" cm="1">
        <f t="array" ref="B5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LUCERO JORDAN</v>
      </c>
      <c r="C54" s="34" cm="1">
        <f t="array" ref="C54">_xlfn.XLOOKUP(1,(TablaMeta[CONCAT]=$M$3&amp;$N$3&amp;D1_MAYO_2026[[#This Row],[SUPER]])*(TablaMeta[SEGG]=D1_MAYO_2026[[#This Row],[SEGMENTO]]),TablaMeta[Meta_Asesor])</f>
        <v>72000</v>
      </c>
      <c r="D54" s="35">
        <f>IF(D1_MAYO_2026[[#This Row],[RECUPERO]]="VACACIONES","VACACIONES",IFERROR(D1_MAYO_2026[[#This Row],[RECUPERO]]/D1_MAYO_2026[[#This Row],[META]],""))</f>
        <v>4.8888888888888891E-2</v>
      </c>
      <c r="E54" s="35" t="str">
        <f>D1_MAYO_2026[[#This Row],[SUPER]]</f>
        <v>SANDY</v>
      </c>
      <c r="F54" t="s">
        <v>68</v>
      </c>
      <c r="G54" s="3">
        <v>3520</v>
      </c>
      <c r="H54" cm="1">
        <f t="array" ref="H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54" s="56" cm="1">
        <f t="array" ref="I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54" s="56" t="str" cm="1">
        <f t="array" ref="J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M54" s="5">
        <f>DATA_MAYO_2026[[#This Row],[RECUPERO]]/DATA_MAYO_2026[[#This Row],[META]]</f>
        <v>0.18133333333333335</v>
      </c>
      <c r="N54" s="54" t="str" cm="1">
        <f t="array" ref="N54">IF(DATA_MAYO_2026[[#This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IFERROR(VLOOKUP(DATA_MAYO_2026[[#This Row],[ASER_]],$B:$G,4,0),"")</f>
        <v>SANDY</v>
      </c>
      <c r="P54" s="6">
        <f>VLOOKUP(DATA_MAYO_2026[[#This Row],[ASER_]],D1_MAYO_2026[[ASESOR_CRR]:[RECUPERO]],6,0)</f>
        <v>13056</v>
      </c>
      <c r="Q54" s="6">
        <f>VLOOKUP(DATA_MAYO_2026[[#This Row],[ASER_]],D1_MAYO_2026[[ASESOR_CRR]:[META]],2,0)</f>
        <v>72000</v>
      </c>
      <c r="R54" t="s">
        <v>60</v>
      </c>
      <c r="S54">
        <v>800</v>
      </c>
      <c r="T54">
        <v>11256</v>
      </c>
      <c r="U54">
        <v>0</v>
      </c>
      <c r="V54">
        <v>0</v>
      </c>
      <c r="W54">
        <v>0</v>
      </c>
      <c r="X54" s="5">
        <v>1000</v>
      </c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55"/>
      <c r="BW54" t="s">
        <v>639</v>
      </c>
      <c r="BX54" t="s">
        <v>346</v>
      </c>
      <c r="BY54" t="s">
        <v>2</v>
      </c>
      <c r="BZ54" t="s">
        <v>65</v>
      </c>
      <c r="CA54" s="56">
        <v>46174</v>
      </c>
      <c r="CB54">
        <v>1</v>
      </c>
      <c r="CC54">
        <v>1</v>
      </c>
      <c r="CE54">
        <v>1</v>
      </c>
      <c r="CG54" s="79">
        <v>9.2592592592592588E-5</v>
      </c>
      <c r="CH54" s="79">
        <v>9.2592592592592588E-5</v>
      </c>
      <c r="CI54" s="79">
        <v>0.28506944444444443</v>
      </c>
      <c r="CJ54" s="79">
        <v>3.9884259259259258E-2</v>
      </c>
      <c r="CK54">
        <v>26</v>
      </c>
      <c r="CL54">
        <v>41</v>
      </c>
      <c r="CM54">
        <v>19</v>
      </c>
      <c r="CN54">
        <v>1.6315789469999999</v>
      </c>
      <c r="CO54">
        <v>26771</v>
      </c>
      <c r="CP54" s="1">
        <v>0.73080000000000001</v>
      </c>
      <c r="CQ54">
        <v>9</v>
      </c>
      <c r="CR54" s="1">
        <v>0.47370000000000001</v>
      </c>
      <c r="CS54">
        <v>4409</v>
      </c>
      <c r="CT54">
        <v>490</v>
      </c>
      <c r="CU54">
        <v>1105</v>
      </c>
      <c r="CV54">
        <v>1105</v>
      </c>
      <c r="CW54" s="1">
        <v>0.25059999999999999</v>
      </c>
      <c r="CX54" s="1"/>
      <c r="CY54">
        <v>82</v>
      </c>
      <c r="CZ54">
        <v>67500</v>
      </c>
      <c r="DA54" s="1">
        <v>1.6400000000000001E-2</v>
      </c>
      <c r="DB54">
        <v>1</v>
      </c>
      <c r="DC54" t="s">
        <v>209</v>
      </c>
    </row>
    <row r="55" spans="1:107" x14ac:dyDescent="0.25">
      <c r="A55" s="34" t="str" cm="1">
        <f t="array" ref="A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5" s="34" t="str" cm="1">
        <f t="array" ref="B5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NATALIA MARIN</v>
      </c>
      <c r="C55" s="34" cm="1">
        <f t="array" ref="C55">_xlfn.XLOOKUP(1,(TablaMeta[CONCAT]=$M$3&amp;$N$3&amp;D1_MAYO_2026[[#This Row],[SUPER]])*(TablaMeta[SEGG]=D1_MAYO_2026[[#This Row],[SEGMENTO]]),TablaMeta[Meta_Asesor])</f>
        <v>72000</v>
      </c>
      <c r="D55" s="35">
        <f>IF(D1_MAYO_2026[[#This Row],[RECUPERO]]="VACACIONES","VACACIONES",IFERROR(D1_MAYO_2026[[#This Row],[RECUPERO]]/D1_MAYO_2026[[#This Row],[META]],""))</f>
        <v>1.3888888888888888E-2</v>
      </c>
      <c r="E55" s="35" t="str">
        <f>D1_MAYO_2026[[#This Row],[SUPER]]</f>
        <v>SANDY</v>
      </c>
      <c r="F55" t="s">
        <v>79</v>
      </c>
      <c r="G55" s="3">
        <v>1000</v>
      </c>
      <c r="H55" cm="1">
        <f t="array" ref="H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55" s="56" cm="1">
        <f t="array" ref="I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55" s="56" t="str" cm="1">
        <f t="array" ref="J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M55" s="5">
        <f>DATA_MAYO_2026[[#This Row],[RECUPERO]]/DATA_MAYO_2026[[#This Row],[META]]</f>
        <v>0.16319444444444445</v>
      </c>
      <c r="N55" s="54" t="str" cm="1">
        <f t="array" ref="N55">IF(DATA_MAYO_2026[[#This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IFERROR(VLOOKUP(DATA_MAYO_2026[[#This Row],[ASER_]],$B:$G,4,0),"")</f>
        <v>SANDY</v>
      </c>
      <c r="P55" s="6">
        <f>VLOOKUP(DATA_MAYO_2026[[#This Row],[ASER_]],D1_MAYO_2026[[ASESOR_CRR]:[RECUPERO]],6,0)</f>
        <v>11750</v>
      </c>
      <c r="Q55" s="6">
        <f>VLOOKUP(DATA_MAYO_2026[[#This Row],[ASER_]],D1_MAYO_2026[[ASESOR_CRR]:[META]],2,0)</f>
        <v>72000</v>
      </c>
      <c r="R55" t="s">
        <v>59</v>
      </c>
      <c r="S55">
        <v>0</v>
      </c>
      <c r="T55">
        <v>3550</v>
      </c>
      <c r="U55">
        <v>3000</v>
      </c>
      <c r="V55">
        <v>2700</v>
      </c>
      <c r="W55">
        <v>1500</v>
      </c>
      <c r="X55" s="5">
        <v>1000</v>
      </c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55"/>
      <c r="BW55" t="s">
        <v>639</v>
      </c>
      <c r="BX55" t="s">
        <v>346</v>
      </c>
      <c r="BY55" t="s">
        <v>2</v>
      </c>
      <c r="BZ55" t="s">
        <v>65</v>
      </c>
      <c r="CA55" s="56">
        <v>46175</v>
      </c>
      <c r="CB55">
        <v>1</v>
      </c>
      <c r="CC55">
        <v>1</v>
      </c>
      <c r="CE55">
        <v>1</v>
      </c>
      <c r="CG55" s="79">
        <v>2.199074074074074E-4</v>
      </c>
      <c r="CH55" s="79">
        <v>2.199074074074074E-4</v>
      </c>
      <c r="CI55" s="79">
        <v>0.18406249999999999</v>
      </c>
      <c r="CJ55" s="79">
        <v>0.12263888888888889</v>
      </c>
      <c r="CK55">
        <v>29</v>
      </c>
      <c r="CL55">
        <v>51</v>
      </c>
      <c r="CM55">
        <v>18</v>
      </c>
      <c r="CN55">
        <v>1.111111111</v>
      </c>
      <c r="CO55">
        <v>25433</v>
      </c>
      <c r="CP55" s="1">
        <v>0.62070000000000003</v>
      </c>
      <c r="CQ55">
        <v>14</v>
      </c>
      <c r="CR55" s="1">
        <v>0.77780000000000005</v>
      </c>
      <c r="CS55">
        <v>11109</v>
      </c>
      <c r="CT55">
        <v>794</v>
      </c>
      <c r="CU55">
        <v>1176</v>
      </c>
      <c r="CV55">
        <v>588</v>
      </c>
      <c r="CW55" s="1">
        <v>0.10589999999999999</v>
      </c>
      <c r="CX55" s="1"/>
      <c r="CY55">
        <v>74</v>
      </c>
      <c r="CZ55">
        <v>67500</v>
      </c>
      <c r="DA55" s="1">
        <v>1.7399999999999999E-2</v>
      </c>
      <c r="DB55">
        <v>2</v>
      </c>
      <c r="DC55" t="s">
        <v>159</v>
      </c>
    </row>
    <row r="56" spans="1:107" x14ac:dyDescent="0.25">
      <c r="H56"/>
      <c r="M56" s="5">
        <f>DATA_MAYO_2026[[#This Row],[RECUPERO]]/DATA_MAYO_2026[[#This Row],[META]]</f>
        <v>1.3888888888888888E-2</v>
      </c>
      <c r="N56" s="54" t="str" cm="1">
        <f t="array" ref="N56">IF(DATA_MAYO_2026[[#This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IFERROR(VLOOKUP(DATA_MAYO_2026[[#This Row],[ASER_]],$B:$G,4,0),"")</f>
        <v>SANDY</v>
      </c>
      <c r="P56" s="6">
        <f>VLOOKUP(DATA_MAYO_2026[[#This Row],[ASER_]],D1_MAYO_2026[[ASESOR_CRR]:[RECUPERO]],6,0)</f>
        <v>1000</v>
      </c>
      <c r="Q56" s="6">
        <f>VLOOKUP(DATA_MAYO_2026[[#This Row],[ASER_]],D1_MAYO_2026[[ASESOR_CRR]:[META]],2,0)</f>
        <v>72000</v>
      </c>
      <c r="R56" t="s">
        <v>79</v>
      </c>
      <c r="S56">
        <v>0</v>
      </c>
      <c r="T56">
        <v>1000</v>
      </c>
      <c r="U56">
        <v>0</v>
      </c>
      <c r="V56">
        <v>0</v>
      </c>
      <c r="W56">
        <v>0</v>
      </c>
      <c r="X56" s="5">
        <v>0</v>
      </c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55"/>
      <c r="BW56" t="s">
        <v>639</v>
      </c>
      <c r="BX56" t="s">
        <v>346</v>
      </c>
      <c r="BY56" t="s">
        <v>2</v>
      </c>
      <c r="BZ56" t="s">
        <v>65</v>
      </c>
      <c r="CA56" s="56">
        <v>46176</v>
      </c>
      <c r="CB56">
        <v>1</v>
      </c>
      <c r="CC56">
        <v>1</v>
      </c>
      <c r="CE56">
        <v>1</v>
      </c>
      <c r="CG56" s="79">
        <v>1.8518518518518518E-4</v>
      </c>
      <c r="CH56" s="79">
        <v>1.8518518518518518E-4</v>
      </c>
      <c r="CI56" s="79">
        <v>0.32185185185185183</v>
      </c>
      <c r="CJ56" s="79">
        <v>7.6006944444444446E-2</v>
      </c>
      <c r="CK56">
        <v>50</v>
      </c>
      <c r="CL56">
        <v>106</v>
      </c>
      <c r="CM56">
        <v>11</v>
      </c>
      <c r="CN56">
        <v>1.5454545449999999</v>
      </c>
      <c r="CO56">
        <v>28774</v>
      </c>
      <c r="CP56" s="1">
        <v>0.22</v>
      </c>
      <c r="CQ56">
        <v>1</v>
      </c>
      <c r="CR56" s="1">
        <v>9.0899999999999995E-2</v>
      </c>
      <c r="CS56">
        <v>370</v>
      </c>
      <c r="CT56">
        <v>370</v>
      </c>
      <c r="CW56" s="1"/>
      <c r="CX56" s="1"/>
      <c r="CY56">
        <v>80</v>
      </c>
      <c r="CZ56">
        <v>67500</v>
      </c>
      <c r="DA56" s="1"/>
      <c r="DB56">
        <v>3</v>
      </c>
      <c r="DC56" t="s">
        <v>158</v>
      </c>
    </row>
    <row r="57" spans="1:107" x14ac:dyDescent="0.25">
      <c r="H57"/>
      <c r="M57" s="5">
        <f>DATA_MAYO_2026[[#This Row],[RECUPERO]]/DATA_MAYO_2026[[#This Row],[META]]</f>
        <v>4.8888888888888891E-2</v>
      </c>
      <c r="N57" s="54" t="str" cm="1">
        <f t="array" ref="N57">IF(DATA_MAYO_2026[[#This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IFERROR(VLOOKUP(DATA_MAYO_2026[[#This Row],[ASER_]],$B:$G,4,0),"")</f>
        <v>SANDY</v>
      </c>
      <c r="P57" s="6">
        <f>VLOOKUP(DATA_MAYO_2026[[#This Row],[ASER_]],D1_MAYO_2026[[ASESOR_CRR]:[RECUPERO]],6,0)</f>
        <v>3520</v>
      </c>
      <c r="Q57" s="6">
        <f>VLOOKUP(DATA_MAYO_2026[[#This Row],[ASER_]],D1_MAYO_2026[[ASESOR_CRR]:[META]],2,0)</f>
        <v>72000</v>
      </c>
      <c r="R57" t="s">
        <v>68</v>
      </c>
      <c r="S57">
        <v>2020</v>
      </c>
      <c r="T57">
        <v>0</v>
      </c>
      <c r="U57">
        <v>0</v>
      </c>
      <c r="V57">
        <v>0</v>
      </c>
      <c r="W57">
        <v>0</v>
      </c>
      <c r="X57" s="5">
        <v>1500</v>
      </c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55"/>
      <c r="BW57" t="s">
        <v>639</v>
      </c>
      <c r="BX57" t="s">
        <v>346</v>
      </c>
      <c r="BY57" t="s">
        <v>2</v>
      </c>
      <c r="BZ57" t="s">
        <v>65</v>
      </c>
      <c r="CA57" s="56">
        <v>46177</v>
      </c>
      <c r="CB57">
        <v>1</v>
      </c>
      <c r="CC57">
        <v>1</v>
      </c>
      <c r="CE57">
        <v>1</v>
      </c>
      <c r="CG57" s="79">
        <v>1.9675925925925926E-4</v>
      </c>
      <c r="CH57" s="79">
        <v>1.9675925925925926E-4</v>
      </c>
      <c r="CI57" s="79">
        <v>0.24182870370370371</v>
      </c>
      <c r="CJ57" s="79">
        <v>9.2268518518518514E-2</v>
      </c>
      <c r="CK57">
        <v>50</v>
      </c>
      <c r="CL57">
        <v>101</v>
      </c>
      <c r="CM57">
        <v>10</v>
      </c>
      <c r="CN57">
        <v>1.6</v>
      </c>
      <c r="CO57">
        <v>29669</v>
      </c>
      <c r="CP57" s="1">
        <v>0.2</v>
      </c>
      <c r="CR57" s="1"/>
      <c r="CW57" s="1"/>
      <c r="CX57" s="1"/>
      <c r="CY57">
        <v>92</v>
      </c>
      <c r="CZ57">
        <v>67500</v>
      </c>
      <c r="DA57" s="1"/>
      <c r="DB57">
        <v>4</v>
      </c>
      <c r="DC57" t="s">
        <v>209</v>
      </c>
    </row>
    <row r="58" spans="1:107" x14ac:dyDescent="0.25">
      <c r="F58" s="3"/>
      <c r="G58" s="1"/>
      <c r="H58"/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BW58" t="s">
        <v>639</v>
      </c>
      <c r="BX58" t="s">
        <v>346</v>
      </c>
      <c r="BY58" t="s">
        <v>2</v>
      </c>
      <c r="BZ58" t="s">
        <v>65</v>
      </c>
      <c r="CA58" s="56">
        <v>46178</v>
      </c>
      <c r="CB58">
        <v>1</v>
      </c>
      <c r="CC58">
        <v>1</v>
      </c>
      <c r="CE58">
        <v>1</v>
      </c>
      <c r="CG58" s="79">
        <v>1.7361111111111112E-4</v>
      </c>
      <c r="CH58" s="79">
        <v>1.7361111111111112E-4</v>
      </c>
      <c r="CI58" s="79">
        <v>0.14548611111111112</v>
      </c>
      <c r="CJ58" s="79">
        <v>5.2164351851851851E-2</v>
      </c>
      <c r="CK58">
        <v>19</v>
      </c>
      <c r="CL58">
        <v>41</v>
      </c>
      <c r="CM58">
        <v>3</v>
      </c>
      <c r="CN58">
        <v>1</v>
      </c>
      <c r="CO58">
        <v>40228</v>
      </c>
      <c r="CP58" s="1">
        <v>0.15790000000000001</v>
      </c>
      <c r="CR58" s="1"/>
      <c r="CW58" s="1"/>
      <c r="CX58" s="1"/>
      <c r="CY58">
        <v>92</v>
      </c>
      <c r="CZ58">
        <v>67500</v>
      </c>
      <c r="DA58" s="1"/>
      <c r="DB58">
        <v>5</v>
      </c>
      <c r="DC58" t="s">
        <v>159</v>
      </c>
    </row>
    <row r="59" spans="1:107" x14ac:dyDescent="0.25">
      <c r="F59" s="3"/>
      <c r="G59" s="1"/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BW59" t="s">
        <v>639</v>
      </c>
      <c r="BX59" t="s">
        <v>346</v>
      </c>
      <c r="BY59" t="s">
        <v>2</v>
      </c>
      <c r="BZ59" t="s">
        <v>25</v>
      </c>
      <c r="CA59" s="56">
        <v>46175</v>
      </c>
      <c r="CB59">
        <v>1</v>
      </c>
      <c r="CC59">
        <v>1</v>
      </c>
      <c r="CE59">
        <v>1</v>
      </c>
      <c r="CG59" s="79">
        <v>5.2083333333333333E-4</v>
      </c>
      <c r="CH59" s="79">
        <v>5.2083333333333333E-4</v>
      </c>
      <c r="CI59" s="79">
        <v>0.16901620370370371</v>
      </c>
      <c r="CJ59" s="79">
        <v>0.12400462962962963</v>
      </c>
      <c r="CK59">
        <v>75</v>
      </c>
      <c r="CL59">
        <v>120</v>
      </c>
      <c r="CM59">
        <v>31</v>
      </c>
      <c r="CN59">
        <v>1.8064516129999999</v>
      </c>
      <c r="CO59">
        <v>25547</v>
      </c>
      <c r="CP59" s="1">
        <v>0.4133</v>
      </c>
      <c r="CQ59">
        <v>9</v>
      </c>
      <c r="CR59" s="1">
        <v>0.2903</v>
      </c>
      <c r="CS59">
        <v>14709</v>
      </c>
      <c r="CT59">
        <v>1634</v>
      </c>
      <c r="CU59">
        <v>11500</v>
      </c>
      <c r="CV59">
        <v>3833</v>
      </c>
      <c r="CW59" s="1">
        <v>0.78180000000000005</v>
      </c>
      <c r="CX59" s="1">
        <v>0.1404</v>
      </c>
      <c r="CY59">
        <v>86</v>
      </c>
      <c r="CZ59">
        <v>67500</v>
      </c>
      <c r="DA59" s="1">
        <v>0.1704</v>
      </c>
      <c r="DB59">
        <v>1</v>
      </c>
      <c r="DC59" t="s">
        <v>158</v>
      </c>
    </row>
    <row r="60" spans="1:107" x14ac:dyDescent="0.25">
      <c r="F60" s="3"/>
      <c r="G60" s="1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BW60" t="s">
        <v>639</v>
      </c>
      <c r="BX60" t="s">
        <v>346</v>
      </c>
      <c r="BY60" t="s">
        <v>2</v>
      </c>
      <c r="BZ60" t="s">
        <v>25</v>
      </c>
      <c r="CA60" s="56">
        <v>46176</v>
      </c>
      <c r="CB60">
        <v>1</v>
      </c>
      <c r="CC60">
        <v>1</v>
      </c>
      <c r="CE60">
        <v>1</v>
      </c>
      <c r="CG60" s="79">
        <v>0</v>
      </c>
      <c r="CH60" s="79">
        <v>0</v>
      </c>
      <c r="CI60" s="79">
        <v>0.2333449074074074</v>
      </c>
      <c r="CJ60" s="79">
        <v>0.14143518518518519</v>
      </c>
      <c r="CK60">
        <v>93</v>
      </c>
      <c r="CL60">
        <v>137</v>
      </c>
      <c r="CM60">
        <v>17</v>
      </c>
      <c r="CN60">
        <v>2.2941176470000002</v>
      </c>
      <c r="CO60">
        <v>20963</v>
      </c>
      <c r="CP60" s="1">
        <v>0.18279999999999999</v>
      </c>
      <c r="CQ60">
        <v>4</v>
      </c>
      <c r="CR60" s="1">
        <v>0.23530000000000001</v>
      </c>
      <c r="CS60">
        <v>2470</v>
      </c>
      <c r="CT60">
        <v>618</v>
      </c>
      <c r="CU60">
        <v>1623</v>
      </c>
      <c r="CV60">
        <v>1623</v>
      </c>
      <c r="CW60" s="1">
        <v>0.65710000000000002</v>
      </c>
      <c r="CX60" s="1">
        <v>0.20949999999999999</v>
      </c>
      <c r="CY60">
        <v>98</v>
      </c>
      <c r="CZ60">
        <v>67500</v>
      </c>
      <c r="DA60" s="1">
        <v>2.4E-2</v>
      </c>
      <c r="DB60">
        <v>2</v>
      </c>
      <c r="DC60" t="s">
        <v>209</v>
      </c>
    </row>
    <row r="61" spans="1:107" x14ac:dyDescent="0.25">
      <c r="F61" s="3"/>
      <c r="G61" s="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BW61" t="s">
        <v>639</v>
      </c>
      <c r="BX61" t="s">
        <v>346</v>
      </c>
      <c r="BY61" t="s">
        <v>2</v>
      </c>
      <c r="BZ61" t="s">
        <v>10</v>
      </c>
      <c r="CA61" s="56">
        <v>46174</v>
      </c>
      <c r="CB61">
        <v>1</v>
      </c>
      <c r="CC61">
        <v>1</v>
      </c>
      <c r="CE61">
        <v>1</v>
      </c>
      <c r="CG61" s="79">
        <v>9.2592592592592588E-5</v>
      </c>
      <c r="CH61" s="79">
        <v>9.2592592592592588E-5</v>
      </c>
      <c r="CI61" s="79">
        <v>0.23458333333333334</v>
      </c>
      <c r="CJ61" s="79">
        <v>7.2881944444444444E-2</v>
      </c>
      <c r="CK61">
        <v>116</v>
      </c>
      <c r="CL61">
        <v>187</v>
      </c>
      <c r="CM61">
        <v>33</v>
      </c>
      <c r="CN61">
        <v>1.6969696970000001</v>
      </c>
      <c r="CO61">
        <v>33887</v>
      </c>
      <c r="CP61" s="1">
        <v>0.28449999999999998</v>
      </c>
      <c r="CQ61">
        <v>2</v>
      </c>
      <c r="CR61" s="1">
        <v>6.0600000000000001E-2</v>
      </c>
      <c r="CS61">
        <v>1850</v>
      </c>
      <c r="CT61">
        <v>925</v>
      </c>
      <c r="CW61" s="1"/>
      <c r="CX61" s="1"/>
      <c r="CY61">
        <v>50</v>
      </c>
      <c r="CZ61">
        <v>67500</v>
      </c>
      <c r="DA61" s="1"/>
      <c r="DB61">
        <v>3</v>
      </c>
      <c r="DC61" t="s">
        <v>159</v>
      </c>
    </row>
    <row r="62" spans="1:107" x14ac:dyDescent="0.25">
      <c r="G62" s="3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BW62" t="s">
        <v>639</v>
      </c>
      <c r="BX62" t="s">
        <v>346</v>
      </c>
      <c r="BY62" t="s">
        <v>2</v>
      </c>
      <c r="BZ62" t="s">
        <v>10</v>
      </c>
      <c r="CA62" s="56">
        <v>46175</v>
      </c>
      <c r="CB62">
        <v>1</v>
      </c>
      <c r="CC62">
        <v>1</v>
      </c>
      <c r="CE62">
        <v>1</v>
      </c>
      <c r="CG62" s="79">
        <v>2.6620370370370372E-4</v>
      </c>
      <c r="CH62" s="79">
        <v>2.6620370370370372E-4</v>
      </c>
      <c r="CI62" s="79">
        <v>0.19569444444444445</v>
      </c>
      <c r="CJ62" s="79">
        <v>0.10887731481481482</v>
      </c>
      <c r="CK62">
        <v>138</v>
      </c>
      <c r="CL62">
        <v>230</v>
      </c>
      <c r="CM62">
        <v>38</v>
      </c>
      <c r="CN62">
        <v>1.447368421</v>
      </c>
      <c r="CO62">
        <v>33128</v>
      </c>
      <c r="CP62" s="1">
        <v>0.27539999999999998</v>
      </c>
      <c r="CQ62">
        <v>7</v>
      </c>
      <c r="CR62" s="1">
        <v>0.1842</v>
      </c>
      <c r="CS62">
        <v>2355</v>
      </c>
      <c r="CT62">
        <v>336</v>
      </c>
      <c r="CW62" s="1"/>
      <c r="CX62" s="1"/>
      <c r="CY62">
        <v>48</v>
      </c>
      <c r="CZ62">
        <v>67500</v>
      </c>
      <c r="DA62" s="1"/>
      <c r="DB62">
        <v>4</v>
      </c>
      <c r="DC62" t="s">
        <v>158</v>
      </c>
    </row>
    <row r="63" spans="1:107" x14ac:dyDescent="0.25">
      <c r="G63" s="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BW63" t="s">
        <v>639</v>
      </c>
      <c r="BX63" t="s">
        <v>346</v>
      </c>
      <c r="BY63" t="s">
        <v>2</v>
      </c>
      <c r="BZ63" t="s">
        <v>10</v>
      </c>
      <c r="CA63" s="56">
        <v>46176</v>
      </c>
      <c r="CB63">
        <v>1</v>
      </c>
      <c r="CC63">
        <v>1</v>
      </c>
      <c r="CE63">
        <v>1</v>
      </c>
      <c r="CG63" s="79">
        <v>1.6203703703703703E-4</v>
      </c>
      <c r="CH63" s="79">
        <v>1.6203703703703703E-4</v>
      </c>
      <c r="CI63" s="79">
        <v>0.30574074074074076</v>
      </c>
      <c r="CJ63" s="79">
        <v>9.4907407407407413E-2</v>
      </c>
      <c r="CK63">
        <v>142</v>
      </c>
      <c r="CL63">
        <v>254</v>
      </c>
      <c r="CM63">
        <v>40</v>
      </c>
      <c r="CN63">
        <v>1.875</v>
      </c>
      <c r="CO63">
        <v>31746</v>
      </c>
      <c r="CP63" s="1">
        <v>0.28170000000000001</v>
      </c>
      <c r="CQ63">
        <v>1</v>
      </c>
      <c r="CR63" s="1">
        <v>2.5000000000000001E-2</v>
      </c>
      <c r="CS63">
        <v>4150</v>
      </c>
      <c r="CT63">
        <v>4150</v>
      </c>
      <c r="CW63" s="1"/>
      <c r="CX63" s="1"/>
      <c r="CY63">
        <v>72</v>
      </c>
      <c r="CZ63">
        <v>67500</v>
      </c>
      <c r="DA63" s="1"/>
      <c r="DB63">
        <v>5</v>
      </c>
      <c r="DC63" t="s">
        <v>209</v>
      </c>
    </row>
    <row r="64" spans="1:107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BW64" t="s">
        <v>639</v>
      </c>
      <c r="BX64" t="s">
        <v>346</v>
      </c>
      <c r="BY64" t="s">
        <v>2</v>
      </c>
      <c r="BZ64" t="s">
        <v>10</v>
      </c>
      <c r="CA64" s="56">
        <v>46177</v>
      </c>
      <c r="CB64">
        <v>1</v>
      </c>
      <c r="CC64">
        <v>1</v>
      </c>
      <c r="CE64">
        <v>1</v>
      </c>
      <c r="CG64" s="79">
        <v>5.7870370370370373E-5</v>
      </c>
      <c r="CH64" s="79">
        <v>5.7870370370370373E-5</v>
      </c>
      <c r="CI64" s="79">
        <v>0.24394675925925927</v>
      </c>
      <c r="CJ64" s="79">
        <v>8.5821759259259264E-2</v>
      </c>
      <c r="CK64">
        <v>101</v>
      </c>
      <c r="CL64">
        <v>193</v>
      </c>
      <c r="CM64">
        <v>18</v>
      </c>
      <c r="CN64">
        <v>1.888888889</v>
      </c>
      <c r="CO64">
        <v>39539</v>
      </c>
      <c r="CP64" s="1">
        <v>0.1782</v>
      </c>
      <c r="CQ64">
        <v>2</v>
      </c>
      <c r="CR64" s="1">
        <v>0.1111</v>
      </c>
      <c r="CS64">
        <v>7000</v>
      </c>
      <c r="CT64">
        <v>3500</v>
      </c>
      <c r="CW64" s="1"/>
      <c r="CX64" s="1"/>
      <c r="CY64">
        <v>100</v>
      </c>
      <c r="CZ64">
        <v>67500</v>
      </c>
      <c r="DA64" s="1"/>
      <c r="DB64">
        <v>1</v>
      </c>
      <c r="DC64" t="s">
        <v>159</v>
      </c>
    </row>
    <row r="65" spans="7:107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BW65" t="s">
        <v>639</v>
      </c>
      <c r="BX65" t="s">
        <v>346</v>
      </c>
      <c r="BY65" t="s">
        <v>2</v>
      </c>
      <c r="BZ65" t="s">
        <v>10</v>
      </c>
      <c r="CA65" s="56">
        <v>46178</v>
      </c>
      <c r="CB65">
        <v>1</v>
      </c>
      <c r="CC65">
        <v>1</v>
      </c>
      <c r="CE65">
        <v>1</v>
      </c>
      <c r="CG65" s="79">
        <v>1.3888888888888889E-4</v>
      </c>
      <c r="CH65" s="79">
        <v>1.3888888888888889E-4</v>
      </c>
      <c r="CI65" s="79">
        <v>0.12969907407407408</v>
      </c>
      <c r="CJ65" s="79">
        <v>6.3541666666666663E-2</v>
      </c>
      <c r="CK65">
        <v>40</v>
      </c>
      <c r="CL65">
        <v>48</v>
      </c>
      <c r="CM65">
        <v>9</v>
      </c>
      <c r="CN65">
        <v>1</v>
      </c>
      <c r="CO65">
        <v>20431</v>
      </c>
      <c r="CP65" s="1">
        <v>0.22500000000000001</v>
      </c>
      <c r="CR65" s="1"/>
      <c r="CW65" s="1"/>
      <c r="CX65" s="1"/>
      <c r="CY65">
        <v>92</v>
      </c>
      <c r="CZ65">
        <v>67500</v>
      </c>
      <c r="DA65" s="1"/>
      <c r="DB65">
        <v>2</v>
      </c>
      <c r="DC65" t="s">
        <v>158</v>
      </c>
    </row>
    <row r="66" spans="7:107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BW66" t="s">
        <v>639</v>
      </c>
      <c r="BX66" t="s">
        <v>346</v>
      </c>
      <c r="BY66" t="s">
        <v>2</v>
      </c>
      <c r="BZ66" t="s">
        <v>76</v>
      </c>
      <c r="CA66" s="56">
        <v>46177</v>
      </c>
      <c r="CB66">
        <v>1</v>
      </c>
      <c r="CC66">
        <v>1</v>
      </c>
      <c r="CE66">
        <v>1</v>
      </c>
      <c r="CG66" s="79">
        <v>1.1574074074074073E-5</v>
      </c>
      <c r="CH66" s="79">
        <v>1.1574074074074073E-5</v>
      </c>
      <c r="CI66" s="79">
        <v>0.2469675925925926</v>
      </c>
      <c r="CJ66" s="79">
        <v>7.048611111111111E-2</v>
      </c>
      <c r="CK66">
        <v>135</v>
      </c>
      <c r="CL66">
        <v>165</v>
      </c>
      <c r="CM66">
        <v>12</v>
      </c>
      <c r="CN66">
        <v>1.6666666670000001</v>
      </c>
      <c r="CO66">
        <v>30825</v>
      </c>
      <c r="CP66" s="1">
        <v>8.8900000000000007E-2</v>
      </c>
      <c r="CR66" s="1"/>
      <c r="CW66" s="1"/>
      <c r="CX66" s="1"/>
      <c r="CY66">
        <v>92</v>
      </c>
      <c r="CZ66">
        <v>67500</v>
      </c>
      <c r="DA66" s="1"/>
      <c r="DB66">
        <v>3</v>
      </c>
      <c r="DC66" t="s">
        <v>209</v>
      </c>
    </row>
    <row r="67" spans="7:107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BW67" t="s">
        <v>639</v>
      </c>
      <c r="BX67" t="s">
        <v>346</v>
      </c>
      <c r="BY67" t="s">
        <v>2</v>
      </c>
      <c r="BZ67" t="s">
        <v>76</v>
      </c>
      <c r="CA67" s="56">
        <v>46178</v>
      </c>
      <c r="CB67">
        <v>1</v>
      </c>
      <c r="CC67">
        <v>1</v>
      </c>
      <c r="CE67">
        <v>1</v>
      </c>
      <c r="CG67" s="79">
        <v>3.3564814814814812E-4</v>
      </c>
      <c r="CH67" s="79">
        <v>3.3564814814814812E-4</v>
      </c>
      <c r="CI67" s="79">
        <v>0.13680555555555557</v>
      </c>
      <c r="CJ67" s="79">
        <v>4.3807870370370372E-2</v>
      </c>
      <c r="CK67">
        <v>44</v>
      </c>
      <c r="CL67">
        <v>51</v>
      </c>
      <c r="CM67">
        <v>6</v>
      </c>
      <c r="CN67">
        <v>1</v>
      </c>
      <c r="CO67">
        <v>44125</v>
      </c>
      <c r="CP67" s="1">
        <v>0.13639999999999999</v>
      </c>
      <c r="CQ67">
        <v>1</v>
      </c>
      <c r="CR67" s="1">
        <v>0.16669999999999999</v>
      </c>
      <c r="CS67">
        <v>745</v>
      </c>
      <c r="CT67">
        <v>745</v>
      </c>
      <c r="CW67" s="1"/>
      <c r="CX67" s="1"/>
      <c r="CY67">
        <v>100</v>
      </c>
      <c r="CZ67">
        <v>67500</v>
      </c>
      <c r="DA67" s="1"/>
      <c r="DB67">
        <v>4</v>
      </c>
      <c r="DC67" t="s">
        <v>159</v>
      </c>
    </row>
    <row r="68" spans="7:107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BW68" t="s">
        <v>639</v>
      </c>
      <c r="BX68" t="s">
        <v>346</v>
      </c>
      <c r="BY68" t="s">
        <v>6</v>
      </c>
      <c r="BZ68" t="s">
        <v>19</v>
      </c>
      <c r="CA68" s="56">
        <v>46174</v>
      </c>
      <c r="CB68">
        <v>1</v>
      </c>
      <c r="CC68">
        <v>1</v>
      </c>
      <c r="CE68">
        <v>1</v>
      </c>
      <c r="CG68" s="79">
        <v>1.6203703703703703E-4</v>
      </c>
      <c r="CH68" s="79">
        <v>1.6203703703703703E-4</v>
      </c>
      <c r="CI68" s="79">
        <v>0.25446759259259261</v>
      </c>
      <c r="CJ68" s="79">
        <v>5.1666666666666666E-2</v>
      </c>
      <c r="CK68">
        <v>148</v>
      </c>
      <c r="CL68">
        <v>209</v>
      </c>
      <c r="CM68">
        <v>29</v>
      </c>
      <c r="CN68">
        <v>1.862068966</v>
      </c>
      <c r="CO68">
        <v>24645</v>
      </c>
      <c r="CP68" s="1">
        <v>0.19589999999999999</v>
      </c>
      <c r="CQ68">
        <v>2</v>
      </c>
      <c r="CR68" s="1">
        <v>6.9000000000000006E-2</v>
      </c>
      <c r="CS68">
        <v>830</v>
      </c>
      <c r="CT68">
        <v>415</v>
      </c>
      <c r="CU68">
        <v>300</v>
      </c>
      <c r="CV68">
        <v>300</v>
      </c>
      <c r="CW68" s="1">
        <v>0.3614</v>
      </c>
      <c r="CX68" s="1"/>
      <c r="CY68">
        <v>54</v>
      </c>
      <c r="CZ68">
        <v>40500</v>
      </c>
      <c r="DA68" s="1">
        <v>7.4000000000000003E-3</v>
      </c>
      <c r="DB68">
        <v>5</v>
      </c>
      <c r="DC68" t="s">
        <v>158</v>
      </c>
    </row>
    <row r="69" spans="7:107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BW69" t="s">
        <v>639</v>
      </c>
      <c r="BX69" t="s">
        <v>346</v>
      </c>
      <c r="BY69" t="s">
        <v>6</v>
      </c>
      <c r="BZ69" t="s">
        <v>19</v>
      </c>
      <c r="CA69" s="56">
        <v>46175</v>
      </c>
      <c r="CB69">
        <v>1</v>
      </c>
      <c r="CC69">
        <v>1</v>
      </c>
      <c r="CE69">
        <v>1</v>
      </c>
      <c r="CG69" s="79">
        <v>8.1018518518518516E-5</v>
      </c>
      <c r="CH69" s="79">
        <v>8.1018518518518516E-5</v>
      </c>
      <c r="CI69" s="79">
        <v>0.28753472222222221</v>
      </c>
      <c r="CJ69" s="79">
        <v>8.1689814814814812E-2</v>
      </c>
      <c r="CK69">
        <v>184</v>
      </c>
      <c r="CL69">
        <v>250</v>
      </c>
      <c r="CM69">
        <v>14</v>
      </c>
      <c r="CN69">
        <v>1.3571428569999999</v>
      </c>
      <c r="CO69">
        <v>29114</v>
      </c>
      <c r="CP69" s="1">
        <v>7.6100000000000001E-2</v>
      </c>
      <c r="CR69" s="1"/>
      <c r="CW69" s="1"/>
      <c r="CX69" s="1"/>
      <c r="CY69">
        <v>32</v>
      </c>
      <c r="CZ69">
        <v>40500</v>
      </c>
      <c r="DA69" s="1"/>
      <c r="DB69">
        <v>1</v>
      </c>
      <c r="DC69" t="s">
        <v>209</v>
      </c>
    </row>
    <row r="70" spans="7:107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  <c r="BW70" t="s">
        <v>639</v>
      </c>
      <c r="BX70" t="s">
        <v>346</v>
      </c>
      <c r="BY70" t="s">
        <v>6</v>
      </c>
      <c r="BZ70" t="s">
        <v>19</v>
      </c>
      <c r="CA70" s="56">
        <v>46176</v>
      </c>
      <c r="CB70">
        <v>1</v>
      </c>
      <c r="CC70">
        <v>1</v>
      </c>
      <c r="CE70">
        <v>1</v>
      </c>
      <c r="CG70" s="79">
        <v>6.9444444444444444E-5</v>
      </c>
      <c r="CH70" s="79">
        <v>6.9444444444444444E-5</v>
      </c>
      <c r="CI70" s="79">
        <v>0.25746527777777778</v>
      </c>
      <c r="CJ70" s="79">
        <v>0.11543981481481481</v>
      </c>
      <c r="CK70">
        <v>181</v>
      </c>
      <c r="CL70">
        <v>301</v>
      </c>
      <c r="CM70">
        <v>25</v>
      </c>
      <c r="CN70">
        <v>1.52</v>
      </c>
      <c r="CO70">
        <v>19912</v>
      </c>
      <c r="CP70" s="1">
        <v>0.1381</v>
      </c>
      <c r="CR70" s="1"/>
      <c r="CW70" s="1"/>
      <c r="CX70" s="1"/>
      <c r="CY70">
        <v>66</v>
      </c>
      <c r="CZ70">
        <v>40500</v>
      </c>
      <c r="DA70" s="1"/>
      <c r="DB70">
        <v>2</v>
      </c>
      <c r="DC70" t="s">
        <v>159</v>
      </c>
    </row>
    <row r="71" spans="7:107" x14ac:dyDescent="0.25"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BW71" t="s">
        <v>639</v>
      </c>
      <c r="BX71" t="s">
        <v>346</v>
      </c>
      <c r="BY71" t="s">
        <v>6</v>
      </c>
      <c r="BZ71" t="s">
        <v>19</v>
      </c>
      <c r="CA71" s="56">
        <v>46177</v>
      </c>
      <c r="CB71">
        <v>1</v>
      </c>
      <c r="CC71">
        <v>1</v>
      </c>
      <c r="CE71">
        <v>1</v>
      </c>
      <c r="CG71" s="79">
        <v>4.6296296296296294E-5</v>
      </c>
      <c r="CH71" s="79">
        <v>4.6296296296296294E-5</v>
      </c>
      <c r="CI71" s="79">
        <v>0.27819444444444447</v>
      </c>
      <c r="CJ71" s="79">
        <v>8.5601851851851846E-2</v>
      </c>
      <c r="CK71">
        <v>191</v>
      </c>
      <c r="CL71">
        <v>295</v>
      </c>
      <c r="CM71">
        <v>11</v>
      </c>
      <c r="CN71">
        <v>1.5454545449999999</v>
      </c>
      <c r="CO71">
        <v>19433</v>
      </c>
      <c r="CP71" s="1">
        <v>5.7599999999999998E-2</v>
      </c>
      <c r="CR71" s="1"/>
      <c r="CW71" s="1"/>
      <c r="CX71" s="1"/>
      <c r="CY71">
        <v>66</v>
      </c>
      <c r="CZ71">
        <v>40500</v>
      </c>
      <c r="DA71" s="1"/>
      <c r="DB71">
        <v>3</v>
      </c>
      <c r="DC71" t="s">
        <v>158</v>
      </c>
    </row>
    <row r="72" spans="7:107" x14ac:dyDescent="0.25"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BW72" t="s">
        <v>639</v>
      </c>
      <c r="BX72" t="s">
        <v>346</v>
      </c>
      <c r="BY72" t="s">
        <v>6</v>
      </c>
      <c r="BZ72" t="s">
        <v>19</v>
      </c>
      <c r="CA72" s="56">
        <v>46178</v>
      </c>
      <c r="CB72">
        <v>1</v>
      </c>
      <c r="CC72">
        <v>1</v>
      </c>
      <c r="CE72">
        <v>1</v>
      </c>
      <c r="CG72" s="79">
        <v>2.199074074074074E-4</v>
      </c>
      <c r="CH72" s="79">
        <v>2.199074074074074E-4</v>
      </c>
      <c r="CI72" s="79">
        <v>0.14239583333333333</v>
      </c>
      <c r="CJ72" s="79">
        <v>5.3287037037037036E-2</v>
      </c>
      <c r="CK72">
        <v>46</v>
      </c>
      <c r="CL72">
        <v>59</v>
      </c>
      <c r="CM72">
        <v>4</v>
      </c>
      <c r="CN72">
        <v>1</v>
      </c>
      <c r="CO72">
        <v>23458</v>
      </c>
      <c r="CP72" s="1">
        <v>8.6999999999999994E-2</v>
      </c>
      <c r="CR72" s="1"/>
      <c r="CW72" s="1"/>
      <c r="CX72" s="1"/>
      <c r="CY72">
        <v>100</v>
      </c>
      <c r="CZ72">
        <v>40500</v>
      </c>
      <c r="DA72" s="1"/>
      <c r="DB72">
        <v>4</v>
      </c>
      <c r="DC72" t="s">
        <v>209</v>
      </c>
    </row>
    <row r="73" spans="7:107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BW73" t="s">
        <v>639</v>
      </c>
      <c r="BX73" t="s">
        <v>346</v>
      </c>
      <c r="BY73" t="s">
        <v>6</v>
      </c>
      <c r="BZ73" t="s">
        <v>105</v>
      </c>
      <c r="CA73" s="56">
        <v>46174</v>
      </c>
      <c r="CB73">
        <v>1</v>
      </c>
      <c r="CC73">
        <v>1</v>
      </c>
      <c r="CE73">
        <v>1</v>
      </c>
      <c r="CG73" s="79">
        <v>1.5046296296296297E-4</v>
      </c>
      <c r="CH73" s="79">
        <v>1.5046296296296297E-4</v>
      </c>
      <c r="CI73" s="79">
        <v>0.23468749999999999</v>
      </c>
      <c r="CJ73" s="79">
        <v>6.7418981481481483E-2</v>
      </c>
      <c r="CK73">
        <v>78</v>
      </c>
      <c r="CL73">
        <v>152</v>
      </c>
      <c r="CM73">
        <v>24</v>
      </c>
      <c r="CN73">
        <v>1.9166666670000001</v>
      </c>
      <c r="CO73">
        <v>19848</v>
      </c>
      <c r="CP73" s="1">
        <v>0.30769999999999997</v>
      </c>
      <c r="CQ73">
        <v>2</v>
      </c>
      <c r="CR73" s="1">
        <v>8.3299999999999999E-2</v>
      </c>
      <c r="CS73">
        <v>11500</v>
      </c>
      <c r="CT73">
        <v>5750</v>
      </c>
      <c r="CW73" s="1"/>
      <c r="CX73" s="1"/>
      <c r="CY73">
        <v>56</v>
      </c>
      <c r="CZ73">
        <v>40500</v>
      </c>
      <c r="DA73" s="1"/>
      <c r="DB73">
        <v>5</v>
      </c>
      <c r="DC73" t="s">
        <v>159</v>
      </c>
    </row>
    <row r="74" spans="7:107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BW74" t="s">
        <v>639</v>
      </c>
      <c r="BX74" t="s">
        <v>346</v>
      </c>
      <c r="BY74" t="s">
        <v>6</v>
      </c>
      <c r="BZ74" t="s">
        <v>105</v>
      </c>
      <c r="CA74" s="56">
        <v>46175</v>
      </c>
      <c r="CB74">
        <v>1</v>
      </c>
      <c r="CC74">
        <v>1</v>
      </c>
      <c r="CE74">
        <v>1</v>
      </c>
      <c r="CG74" s="79">
        <v>2.199074074074074E-4</v>
      </c>
      <c r="CH74" s="79">
        <v>2.199074074074074E-4</v>
      </c>
      <c r="CI74" s="79">
        <v>0.26003472222222224</v>
      </c>
      <c r="CJ74" s="79">
        <v>7.4560185185185188E-2</v>
      </c>
      <c r="CK74">
        <v>85</v>
      </c>
      <c r="CL74">
        <v>156</v>
      </c>
      <c r="CM74">
        <v>11</v>
      </c>
      <c r="CN74">
        <v>1.9090909089999999</v>
      </c>
      <c r="CO74">
        <v>25299</v>
      </c>
      <c r="CP74" s="1">
        <v>0.12939999999999999</v>
      </c>
      <c r="CQ74">
        <v>1</v>
      </c>
      <c r="CR74" s="1">
        <v>9.0899999999999995E-2</v>
      </c>
      <c r="CS74">
        <v>7500</v>
      </c>
      <c r="CT74">
        <v>7500</v>
      </c>
      <c r="CU74">
        <v>4000</v>
      </c>
      <c r="CV74">
        <v>4000</v>
      </c>
      <c r="CW74" s="1">
        <v>0.5333</v>
      </c>
      <c r="CX74" s="1"/>
      <c r="CY74">
        <v>52</v>
      </c>
      <c r="CZ74">
        <v>40500</v>
      </c>
      <c r="DA74" s="1">
        <v>9.8799999999999999E-2</v>
      </c>
      <c r="DB74">
        <v>1</v>
      </c>
      <c r="DC74" t="s">
        <v>158</v>
      </c>
    </row>
    <row r="75" spans="7:107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BW75" t="s">
        <v>639</v>
      </c>
      <c r="BX75" t="s">
        <v>346</v>
      </c>
      <c r="BY75" t="s">
        <v>6</v>
      </c>
      <c r="BZ75" t="s">
        <v>105</v>
      </c>
      <c r="CA75" s="56">
        <v>46177</v>
      </c>
      <c r="CB75">
        <v>1</v>
      </c>
      <c r="CC75">
        <v>1</v>
      </c>
      <c r="CE75">
        <v>1</v>
      </c>
      <c r="CG75" s="79">
        <v>5.7870370370370373E-5</v>
      </c>
      <c r="CH75" s="79">
        <v>5.7870370370370373E-5</v>
      </c>
      <c r="CI75" s="79">
        <v>0.27135416666666667</v>
      </c>
      <c r="CJ75" s="79">
        <v>6.7060185185185181E-2</v>
      </c>
      <c r="CK75">
        <v>76</v>
      </c>
      <c r="CL75">
        <v>173</v>
      </c>
      <c r="CM75">
        <v>6</v>
      </c>
      <c r="CN75">
        <v>1.3333333329999999</v>
      </c>
      <c r="CO75">
        <v>105516</v>
      </c>
      <c r="CP75" s="1">
        <v>7.8899999999999998E-2</v>
      </c>
      <c r="CR75" s="1"/>
      <c r="CW75" s="1"/>
      <c r="CX75" s="1"/>
      <c r="CY75">
        <v>66</v>
      </c>
      <c r="CZ75">
        <v>40500</v>
      </c>
      <c r="DA75" s="1"/>
      <c r="DB75">
        <v>2</v>
      </c>
      <c r="DC75" t="s">
        <v>209</v>
      </c>
    </row>
    <row r="76" spans="7:107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BW76" t="s">
        <v>639</v>
      </c>
      <c r="BX76" t="s">
        <v>346</v>
      </c>
      <c r="BY76" t="s">
        <v>6</v>
      </c>
      <c r="BZ76" t="s">
        <v>35</v>
      </c>
      <c r="CA76" s="56">
        <v>46174</v>
      </c>
      <c r="CB76">
        <v>1</v>
      </c>
      <c r="CC76">
        <v>1</v>
      </c>
      <c r="CE76">
        <v>1</v>
      </c>
      <c r="CG76" s="79">
        <v>1.5046296296296297E-4</v>
      </c>
      <c r="CH76" s="79">
        <v>1.5046296296296297E-4</v>
      </c>
      <c r="CI76" s="79">
        <v>0.21355324074074075</v>
      </c>
      <c r="CJ76" s="79">
        <v>9.5462962962962958E-2</v>
      </c>
      <c r="CK76">
        <v>69</v>
      </c>
      <c r="CL76">
        <v>110</v>
      </c>
      <c r="CM76">
        <v>23</v>
      </c>
      <c r="CN76">
        <v>1.608695652</v>
      </c>
      <c r="CO76">
        <v>30281</v>
      </c>
      <c r="CP76" s="1">
        <v>0.33329999999999999</v>
      </c>
      <c r="CQ76">
        <v>13</v>
      </c>
      <c r="CR76" s="1">
        <v>0.56520000000000004</v>
      </c>
      <c r="CS76">
        <v>15971</v>
      </c>
      <c r="CT76">
        <v>1229</v>
      </c>
      <c r="CU76">
        <v>700</v>
      </c>
      <c r="CV76">
        <v>700</v>
      </c>
      <c r="CW76" s="1">
        <v>4.3799999999999999E-2</v>
      </c>
      <c r="CX76" s="1">
        <v>0.85229999999999995</v>
      </c>
      <c r="CY76">
        <v>78</v>
      </c>
      <c r="CZ76">
        <v>40500</v>
      </c>
      <c r="DA76" s="1">
        <v>1.7299999999999999E-2</v>
      </c>
      <c r="DB76">
        <v>3</v>
      </c>
      <c r="DC76" t="s">
        <v>159</v>
      </c>
    </row>
    <row r="77" spans="7:107" x14ac:dyDescent="0.25">
      <c r="AO77" s="6"/>
      <c r="BW77" t="s">
        <v>639</v>
      </c>
      <c r="BX77" t="s">
        <v>346</v>
      </c>
      <c r="BY77" t="s">
        <v>6</v>
      </c>
      <c r="BZ77" t="s">
        <v>35</v>
      </c>
      <c r="CA77" s="56">
        <v>46175</v>
      </c>
      <c r="CB77">
        <v>1</v>
      </c>
      <c r="CC77">
        <v>1</v>
      </c>
      <c r="CE77">
        <v>1</v>
      </c>
      <c r="CG77" s="79">
        <v>6.9444444444444444E-5</v>
      </c>
      <c r="CH77" s="79">
        <v>6.9444444444444444E-5</v>
      </c>
      <c r="CI77" s="79">
        <v>0.24689814814814814</v>
      </c>
      <c r="CJ77" s="79">
        <v>0.10261574074074074</v>
      </c>
      <c r="CK77">
        <v>66</v>
      </c>
      <c r="CL77">
        <v>109</v>
      </c>
      <c r="CM77">
        <v>15</v>
      </c>
      <c r="CN77">
        <v>1.8666666670000001</v>
      </c>
      <c r="CO77">
        <v>13572</v>
      </c>
      <c r="CP77" s="1">
        <v>0.2273</v>
      </c>
      <c r="CQ77">
        <v>3</v>
      </c>
      <c r="CR77" s="1">
        <v>0.2</v>
      </c>
      <c r="CS77">
        <v>5500</v>
      </c>
      <c r="CT77">
        <v>1833</v>
      </c>
      <c r="CU77">
        <v>5240</v>
      </c>
      <c r="CV77">
        <v>2620</v>
      </c>
      <c r="CW77" s="1">
        <v>0.95269999999999999</v>
      </c>
      <c r="CX77" s="1">
        <v>0.1041</v>
      </c>
      <c r="CY77">
        <v>80</v>
      </c>
      <c r="CZ77">
        <v>40500</v>
      </c>
      <c r="DA77" s="1">
        <v>0.12939999999999999</v>
      </c>
      <c r="DB77">
        <v>4</v>
      </c>
      <c r="DC77" t="s">
        <v>158</v>
      </c>
    </row>
    <row r="78" spans="7:107" x14ac:dyDescent="0.25">
      <c r="AO78" s="6"/>
      <c r="BW78" t="s">
        <v>639</v>
      </c>
      <c r="BX78" t="s">
        <v>346</v>
      </c>
      <c r="BY78" t="s">
        <v>6</v>
      </c>
      <c r="BZ78" t="s">
        <v>35</v>
      </c>
      <c r="CA78" s="56">
        <v>46176</v>
      </c>
      <c r="CB78">
        <v>1</v>
      </c>
      <c r="CC78">
        <v>1</v>
      </c>
      <c r="CE78">
        <v>1</v>
      </c>
      <c r="CG78" s="79">
        <v>8.1018518518518516E-5</v>
      </c>
      <c r="CH78" s="79">
        <v>8.1018518518518516E-5</v>
      </c>
      <c r="CI78" s="79">
        <v>0.26021990740740741</v>
      </c>
      <c r="CJ78" s="79">
        <v>9.5740740740740737E-2</v>
      </c>
      <c r="CK78">
        <v>92</v>
      </c>
      <c r="CL78">
        <v>144</v>
      </c>
      <c r="CM78">
        <v>15</v>
      </c>
      <c r="CN78">
        <v>1.8666666670000001</v>
      </c>
      <c r="CO78">
        <v>41173</v>
      </c>
      <c r="CP78" s="1">
        <v>0.16300000000000001</v>
      </c>
      <c r="CR78" s="1"/>
      <c r="CW78" s="1"/>
      <c r="CX78" s="1"/>
      <c r="CY78">
        <v>66</v>
      </c>
      <c r="CZ78">
        <v>40500</v>
      </c>
      <c r="DA78" s="1"/>
      <c r="DB78">
        <v>5</v>
      </c>
      <c r="DC78" t="s">
        <v>209</v>
      </c>
    </row>
    <row r="79" spans="7:107" x14ac:dyDescent="0.25">
      <c r="AO79" s="6"/>
      <c r="BW79" t="s">
        <v>639</v>
      </c>
      <c r="BX79" t="s">
        <v>346</v>
      </c>
      <c r="BY79" t="s">
        <v>6</v>
      </c>
      <c r="BZ79" t="s">
        <v>35</v>
      </c>
      <c r="CA79" s="56">
        <v>46177</v>
      </c>
      <c r="CB79">
        <v>1</v>
      </c>
      <c r="CC79">
        <v>1</v>
      </c>
      <c r="CE79">
        <v>1</v>
      </c>
      <c r="CG79" s="79">
        <v>9.2592592592592588E-5</v>
      </c>
      <c r="CH79" s="79">
        <v>9.2592592592592588E-5</v>
      </c>
      <c r="CI79" s="79">
        <v>0.25535879629629632</v>
      </c>
      <c r="CJ79" s="79">
        <v>8.621527777777778E-2</v>
      </c>
      <c r="CK79">
        <v>67</v>
      </c>
      <c r="CL79">
        <v>127</v>
      </c>
      <c r="CM79">
        <v>10</v>
      </c>
      <c r="CN79">
        <v>2</v>
      </c>
      <c r="CO79">
        <v>36044</v>
      </c>
      <c r="CP79" s="1">
        <v>0.14929999999999999</v>
      </c>
      <c r="CQ79">
        <v>1</v>
      </c>
      <c r="CR79" s="1">
        <v>0.1</v>
      </c>
      <c r="CS79">
        <v>210</v>
      </c>
      <c r="CT79">
        <v>210</v>
      </c>
      <c r="CW79" s="1"/>
      <c r="CX79" s="1"/>
      <c r="CY79">
        <v>78</v>
      </c>
      <c r="CZ79">
        <v>40500</v>
      </c>
      <c r="DA79" s="1"/>
      <c r="DB79">
        <v>1</v>
      </c>
      <c r="DC79" t="s">
        <v>159</v>
      </c>
    </row>
    <row r="80" spans="7:107" x14ac:dyDescent="0.25">
      <c r="AO80" s="6"/>
      <c r="BW80" t="s">
        <v>639</v>
      </c>
      <c r="BX80" t="s">
        <v>346</v>
      </c>
      <c r="BY80" t="s">
        <v>6</v>
      </c>
      <c r="BZ80" t="s">
        <v>35</v>
      </c>
      <c r="CA80" s="56">
        <v>46178</v>
      </c>
      <c r="CB80">
        <v>1</v>
      </c>
      <c r="CC80">
        <v>1</v>
      </c>
      <c r="CE80">
        <v>1</v>
      </c>
      <c r="CG80" s="79">
        <v>1.0416666666666667E-4</v>
      </c>
      <c r="CH80" s="79">
        <v>1.0416666666666667E-4</v>
      </c>
      <c r="CI80" s="79">
        <v>0.10401620370370371</v>
      </c>
      <c r="CJ80" s="79">
        <v>8.3171296296296299E-2</v>
      </c>
      <c r="CK80">
        <v>9</v>
      </c>
      <c r="CL80">
        <v>14</v>
      </c>
      <c r="CM80">
        <v>7</v>
      </c>
      <c r="CN80">
        <v>1.1428571430000001</v>
      </c>
      <c r="CO80">
        <v>31862</v>
      </c>
      <c r="CP80" s="1">
        <v>0.77780000000000005</v>
      </c>
      <c r="CR80" s="1"/>
      <c r="CW80" s="1"/>
      <c r="CX80" s="1"/>
      <c r="CY80">
        <v>100</v>
      </c>
      <c r="CZ80">
        <v>40500</v>
      </c>
      <c r="DA80" s="1"/>
      <c r="DB80">
        <v>2</v>
      </c>
      <c r="DC80" t="s">
        <v>158</v>
      </c>
    </row>
    <row r="81" spans="41:107" x14ac:dyDescent="0.25">
      <c r="AO81" s="6"/>
      <c r="BW81" t="s">
        <v>639</v>
      </c>
      <c r="BX81" t="s">
        <v>346</v>
      </c>
      <c r="BY81" t="s">
        <v>6</v>
      </c>
      <c r="BZ81" t="s">
        <v>31</v>
      </c>
      <c r="CA81" s="56">
        <v>46174</v>
      </c>
      <c r="CB81">
        <v>1</v>
      </c>
      <c r="CC81">
        <v>1</v>
      </c>
      <c r="CE81">
        <v>1</v>
      </c>
      <c r="CG81" s="79">
        <v>6.8287037037037036E-4</v>
      </c>
      <c r="CH81" s="79">
        <v>6.8287037037037036E-4</v>
      </c>
      <c r="CI81" s="79">
        <v>0.23303240740740741</v>
      </c>
      <c r="CJ81" s="79">
        <v>7.1087962962962964E-2</v>
      </c>
      <c r="CK81">
        <v>54</v>
      </c>
      <c r="CL81">
        <v>97</v>
      </c>
      <c r="CM81">
        <v>13</v>
      </c>
      <c r="CN81">
        <v>2.538461538</v>
      </c>
      <c r="CO81">
        <v>8421</v>
      </c>
      <c r="CP81" s="1">
        <v>0.2407</v>
      </c>
      <c r="CQ81">
        <v>1</v>
      </c>
      <c r="CR81" s="1">
        <v>7.6899999999999996E-2</v>
      </c>
      <c r="CS81">
        <v>1000</v>
      </c>
      <c r="CT81">
        <v>1000</v>
      </c>
      <c r="CU81">
        <v>1000</v>
      </c>
      <c r="CV81">
        <v>1000</v>
      </c>
      <c r="CW81" s="1">
        <v>1</v>
      </c>
      <c r="CX81" s="1">
        <v>0.49080000000000001</v>
      </c>
      <c r="CY81">
        <v>66</v>
      </c>
      <c r="CZ81">
        <v>40500</v>
      </c>
      <c r="DA81" s="1">
        <v>2.47E-2</v>
      </c>
      <c r="DB81">
        <v>3</v>
      </c>
      <c r="DC81" t="s">
        <v>209</v>
      </c>
    </row>
    <row r="82" spans="41:107" x14ac:dyDescent="0.25">
      <c r="AO82" s="6"/>
      <c r="BW82" t="s">
        <v>639</v>
      </c>
      <c r="BX82" t="s">
        <v>346</v>
      </c>
      <c r="BY82" t="s">
        <v>6</v>
      </c>
      <c r="BZ82" t="s">
        <v>31</v>
      </c>
      <c r="CA82" s="56">
        <v>46175</v>
      </c>
      <c r="CB82">
        <v>1</v>
      </c>
      <c r="CC82">
        <v>1</v>
      </c>
      <c r="CE82">
        <v>1</v>
      </c>
      <c r="CG82" s="79">
        <v>9.9537037037037042E-4</v>
      </c>
      <c r="CH82" s="79">
        <v>9.9537037037037042E-4</v>
      </c>
      <c r="CI82" s="79">
        <v>0.25907407407407407</v>
      </c>
      <c r="CJ82" s="79">
        <v>7.7939814814814809E-2</v>
      </c>
      <c r="CK82">
        <v>58</v>
      </c>
      <c r="CL82">
        <v>109</v>
      </c>
      <c r="CM82">
        <v>16</v>
      </c>
      <c r="CN82">
        <v>1.625</v>
      </c>
      <c r="CO82">
        <v>18900</v>
      </c>
      <c r="CP82" s="1">
        <v>0.27589999999999998</v>
      </c>
      <c r="CQ82">
        <v>1</v>
      </c>
      <c r="CR82" s="1">
        <v>6.25E-2</v>
      </c>
      <c r="CS82">
        <v>80</v>
      </c>
      <c r="CT82">
        <v>80</v>
      </c>
      <c r="CU82">
        <v>80</v>
      </c>
      <c r="CV82">
        <v>80</v>
      </c>
      <c r="CW82" s="1">
        <v>1</v>
      </c>
      <c r="CX82" s="1" t="s">
        <v>640</v>
      </c>
      <c r="CY82">
        <v>76</v>
      </c>
      <c r="CZ82">
        <v>40500</v>
      </c>
      <c r="DA82" s="1">
        <v>2E-3</v>
      </c>
      <c r="DB82">
        <v>4</v>
      </c>
      <c r="DC82" t="s">
        <v>159</v>
      </c>
    </row>
    <row r="83" spans="41:107" x14ac:dyDescent="0.25">
      <c r="AO83" s="6"/>
      <c r="AP83" s="4"/>
      <c r="BW83" t="s">
        <v>639</v>
      </c>
      <c r="BX83" t="s">
        <v>346</v>
      </c>
      <c r="BY83" t="s">
        <v>6</v>
      </c>
      <c r="BZ83" t="s">
        <v>31</v>
      </c>
      <c r="CA83" s="56">
        <v>46176</v>
      </c>
      <c r="CB83">
        <v>1</v>
      </c>
      <c r="CC83">
        <v>1</v>
      </c>
      <c r="CE83">
        <v>1</v>
      </c>
      <c r="CG83" s="79">
        <v>1.5046296296296297E-4</v>
      </c>
      <c r="CH83" s="79">
        <v>1.5046296296296297E-4</v>
      </c>
      <c r="CI83" s="79">
        <v>0.23761574074074074</v>
      </c>
      <c r="CJ83" s="79">
        <v>0.13314814814814815</v>
      </c>
      <c r="CK83">
        <v>71</v>
      </c>
      <c r="CL83">
        <v>128</v>
      </c>
      <c r="CM83">
        <v>14</v>
      </c>
      <c r="CN83">
        <v>1.928571429</v>
      </c>
      <c r="CO83">
        <v>61514</v>
      </c>
      <c r="CP83" s="1">
        <v>0.19719999999999999</v>
      </c>
      <c r="CR83" s="1"/>
      <c r="CW83" s="1"/>
      <c r="CX83" s="1"/>
      <c r="CY83">
        <v>66</v>
      </c>
      <c r="CZ83">
        <v>40500</v>
      </c>
      <c r="DA83" s="1"/>
      <c r="DB83">
        <v>5</v>
      </c>
      <c r="DC83" t="s">
        <v>158</v>
      </c>
    </row>
    <row r="84" spans="41:107" x14ac:dyDescent="0.25">
      <c r="AO84" s="6"/>
      <c r="AP84" s="6"/>
      <c r="BW84" t="s">
        <v>639</v>
      </c>
      <c r="BX84" t="s">
        <v>346</v>
      </c>
      <c r="BY84" t="s">
        <v>6</v>
      </c>
      <c r="BZ84" t="s">
        <v>31</v>
      </c>
      <c r="CA84" s="56">
        <v>46177</v>
      </c>
      <c r="CB84">
        <v>1</v>
      </c>
      <c r="CC84">
        <v>1</v>
      </c>
      <c r="CE84">
        <v>1</v>
      </c>
      <c r="CG84" s="79">
        <v>9.2592592592592588E-5</v>
      </c>
      <c r="CH84" s="79">
        <v>9.2592592592592588E-5</v>
      </c>
      <c r="CI84" s="79">
        <v>0.26613425925925926</v>
      </c>
      <c r="CJ84" s="79">
        <v>9.1840277777777785E-2</v>
      </c>
      <c r="CK84">
        <v>48</v>
      </c>
      <c r="CL84">
        <v>156</v>
      </c>
      <c r="CM84">
        <v>12</v>
      </c>
      <c r="CN84">
        <v>2.8333333330000001</v>
      </c>
      <c r="CO84">
        <v>45329</v>
      </c>
      <c r="CP84" s="1">
        <v>0.25</v>
      </c>
      <c r="CQ84">
        <v>3</v>
      </c>
      <c r="CR84" s="1">
        <v>0.25</v>
      </c>
      <c r="CS84">
        <v>13000</v>
      </c>
      <c r="CT84">
        <v>4333</v>
      </c>
      <c r="CU84">
        <v>9000</v>
      </c>
      <c r="CV84">
        <v>4500</v>
      </c>
      <c r="CW84" s="1">
        <v>0.69230000000000003</v>
      </c>
      <c r="CX84" s="1">
        <v>0.1507</v>
      </c>
      <c r="CY84">
        <v>94</v>
      </c>
      <c r="CZ84">
        <v>40500</v>
      </c>
      <c r="DA84" s="1">
        <v>0.22220000000000001</v>
      </c>
      <c r="DB84">
        <v>1</v>
      </c>
      <c r="DC84" t="s">
        <v>209</v>
      </c>
    </row>
    <row r="85" spans="41:107" x14ac:dyDescent="0.25">
      <c r="AO85" s="6"/>
      <c r="AP85" s="6"/>
      <c r="BW85" t="s">
        <v>639</v>
      </c>
      <c r="BX85" t="s">
        <v>346</v>
      </c>
      <c r="BY85" t="s">
        <v>6</v>
      </c>
      <c r="BZ85" t="s">
        <v>31</v>
      </c>
      <c r="CA85" s="56">
        <v>46178</v>
      </c>
      <c r="CB85">
        <v>1</v>
      </c>
      <c r="CC85">
        <v>1</v>
      </c>
      <c r="CE85">
        <v>1</v>
      </c>
      <c r="CG85" s="79">
        <v>2.199074074074074E-4</v>
      </c>
      <c r="CH85" s="79">
        <v>2.199074074074074E-4</v>
      </c>
      <c r="CI85" s="79">
        <v>0.138125</v>
      </c>
      <c r="CJ85" s="79">
        <v>4.4814814814814814E-2</v>
      </c>
      <c r="CK85">
        <v>16</v>
      </c>
      <c r="CL85">
        <v>43</v>
      </c>
      <c r="CM85">
        <v>4</v>
      </c>
      <c r="CN85">
        <v>1.5</v>
      </c>
      <c r="CO85">
        <v>54353</v>
      </c>
      <c r="CP85" s="1">
        <v>0.25</v>
      </c>
      <c r="CR85" s="1"/>
      <c r="CW85" s="1"/>
      <c r="CX85" s="1"/>
      <c r="CY85">
        <v>100</v>
      </c>
      <c r="CZ85">
        <v>40500</v>
      </c>
      <c r="DA85" s="1"/>
      <c r="DB85">
        <v>2</v>
      </c>
      <c r="DC85" t="s">
        <v>159</v>
      </c>
    </row>
    <row r="86" spans="41:107" x14ac:dyDescent="0.25">
      <c r="AO86" s="6"/>
      <c r="AP86" s="6"/>
      <c r="BW86" t="s">
        <v>639</v>
      </c>
      <c r="BX86" t="s">
        <v>346</v>
      </c>
      <c r="BY86" t="s">
        <v>6</v>
      </c>
      <c r="BZ86" t="s">
        <v>38</v>
      </c>
      <c r="CA86" s="56">
        <v>46175</v>
      </c>
      <c r="CB86">
        <v>1</v>
      </c>
      <c r="CC86">
        <v>1</v>
      </c>
      <c r="CE86">
        <v>1</v>
      </c>
      <c r="CG86" s="79">
        <v>2.1990740740740742E-3</v>
      </c>
      <c r="CH86" s="79">
        <v>2.1990740740740742E-3</v>
      </c>
      <c r="CI86" s="79">
        <v>0.25118055555555557</v>
      </c>
      <c r="CJ86" s="79">
        <v>6.8750000000000006E-2</v>
      </c>
      <c r="CK86">
        <v>119</v>
      </c>
      <c r="CL86">
        <v>163</v>
      </c>
      <c r="CM86">
        <v>23</v>
      </c>
      <c r="CN86">
        <v>1.4782608699999999</v>
      </c>
      <c r="CO86">
        <v>20444</v>
      </c>
      <c r="CP86" s="1">
        <v>0.1933</v>
      </c>
      <c r="CR86" s="1"/>
      <c r="CW86" s="1"/>
      <c r="CX86" s="1"/>
      <c r="CY86">
        <v>32</v>
      </c>
      <c r="CZ86">
        <v>40500</v>
      </c>
      <c r="DA86" s="1"/>
      <c r="DB86">
        <v>3</v>
      </c>
      <c r="DC86" t="s">
        <v>158</v>
      </c>
    </row>
    <row r="87" spans="41:107" x14ac:dyDescent="0.25">
      <c r="AO87" s="6"/>
      <c r="AP87" s="6"/>
      <c r="BW87" t="s">
        <v>639</v>
      </c>
      <c r="BX87" t="s">
        <v>346</v>
      </c>
      <c r="BY87" t="s">
        <v>6</v>
      </c>
      <c r="BZ87" t="s">
        <v>38</v>
      </c>
      <c r="CA87" s="56">
        <v>46176</v>
      </c>
      <c r="CB87">
        <v>1</v>
      </c>
      <c r="CC87">
        <v>1</v>
      </c>
      <c r="CE87">
        <v>1</v>
      </c>
      <c r="CG87" s="79">
        <v>6.8287037037037036E-4</v>
      </c>
      <c r="CH87" s="79">
        <v>6.8287037037037036E-4</v>
      </c>
      <c r="CI87" s="79">
        <v>0.2782175925925926</v>
      </c>
      <c r="CJ87" s="79">
        <v>8.4953703703703698E-2</v>
      </c>
      <c r="CK87">
        <v>116</v>
      </c>
      <c r="CL87">
        <v>182</v>
      </c>
      <c r="CM87">
        <v>27</v>
      </c>
      <c r="CN87">
        <v>1.592592593</v>
      </c>
      <c r="CO87">
        <v>15353</v>
      </c>
      <c r="CP87" s="1">
        <v>0.23280000000000001</v>
      </c>
      <c r="CQ87">
        <v>1</v>
      </c>
      <c r="CR87" s="1">
        <v>3.6999999999999998E-2</v>
      </c>
      <c r="CS87">
        <v>398</v>
      </c>
      <c r="CT87">
        <v>398</v>
      </c>
      <c r="CW87" s="1"/>
      <c r="CX87" s="1"/>
      <c r="CY87">
        <v>74</v>
      </c>
      <c r="CZ87">
        <v>40500</v>
      </c>
      <c r="DA87" s="1"/>
      <c r="DB87">
        <v>4</v>
      </c>
      <c r="DC87" t="s">
        <v>209</v>
      </c>
    </row>
    <row r="88" spans="41:107" x14ac:dyDescent="0.25">
      <c r="AO88" s="6"/>
      <c r="AP88" s="6"/>
      <c r="BW88" t="s">
        <v>639</v>
      </c>
      <c r="BX88" t="s">
        <v>346</v>
      </c>
      <c r="BY88" t="s">
        <v>6</v>
      </c>
      <c r="BZ88" t="s">
        <v>38</v>
      </c>
      <c r="CA88" s="56">
        <v>46177</v>
      </c>
      <c r="CB88">
        <v>1</v>
      </c>
      <c r="CC88">
        <v>1</v>
      </c>
      <c r="CE88">
        <v>1</v>
      </c>
      <c r="CG88" s="79">
        <v>2.199074074074074E-4</v>
      </c>
      <c r="CH88" s="79">
        <v>2.199074074074074E-4</v>
      </c>
      <c r="CI88" s="79">
        <v>0.23215277777777779</v>
      </c>
      <c r="CJ88" s="79">
        <v>0.1160763888888889</v>
      </c>
      <c r="CK88">
        <v>97</v>
      </c>
      <c r="CL88">
        <v>175</v>
      </c>
      <c r="CM88">
        <v>23</v>
      </c>
      <c r="CN88">
        <v>1.4782608699999999</v>
      </c>
      <c r="CO88">
        <v>24590</v>
      </c>
      <c r="CP88" s="1">
        <v>0.23710000000000001</v>
      </c>
      <c r="CQ88">
        <v>2</v>
      </c>
      <c r="CR88" s="1">
        <v>8.6999999999999994E-2</v>
      </c>
      <c r="CS88">
        <v>1186</v>
      </c>
      <c r="CT88">
        <v>593</v>
      </c>
      <c r="CW88" s="1"/>
      <c r="CX88" s="1"/>
      <c r="CY88">
        <v>70</v>
      </c>
      <c r="CZ88">
        <v>40500</v>
      </c>
      <c r="DA88" s="1"/>
      <c r="DB88">
        <v>5</v>
      </c>
      <c r="DC88" t="s">
        <v>159</v>
      </c>
    </row>
    <row r="89" spans="41:107" x14ac:dyDescent="0.25">
      <c r="AO89" s="6"/>
      <c r="AP89" s="6"/>
      <c r="BW89" t="s">
        <v>639</v>
      </c>
      <c r="BX89" t="s">
        <v>346</v>
      </c>
      <c r="BY89" t="s">
        <v>6</v>
      </c>
      <c r="BZ89" t="s">
        <v>38</v>
      </c>
      <c r="CA89" s="56">
        <v>46178</v>
      </c>
      <c r="CB89">
        <v>1</v>
      </c>
      <c r="CC89">
        <v>1</v>
      </c>
      <c r="CE89">
        <v>1</v>
      </c>
      <c r="CG89" s="79">
        <v>1.8518518518518518E-4</v>
      </c>
      <c r="CH89" s="79">
        <v>1.8518518518518518E-4</v>
      </c>
      <c r="CI89" s="79">
        <v>0.14949074074074073</v>
      </c>
      <c r="CJ89" s="79">
        <v>4.5810185185185183E-2</v>
      </c>
      <c r="CK89">
        <v>36</v>
      </c>
      <c r="CL89">
        <v>72</v>
      </c>
      <c r="CM89">
        <v>8</v>
      </c>
      <c r="CN89">
        <v>1.25</v>
      </c>
      <c r="CO89">
        <v>6778</v>
      </c>
      <c r="CP89" s="1">
        <v>0.22220000000000001</v>
      </c>
      <c r="CR89" s="1"/>
      <c r="CW89" s="1"/>
      <c r="CX89" s="1"/>
      <c r="CY89">
        <v>100</v>
      </c>
      <c r="CZ89">
        <v>40500</v>
      </c>
      <c r="DA89" s="1"/>
      <c r="DB89">
        <v>1</v>
      </c>
      <c r="DC89" t="s">
        <v>158</v>
      </c>
    </row>
    <row r="90" spans="41:107" x14ac:dyDescent="0.25">
      <c r="AO90" s="6"/>
      <c r="AP90" s="6"/>
      <c r="BW90" t="s">
        <v>639</v>
      </c>
      <c r="BX90" t="s">
        <v>346</v>
      </c>
      <c r="BY90" t="s">
        <v>6</v>
      </c>
      <c r="BZ90" t="s">
        <v>11</v>
      </c>
      <c r="CA90" s="56">
        <v>46174</v>
      </c>
      <c r="CB90">
        <v>1</v>
      </c>
      <c r="CC90">
        <v>1</v>
      </c>
      <c r="CE90">
        <v>1</v>
      </c>
      <c r="CG90" s="79">
        <v>1.6203703703703703E-4</v>
      </c>
      <c r="CH90" s="79">
        <v>1.6203703703703703E-4</v>
      </c>
      <c r="CI90" s="79">
        <v>0.25363425925925925</v>
      </c>
      <c r="CJ90" s="79">
        <v>7.0636574074074074E-2</v>
      </c>
      <c r="CK90">
        <v>117</v>
      </c>
      <c r="CL90">
        <v>184</v>
      </c>
      <c r="CM90">
        <v>40</v>
      </c>
      <c r="CN90">
        <v>1.425</v>
      </c>
      <c r="CO90">
        <v>17645</v>
      </c>
      <c r="CP90" s="1">
        <v>0.34189999999999998</v>
      </c>
      <c r="CQ90">
        <v>9</v>
      </c>
      <c r="CR90" s="1">
        <v>0.22500000000000001</v>
      </c>
      <c r="CS90">
        <v>12431</v>
      </c>
      <c r="CT90">
        <v>1381</v>
      </c>
      <c r="CW90" s="1"/>
      <c r="CX90" s="1"/>
      <c r="CY90">
        <v>54</v>
      </c>
      <c r="CZ90">
        <v>40500</v>
      </c>
      <c r="DA90" s="1"/>
      <c r="DB90">
        <v>2</v>
      </c>
      <c r="DC90" t="s">
        <v>209</v>
      </c>
    </row>
    <row r="91" spans="41:107" x14ac:dyDescent="0.25">
      <c r="AO91" s="6"/>
      <c r="AP91" s="6"/>
      <c r="BW91" t="s">
        <v>639</v>
      </c>
      <c r="BX91" t="s">
        <v>346</v>
      </c>
      <c r="BY91" t="s">
        <v>6</v>
      </c>
      <c r="BZ91" t="s">
        <v>11</v>
      </c>
      <c r="CA91" s="56">
        <v>46175</v>
      </c>
      <c r="CB91">
        <v>1</v>
      </c>
      <c r="CC91">
        <v>1</v>
      </c>
      <c r="CE91">
        <v>1</v>
      </c>
      <c r="CG91" s="79">
        <v>6.9444444444444444E-5</v>
      </c>
      <c r="CH91" s="79">
        <v>6.9444444444444444E-5</v>
      </c>
      <c r="CI91" s="79">
        <v>0.24856481481481482</v>
      </c>
      <c r="CJ91" s="79">
        <v>0.12866898148148148</v>
      </c>
      <c r="CK91">
        <v>123</v>
      </c>
      <c r="CL91">
        <v>202</v>
      </c>
      <c r="CM91">
        <v>19</v>
      </c>
      <c r="CN91">
        <v>2</v>
      </c>
      <c r="CO91">
        <v>11879</v>
      </c>
      <c r="CP91" s="1">
        <v>0.1545</v>
      </c>
      <c r="CQ91">
        <v>2</v>
      </c>
      <c r="CR91" s="1">
        <v>0.1053</v>
      </c>
      <c r="CS91">
        <v>5000</v>
      </c>
      <c r="CT91">
        <v>2500</v>
      </c>
      <c r="CU91">
        <v>4500</v>
      </c>
      <c r="CV91">
        <v>4500</v>
      </c>
      <c r="CW91" s="1">
        <v>0.9</v>
      </c>
      <c r="CX91" s="1">
        <v>0.14580000000000001</v>
      </c>
      <c r="CY91">
        <v>64</v>
      </c>
      <c r="CZ91">
        <v>40500</v>
      </c>
      <c r="DA91" s="1">
        <v>0.1111</v>
      </c>
      <c r="DB91">
        <v>3</v>
      </c>
      <c r="DC91" t="s">
        <v>159</v>
      </c>
    </row>
    <row r="92" spans="41:107" x14ac:dyDescent="0.25">
      <c r="AO92" s="6"/>
      <c r="AP92" s="6"/>
      <c r="BW92" t="s">
        <v>639</v>
      </c>
      <c r="BX92" t="s">
        <v>346</v>
      </c>
      <c r="BY92" t="s">
        <v>6</v>
      </c>
      <c r="BZ92" t="s">
        <v>11</v>
      </c>
      <c r="CA92" s="56">
        <v>46176</v>
      </c>
      <c r="CB92">
        <v>1</v>
      </c>
      <c r="CC92">
        <v>1</v>
      </c>
      <c r="CE92">
        <v>1</v>
      </c>
      <c r="CG92" s="79">
        <v>1.5046296296296297E-4</v>
      </c>
      <c r="CH92" s="79">
        <v>1.5046296296296297E-4</v>
      </c>
      <c r="CI92" s="79">
        <v>0.26885416666666667</v>
      </c>
      <c r="CJ92" s="79">
        <v>9.7280092592592599E-2</v>
      </c>
      <c r="CK92">
        <v>152</v>
      </c>
      <c r="CL92">
        <v>242</v>
      </c>
      <c r="CM92">
        <v>12</v>
      </c>
      <c r="CN92">
        <v>1.4166666670000001</v>
      </c>
      <c r="CO92">
        <v>7681</v>
      </c>
      <c r="CP92" s="1">
        <v>7.8899999999999998E-2</v>
      </c>
      <c r="CR92" s="1"/>
      <c r="CW92" s="1"/>
      <c r="CX92" s="1"/>
      <c r="CY92">
        <v>66</v>
      </c>
      <c r="CZ92">
        <v>40500</v>
      </c>
      <c r="DA92" s="1"/>
      <c r="DB92">
        <v>4</v>
      </c>
      <c r="DC92" t="s">
        <v>158</v>
      </c>
    </row>
    <row r="93" spans="41:107" x14ac:dyDescent="0.25">
      <c r="AO93" s="6"/>
      <c r="AP93" s="6"/>
      <c r="BW93" t="s">
        <v>639</v>
      </c>
      <c r="BX93" t="s">
        <v>346</v>
      </c>
      <c r="BY93" t="s">
        <v>6</v>
      </c>
      <c r="BZ93" t="s">
        <v>11</v>
      </c>
      <c r="CA93" s="56">
        <v>46177</v>
      </c>
      <c r="CB93">
        <v>1</v>
      </c>
      <c r="CC93">
        <v>1</v>
      </c>
      <c r="CE93">
        <v>1</v>
      </c>
      <c r="CG93" s="79">
        <v>6.9444444444444444E-5</v>
      </c>
      <c r="CH93" s="79">
        <v>6.9444444444444444E-5</v>
      </c>
      <c r="CI93" s="79">
        <v>0.26518518518518519</v>
      </c>
      <c r="CJ93" s="79">
        <v>8.7592592592592597E-2</v>
      </c>
      <c r="CK93">
        <v>112</v>
      </c>
      <c r="CL93">
        <v>205</v>
      </c>
      <c r="CM93">
        <v>18</v>
      </c>
      <c r="CN93">
        <v>1.7222222220000001</v>
      </c>
      <c r="CO93">
        <v>10007</v>
      </c>
      <c r="CP93" s="1">
        <v>0.16070000000000001</v>
      </c>
      <c r="CQ93">
        <v>2</v>
      </c>
      <c r="CR93" s="1">
        <v>0.1111</v>
      </c>
      <c r="CS93">
        <v>2700</v>
      </c>
      <c r="CT93">
        <v>1350</v>
      </c>
      <c r="CU93">
        <v>2700</v>
      </c>
      <c r="CV93">
        <v>1350</v>
      </c>
      <c r="CW93" s="1">
        <v>1</v>
      </c>
      <c r="CX93" s="1">
        <v>0.1076</v>
      </c>
      <c r="CY93">
        <v>88</v>
      </c>
      <c r="CZ93">
        <v>40500</v>
      </c>
      <c r="DA93" s="1">
        <v>6.6699999999999995E-2</v>
      </c>
      <c r="DB93">
        <v>5</v>
      </c>
      <c r="DC93" t="s">
        <v>209</v>
      </c>
    </row>
    <row r="94" spans="41:107" x14ac:dyDescent="0.25">
      <c r="AO94" s="6"/>
      <c r="AP94" s="6"/>
      <c r="BW94" t="s">
        <v>639</v>
      </c>
      <c r="BX94" t="s">
        <v>346</v>
      </c>
      <c r="BY94" t="s">
        <v>6</v>
      </c>
      <c r="BZ94" t="s">
        <v>11</v>
      </c>
      <c r="CA94" s="56">
        <v>46178</v>
      </c>
      <c r="CB94">
        <v>1</v>
      </c>
      <c r="CC94">
        <v>1</v>
      </c>
      <c r="CE94">
        <v>1</v>
      </c>
      <c r="CG94" s="79">
        <v>1.3888888888888889E-4</v>
      </c>
      <c r="CH94" s="79">
        <v>1.3888888888888889E-4</v>
      </c>
      <c r="CI94" s="79">
        <v>0.13644675925925925</v>
      </c>
      <c r="CJ94" s="79">
        <v>5.4259259259259257E-2</v>
      </c>
      <c r="CK94">
        <v>30</v>
      </c>
      <c r="CL94">
        <v>48</v>
      </c>
      <c r="CM94">
        <v>4</v>
      </c>
      <c r="CN94">
        <v>1</v>
      </c>
      <c r="CO94">
        <v>24430</v>
      </c>
      <c r="CP94" s="1">
        <v>0.1333</v>
      </c>
      <c r="CR94" s="1"/>
      <c r="CW94" s="1"/>
      <c r="CX94" s="1"/>
      <c r="CY94">
        <v>100</v>
      </c>
      <c r="CZ94">
        <v>40500</v>
      </c>
      <c r="DA94" s="1"/>
      <c r="DB94">
        <v>1</v>
      </c>
      <c r="DC94" t="s">
        <v>159</v>
      </c>
    </row>
    <row r="95" spans="41:107" x14ac:dyDescent="0.25">
      <c r="AO95" s="6"/>
      <c r="AP95" s="6"/>
      <c r="BW95" t="s">
        <v>639</v>
      </c>
      <c r="BX95" t="s">
        <v>346</v>
      </c>
      <c r="BY95" t="s">
        <v>6</v>
      </c>
      <c r="BZ95" t="s">
        <v>97</v>
      </c>
      <c r="CA95" s="56">
        <v>46174</v>
      </c>
      <c r="CB95">
        <v>1</v>
      </c>
      <c r="CC95">
        <v>1</v>
      </c>
      <c r="CE95">
        <v>1</v>
      </c>
      <c r="CG95" s="79">
        <v>4.6296296296296294E-5</v>
      </c>
      <c r="CH95" s="79">
        <v>4.6296296296296294E-5</v>
      </c>
      <c r="CI95" s="79">
        <v>0.18590277777777778</v>
      </c>
      <c r="CJ95" s="79">
        <v>0.1209837962962963</v>
      </c>
      <c r="CK95">
        <v>73</v>
      </c>
      <c r="CL95">
        <v>120</v>
      </c>
      <c r="CM95">
        <v>36</v>
      </c>
      <c r="CN95">
        <v>1.5555555560000001</v>
      </c>
      <c r="CO95">
        <v>10494</v>
      </c>
      <c r="CP95" s="1">
        <v>0.49320000000000003</v>
      </c>
      <c r="CQ95">
        <v>26</v>
      </c>
      <c r="CR95" s="1">
        <v>0.72219999999999995</v>
      </c>
      <c r="CS95">
        <v>18654</v>
      </c>
      <c r="CT95">
        <v>717</v>
      </c>
      <c r="CU95">
        <v>7010</v>
      </c>
      <c r="CV95">
        <v>1402</v>
      </c>
      <c r="CW95" s="1">
        <v>0.37580000000000002</v>
      </c>
      <c r="CX95" s="1">
        <v>0.37859999999999999</v>
      </c>
      <c r="CY95">
        <v>84</v>
      </c>
      <c r="CZ95">
        <v>40500</v>
      </c>
      <c r="DA95" s="1">
        <v>0.1731</v>
      </c>
      <c r="DB95">
        <v>2</v>
      </c>
      <c r="DC95" t="s">
        <v>158</v>
      </c>
    </row>
    <row r="96" spans="41:107" x14ac:dyDescent="0.25">
      <c r="AO96" s="6"/>
      <c r="AP96" s="6"/>
      <c r="BW96" t="s">
        <v>639</v>
      </c>
      <c r="BX96" t="s">
        <v>346</v>
      </c>
      <c r="BY96" t="s">
        <v>6</v>
      </c>
      <c r="BZ96" t="s">
        <v>97</v>
      </c>
      <c r="CA96" s="56">
        <v>46175</v>
      </c>
      <c r="CB96">
        <v>1</v>
      </c>
      <c r="CC96">
        <v>1</v>
      </c>
      <c r="CE96">
        <v>1</v>
      </c>
      <c r="CG96" s="79">
        <v>8.1018518518518516E-5</v>
      </c>
      <c r="CH96" s="79">
        <v>8.1018518518518516E-5</v>
      </c>
      <c r="CI96" s="79">
        <v>0.27437499999999998</v>
      </c>
      <c r="CJ96" s="79">
        <v>7.0208333333333331E-2</v>
      </c>
      <c r="CK96">
        <v>110</v>
      </c>
      <c r="CL96">
        <v>145</v>
      </c>
      <c r="CM96">
        <v>15</v>
      </c>
      <c r="CN96">
        <v>1.6</v>
      </c>
      <c r="CO96">
        <v>9938</v>
      </c>
      <c r="CP96" s="1">
        <v>0.13639999999999999</v>
      </c>
      <c r="CQ96">
        <v>3</v>
      </c>
      <c r="CR96" s="1">
        <v>0.2</v>
      </c>
      <c r="CS96">
        <v>5514</v>
      </c>
      <c r="CT96">
        <v>1838</v>
      </c>
      <c r="CU96">
        <v>5000</v>
      </c>
      <c r="CV96">
        <v>5000</v>
      </c>
      <c r="CW96" s="1">
        <v>0.90680000000000005</v>
      </c>
      <c r="CX96" s="1"/>
      <c r="CY96">
        <v>72</v>
      </c>
      <c r="CZ96">
        <v>40500</v>
      </c>
      <c r="DA96" s="1">
        <v>0.1235</v>
      </c>
      <c r="DB96">
        <v>3</v>
      </c>
      <c r="DC96" t="s">
        <v>209</v>
      </c>
    </row>
    <row r="97" spans="41:107" x14ac:dyDescent="0.25">
      <c r="AO97" s="6"/>
      <c r="AP97" s="6"/>
      <c r="BW97" t="s">
        <v>639</v>
      </c>
      <c r="BX97" t="s">
        <v>346</v>
      </c>
      <c r="BY97" t="s">
        <v>6</v>
      </c>
      <c r="BZ97" t="s">
        <v>97</v>
      </c>
      <c r="CA97" s="56">
        <v>46176</v>
      </c>
      <c r="CB97">
        <v>1</v>
      </c>
      <c r="CC97">
        <v>1</v>
      </c>
      <c r="CE97">
        <v>1</v>
      </c>
      <c r="CG97" s="79">
        <v>3.4722222222222222E-5</v>
      </c>
      <c r="CH97" s="79">
        <v>3.4722222222222222E-5</v>
      </c>
      <c r="CI97" s="79">
        <v>0.28768518518518521</v>
      </c>
      <c r="CJ97" s="79">
        <v>7.930555555555556E-2</v>
      </c>
      <c r="CK97">
        <v>110</v>
      </c>
      <c r="CL97">
        <v>159</v>
      </c>
      <c r="CM97">
        <v>17</v>
      </c>
      <c r="CN97">
        <v>1.9411764709999999</v>
      </c>
      <c r="CO97">
        <v>39239</v>
      </c>
      <c r="CP97" s="1">
        <v>0.1545</v>
      </c>
      <c r="CQ97">
        <v>1</v>
      </c>
      <c r="CR97" s="1">
        <v>5.8799999999999998E-2</v>
      </c>
      <c r="CS97">
        <v>3000</v>
      </c>
      <c r="CT97">
        <v>3000</v>
      </c>
      <c r="CW97" s="1"/>
      <c r="CX97" s="1"/>
      <c r="CY97">
        <v>82</v>
      </c>
      <c r="CZ97">
        <v>40500</v>
      </c>
      <c r="DA97" s="1"/>
      <c r="DB97">
        <v>4</v>
      </c>
      <c r="DC97" t="s">
        <v>159</v>
      </c>
    </row>
    <row r="98" spans="41:107" x14ac:dyDescent="0.25">
      <c r="AO98" s="6"/>
      <c r="AP98" s="6"/>
      <c r="BW98" t="s">
        <v>639</v>
      </c>
      <c r="BX98" t="s">
        <v>346</v>
      </c>
      <c r="BY98" t="s">
        <v>6</v>
      </c>
      <c r="BZ98" t="s">
        <v>97</v>
      </c>
      <c r="CA98" s="56">
        <v>46177</v>
      </c>
      <c r="CB98">
        <v>1</v>
      </c>
      <c r="CC98">
        <v>1</v>
      </c>
      <c r="CE98">
        <v>1</v>
      </c>
      <c r="CG98" s="79">
        <v>4.6296296296296294E-5</v>
      </c>
      <c r="CH98" s="79">
        <v>4.6296296296296294E-5</v>
      </c>
      <c r="CI98" s="79">
        <v>0.26799768518518519</v>
      </c>
      <c r="CJ98" s="79">
        <v>7.0509259259259258E-2</v>
      </c>
      <c r="CK98">
        <v>177</v>
      </c>
      <c r="CL98">
        <v>216</v>
      </c>
      <c r="CM98">
        <v>13</v>
      </c>
      <c r="CN98">
        <v>1.769230769</v>
      </c>
      <c r="CO98">
        <v>21244</v>
      </c>
      <c r="CP98" s="1">
        <v>7.3400000000000007E-2</v>
      </c>
      <c r="CR98" s="1"/>
      <c r="CW98" s="1"/>
      <c r="CX98" s="1"/>
      <c r="CY98">
        <v>66</v>
      </c>
      <c r="CZ98">
        <v>40500</v>
      </c>
      <c r="DA98" s="1"/>
      <c r="DB98">
        <v>5</v>
      </c>
      <c r="DC98" t="s">
        <v>158</v>
      </c>
    </row>
    <row r="99" spans="41:107" x14ac:dyDescent="0.25">
      <c r="AO99" s="6"/>
      <c r="AP99" s="6"/>
      <c r="BW99" t="s">
        <v>639</v>
      </c>
      <c r="BX99" t="s">
        <v>346</v>
      </c>
      <c r="BY99" t="s">
        <v>6</v>
      </c>
      <c r="BZ99" t="s">
        <v>97</v>
      </c>
      <c r="CA99" s="56">
        <v>46178</v>
      </c>
      <c r="CB99">
        <v>1</v>
      </c>
      <c r="CC99">
        <v>1</v>
      </c>
      <c r="CE99">
        <v>1</v>
      </c>
      <c r="CG99" s="79">
        <v>3.4722222222222222E-5</v>
      </c>
      <c r="CH99" s="79">
        <v>3.4722222222222222E-5</v>
      </c>
      <c r="CI99" s="79">
        <v>0.14162037037037037</v>
      </c>
      <c r="CJ99" s="79">
        <v>4.8298611111111112E-2</v>
      </c>
      <c r="CK99">
        <v>76</v>
      </c>
      <c r="CL99">
        <v>84</v>
      </c>
      <c r="CM99">
        <v>5</v>
      </c>
      <c r="CN99">
        <v>1</v>
      </c>
      <c r="CO99">
        <v>31955</v>
      </c>
      <c r="CP99" s="1">
        <v>6.5799999999999997E-2</v>
      </c>
      <c r="CR99" s="1"/>
      <c r="CW99" s="1"/>
      <c r="CX99" s="1"/>
      <c r="CY99">
        <v>100</v>
      </c>
      <c r="CZ99">
        <v>40500</v>
      </c>
      <c r="DA99" s="1"/>
      <c r="DB99">
        <v>1</v>
      </c>
      <c r="DC99" t="s">
        <v>209</v>
      </c>
    </row>
    <row r="100" spans="41:107" x14ac:dyDescent="0.25">
      <c r="AO100" s="6"/>
      <c r="AP100" s="6"/>
      <c r="BW100" t="s">
        <v>639</v>
      </c>
      <c r="BX100" t="s">
        <v>346</v>
      </c>
      <c r="BY100" t="s">
        <v>6</v>
      </c>
      <c r="BZ100" t="s">
        <v>34</v>
      </c>
      <c r="CA100" s="56">
        <v>46174</v>
      </c>
      <c r="CB100">
        <v>1</v>
      </c>
      <c r="CC100">
        <v>1</v>
      </c>
      <c r="CE100">
        <v>1</v>
      </c>
      <c r="CG100" s="79">
        <v>1.0416666666666667E-4</v>
      </c>
      <c r="CH100" s="79">
        <v>1.0416666666666667E-4</v>
      </c>
      <c r="CI100" s="79">
        <v>0.20614583333333333</v>
      </c>
      <c r="CJ100" s="79">
        <v>3.9618055555555552E-2</v>
      </c>
      <c r="CK100">
        <v>61</v>
      </c>
      <c r="CL100">
        <v>87</v>
      </c>
      <c r="CM100">
        <v>12</v>
      </c>
      <c r="CN100">
        <v>1.5833333329999999</v>
      </c>
      <c r="CO100">
        <v>25652</v>
      </c>
      <c r="CP100" s="1">
        <v>0.19670000000000001</v>
      </c>
      <c r="CQ100">
        <v>3</v>
      </c>
      <c r="CR100" s="1">
        <v>0.25</v>
      </c>
      <c r="CS100">
        <v>14850</v>
      </c>
      <c r="CT100">
        <v>4950</v>
      </c>
      <c r="CW100" s="1"/>
      <c r="CX100" s="1"/>
      <c r="CY100">
        <v>60</v>
      </c>
      <c r="CZ100">
        <v>40500</v>
      </c>
      <c r="DA100" s="1"/>
      <c r="DB100">
        <v>2</v>
      </c>
      <c r="DC100" t="s">
        <v>159</v>
      </c>
    </row>
    <row r="101" spans="41:107" x14ac:dyDescent="0.25">
      <c r="AO101" s="6"/>
      <c r="AP101" s="6"/>
      <c r="BW101" t="s">
        <v>639</v>
      </c>
      <c r="BX101" t="s">
        <v>346</v>
      </c>
      <c r="BY101" t="s">
        <v>6</v>
      </c>
      <c r="BZ101" t="s">
        <v>34</v>
      </c>
      <c r="CA101" s="56">
        <v>46175</v>
      </c>
      <c r="CB101">
        <v>1</v>
      </c>
      <c r="CC101">
        <v>1</v>
      </c>
      <c r="CE101">
        <v>1</v>
      </c>
      <c r="CG101" s="79">
        <v>3.4722222222222222E-5</v>
      </c>
      <c r="CH101" s="79">
        <v>3.4722222222222222E-5</v>
      </c>
      <c r="CI101" s="79">
        <v>0.26314814814814813</v>
      </c>
      <c r="CJ101" s="79">
        <v>7.1979166666666664E-2</v>
      </c>
      <c r="CK101">
        <v>155</v>
      </c>
      <c r="CL101">
        <v>178</v>
      </c>
      <c r="CM101">
        <v>10</v>
      </c>
      <c r="CN101">
        <v>1.8</v>
      </c>
      <c r="CO101">
        <v>16130</v>
      </c>
      <c r="CP101" s="1">
        <v>6.4500000000000002E-2</v>
      </c>
      <c r="CQ101">
        <v>2</v>
      </c>
      <c r="CR101" s="1">
        <v>0.2</v>
      </c>
      <c r="CS101">
        <v>6500</v>
      </c>
      <c r="CT101">
        <v>3250</v>
      </c>
      <c r="CU101">
        <v>6000</v>
      </c>
      <c r="CV101">
        <v>6000</v>
      </c>
      <c r="CW101" s="1">
        <v>0.92310000000000003</v>
      </c>
      <c r="CX101" s="1">
        <v>0.11409999999999999</v>
      </c>
      <c r="CY101">
        <v>88</v>
      </c>
      <c r="CZ101">
        <v>40500</v>
      </c>
      <c r="DA101" s="1">
        <v>0.14810000000000001</v>
      </c>
      <c r="DB101">
        <v>3</v>
      </c>
      <c r="DC101" t="s">
        <v>158</v>
      </c>
    </row>
    <row r="102" spans="41:107" x14ac:dyDescent="0.25">
      <c r="AO102" s="6"/>
      <c r="AP102" s="6"/>
      <c r="BW102" t="s">
        <v>639</v>
      </c>
      <c r="BX102" t="s">
        <v>346</v>
      </c>
      <c r="BY102" t="s">
        <v>6</v>
      </c>
      <c r="BZ102" t="s">
        <v>34</v>
      </c>
      <c r="CA102" s="56">
        <v>46176</v>
      </c>
      <c r="CB102">
        <v>1</v>
      </c>
      <c r="CC102">
        <v>1</v>
      </c>
      <c r="CE102">
        <v>1</v>
      </c>
      <c r="CG102" s="79">
        <v>2.3148148148148147E-5</v>
      </c>
      <c r="CH102" s="79">
        <v>2.3148148148148147E-5</v>
      </c>
      <c r="CI102" s="79">
        <v>0.27765046296296297</v>
      </c>
      <c r="CJ102" s="79">
        <v>8.0648148148148149E-2</v>
      </c>
      <c r="CK102">
        <v>131</v>
      </c>
      <c r="CL102">
        <v>158</v>
      </c>
      <c r="CM102">
        <v>13</v>
      </c>
      <c r="CN102">
        <v>2.153846154</v>
      </c>
      <c r="CO102">
        <v>18458</v>
      </c>
      <c r="CP102" s="1">
        <v>9.9199999999999997E-2</v>
      </c>
      <c r="CQ102">
        <v>2</v>
      </c>
      <c r="CR102" s="1">
        <v>0.15379999999999999</v>
      </c>
      <c r="CS102">
        <v>910</v>
      </c>
      <c r="CT102">
        <v>455</v>
      </c>
      <c r="CU102">
        <v>680</v>
      </c>
      <c r="CV102">
        <v>680</v>
      </c>
      <c r="CW102" s="1">
        <v>0.74729999999999996</v>
      </c>
      <c r="CX102" s="1">
        <v>0.63660000000000005</v>
      </c>
      <c r="CY102">
        <v>98</v>
      </c>
      <c r="CZ102">
        <v>40500</v>
      </c>
      <c r="DA102" s="1">
        <v>1.6799999999999999E-2</v>
      </c>
      <c r="DB102">
        <v>4</v>
      </c>
      <c r="DC102" t="s">
        <v>209</v>
      </c>
    </row>
    <row r="103" spans="41:107" x14ac:dyDescent="0.25">
      <c r="AO103" s="6"/>
      <c r="AP103" s="6"/>
      <c r="BW103" t="s">
        <v>639</v>
      </c>
      <c r="BX103" t="s">
        <v>346</v>
      </c>
      <c r="BY103" t="s">
        <v>6</v>
      </c>
      <c r="BZ103" t="s">
        <v>34</v>
      </c>
      <c r="CA103" s="56">
        <v>46177</v>
      </c>
      <c r="CB103">
        <v>1</v>
      </c>
      <c r="CC103">
        <v>1</v>
      </c>
      <c r="CE103">
        <v>1</v>
      </c>
      <c r="CG103" s="79">
        <v>3.4722222222222222E-5</v>
      </c>
      <c r="CH103" s="79">
        <v>3.4722222222222222E-5</v>
      </c>
      <c r="CI103" s="79">
        <v>0.24466435185185184</v>
      </c>
      <c r="CJ103" s="79">
        <v>0.10023148148148148</v>
      </c>
      <c r="CK103">
        <v>131</v>
      </c>
      <c r="CL103">
        <v>154</v>
      </c>
      <c r="CM103">
        <v>10</v>
      </c>
      <c r="CN103">
        <v>1.7</v>
      </c>
      <c r="CO103">
        <v>15929</v>
      </c>
      <c r="CP103" s="1">
        <v>7.6300000000000007E-2</v>
      </c>
      <c r="CQ103">
        <v>1</v>
      </c>
      <c r="CR103" s="1">
        <v>0.1</v>
      </c>
      <c r="CS103">
        <v>480</v>
      </c>
      <c r="CT103">
        <v>480</v>
      </c>
      <c r="CW103" s="1"/>
      <c r="CX103" s="1"/>
      <c r="CY103">
        <v>80</v>
      </c>
      <c r="CZ103">
        <v>40500</v>
      </c>
      <c r="DA103" s="1"/>
      <c r="DB103">
        <v>5</v>
      </c>
      <c r="DC103" t="s">
        <v>159</v>
      </c>
    </row>
    <row r="104" spans="41:107" x14ac:dyDescent="0.25">
      <c r="AO104" s="6"/>
      <c r="AP104" s="6"/>
      <c r="BW104" t="s">
        <v>639</v>
      </c>
      <c r="BX104" t="s">
        <v>346</v>
      </c>
      <c r="BY104" t="s">
        <v>6</v>
      </c>
      <c r="BZ104" t="s">
        <v>34</v>
      </c>
      <c r="CA104" s="56">
        <v>46178</v>
      </c>
      <c r="CB104">
        <v>1</v>
      </c>
      <c r="CC104">
        <v>1</v>
      </c>
      <c r="CE104">
        <v>1</v>
      </c>
      <c r="CG104" s="79">
        <v>6.9444444444444444E-5</v>
      </c>
      <c r="CH104" s="79">
        <v>6.9444444444444444E-5</v>
      </c>
      <c r="CI104" s="79">
        <v>0.13710648148148147</v>
      </c>
      <c r="CJ104" s="79">
        <v>4.8043981481481479E-2</v>
      </c>
      <c r="CK104">
        <v>35</v>
      </c>
      <c r="CL104">
        <v>41</v>
      </c>
      <c r="CM104">
        <v>4</v>
      </c>
      <c r="CN104">
        <v>1</v>
      </c>
      <c r="CO104">
        <v>11679</v>
      </c>
      <c r="CP104" s="1">
        <v>0.1143</v>
      </c>
      <c r="CR104" s="1"/>
      <c r="CW104" s="1"/>
      <c r="CX104" s="1"/>
      <c r="CY104">
        <v>100</v>
      </c>
      <c r="CZ104">
        <v>40500</v>
      </c>
      <c r="DA104" s="1"/>
      <c r="DB104">
        <v>1</v>
      </c>
      <c r="DC104" t="s">
        <v>158</v>
      </c>
    </row>
    <row r="105" spans="41:107" x14ac:dyDescent="0.25">
      <c r="AO105" s="6"/>
      <c r="AP105" s="6"/>
      <c r="BW105" t="s">
        <v>639</v>
      </c>
      <c r="BX105" t="s">
        <v>346</v>
      </c>
      <c r="BY105" t="s">
        <v>7</v>
      </c>
      <c r="BZ105" t="s">
        <v>600</v>
      </c>
      <c r="CA105" s="56">
        <v>46175</v>
      </c>
      <c r="CB105">
        <v>1</v>
      </c>
      <c r="CC105">
        <v>1</v>
      </c>
      <c r="CE105">
        <v>1</v>
      </c>
      <c r="CG105" s="79">
        <v>3.2407407407407406E-4</v>
      </c>
      <c r="CH105" s="79">
        <v>3.2407407407407406E-4</v>
      </c>
      <c r="CI105" s="79">
        <v>0.20552083333333335</v>
      </c>
      <c r="CJ105" s="79">
        <v>0.14975694444444446</v>
      </c>
      <c r="CK105">
        <v>109</v>
      </c>
      <c r="CL105">
        <v>211</v>
      </c>
      <c r="CM105">
        <v>50</v>
      </c>
      <c r="CN105">
        <v>1.72</v>
      </c>
      <c r="CO105">
        <v>5437</v>
      </c>
      <c r="CP105" s="1">
        <v>0.4587</v>
      </c>
      <c r="CQ105">
        <v>4</v>
      </c>
      <c r="CR105" s="1">
        <v>0.08</v>
      </c>
      <c r="CS105">
        <v>1115</v>
      </c>
      <c r="CT105">
        <v>279</v>
      </c>
      <c r="CU105">
        <v>700</v>
      </c>
      <c r="CV105">
        <v>350</v>
      </c>
      <c r="CW105" s="1">
        <v>0.62780000000000002</v>
      </c>
      <c r="CX105" s="1">
        <v>0.22900000000000001</v>
      </c>
      <c r="CY105">
        <v>92</v>
      </c>
      <c r="CZ105">
        <v>12000</v>
      </c>
      <c r="DA105" s="1">
        <v>5.8299999999999998E-2</v>
      </c>
      <c r="DB105">
        <v>2</v>
      </c>
      <c r="DC105" t="s">
        <v>209</v>
      </c>
    </row>
    <row r="106" spans="41:107" x14ac:dyDescent="0.25">
      <c r="AO106" s="6"/>
      <c r="AP106" s="6"/>
      <c r="BW106" t="s">
        <v>639</v>
      </c>
      <c r="BX106" t="s">
        <v>346</v>
      </c>
      <c r="BY106" t="s">
        <v>7</v>
      </c>
      <c r="BZ106" t="s">
        <v>600</v>
      </c>
      <c r="CA106" s="56">
        <v>46176</v>
      </c>
      <c r="CB106">
        <v>1</v>
      </c>
      <c r="CC106">
        <v>1</v>
      </c>
      <c r="CE106">
        <v>1</v>
      </c>
      <c r="CG106" s="79">
        <v>6.9444444444444444E-5</v>
      </c>
      <c r="CH106" s="79">
        <v>6.9444444444444444E-5</v>
      </c>
      <c r="CI106" s="79">
        <v>0.26546296296296296</v>
      </c>
      <c r="CJ106" s="79">
        <v>0.12555555555555556</v>
      </c>
      <c r="CK106">
        <v>141</v>
      </c>
      <c r="CL106">
        <v>257</v>
      </c>
      <c r="CM106">
        <v>45</v>
      </c>
      <c r="CN106">
        <v>1.511111111</v>
      </c>
      <c r="CO106">
        <v>9785</v>
      </c>
      <c r="CP106" s="1">
        <v>0.31909999999999999</v>
      </c>
      <c r="CQ106">
        <v>1</v>
      </c>
      <c r="CR106" s="1">
        <v>2.2200000000000001E-2</v>
      </c>
      <c r="CS106">
        <v>340</v>
      </c>
      <c r="CT106">
        <v>340</v>
      </c>
      <c r="CW106" s="1"/>
      <c r="CX106" s="1"/>
      <c r="CY106">
        <v>58</v>
      </c>
      <c r="CZ106">
        <v>12000</v>
      </c>
      <c r="DA106" s="1"/>
      <c r="DB106">
        <v>3</v>
      </c>
      <c r="DC106" t="s">
        <v>159</v>
      </c>
    </row>
    <row r="107" spans="41:107" x14ac:dyDescent="0.25">
      <c r="AO107" s="6"/>
      <c r="AP107" s="6"/>
      <c r="BW107" t="s">
        <v>639</v>
      </c>
      <c r="BX107" t="s">
        <v>346</v>
      </c>
      <c r="BY107" t="s">
        <v>7</v>
      </c>
      <c r="BZ107" t="s">
        <v>600</v>
      </c>
      <c r="CA107" s="56">
        <v>46177</v>
      </c>
      <c r="CB107">
        <v>1</v>
      </c>
      <c r="CC107">
        <v>1</v>
      </c>
      <c r="CE107">
        <v>1</v>
      </c>
      <c r="CG107" s="79">
        <v>8.1018518518518516E-5</v>
      </c>
      <c r="CH107" s="79">
        <v>8.1018518518518516E-5</v>
      </c>
      <c r="CI107" s="79">
        <v>0.19608796296296296</v>
      </c>
      <c r="CJ107" s="79">
        <v>0.14935185185185185</v>
      </c>
      <c r="CK107">
        <v>70</v>
      </c>
      <c r="CL107">
        <v>133</v>
      </c>
      <c r="CM107">
        <v>28</v>
      </c>
      <c r="CN107">
        <v>1.4642857140000001</v>
      </c>
      <c r="CO107">
        <v>8748</v>
      </c>
      <c r="CP107" s="1">
        <v>0.4</v>
      </c>
      <c r="CR107" s="1"/>
      <c r="CW107" s="1"/>
      <c r="CX107" s="1"/>
      <c r="CY107">
        <v>68</v>
      </c>
      <c r="CZ107">
        <v>12000</v>
      </c>
      <c r="DA107" s="1"/>
      <c r="DB107">
        <v>4</v>
      </c>
      <c r="DC107" t="s">
        <v>158</v>
      </c>
    </row>
    <row r="108" spans="41:107" x14ac:dyDescent="0.25">
      <c r="AO108" s="6"/>
      <c r="AP108" s="6"/>
      <c r="BW108" t="s">
        <v>639</v>
      </c>
      <c r="BX108" t="s">
        <v>346</v>
      </c>
      <c r="BY108" t="s">
        <v>7</v>
      </c>
      <c r="BZ108" t="s">
        <v>600</v>
      </c>
      <c r="CA108" s="56">
        <v>46178</v>
      </c>
      <c r="CB108">
        <v>1</v>
      </c>
      <c r="CC108">
        <v>1</v>
      </c>
      <c r="CE108">
        <v>1</v>
      </c>
      <c r="CG108" s="79">
        <v>2.0833333333333335E-4</v>
      </c>
      <c r="CH108" s="79">
        <v>2.0833333333333335E-4</v>
      </c>
      <c r="CI108" s="79">
        <v>0.1280324074074074</v>
      </c>
      <c r="CJ108" s="79">
        <v>6.4270833333333333E-2</v>
      </c>
      <c r="CK108">
        <v>29</v>
      </c>
      <c r="CL108">
        <v>46</v>
      </c>
      <c r="CM108">
        <v>13</v>
      </c>
      <c r="CN108">
        <v>1.076923077</v>
      </c>
      <c r="CO108">
        <v>9041</v>
      </c>
      <c r="CP108" s="1">
        <v>0.44829999999999998</v>
      </c>
      <c r="CR108" s="1"/>
      <c r="CW108" s="1"/>
      <c r="CX108" s="1"/>
      <c r="CY108">
        <v>100</v>
      </c>
      <c r="CZ108">
        <v>12000</v>
      </c>
      <c r="DA108" s="1"/>
      <c r="DB108">
        <v>5</v>
      </c>
      <c r="DC108" t="s">
        <v>209</v>
      </c>
    </row>
    <row r="109" spans="41:107" x14ac:dyDescent="0.25">
      <c r="AO109" s="6"/>
      <c r="AP109" s="6"/>
      <c r="BW109" t="s">
        <v>639</v>
      </c>
      <c r="BX109" t="s">
        <v>346</v>
      </c>
      <c r="BY109" t="s">
        <v>7</v>
      </c>
      <c r="BZ109" t="s">
        <v>51</v>
      </c>
      <c r="CA109" s="56">
        <v>46175</v>
      </c>
      <c r="CB109">
        <v>1</v>
      </c>
      <c r="CC109">
        <v>1</v>
      </c>
      <c r="CE109">
        <v>1</v>
      </c>
      <c r="CG109" s="79">
        <v>4.861111111111111E-4</v>
      </c>
      <c r="CH109" s="79">
        <v>4.861111111111111E-4</v>
      </c>
      <c r="CI109" s="79">
        <v>0.22168981481481481</v>
      </c>
      <c r="CJ109" s="79">
        <v>0.10489583333333333</v>
      </c>
      <c r="CK109">
        <v>102</v>
      </c>
      <c r="CL109">
        <v>190</v>
      </c>
      <c r="CM109">
        <v>27</v>
      </c>
      <c r="CN109">
        <v>1.6666666670000001</v>
      </c>
      <c r="CO109">
        <v>8638</v>
      </c>
      <c r="CP109" s="1">
        <v>0.26469999999999999</v>
      </c>
      <c r="CQ109">
        <v>3</v>
      </c>
      <c r="CR109" s="1">
        <v>0.1111</v>
      </c>
      <c r="CS109">
        <v>590</v>
      </c>
      <c r="CT109">
        <v>197</v>
      </c>
      <c r="CW109" s="1"/>
      <c r="CX109" s="1"/>
      <c r="CY109">
        <v>68</v>
      </c>
      <c r="CZ109">
        <v>12000</v>
      </c>
      <c r="DA109" s="1"/>
      <c r="DB109">
        <v>1</v>
      </c>
      <c r="DC109" t="s">
        <v>159</v>
      </c>
    </row>
    <row r="110" spans="41:107" x14ac:dyDescent="0.25">
      <c r="AO110" s="6"/>
      <c r="AP110" s="6"/>
      <c r="BW110" t="s">
        <v>639</v>
      </c>
      <c r="BX110" t="s">
        <v>346</v>
      </c>
      <c r="BY110" t="s">
        <v>7</v>
      </c>
      <c r="BZ110" t="s">
        <v>51</v>
      </c>
      <c r="CA110" s="56">
        <v>46176</v>
      </c>
      <c r="CB110">
        <v>1</v>
      </c>
      <c r="CC110">
        <v>1</v>
      </c>
      <c r="CE110">
        <v>1</v>
      </c>
      <c r="CG110" s="79">
        <v>6.5972222222222224E-4</v>
      </c>
      <c r="CH110" s="79">
        <v>6.5972222222222224E-4</v>
      </c>
      <c r="CI110" s="79">
        <v>0.29128472222222224</v>
      </c>
      <c r="CJ110" s="79">
        <v>7.7870370370370368E-2</v>
      </c>
      <c r="CK110">
        <v>109</v>
      </c>
      <c r="CL110">
        <v>229</v>
      </c>
      <c r="CM110">
        <v>17</v>
      </c>
      <c r="CN110">
        <v>1.4705882349999999</v>
      </c>
      <c r="CO110">
        <v>7099</v>
      </c>
      <c r="CP110" s="1">
        <v>0.156</v>
      </c>
      <c r="CR110" s="1"/>
      <c r="CW110" s="1"/>
      <c r="CX110" s="1"/>
      <c r="CY110">
        <v>48</v>
      </c>
      <c r="CZ110">
        <v>12000</v>
      </c>
      <c r="DA110" s="1"/>
      <c r="DB110">
        <v>2</v>
      </c>
      <c r="DC110" t="s">
        <v>158</v>
      </c>
    </row>
    <row r="111" spans="41:107" x14ac:dyDescent="0.25">
      <c r="AO111" s="6"/>
      <c r="AP111" s="6"/>
      <c r="BW111" t="s">
        <v>639</v>
      </c>
      <c r="BX111" t="s">
        <v>346</v>
      </c>
      <c r="BY111" t="s">
        <v>7</v>
      </c>
      <c r="BZ111" t="s">
        <v>51</v>
      </c>
      <c r="CA111" s="56">
        <v>46177</v>
      </c>
      <c r="CB111">
        <v>1</v>
      </c>
      <c r="CC111">
        <v>1</v>
      </c>
      <c r="CE111">
        <v>1</v>
      </c>
      <c r="CG111" s="79">
        <v>8.1018518518518516E-5</v>
      </c>
      <c r="CH111" s="79">
        <v>8.1018518518518516E-5</v>
      </c>
      <c r="CI111" s="79">
        <v>0.24761574074074075</v>
      </c>
      <c r="CJ111" s="79">
        <v>8.4803240740740735E-2</v>
      </c>
      <c r="CK111">
        <v>91</v>
      </c>
      <c r="CL111">
        <v>169</v>
      </c>
      <c r="CM111">
        <v>9</v>
      </c>
      <c r="CN111">
        <v>1.4444444439999999</v>
      </c>
      <c r="CO111">
        <v>7531</v>
      </c>
      <c r="CP111" s="1">
        <v>9.8900000000000002E-2</v>
      </c>
      <c r="CQ111">
        <v>1</v>
      </c>
      <c r="CR111" s="1">
        <v>0.1111</v>
      </c>
      <c r="CS111">
        <v>800</v>
      </c>
      <c r="CT111">
        <v>800</v>
      </c>
      <c r="CW111" s="1"/>
      <c r="CX111" s="1"/>
      <c r="CY111">
        <v>100</v>
      </c>
      <c r="CZ111">
        <v>12000</v>
      </c>
      <c r="DA111" s="1"/>
      <c r="DB111">
        <v>3</v>
      </c>
      <c r="DC111" t="s">
        <v>209</v>
      </c>
    </row>
    <row r="112" spans="41:107" x14ac:dyDescent="0.25">
      <c r="AO112" s="6"/>
      <c r="AP112" s="6"/>
      <c r="BW112" t="s">
        <v>639</v>
      </c>
      <c r="BX112" t="s">
        <v>346</v>
      </c>
      <c r="BY112" t="s">
        <v>7</v>
      </c>
      <c r="BZ112" t="s">
        <v>51</v>
      </c>
      <c r="CA112" s="56">
        <v>46178</v>
      </c>
      <c r="CB112">
        <v>1</v>
      </c>
      <c r="CC112">
        <v>1</v>
      </c>
      <c r="CE112">
        <v>1</v>
      </c>
      <c r="CG112" s="79">
        <v>3.1250000000000001E-4</v>
      </c>
      <c r="CH112" s="79">
        <v>3.1250000000000001E-4</v>
      </c>
      <c r="CI112" s="79">
        <v>0.14708333333333334</v>
      </c>
      <c r="CJ112" s="79">
        <v>3.9398148148148147E-2</v>
      </c>
      <c r="CK112">
        <v>24</v>
      </c>
      <c r="CL112">
        <v>62</v>
      </c>
      <c r="CM112">
        <v>3</v>
      </c>
      <c r="CN112">
        <v>1</v>
      </c>
      <c r="CO112">
        <v>9838</v>
      </c>
      <c r="CP112" s="1">
        <v>0.125</v>
      </c>
      <c r="CR112" s="1"/>
      <c r="CW112" s="1"/>
      <c r="CX112" s="1"/>
      <c r="CY112">
        <v>100</v>
      </c>
      <c r="CZ112">
        <v>12000</v>
      </c>
      <c r="DA112" s="1"/>
      <c r="DB112">
        <v>4</v>
      </c>
      <c r="DC112" t="s">
        <v>159</v>
      </c>
    </row>
    <row r="113" spans="41:107" x14ac:dyDescent="0.25">
      <c r="AO113" s="6"/>
      <c r="AP113" s="6"/>
      <c r="BW113" t="s">
        <v>639</v>
      </c>
      <c r="BX113" t="s">
        <v>346</v>
      </c>
      <c r="BY113" t="s">
        <v>7</v>
      </c>
      <c r="BZ113" t="s">
        <v>49</v>
      </c>
      <c r="CA113" s="56">
        <v>46174</v>
      </c>
      <c r="CB113">
        <v>1</v>
      </c>
      <c r="CC113">
        <v>1</v>
      </c>
      <c r="CE113">
        <v>1</v>
      </c>
      <c r="CG113" s="79">
        <v>3.2060185185185186E-3</v>
      </c>
      <c r="CH113" s="79">
        <v>3.2060185185185186E-3</v>
      </c>
      <c r="CI113" s="79">
        <v>0.22900462962962964</v>
      </c>
      <c r="CJ113" s="79">
        <v>6.7766203703703703E-2</v>
      </c>
      <c r="CK113">
        <v>74</v>
      </c>
      <c r="CL113">
        <v>92</v>
      </c>
      <c r="CM113">
        <v>7</v>
      </c>
      <c r="CN113">
        <v>2.2857142860000002</v>
      </c>
      <c r="CO113">
        <v>5628</v>
      </c>
      <c r="CP113" s="1">
        <v>9.4600000000000004E-2</v>
      </c>
      <c r="CQ113">
        <v>2</v>
      </c>
      <c r="CR113" s="1">
        <v>0.28570000000000001</v>
      </c>
      <c r="CS113">
        <v>970</v>
      </c>
      <c r="CT113">
        <v>485</v>
      </c>
      <c r="CU113">
        <v>220</v>
      </c>
      <c r="CV113">
        <v>220</v>
      </c>
      <c r="CW113" s="1">
        <v>0.2268</v>
      </c>
      <c r="CX113" s="1">
        <v>0.1694</v>
      </c>
      <c r="CY113">
        <v>88</v>
      </c>
      <c r="CZ113">
        <v>12000</v>
      </c>
      <c r="DA113" s="1">
        <v>1.83E-2</v>
      </c>
      <c r="DB113">
        <v>5</v>
      </c>
      <c r="DC113" t="s">
        <v>158</v>
      </c>
    </row>
    <row r="114" spans="41:107" x14ac:dyDescent="0.25">
      <c r="AO114" s="6"/>
      <c r="AP114" s="6"/>
      <c r="AQ114" s="7"/>
      <c r="BW114" t="s">
        <v>639</v>
      </c>
      <c r="BX114" t="s">
        <v>346</v>
      </c>
      <c r="BY114" t="s">
        <v>7</v>
      </c>
      <c r="BZ114" t="s">
        <v>49</v>
      </c>
      <c r="CA114" s="56">
        <v>46176</v>
      </c>
      <c r="CB114">
        <v>1</v>
      </c>
      <c r="CC114">
        <v>1</v>
      </c>
      <c r="CE114">
        <v>1</v>
      </c>
      <c r="CG114" s="79">
        <v>7.6388888888888893E-4</v>
      </c>
      <c r="CH114" s="79">
        <v>7.6388888888888893E-4</v>
      </c>
      <c r="CI114" s="79">
        <v>0.27181712962962962</v>
      </c>
      <c r="CJ114" s="79">
        <v>0.1046875</v>
      </c>
      <c r="CK114">
        <v>71</v>
      </c>
      <c r="CL114">
        <v>107</v>
      </c>
      <c r="CM114">
        <v>14</v>
      </c>
      <c r="CN114">
        <v>1.428571429</v>
      </c>
      <c r="CO114">
        <v>18411</v>
      </c>
      <c r="CP114" s="1">
        <v>0.19719999999999999</v>
      </c>
      <c r="CR114" s="1"/>
      <c r="CW114" s="1"/>
      <c r="CX114" s="1"/>
      <c r="CY114">
        <v>48</v>
      </c>
      <c r="CZ114">
        <v>12000</v>
      </c>
      <c r="DA114" s="1"/>
      <c r="DB114">
        <v>1</v>
      </c>
      <c r="DC114" t="s">
        <v>209</v>
      </c>
    </row>
    <row r="115" spans="41:107" x14ac:dyDescent="0.25">
      <c r="AO115" s="6"/>
      <c r="AP115" s="6"/>
      <c r="AQ115" s="7"/>
      <c r="BW115" t="s">
        <v>639</v>
      </c>
      <c r="BX115" t="s">
        <v>346</v>
      </c>
      <c r="BY115" t="s">
        <v>7</v>
      </c>
      <c r="BZ115" t="s">
        <v>599</v>
      </c>
      <c r="CA115" s="56">
        <v>46176</v>
      </c>
      <c r="CB115">
        <v>1</v>
      </c>
      <c r="CC115">
        <v>1</v>
      </c>
      <c r="CE115">
        <v>1</v>
      </c>
      <c r="CG115" s="79">
        <v>0</v>
      </c>
      <c r="CH115" s="79">
        <v>0</v>
      </c>
      <c r="CI115" s="79">
        <v>0.29943287037037036</v>
      </c>
      <c r="CJ115" s="79">
        <v>8.3761574074074072E-2</v>
      </c>
      <c r="CK115">
        <v>166</v>
      </c>
      <c r="CL115">
        <v>221</v>
      </c>
      <c r="CM115">
        <v>34</v>
      </c>
      <c r="CN115">
        <v>1.794117647</v>
      </c>
      <c r="CO115">
        <v>9744</v>
      </c>
      <c r="CP115" s="1">
        <v>0.20480000000000001</v>
      </c>
      <c r="CQ115">
        <v>2</v>
      </c>
      <c r="CR115" s="1">
        <v>5.8799999999999998E-2</v>
      </c>
      <c r="CS115">
        <v>450</v>
      </c>
      <c r="CT115">
        <v>225</v>
      </c>
      <c r="CU115">
        <v>350</v>
      </c>
      <c r="CV115">
        <v>350</v>
      </c>
      <c r="CW115" s="1">
        <v>0.77780000000000005</v>
      </c>
      <c r="CX115" s="1">
        <v>0.11269999999999999</v>
      </c>
      <c r="CY115">
        <v>84</v>
      </c>
      <c r="CZ115">
        <v>12000</v>
      </c>
      <c r="DA115" s="1">
        <v>2.92E-2</v>
      </c>
      <c r="DB115">
        <v>2</v>
      </c>
      <c r="DC115" t="s">
        <v>159</v>
      </c>
    </row>
    <row r="116" spans="41:107" x14ac:dyDescent="0.25">
      <c r="AO116" s="6"/>
      <c r="AP116" s="6"/>
      <c r="AQ116" s="7"/>
      <c r="BW116" t="s">
        <v>639</v>
      </c>
      <c r="BX116" t="s">
        <v>346</v>
      </c>
      <c r="BY116" t="s">
        <v>7</v>
      </c>
      <c r="BZ116" t="s">
        <v>599</v>
      </c>
      <c r="CA116" s="56">
        <v>46177</v>
      </c>
      <c r="CB116">
        <v>1</v>
      </c>
      <c r="CC116">
        <v>1</v>
      </c>
      <c r="CE116">
        <v>1</v>
      </c>
      <c r="CG116" s="79">
        <v>0</v>
      </c>
      <c r="CH116" s="79">
        <v>0</v>
      </c>
      <c r="CI116" s="79">
        <v>0.26040509259259259</v>
      </c>
      <c r="CJ116" s="79">
        <v>7.6238425925925932E-2</v>
      </c>
      <c r="CK116">
        <v>133</v>
      </c>
      <c r="CL116">
        <v>174</v>
      </c>
      <c r="CM116">
        <v>24</v>
      </c>
      <c r="CN116">
        <v>1.7083333329999999</v>
      </c>
      <c r="CO116">
        <v>8718</v>
      </c>
      <c r="CP116" s="1">
        <v>0.18049999999999999</v>
      </c>
      <c r="CR116" s="1"/>
      <c r="CW116" s="1"/>
      <c r="CX116" s="1"/>
      <c r="CY116">
        <v>68</v>
      </c>
      <c r="CZ116">
        <v>12000</v>
      </c>
      <c r="DA116" s="1"/>
      <c r="DB116">
        <v>3</v>
      </c>
      <c r="DC116" t="s">
        <v>158</v>
      </c>
    </row>
    <row r="117" spans="41:107" x14ac:dyDescent="0.25">
      <c r="AO117" s="6"/>
      <c r="AP117" s="6"/>
      <c r="AQ117" s="7"/>
      <c r="BW117" t="s">
        <v>639</v>
      </c>
      <c r="BX117" t="s">
        <v>346</v>
      </c>
      <c r="BY117" t="s">
        <v>7</v>
      </c>
      <c r="BZ117" t="s">
        <v>599</v>
      </c>
      <c r="CA117" s="56">
        <v>46178</v>
      </c>
      <c r="CB117">
        <v>1</v>
      </c>
      <c r="CC117">
        <v>1</v>
      </c>
      <c r="CE117">
        <v>1</v>
      </c>
      <c r="CG117" s="79">
        <v>2.1180555555555558E-3</v>
      </c>
      <c r="CH117" s="79">
        <v>2.1180555555555558E-3</v>
      </c>
      <c r="CI117" s="79">
        <v>0.14381944444444444</v>
      </c>
      <c r="CJ117" s="79">
        <v>3.9606481481481479E-2</v>
      </c>
      <c r="CK117">
        <v>38</v>
      </c>
      <c r="CL117">
        <v>39</v>
      </c>
      <c r="CM117">
        <v>8</v>
      </c>
      <c r="CN117">
        <v>1.125</v>
      </c>
      <c r="CO117">
        <v>10076</v>
      </c>
      <c r="CP117" s="1">
        <v>0.21049999999999999</v>
      </c>
      <c r="CR117" s="1"/>
      <c r="CW117" s="1"/>
      <c r="CX117" s="1"/>
      <c r="CY117">
        <v>100</v>
      </c>
      <c r="CZ117">
        <v>12000</v>
      </c>
      <c r="DA117" s="1"/>
      <c r="DB117">
        <v>4</v>
      </c>
      <c r="DC117" t="s">
        <v>209</v>
      </c>
    </row>
    <row r="118" spans="41:107" x14ac:dyDescent="0.25">
      <c r="AO118" s="6"/>
      <c r="AP118" s="6"/>
      <c r="AQ118" s="7"/>
      <c r="BW118" t="s">
        <v>639</v>
      </c>
      <c r="BX118" t="s">
        <v>346</v>
      </c>
      <c r="BY118" t="s">
        <v>7</v>
      </c>
      <c r="BZ118" t="s">
        <v>37</v>
      </c>
      <c r="CA118" s="56">
        <v>46176</v>
      </c>
      <c r="CB118">
        <v>1</v>
      </c>
      <c r="CC118">
        <v>1</v>
      </c>
      <c r="CE118">
        <v>1</v>
      </c>
      <c r="CG118" s="79">
        <v>4.0509259259259258E-4</v>
      </c>
      <c r="CH118" s="79">
        <v>4.0509259259259258E-4</v>
      </c>
      <c r="CI118" s="79">
        <v>0.25942129629629629</v>
      </c>
      <c r="CJ118" s="79">
        <v>0.11814814814814815</v>
      </c>
      <c r="CK118">
        <v>127</v>
      </c>
      <c r="CL118">
        <v>186</v>
      </c>
      <c r="CM118">
        <v>50</v>
      </c>
      <c r="CN118">
        <v>1.68</v>
      </c>
      <c r="CO118">
        <v>12667</v>
      </c>
      <c r="CP118" s="1">
        <v>0.39369999999999999</v>
      </c>
      <c r="CQ118">
        <v>2</v>
      </c>
      <c r="CR118" s="1">
        <v>0.04</v>
      </c>
      <c r="CS118">
        <v>1500</v>
      </c>
      <c r="CT118">
        <v>750</v>
      </c>
      <c r="CW118" s="1"/>
      <c r="CX118" s="1"/>
      <c r="CY118">
        <v>74</v>
      </c>
      <c r="CZ118">
        <v>12000</v>
      </c>
      <c r="DA118" s="1"/>
      <c r="DB118">
        <v>5</v>
      </c>
      <c r="DC118" t="s">
        <v>159</v>
      </c>
    </row>
    <row r="119" spans="41:107" x14ac:dyDescent="0.25">
      <c r="AO119" s="6"/>
      <c r="AP119" s="6"/>
      <c r="AQ119" s="7"/>
      <c r="BW119" t="s">
        <v>639</v>
      </c>
      <c r="BX119" t="s">
        <v>346</v>
      </c>
      <c r="BY119" t="s">
        <v>7</v>
      </c>
      <c r="BZ119" t="s">
        <v>37</v>
      </c>
      <c r="CA119" s="56">
        <v>46178</v>
      </c>
      <c r="CB119">
        <v>1</v>
      </c>
      <c r="CC119">
        <v>1</v>
      </c>
      <c r="CE119">
        <v>1</v>
      </c>
      <c r="CG119" s="79">
        <v>2.199074074074074E-4</v>
      </c>
      <c r="CH119" s="79">
        <v>2.199074074074074E-4</v>
      </c>
      <c r="CI119" s="79">
        <v>0.12800925925925927</v>
      </c>
      <c r="CJ119" s="79">
        <v>5.1944444444444446E-2</v>
      </c>
      <c r="CK119">
        <v>22</v>
      </c>
      <c r="CL119">
        <v>23</v>
      </c>
      <c r="CM119">
        <v>12</v>
      </c>
      <c r="CN119">
        <v>1.0833333329999999</v>
      </c>
      <c r="CO119">
        <v>5903</v>
      </c>
      <c r="CP119" s="1">
        <v>0.54549999999999998</v>
      </c>
      <c r="CQ119">
        <v>1</v>
      </c>
      <c r="CR119" s="1">
        <v>8.3299999999999999E-2</v>
      </c>
      <c r="CS119">
        <v>793</v>
      </c>
      <c r="CT119">
        <v>793</v>
      </c>
      <c r="CW119" s="1"/>
      <c r="CX119" s="1"/>
      <c r="CY119">
        <v>100</v>
      </c>
      <c r="CZ119">
        <v>12000</v>
      </c>
      <c r="DA119" s="1"/>
      <c r="DB119">
        <v>1</v>
      </c>
      <c r="DC119" t="s">
        <v>158</v>
      </c>
    </row>
    <row r="120" spans="41:107" x14ac:dyDescent="0.25">
      <c r="AO120" s="6"/>
      <c r="AP120" s="6"/>
      <c r="AQ120" s="7"/>
      <c r="BW120" t="s">
        <v>639</v>
      </c>
      <c r="BX120" t="s">
        <v>346</v>
      </c>
      <c r="BY120" t="s">
        <v>7</v>
      </c>
      <c r="BZ120" t="s">
        <v>549</v>
      </c>
      <c r="CA120" s="56">
        <v>46174</v>
      </c>
      <c r="CB120">
        <v>1</v>
      </c>
      <c r="CC120">
        <v>1</v>
      </c>
      <c r="CE120">
        <v>1</v>
      </c>
      <c r="CG120" s="79">
        <v>1.1574074074074075E-4</v>
      </c>
      <c r="CH120" s="79">
        <v>1.1574074074074075E-4</v>
      </c>
      <c r="CI120" s="79">
        <v>0.26922453703703703</v>
      </c>
      <c r="CJ120" s="79">
        <v>5.800925925925926E-2</v>
      </c>
      <c r="CK120">
        <v>190</v>
      </c>
      <c r="CL120">
        <v>286</v>
      </c>
      <c r="CM120">
        <v>49</v>
      </c>
      <c r="CN120">
        <v>1.836734694</v>
      </c>
      <c r="CO120">
        <v>6015</v>
      </c>
      <c r="CP120" s="1">
        <v>0.25790000000000002</v>
      </c>
      <c r="CR120" s="1"/>
      <c r="CW120" s="1"/>
      <c r="CX120" s="1"/>
      <c r="CY120">
        <v>56</v>
      </c>
      <c r="CZ120">
        <v>12000</v>
      </c>
      <c r="DA120" s="1"/>
      <c r="DB120">
        <v>2</v>
      </c>
      <c r="DC120" t="s">
        <v>209</v>
      </c>
    </row>
    <row r="121" spans="41:107" x14ac:dyDescent="0.25">
      <c r="AO121" s="6"/>
      <c r="AP121" s="6"/>
      <c r="AQ121" s="7"/>
      <c r="BW121" t="s">
        <v>639</v>
      </c>
      <c r="BX121" t="s">
        <v>346</v>
      </c>
      <c r="BY121" t="s">
        <v>7</v>
      </c>
      <c r="BZ121" t="s">
        <v>549</v>
      </c>
      <c r="CA121" s="56">
        <v>46176</v>
      </c>
      <c r="CB121">
        <v>1</v>
      </c>
      <c r="CC121">
        <v>1</v>
      </c>
      <c r="CE121">
        <v>1</v>
      </c>
      <c r="CG121" s="79">
        <v>0</v>
      </c>
      <c r="CH121" s="79">
        <v>0</v>
      </c>
      <c r="CI121" s="79">
        <v>0.31239583333333332</v>
      </c>
      <c r="CJ121" s="79">
        <v>9.1840277777777785E-2</v>
      </c>
      <c r="CK121">
        <v>218</v>
      </c>
      <c r="CL121">
        <v>364</v>
      </c>
      <c r="CM121">
        <v>81</v>
      </c>
      <c r="CN121">
        <v>1.802469136</v>
      </c>
      <c r="CO121">
        <v>11134</v>
      </c>
      <c r="CP121" s="1">
        <v>0.37159999999999999</v>
      </c>
      <c r="CQ121">
        <v>1</v>
      </c>
      <c r="CR121" s="1">
        <v>1.23E-2</v>
      </c>
      <c r="CS121">
        <v>660</v>
      </c>
      <c r="CT121">
        <v>660</v>
      </c>
      <c r="CU121">
        <v>230</v>
      </c>
      <c r="CV121">
        <v>230</v>
      </c>
      <c r="CW121" s="1">
        <v>0.34849999999999998</v>
      </c>
      <c r="CX121" s="1">
        <v>0.1328</v>
      </c>
      <c r="CY121">
        <v>74</v>
      </c>
      <c r="CZ121">
        <v>12000</v>
      </c>
      <c r="DA121" s="1">
        <v>1.9199999999999998E-2</v>
      </c>
      <c r="DB121">
        <v>3</v>
      </c>
      <c r="DC121" t="s">
        <v>159</v>
      </c>
    </row>
    <row r="122" spans="41:107" x14ac:dyDescent="0.25">
      <c r="AO122" s="6"/>
      <c r="AP122" s="6"/>
      <c r="AQ122" s="7"/>
      <c r="BW122" t="s">
        <v>639</v>
      </c>
      <c r="BX122" t="s">
        <v>346</v>
      </c>
      <c r="BY122" t="s">
        <v>7</v>
      </c>
      <c r="BZ122" t="s">
        <v>549</v>
      </c>
      <c r="CA122" s="56">
        <v>46177</v>
      </c>
      <c r="CB122">
        <v>1</v>
      </c>
      <c r="CC122">
        <v>1</v>
      </c>
      <c r="CE122">
        <v>1</v>
      </c>
      <c r="CG122" s="79">
        <v>8.1018518518518516E-4</v>
      </c>
      <c r="CH122" s="79">
        <v>8.1018518518518516E-4</v>
      </c>
      <c r="CI122" s="79">
        <v>0.24390046296296297</v>
      </c>
      <c r="CJ122" s="79">
        <v>0.10251157407407407</v>
      </c>
      <c r="CK122">
        <v>142</v>
      </c>
      <c r="CL122">
        <v>249</v>
      </c>
      <c r="CM122">
        <v>39</v>
      </c>
      <c r="CN122">
        <v>2</v>
      </c>
      <c r="CO122">
        <v>6539</v>
      </c>
      <c r="CP122" s="1">
        <v>0.27460000000000001</v>
      </c>
      <c r="CQ122">
        <v>1</v>
      </c>
      <c r="CR122" s="1">
        <v>2.5600000000000001E-2</v>
      </c>
      <c r="CS122">
        <v>400</v>
      </c>
      <c r="CT122">
        <v>400</v>
      </c>
      <c r="CW122" s="1"/>
      <c r="CX122" s="1"/>
      <c r="CY122">
        <v>80</v>
      </c>
      <c r="CZ122">
        <v>12000</v>
      </c>
      <c r="DA122" s="1"/>
      <c r="DB122">
        <v>4</v>
      </c>
      <c r="DC122" t="s">
        <v>158</v>
      </c>
    </row>
    <row r="123" spans="41:107" x14ac:dyDescent="0.25">
      <c r="AO123" s="6"/>
      <c r="AP123" s="6"/>
      <c r="AQ123" s="7"/>
      <c r="BW123" t="s">
        <v>639</v>
      </c>
      <c r="BX123" t="s">
        <v>346</v>
      </c>
      <c r="BY123" t="s">
        <v>7</v>
      </c>
      <c r="BZ123" t="s">
        <v>549</v>
      </c>
      <c r="CA123" s="56">
        <v>46178</v>
      </c>
      <c r="CB123">
        <v>1</v>
      </c>
      <c r="CC123">
        <v>1</v>
      </c>
      <c r="CE123">
        <v>1</v>
      </c>
      <c r="CG123" s="79">
        <v>2.8356481481481483E-3</v>
      </c>
      <c r="CH123" s="79">
        <v>2.8356481481481483E-3</v>
      </c>
      <c r="CI123" s="79">
        <v>0.12365740740740741</v>
      </c>
      <c r="CJ123" s="79">
        <v>7.6967592592592587E-2</v>
      </c>
      <c r="CK123">
        <v>29</v>
      </c>
      <c r="CL123">
        <v>46</v>
      </c>
      <c r="CM123">
        <v>14</v>
      </c>
      <c r="CN123">
        <v>1.071428571</v>
      </c>
      <c r="CO123">
        <v>7014</v>
      </c>
      <c r="CP123" s="1">
        <v>0.48280000000000001</v>
      </c>
      <c r="CR123" s="1"/>
      <c r="CW123" s="1"/>
      <c r="CX123" s="1"/>
      <c r="CY123">
        <v>100</v>
      </c>
      <c r="CZ123">
        <v>12000</v>
      </c>
      <c r="DA123" s="1"/>
      <c r="DB123">
        <v>5</v>
      </c>
      <c r="DC123" t="s">
        <v>209</v>
      </c>
    </row>
    <row r="124" spans="41:107" x14ac:dyDescent="0.25">
      <c r="AO124" s="6"/>
      <c r="AP124" s="6"/>
      <c r="AQ124" s="7"/>
      <c r="BW124" t="s">
        <v>639</v>
      </c>
      <c r="BX124" t="s">
        <v>346</v>
      </c>
      <c r="BY124" t="s">
        <v>7</v>
      </c>
      <c r="BZ124" t="s">
        <v>77</v>
      </c>
      <c r="CA124" s="56">
        <v>46175</v>
      </c>
      <c r="CB124">
        <v>1</v>
      </c>
      <c r="CC124">
        <v>1</v>
      </c>
      <c r="CE124">
        <v>1</v>
      </c>
      <c r="CG124" s="79">
        <v>0</v>
      </c>
      <c r="CH124" s="79">
        <v>0</v>
      </c>
      <c r="CI124" s="79">
        <v>0.22950231481481481</v>
      </c>
      <c r="CJ124" s="79">
        <v>0.10847222222222222</v>
      </c>
      <c r="CK124">
        <v>145</v>
      </c>
      <c r="CL124">
        <v>228</v>
      </c>
      <c r="CM124">
        <v>70</v>
      </c>
      <c r="CN124">
        <v>1.8571428569999999</v>
      </c>
      <c r="CO124">
        <v>6109</v>
      </c>
      <c r="CP124" s="1">
        <v>0.48280000000000001</v>
      </c>
      <c r="CQ124">
        <v>3</v>
      </c>
      <c r="CR124" s="1">
        <v>4.2900000000000001E-2</v>
      </c>
      <c r="CS124">
        <v>864</v>
      </c>
      <c r="CT124">
        <v>288</v>
      </c>
      <c r="CW124" s="1"/>
      <c r="CX124" s="1"/>
      <c r="CY124">
        <v>60</v>
      </c>
      <c r="CZ124">
        <v>12000</v>
      </c>
      <c r="DA124" s="1"/>
      <c r="DB124">
        <v>1</v>
      </c>
      <c r="DC124" t="s">
        <v>159</v>
      </c>
    </row>
    <row r="125" spans="41:107" x14ac:dyDescent="0.25">
      <c r="AO125" s="6"/>
      <c r="AP125" s="6"/>
      <c r="AQ125" s="7"/>
      <c r="BW125" t="s">
        <v>639</v>
      </c>
      <c r="BX125" t="s">
        <v>346</v>
      </c>
      <c r="BY125" t="s">
        <v>7</v>
      </c>
      <c r="BZ125" t="s">
        <v>77</v>
      </c>
      <c r="CA125" s="56">
        <v>46176</v>
      </c>
      <c r="CB125">
        <v>1</v>
      </c>
      <c r="CC125">
        <v>1</v>
      </c>
      <c r="CE125">
        <v>1</v>
      </c>
      <c r="CG125" s="79">
        <v>0</v>
      </c>
      <c r="CH125" s="79">
        <v>0</v>
      </c>
      <c r="CI125" s="79">
        <v>0.26435185185185184</v>
      </c>
      <c r="CJ125" s="79">
        <v>0.12494212962962963</v>
      </c>
      <c r="CK125">
        <v>193</v>
      </c>
      <c r="CL125">
        <v>312</v>
      </c>
      <c r="CM125">
        <v>66</v>
      </c>
      <c r="CN125">
        <v>1.8030303029999999</v>
      </c>
      <c r="CO125">
        <v>10653</v>
      </c>
      <c r="CP125" s="1">
        <v>0.34200000000000003</v>
      </c>
      <c r="CQ125">
        <v>3</v>
      </c>
      <c r="CR125" s="1">
        <v>4.5499999999999999E-2</v>
      </c>
      <c r="CS125">
        <v>600</v>
      </c>
      <c r="CT125">
        <v>200</v>
      </c>
      <c r="CW125" s="1"/>
      <c r="CX125" s="1"/>
      <c r="CY125">
        <v>68</v>
      </c>
      <c r="CZ125">
        <v>12000</v>
      </c>
      <c r="DA125" s="1"/>
      <c r="DB125">
        <v>2</v>
      </c>
      <c r="DC125" t="s">
        <v>158</v>
      </c>
    </row>
    <row r="126" spans="41:107" x14ac:dyDescent="0.25">
      <c r="AO126" s="6"/>
      <c r="AP126" s="6"/>
      <c r="AQ126" s="7"/>
      <c r="BW126" t="s">
        <v>639</v>
      </c>
      <c r="BX126" t="s">
        <v>346</v>
      </c>
      <c r="BY126" t="s">
        <v>7</v>
      </c>
      <c r="BZ126" t="s">
        <v>77</v>
      </c>
      <c r="CA126" s="56">
        <v>46178</v>
      </c>
      <c r="CB126">
        <v>1</v>
      </c>
      <c r="CC126">
        <v>1</v>
      </c>
      <c r="CE126">
        <v>1</v>
      </c>
      <c r="CG126" s="79">
        <v>1.736111111111111E-3</v>
      </c>
      <c r="CH126" s="79">
        <v>1.736111111111111E-3</v>
      </c>
      <c r="CI126" s="79">
        <v>0.12128472222222222</v>
      </c>
      <c r="CJ126" s="79">
        <v>6.7650462962962968E-2</v>
      </c>
      <c r="CK126">
        <v>27</v>
      </c>
      <c r="CL126">
        <v>33</v>
      </c>
      <c r="CM126">
        <v>17</v>
      </c>
      <c r="CN126">
        <v>1.1176470590000001</v>
      </c>
      <c r="CO126">
        <v>5186</v>
      </c>
      <c r="CP126" s="1">
        <v>0.62960000000000005</v>
      </c>
      <c r="CR126" s="1"/>
      <c r="CW126" s="1"/>
      <c r="CX126" s="1"/>
      <c r="CY126">
        <v>100</v>
      </c>
      <c r="CZ126">
        <v>12000</v>
      </c>
      <c r="DA126" s="1"/>
      <c r="DB126">
        <v>3</v>
      </c>
      <c r="DC126" t="s">
        <v>209</v>
      </c>
    </row>
    <row r="127" spans="41:107" x14ac:dyDescent="0.25">
      <c r="AO127" s="6"/>
      <c r="AP127" s="6"/>
      <c r="AQ127" s="7"/>
      <c r="BW127" t="s">
        <v>639</v>
      </c>
      <c r="BX127" t="s">
        <v>346</v>
      </c>
      <c r="BY127" t="s">
        <v>7</v>
      </c>
      <c r="BZ127" t="s">
        <v>630</v>
      </c>
      <c r="CA127" s="56">
        <v>46178</v>
      </c>
      <c r="CB127">
        <v>1</v>
      </c>
      <c r="CC127">
        <v>1</v>
      </c>
      <c r="CE127">
        <v>1</v>
      </c>
      <c r="CG127" s="79">
        <v>6.4814814814814813E-4</v>
      </c>
      <c r="CH127" s="79">
        <v>6.4814814814814813E-4</v>
      </c>
      <c r="CI127" s="79">
        <v>5.1643518518518519E-2</v>
      </c>
      <c r="CJ127" s="79">
        <v>5.5104166666666669E-2</v>
      </c>
      <c r="CK127">
        <v>30</v>
      </c>
      <c r="CL127">
        <v>32</v>
      </c>
      <c r="CM127">
        <v>17</v>
      </c>
      <c r="CN127">
        <v>1</v>
      </c>
      <c r="CO127">
        <v>7053</v>
      </c>
      <c r="CP127" s="1">
        <v>0.56669999999999998</v>
      </c>
      <c r="CR127" s="1"/>
      <c r="CW127" s="1"/>
      <c r="CX127" s="1"/>
      <c r="CY127">
        <v>100</v>
      </c>
      <c r="CZ127">
        <v>0</v>
      </c>
      <c r="DA127" s="1"/>
      <c r="DB127">
        <v>4</v>
      </c>
      <c r="DC127" t="s">
        <v>159</v>
      </c>
    </row>
    <row r="128" spans="41:107" x14ac:dyDescent="0.25">
      <c r="AO128" s="6"/>
      <c r="AP128" s="6"/>
      <c r="AQ128" s="7"/>
      <c r="BW128" t="s">
        <v>639</v>
      </c>
      <c r="BX128" t="s">
        <v>346</v>
      </c>
      <c r="BY128" t="s">
        <v>7</v>
      </c>
      <c r="BZ128" t="s">
        <v>50</v>
      </c>
      <c r="CA128" s="56">
        <v>46176</v>
      </c>
      <c r="CB128">
        <v>1</v>
      </c>
      <c r="CC128">
        <v>1</v>
      </c>
      <c r="CE128">
        <v>1</v>
      </c>
      <c r="CG128" s="79">
        <v>4.5138888888888887E-4</v>
      </c>
      <c r="CH128" s="79">
        <v>4.5138888888888887E-4</v>
      </c>
      <c r="CI128" s="79">
        <v>0.3228935185185185</v>
      </c>
      <c r="CJ128" s="79">
        <v>7.2638888888888892E-2</v>
      </c>
      <c r="CK128">
        <v>244</v>
      </c>
      <c r="CL128">
        <v>383</v>
      </c>
      <c r="CM128">
        <v>26</v>
      </c>
      <c r="CN128">
        <v>1.923076923</v>
      </c>
      <c r="CO128">
        <v>12069</v>
      </c>
      <c r="CP128" s="1">
        <v>0.1066</v>
      </c>
      <c r="CQ128">
        <v>1</v>
      </c>
      <c r="CR128" s="1">
        <v>3.85E-2</v>
      </c>
      <c r="CS128">
        <v>670</v>
      </c>
      <c r="CT128">
        <v>670</v>
      </c>
      <c r="CW128" s="1"/>
      <c r="CX128" s="1"/>
      <c r="CY128">
        <v>68</v>
      </c>
      <c r="CZ128">
        <v>12000</v>
      </c>
      <c r="DA128" s="1"/>
      <c r="DB128">
        <v>5</v>
      </c>
      <c r="DC128" t="s">
        <v>158</v>
      </c>
    </row>
    <row r="129" spans="41:107" x14ac:dyDescent="0.25">
      <c r="AO129" s="6"/>
      <c r="AP129" s="6"/>
      <c r="AQ129" s="7"/>
      <c r="BW129" t="s">
        <v>639</v>
      </c>
      <c r="BX129" t="s">
        <v>346</v>
      </c>
      <c r="BY129" t="s">
        <v>7</v>
      </c>
      <c r="BZ129" t="s">
        <v>50</v>
      </c>
      <c r="CA129" s="56">
        <v>46177</v>
      </c>
      <c r="CB129">
        <v>1</v>
      </c>
      <c r="CC129">
        <v>1</v>
      </c>
      <c r="CE129">
        <v>1</v>
      </c>
      <c r="CG129" s="79">
        <v>1.6203703703703703E-4</v>
      </c>
      <c r="CH129" s="79">
        <v>1.6203703703703703E-4</v>
      </c>
      <c r="CI129" s="79">
        <v>0.21189814814814814</v>
      </c>
      <c r="CJ129" s="79">
        <v>0.11638888888888889</v>
      </c>
      <c r="CK129">
        <v>117</v>
      </c>
      <c r="CL129">
        <v>185</v>
      </c>
      <c r="CM129">
        <v>15</v>
      </c>
      <c r="CN129">
        <v>1.933333333</v>
      </c>
      <c r="CO129">
        <v>4434</v>
      </c>
      <c r="CP129" s="1">
        <v>0.12820000000000001</v>
      </c>
      <c r="CQ129">
        <v>2</v>
      </c>
      <c r="CR129" s="1">
        <v>0.1333</v>
      </c>
      <c r="CS129">
        <v>572</v>
      </c>
      <c r="CT129">
        <v>286</v>
      </c>
      <c r="CW129" s="1"/>
      <c r="CX129" s="1"/>
      <c r="CY129">
        <v>96</v>
      </c>
      <c r="CZ129">
        <v>12000</v>
      </c>
      <c r="DA129" s="1"/>
      <c r="DB129">
        <v>1</v>
      </c>
      <c r="DC129" t="s">
        <v>209</v>
      </c>
    </row>
    <row r="130" spans="41:107" x14ac:dyDescent="0.25">
      <c r="AO130" s="6"/>
      <c r="AP130" s="6"/>
      <c r="AQ130" s="7"/>
      <c r="BW130" t="s">
        <v>639</v>
      </c>
      <c r="BX130" t="s">
        <v>346</v>
      </c>
      <c r="BY130" t="s">
        <v>7</v>
      </c>
      <c r="BZ130" t="s">
        <v>55</v>
      </c>
      <c r="CA130" s="56">
        <v>46174</v>
      </c>
      <c r="CB130">
        <v>1</v>
      </c>
      <c r="CC130">
        <v>1</v>
      </c>
      <c r="CE130">
        <v>1</v>
      </c>
      <c r="CG130" s="79">
        <v>2.6620370370370372E-4</v>
      </c>
      <c r="CH130" s="79">
        <v>2.6620370370370372E-4</v>
      </c>
      <c r="CI130" s="79">
        <v>0.26844907407407409</v>
      </c>
      <c r="CJ130" s="79">
        <v>6.0486111111111109E-2</v>
      </c>
      <c r="CK130">
        <v>139</v>
      </c>
      <c r="CL130">
        <v>197</v>
      </c>
      <c r="CM130">
        <v>29</v>
      </c>
      <c r="CN130">
        <v>1.862068966</v>
      </c>
      <c r="CO130">
        <v>8185</v>
      </c>
      <c r="CP130" s="1">
        <v>0.20860000000000001</v>
      </c>
      <c r="CQ130">
        <v>2</v>
      </c>
      <c r="CR130" s="1">
        <v>6.9000000000000006E-2</v>
      </c>
      <c r="CS130">
        <v>555</v>
      </c>
      <c r="CT130">
        <v>278</v>
      </c>
      <c r="CU130">
        <v>325</v>
      </c>
      <c r="CV130">
        <v>325</v>
      </c>
      <c r="CW130" s="1">
        <v>0.58560000000000001</v>
      </c>
      <c r="CX130" s="1">
        <v>0.22919999999999999</v>
      </c>
      <c r="CY130">
        <v>84</v>
      </c>
      <c r="CZ130">
        <v>12000</v>
      </c>
      <c r="DA130" s="1">
        <v>2.7099999999999999E-2</v>
      </c>
      <c r="DB130">
        <v>2</v>
      </c>
      <c r="DC130" t="s">
        <v>159</v>
      </c>
    </row>
    <row r="131" spans="41:107" x14ac:dyDescent="0.25">
      <c r="AO131" s="6"/>
      <c r="AP131" s="6"/>
      <c r="AQ131" s="7"/>
      <c r="BW131" t="s">
        <v>639</v>
      </c>
      <c r="BX131" t="s">
        <v>346</v>
      </c>
      <c r="BY131" t="s">
        <v>7</v>
      </c>
      <c r="BZ131" t="s">
        <v>55</v>
      </c>
      <c r="CA131" s="56">
        <v>46175</v>
      </c>
      <c r="CB131">
        <v>1</v>
      </c>
      <c r="CC131">
        <v>1</v>
      </c>
      <c r="CE131">
        <v>1</v>
      </c>
      <c r="CG131" s="79">
        <v>5.7870370370370373E-5</v>
      </c>
      <c r="CH131" s="79">
        <v>5.7870370370370373E-5</v>
      </c>
      <c r="CI131" s="79">
        <v>0.27501157407407406</v>
      </c>
      <c r="CJ131" s="79">
        <v>9.4560185185185192E-2</v>
      </c>
      <c r="CK131">
        <v>171</v>
      </c>
      <c r="CL131">
        <v>251</v>
      </c>
      <c r="CM131">
        <v>46</v>
      </c>
      <c r="CN131">
        <v>2.065217391</v>
      </c>
      <c r="CO131">
        <v>6735</v>
      </c>
      <c r="CP131" s="1">
        <v>0.26900000000000002</v>
      </c>
      <c r="CQ131">
        <v>2</v>
      </c>
      <c r="CR131" s="1">
        <v>4.3499999999999997E-2</v>
      </c>
      <c r="CS131">
        <v>320</v>
      </c>
      <c r="CT131">
        <v>160</v>
      </c>
      <c r="CW131" s="1"/>
      <c r="CX131" s="1"/>
      <c r="CY131">
        <v>56</v>
      </c>
      <c r="CZ131">
        <v>12000</v>
      </c>
      <c r="DA131" s="1"/>
      <c r="DB131">
        <v>3</v>
      </c>
      <c r="DC131" t="s">
        <v>158</v>
      </c>
    </row>
    <row r="132" spans="41:107" x14ac:dyDescent="0.25">
      <c r="AP132" s="6"/>
      <c r="AQ132" s="7"/>
      <c r="BW132" t="s">
        <v>639</v>
      </c>
      <c r="BX132" t="s">
        <v>346</v>
      </c>
      <c r="BY132" t="s">
        <v>7</v>
      </c>
      <c r="BZ132" t="s">
        <v>55</v>
      </c>
      <c r="CA132" s="56">
        <v>46176</v>
      </c>
      <c r="CB132">
        <v>1</v>
      </c>
      <c r="CC132">
        <v>1</v>
      </c>
      <c r="CE132">
        <v>1</v>
      </c>
      <c r="CG132" s="79">
        <v>4.6296296296296294E-5</v>
      </c>
      <c r="CH132" s="79">
        <v>4.6296296296296294E-5</v>
      </c>
      <c r="CI132" s="79">
        <v>0.33327546296296295</v>
      </c>
      <c r="CJ132" s="79">
        <v>6.8182870370370366E-2</v>
      </c>
      <c r="CK132">
        <v>245</v>
      </c>
      <c r="CL132">
        <v>311</v>
      </c>
      <c r="CM132">
        <v>28</v>
      </c>
      <c r="CN132">
        <v>1.75</v>
      </c>
      <c r="CO132">
        <v>5238</v>
      </c>
      <c r="CP132" s="1">
        <v>0.1143</v>
      </c>
      <c r="CQ132">
        <v>1</v>
      </c>
      <c r="CR132" s="1">
        <v>3.5700000000000003E-2</v>
      </c>
      <c r="CS132">
        <v>380</v>
      </c>
      <c r="CT132">
        <v>380</v>
      </c>
      <c r="CU132">
        <v>380</v>
      </c>
      <c r="CV132">
        <v>380</v>
      </c>
      <c r="CW132" s="1">
        <v>1</v>
      </c>
      <c r="CX132" s="1">
        <v>0.32250000000000001</v>
      </c>
      <c r="CY132">
        <v>84</v>
      </c>
      <c r="CZ132">
        <v>12000</v>
      </c>
      <c r="DA132" s="1">
        <v>3.1699999999999999E-2</v>
      </c>
      <c r="DB132">
        <v>4</v>
      </c>
      <c r="DC132" t="s">
        <v>209</v>
      </c>
    </row>
    <row r="133" spans="41:107" x14ac:dyDescent="0.25">
      <c r="AP133" s="6"/>
      <c r="AQ133" s="7"/>
      <c r="BW133" t="s">
        <v>639</v>
      </c>
      <c r="BX133" t="s">
        <v>346</v>
      </c>
      <c r="BY133" t="s">
        <v>7</v>
      </c>
      <c r="BZ133" t="s">
        <v>55</v>
      </c>
      <c r="CA133" s="56">
        <v>46177</v>
      </c>
      <c r="CB133">
        <v>1</v>
      </c>
      <c r="CC133">
        <v>1</v>
      </c>
      <c r="CE133">
        <v>1</v>
      </c>
      <c r="CG133" s="79">
        <v>8.1018518518518516E-5</v>
      </c>
      <c r="CH133" s="79">
        <v>8.1018518518518516E-5</v>
      </c>
      <c r="CI133" s="79">
        <v>0.2540972222222222</v>
      </c>
      <c r="CJ133" s="79">
        <v>0.10846064814814815</v>
      </c>
      <c r="CK133">
        <v>214</v>
      </c>
      <c r="CL133">
        <v>275</v>
      </c>
      <c r="CM133">
        <v>24</v>
      </c>
      <c r="CN133">
        <v>1.9583333329999999</v>
      </c>
      <c r="CO133">
        <v>6766</v>
      </c>
      <c r="CP133" s="1">
        <v>0.11210000000000001</v>
      </c>
      <c r="CQ133">
        <v>2</v>
      </c>
      <c r="CR133" s="1">
        <v>8.3299999999999999E-2</v>
      </c>
      <c r="CS133">
        <v>620</v>
      </c>
      <c r="CT133">
        <v>310</v>
      </c>
      <c r="CW133" s="1"/>
      <c r="CX133" s="1"/>
      <c r="CY133">
        <v>92</v>
      </c>
      <c r="CZ133">
        <v>12000</v>
      </c>
      <c r="DA133" s="1"/>
      <c r="DB133">
        <v>5</v>
      </c>
      <c r="DC133" t="s">
        <v>159</v>
      </c>
    </row>
    <row r="134" spans="41:107" x14ac:dyDescent="0.25">
      <c r="AP134" s="6"/>
      <c r="AQ134" s="7"/>
      <c r="BW134" t="s">
        <v>639</v>
      </c>
      <c r="BX134" t="s">
        <v>346</v>
      </c>
      <c r="BY134" t="s">
        <v>7</v>
      </c>
      <c r="BZ134" t="s">
        <v>55</v>
      </c>
      <c r="CA134" s="56">
        <v>46178</v>
      </c>
      <c r="CB134">
        <v>1</v>
      </c>
      <c r="CC134">
        <v>1</v>
      </c>
      <c r="CE134">
        <v>1</v>
      </c>
      <c r="CG134" s="79">
        <v>6.9444444444444444E-5</v>
      </c>
      <c r="CH134" s="79">
        <v>6.9444444444444444E-5</v>
      </c>
      <c r="CI134" s="79">
        <v>0.15629629629629629</v>
      </c>
      <c r="CJ134" s="79">
        <v>0.04</v>
      </c>
      <c r="CK134">
        <v>90</v>
      </c>
      <c r="CL134">
        <v>93</v>
      </c>
      <c r="CM134">
        <v>12</v>
      </c>
      <c r="CN134">
        <v>1</v>
      </c>
      <c r="CO134">
        <v>3535</v>
      </c>
      <c r="CP134" s="1">
        <v>0.1333</v>
      </c>
      <c r="CR134" s="1"/>
      <c r="CW134" s="1"/>
      <c r="CX134" s="1"/>
      <c r="CY134">
        <v>100</v>
      </c>
      <c r="CZ134">
        <v>12000</v>
      </c>
      <c r="DA134" s="1"/>
      <c r="DB134">
        <v>1</v>
      </c>
      <c r="DC134" t="s">
        <v>158</v>
      </c>
    </row>
    <row r="135" spans="41:107" x14ac:dyDescent="0.25">
      <c r="AP135" s="6"/>
      <c r="AQ135" s="7"/>
      <c r="BW135" t="s">
        <v>639</v>
      </c>
      <c r="BX135" t="s">
        <v>346</v>
      </c>
      <c r="BY135" t="s">
        <v>7</v>
      </c>
      <c r="BZ135" t="s">
        <v>73</v>
      </c>
      <c r="CA135" s="56">
        <v>46176</v>
      </c>
      <c r="CB135">
        <v>1</v>
      </c>
      <c r="CC135">
        <v>1</v>
      </c>
      <c r="CE135">
        <v>1</v>
      </c>
      <c r="CG135" s="79">
        <v>2.1643518518518518E-3</v>
      </c>
      <c r="CH135" s="79">
        <v>2.1643518518518518E-3</v>
      </c>
      <c r="CI135" s="79">
        <v>0.2767013888888889</v>
      </c>
      <c r="CJ135" s="79">
        <v>0.11651620370370371</v>
      </c>
      <c r="CK135">
        <v>181</v>
      </c>
      <c r="CL135">
        <v>250</v>
      </c>
      <c r="CM135">
        <v>33</v>
      </c>
      <c r="CN135">
        <v>1.9393939389999999</v>
      </c>
      <c r="CO135">
        <v>8966</v>
      </c>
      <c r="CP135" s="1">
        <v>0.18229999999999999</v>
      </c>
      <c r="CQ135">
        <v>3</v>
      </c>
      <c r="CR135" s="1">
        <v>9.0899999999999995E-2</v>
      </c>
      <c r="CS135">
        <v>1200</v>
      </c>
      <c r="CT135">
        <v>400</v>
      </c>
      <c r="CU135">
        <v>950</v>
      </c>
      <c r="CV135">
        <v>475</v>
      </c>
      <c r="CW135" s="1">
        <v>0.79169999999999996</v>
      </c>
      <c r="CX135" s="1">
        <v>0.1215</v>
      </c>
      <c r="CY135">
        <v>94</v>
      </c>
      <c r="CZ135">
        <v>12000</v>
      </c>
      <c r="DA135" s="1">
        <v>7.9200000000000007E-2</v>
      </c>
      <c r="DB135">
        <v>2</v>
      </c>
      <c r="DC135" t="s">
        <v>209</v>
      </c>
    </row>
    <row r="136" spans="41:107" x14ac:dyDescent="0.25">
      <c r="AP136" s="6"/>
      <c r="AQ136" s="7"/>
      <c r="BW136" t="s">
        <v>639</v>
      </c>
      <c r="BX136" t="s">
        <v>346</v>
      </c>
      <c r="BY136" t="s">
        <v>7</v>
      </c>
      <c r="BZ136" t="s">
        <v>73</v>
      </c>
      <c r="CA136" s="56">
        <v>46178</v>
      </c>
      <c r="CB136">
        <v>1</v>
      </c>
      <c r="CC136">
        <v>1</v>
      </c>
      <c r="CE136">
        <v>1</v>
      </c>
      <c r="CG136" s="79">
        <v>3.8194444444444446E-4</v>
      </c>
      <c r="CH136" s="79">
        <v>3.8194444444444446E-4</v>
      </c>
      <c r="CI136" s="79">
        <v>0.12953703703703703</v>
      </c>
      <c r="CJ136" s="79">
        <v>7.9224537037037038E-2</v>
      </c>
      <c r="CK136">
        <v>70</v>
      </c>
      <c r="CL136">
        <v>81</v>
      </c>
      <c r="CM136">
        <v>4</v>
      </c>
      <c r="CN136">
        <v>1</v>
      </c>
      <c r="CO136">
        <v>3477</v>
      </c>
      <c r="CP136" s="1">
        <v>5.7099999999999998E-2</v>
      </c>
      <c r="CR136" s="1"/>
      <c r="CW136" s="1"/>
      <c r="CX136" s="1"/>
      <c r="CY136">
        <v>100</v>
      </c>
      <c r="CZ136">
        <v>12000</v>
      </c>
      <c r="DA136" s="1"/>
      <c r="DB136">
        <v>3</v>
      </c>
      <c r="DC136" t="s">
        <v>159</v>
      </c>
    </row>
    <row r="137" spans="41:107" x14ac:dyDescent="0.25">
      <c r="AP137" s="6"/>
      <c r="AQ137" s="7"/>
      <c r="BW137" t="s">
        <v>639</v>
      </c>
      <c r="BX137" t="s">
        <v>346</v>
      </c>
      <c r="BY137" t="s">
        <v>3</v>
      </c>
      <c r="BZ137" t="s">
        <v>58</v>
      </c>
      <c r="CA137" s="56">
        <v>46174</v>
      </c>
      <c r="CB137">
        <v>1</v>
      </c>
      <c r="CC137">
        <v>1</v>
      </c>
      <c r="CE137">
        <v>1</v>
      </c>
      <c r="CG137" s="79">
        <v>2.8935185185185184E-4</v>
      </c>
      <c r="CH137" s="79">
        <v>2.8935185185185184E-4</v>
      </c>
      <c r="CI137" s="79">
        <v>0.22903935185185184</v>
      </c>
      <c r="CJ137" s="79">
        <v>8.5057870370370367E-2</v>
      </c>
      <c r="CK137">
        <v>128</v>
      </c>
      <c r="CL137">
        <v>234</v>
      </c>
      <c r="CM137">
        <v>39</v>
      </c>
      <c r="CN137">
        <v>1.6666666670000001</v>
      </c>
      <c r="CO137">
        <v>24546</v>
      </c>
      <c r="CP137" s="1">
        <v>0.30470000000000003</v>
      </c>
      <c r="CQ137">
        <v>10</v>
      </c>
      <c r="CR137" s="1">
        <v>0.25640000000000002</v>
      </c>
      <c r="CS137">
        <v>8019</v>
      </c>
      <c r="CT137">
        <v>802</v>
      </c>
      <c r="CU137">
        <v>530</v>
      </c>
      <c r="CV137">
        <v>265</v>
      </c>
      <c r="CW137" s="1">
        <v>6.6100000000000006E-2</v>
      </c>
      <c r="CX137" s="1"/>
      <c r="CY137">
        <v>82</v>
      </c>
      <c r="CZ137">
        <v>38500</v>
      </c>
      <c r="DA137" s="1">
        <v>1.38E-2</v>
      </c>
      <c r="DB137">
        <v>4</v>
      </c>
      <c r="DC137" t="s">
        <v>158</v>
      </c>
    </row>
    <row r="138" spans="41:107" x14ac:dyDescent="0.25">
      <c r="AP138" s="6"/>
      <c r="AQ138" s="7"/>
      <c r="BW138" t="s">
        <v>639</v>
      </c>
      <c r="BX138" t="s">
        <v>346</v>
      </c>
      <c r="BY138" t="s">
        <v>3</v>
      </c>
      <c r="BZ138" t="s">
        <v>58</v>
      </c>
      <c r="CA138" s="56">
        <v>46175</v>
      </c>
      <c r="CB138">
        <v>1</v>
      </c>
      <c r="CC138">
        <v>1</v>
      </c>
      <c r="CE138">
        <v>1</v>
      </c>
      <c r="CG138" s="79">
        <v>4.6296296296296294E-5</v>
      </c>
      <c r="CH138" s="79">
        <v>4.6296296296296294E-5</v>
      </c>
      <c r="CI138" s="79">
        <v>0.1965625</v>
      </c>
      <c r="CJ138" s="79">
        <v>0.15962962962962962</v>
      </c>
      <c r="CK138">
        <v>87</v>
      </c>
      <c r="CL138">
        <v>207</v>
      </c>
      <c r="CM138">
        <v>28</v>
      </c>
      <c r="CN138">
        <v>1.75</v>
      </c>
      <c r="CO138">
        <v>33914</v>
      </c>
      <c r="CP138" s="1">
        <v>0.32179999999999997</v>
      </c>
      <c r="CQ138">
        <v>3</v>
      </c>
      <c r="CR138" s="1">
        <v>0.1071</v>
      </c>
      <c r="CS138">
        <v>9200</v>
      </c>
      <c r="CT138">
        <v>3067</v>
      </c>
      <c r="CU138">
        <v>8750</v>
      </c>
      <c r="CV138">
        <v>4375</v>
      </c>
      <c r="CW138" s="1">
        <v>0.95109999999999995</v>
      </c>
      <c r="CX138" s="1">
        <v>0.1275</v>
      </c>
      <c r="CY138">
        <v>82</v>
      </c>
      <c r="CZ138">
        <v>38500</v>
      </c>
      <c r="DA138" s="1">
        <v>0.2273</v>
      </c>
      <c r="DB138">
        <v>5</v>
      </c>
      <c r="DC138" t="s">
        <v>209</v>
      </c>
    </row>
    <row r="139" spans="41:107" x14ac:dyDescent="0.25">
      <c r="AP139" s="6"/>
      <c r="AQ139" s="7"/>
      <c r="BW139" t="s">
        <v>639</v>
      </c>
      <c r="BX139" t="s">
        <v>346</v>
      </c>
      <c r="BY139" t="s">
        <v>3</v>
      </c>
      <c r="BZ139" t="s">
        <v>58</v>
      </c>
      <c r="CA139" s="56">
        <v>46176</v>
      </c>
      <c r="CB139">
        <v>1</v>
      </c>
      <c r="CC139">
        <v>1</v>
      </c>
      <c r="CE139">
        <v>1</v>
      </c>
      <c r="CG139" s="79">
        <v>1.3888888888888889E-4</v>
      </c>
      <c r="CH139" s="79">
        <v>1.3888888888888889E-4</v>
      </c>
      <c r="CI139" s="79">
        <v>0.23746527777777779</v>
      </c>
      <c r="CJ139" s="79">
        <v>0.13185185185185186</v>
      </c>
      <c r="CK139">
        <v>155</v>
      </c>
      <c r="CL139">
        <v>291</v>
      </c>
      <c r="CM139">
        <v>30</v>
      </c>
      <c r="CN139">
        <v>1.566666667</v>
      </c>
      <c r="CO139">
        <v>38409</v>
      </c>
      <c r="CP139" s="1">
        <v>0.19350000000000001</v>
      </c>
      <c r="CR139" s="1"/>
      <c r="CW139" s="1"/>
      <c r="CX139" s="1"/>
      <c r="CY139">
        <v>56</v>
      </c>
      <c r="CZ139">
        <v>38500</v>
      </c>
      <c r="DA139" s="1"/>
      <c r="DB139">
        <v>1</v>
      </c>
      <c r="DC139" t="s">
        <v>159</v>
      </c>
    </row>
    <row r="140" spans="41:107" x14ac:dyDescent="0.25">
      <c r="AP140" s="6"/>
      <c r="AQ140" s="7"/>
      <c r="BW140" t="s">
        <v>639</v>
      </c>
      <c r="BX140" t="s">
        <v>346</v>
      </c>
      <c r="BY140" t="s">
        <v>3</v>
      </c>
      <c r="BZ140" t="s">
        <v>58</v>
      </c>
      <c r="CA140" s="56">
        <v>46177</v>
      </c>
      <c r="CB140">
        <v>1</v>
      </c>
      <c r="CC140">
        <v>1</v>
      </c>
      <c r="CE140">
        <v>1</v>
      </c>
      <c r="CG140" s="79">
        <v>2.7777777777777778E-4</v>
      </c>
      <c r="CH140" s="79">
        <v>2.7777777777777778E-4</v>
      </c>
      <c r="CI140" s="79">
        <v>0.23629629629629631</v>
      </c>
      <c r="CJ140" s="79">
        <v>0.10640046296296296</v>
      </c>
      <c r="CK140">
        <v>129</v>
      </c>
      <c r="CL140">
        <v>289</v>
      </c>
      <c r="CM140">
        <v>18</v>
      </c>
      <c r="CN140">
        <v>1.8333333329999999</v>
      </c>
      <c r="CO140">
        <v>24644</v>
      </c>
      <c r="CP140" s="1">
        <v>0.13950000000000001</v>
      </c>
      <c r="CQ140">
        <v>1</v>
      </c>
      <c r="CR140" s="1">
        <v>5.5599999999999997E-2</v>
      </c>
      <c r="CS140">
        <v>1350</v>
      </c>
      <c r="CT140">
        <v>1350</v>
      </c>
      <c r="CW140" s="1"/>
      <c r="CX140" s="1"/>
      <c r="CY140">
        <v>94</v>
      </c>
      <c r="CZ140">
        <v>38500</v>
      </c>
      <c r="DA140" s="1"/>
      <c r="DB140">
        <v>2</v>
      </c>
      <c r="DC140" t="s">
        <v>158</v>
      </c>
    </row>
    <row r="141" spans="41:107" x14ac:dyDescent="0.25">
      <c r="AP141" s="6"/>
      <c r="AQ141" s="7"/>
      <c r="BW141" t="s">
        <v>639</v>
      </c>
      <c r="BX141" t="s">
        <v>346</v>
      </c>
      <c r="BY141" t="s">
        <v>3</v>
      </c>
      <c r="BZ141" t="s">
        <v>58</v>
      </c>
      <c r="CA141" s="56">
        <v>46178</v>
      </c>
      <c r="CB141">
        <v>1</v>
      </c>
      <c r="CC141">
        <v>1</v>
      </c>
      <c r="CE141">
        <v>1</v>
      </c>
      <c r="CG141" s="79">
        <v>3.4722222222222222E-5</v>
      </c>
      <c r="CH141" s="79">
        <v>3.4722222222222222E-5</v>
      </c>
      <c r="CI141" s="79">
        <v>0.14689814814814814</v>
      </c>
      <c r="CJ141" s="79">
        <v>5.0405092592592592E-2</v>
      </c>
      <c r="CK141">
        <v>22</v>
      </c>
      <c r="CL141">
        <v>58</v>
      </c>
      <c r="CM141">
        <v>3</v>
      </c>
      <c r="CN141">
        <v>2</v>
      </c>
      <c r="CO141">
        <v>46916</v>
      </c>
      <c r="CP141" s="1">
        <v>0.13639999999999999</v>
      </c>
      <c r="CR141" s="1"/>
      <c r="CW141" s="1"/>
      <c r="CX141" s="1"/>
      <c r="CY141">
        <v>92</v>
      </c>
      <c r="CZ141">
        <v>38500</v>
      </c>
      <c r="DA141" s="1"/>
      <c r="DB141">
        <v>3</v>
      </c>
      <c r="DC141" t="s">
        <v>209</v>
      </c>
    </row>
    <row r="142" spans="41:107" x14ac:dyDescent="0.25">
      <c r="AP142" s="6"/>
      <c r="AQ142" s="7"/>
      <c r="BW142" t="s">
        <v>639</v>
      </c>
      <c r="BX142" t="s">
        <v>346</v>
      </c>
      <c r="BY142" t="s">
        <v>3</v>
      </c>
      <c r="BZ142" t="s">
        <v>60</v>
      </c>
      <c r="CA142" s="56">
        <v>46174</v>
      </c>
      <c r="CB142">
        <v>1</v>
      </c>
      <c r="CC142">
        <v>1</v>
      </c>
      <c r="CE142">
        <v>1</v>
      </c>
      <c r="CG142" s="79">
        <v>1.7361111111111112E-4</v>
      </c>
      <c r="CH142" s="79">
        <v>1.7361111111111112E-4</v>
      </c>
      <c r="CI142" s="79">
        <v>0.24163194444444444</v>
      </c>
      <c r="CJ142" s="79">
        <v>5.5983796296296295E-2</v>
      </c>
      <c r="CK142">
        <v>137</v>
      </c>
      <c r="CL142">
        <v>212</v>
      </c>
      <c r="CM142">
        <v>32</v>
      </c>
      <c r="CN142">
        <v>1.8125</v>
      </c>
      <c r="CO142">
        <v>14079</v>
      </c>
      <c r="CP142" s="1">
        <v>0.2336</v>
      </c>
      <c r="CQ142">
        <v>4</v>
      </c>
      <c r="CR142" s="1">
        <v>0.125</v>
      </c>
      <c r="CS142">
        <v>3000</v>
      </c>
      <c r="CT142">
        <v>750</v>
      </c>
      <c r="CU142">
        <v>800</v>
      </c>
      <c r="CV142">
        <v>800</v>
      </c>
      <c r="CW142" s="1">
        <v>0.26669999999999999</v>
      </c>
      <c r="CX142" s="1"/>
      <c r="CY142">
        <v>66</v>
      </c>
      <c r="CZ142">
        <v>72000</v>
      </c>
      <c r="DA142" s="1">
        <v>1.11E-2</v>
      </c>
      <c r="DB142">
        <v>4</v>
      </c>
      <c r="DC142" t="s">
        <v>159</v>
      </c>
    </row>
    <row r="143" spans="41:107" x14ac:dyDescent="0.25">
      <c r="AP143" s="6"/>
      <c r="AQ143" s="7"/>
      <c r="BW143" t="s">
        <v>639</v>
      </c>
      <c r="BX143" t="s">
        <v>346</v>
      </c>
      <c r="BY143" t="s">
        <v>3</v>
      </c>
      <c r="BZ143" t="s">
        <v>60</v>
      </c>
      <c r="CA143" s="56">
        <v>46175</v>
      </c>
      <c r="CB143">
        <v>1</v>
      </c>
      <c r="CC143">
        <v>1</v>
      </c>
      <c r="CE143">
        <v>1</v>
      </c>
      <c r="CG143" s="79">
        <v>1.5046296296296297E-4</v>
      </c>
      <c r="CH143" s="79">
        <v>1.5046296296296297E-4</v>
      </c>
      <c r="CI143" s="79">
        <v>0.25776620370370368</v>
      </c>
      <c r="CJ143" s="79">
        <v>6.581018518518518E-2</v>
      </c>
      <c r="CK143">
        <v>149</v>
      </c>
      <c r="CL143">
        <v>223</v>
      </c>
      <c r="CM143">
        <v>17</v>
      </c>
      <c r="CN143">
        <v>2.0588235290000001</v>
      </c>
      <c r="CO143">
        <v>45071</v>
      </c>
      <c r="CP143" s="1">
        <v>0.11409999999999999</v>
      </c>
      <c r="CQ143">
        <v>1</v>
      </c>
      <c r="CR143" s="1">
        <v>5.8799999999999998E-2</v>
      </c>
      <c r="CS143">
        <v>11256</v>
      </c>
      <c r="CT143">
        <v>11256</v>
      </c>
      <c r="CU143">
        <v>11256</v>
      </c>
      <c r="CV143">
        <v>11256</v>
      </c>
      <c r="CW143" s="1">
        <v>1</v>
      </c>
      <c r="CX143" s="1">
        <v>0.16270000000000001</v>
      </c>
      <c r="CY143">
        <v>84</v>
      </c>
      <c r="CZ143">
        <v>72000</v>
      </c>
      <c r="DA143" s="1">
        <v>0.15629999999999999</v>
      </c>
      <c r="DB143">
        <v>5</v>
      </c>
      <c r="DC143" t="s">
        <v>158</v>
      </c>
    </row>
    <row r="144" spans="41:107" x14ac:dyDescent="0.25">
      <c r="AP144" s="6"/>
      <c r="AQ144" s="7"/>
      <c r="BW144" t="s">
        <v>639</v>
      </c>
      <c r="BX144" t="s">
        <v>346</v>
      </c>
      <c r="BY144" t="s">
        <v>3</v>
      </c>
      <c r="BZ144" t="s">
        <v>60</v>
      </c>
      <c r="CA144" s="56">
        <v>46176</v>
      </c>
      <c r="CB144">
        <v>1</v>
      </c>
      <c r="CC144">
        <v>1</v>
      </c>
      <c r="CE144">
        <v>1</v>
      </c>
      <c r="CG144" s="79">
        <v>1.3888888888888889E-4</v>
      </c>
      <c r="CH144" s="79">
        <v>1.3888888888888889E-4</v>
      </c>
      <c r="CI144" s="79">
        <v>0.28434027777777776</v>
      </c>
      <c r="CJ144" s="79">
        <v>6.8043981481481483E-2</v>
      </c>
      <c r="CK144">
        <v>182</v>
      </c>
      <c r="CL144">
        <v>252</v>
      </c>
      <c r="CM144">
        <v>13</v>
      </c>
      <c r="CN144">
        <v>2.307692308</v>
      </c>
      <c r="CO144">
        <v>28768</v>
      </c>
      <c r="CP144" s="1">
        <v>7.1400000000000005E-2</v>
      </c>
      <c r="CQ144">
        <v>1</v>
      </c>
      <c r="CR144" s="1">
        <v>7.6899999999999996E-2</v>
      </c>
      <c r="CS144">
        <v>600</v>
      </c>
      <c r="CT144">
        <v>600</v>
      </c>
      <c r="CW144" s="1"/>
      <c r="CX144" s="1"/>
      <c r="CY144">
        <v>78</v>
      </c>
      <c r="CZ144">
        <v>72000</v>
      </c>
      <c r="DA144" s="1"/>
      <c r="DB144">
        <v>1</v>
      </c>
      <c r="DC144" t="s">
        <v>209</v>
      </c>
    </row>
    <row r="145" spans="43:107" x14ac:dyDescent="0.25">
      <c r="AQ145" s="7"/>
      <c r="BW145" t="s">
        <v>639</v>
      </c>
      <c r="BX145" t="s">
        <v>346</v>
      </c>
      <c r="BY145" t="s">
        <v>3</v>
      </c>
      <c r="BZ145" t="s">
        <v>60</v>
      </c>
      <c r="CA145" s="56">
        <v>46177</v>
      </c>
      <c r="CB145">
        <v>1</v>
      </c>
      <c r="CC145">
        <v>1</v>
      </c>
      <c r="CE145">
        <v>1</v>
      </c>
      <c r="CG145" s="79">
        <v>3.4722222222222222E-5</v>
      </c>
      <c r="CH145" s="79">
        <v>3.4722222222222222E-5</v>
      </c>
      <c r="CI145" s="79">
        <v>0.25480324074074073</v>
      </c>
      <c r="CJ145" s="79">
        <v>6.2280092592592595E-2</v>
      </c>
      <c r="CK145">
        <v>230</v>
      </c>
      <c r="CL145">
        <v>317</v>
      </c>
      <c r="CM145">
        <v>8</v>
      </c>
      <c r="CN145">
        <v>1.625</v>
      </c>
      <c r="CO145">
        <v>17414</v>
      </c>
      <c r="CP145" s="1">
        <v>3.4799999999999998E-2</v>
      </c>
      <c r="CR145" s="1"/>
      <c r="CW145" s="1"/>
      <c r="CX145" s="1"/>
      <c r="CY145">
        <v>84</v>
      </c>
      <c r="CZ145">
        <v>72000</v>
      </c>
      <c r="DA145" s="1"/>
      <c r="DB145">
        <v>2</v>
      </c>
      <c r="DC145" t="s">
        <v>159</v>
      </c>
    </row>
    <row r="146" spans="43:107" x14ac:dyDescent="0.25">
      <c r="AQ146" s="7"/>
      <c r="BW146" t="s">
        <v>639</v>
      </c>
      <c r="BX146" t="s">
        <v>346</v>
      </c>
      <c r="BY146" t="s">
        <v>3</v>
      </c>
      <c r="BZ146" t="s">
        <v>60</v>
      </c>
      <c r="CA146" s="56">
        <v>46178</v>
      </c>
      <c r="CB146">
        <v>1</v>
      </c>
      <c r="CC146">
        <v>1</v>
      </c>
      <c r="CE146">
        <v>1</v>
      </c>
      <c r="CG146" s="79">
        <v>5.7870370370370373E-5</v>
      </c>
      <c r="CH146" s="79">
        <v>5.7870370370370373E-5</v>
      </c>
      <c r="CI146" s="79">
        <v>0.13995370370370369</v>
      </c>
      <c r="CJ146" s="79">
        <v>4.1087962962962965E-2</v>
      </c>
      <c r="CK146">
        <v>55</v>
      </c>
      <c r="CL146">
        <v>81</v>
      </c>
      <c r="CM146">
        <v>5</v>
      </c>
      <c r="CN146">
        <v>1.2</v>
      </c>
      <c r="CO146">
        <v>12199</v>
      </c>
      <c r="CP146" s="1">
        <v>9.0899999999999995E-2</v>
      </c>
      <c r="CR146" s="1"/>
      <c r="CW146" s="1"/>
      <c r="CX146" s="1"/>
      <c r="CY146">
        <v>92</v>
      </c>
      <c r="CZ146">
        <v>72000</v>
      </c>
      <c r="DA146" s="1"/>
      <c r="DB146">
        <v>3</v>
      </c>
      <c r="DC146" t="s">
        <v>158</v>
      </c>
    </row>
    <row r="147" spans="43:107" x14ac:dyDescent="0.25">
      <c r="AQ147" s="7"/>
      <c r="BW147" t="s">
        <v>639</v>
      </c>
      <c r="BX147" t="s">
        <v>346</v>
      </c>
      <c r="BY147" t="s">
        <v>3</v>
      </c>
      <c r="BZ147" t="s">
        <v>85</v>
      </c>
      <c r="CA147" s="56">
        <v>46174</v>
      </c>
      <c r="CB147">
        <v>1</v>
      </c>
      <c r="CC147">
        <v>1</v>
      </c>
      <c r="CE147">
        <v>1</v>
      </c>
      <c r="CG147" s="79">
        <v>0</v>
      </c>
      <c r="CH147" s="79">
        <v>0</v>
      </c>
      <c r="CI147" s="79">
        <v>0.27071759259259259</v>
      </c>
      <c r="CJ147" s="79">
        <v>5.9050925925925923E-2</v>
      </c>
      <c r="CK147">
        <v>66</v>
      </c>
      <c r="CL147">
        <v>115</v>
      </c>
      <c r="CM147">
        <v>41</v>
      </c>
      <c r="CN147">
        <v>1.951219512</v>
      </c>
      <c r="CO147">
        <v>22822</v>
      </c>
      <c r="CP147" s="1">
        <v>0.62119999999999997</v>
      </c>
      <c r="CQ147">
        <v>10</v>
      </c>
      <c r="CR147" s="1">
        <v>0.24390000000000001</v>
      </c>
      <c r="CS147">
        <v>13558</v>
      </c>
      <c r="CT147">
        <v>1356</v>
      </c>
      <c r="CU147">
        <v>5578</v>
      </c>
      <c r="CV147">
        <v>1395</v>
      </c>
      <c r="CW147" s="1">
        <v>0.41139999999999999</v>
      </c>
      <c r="CX147" s="1">
        <v>0.1439</v>
      </c>
      <c r="CY147">
        <v>88</v>
      </c>
      <c r="CZ147">
        <v>38500</v>
      </c>
      <c r="DA147" s="1">
        <v>0.1449</v>
      </c>
      <c r="DB147">
        <v>4</v>
      </c>
      <c r="DC147" t="s">
        <v>209</v>
      </c>
    </row>
    <row r="148" spans="43:107" x14ac:dyDescent="0.25">
      <c r="AQ148" s="7"/>
      <c r="BW148" t="s">
        <v>639</v>
      </c>
      <c r="BX148" t="s">
        <v>346</v>
      </c>
      <c r="BY148" t="s">
        <v>3</v>
      </c>
      <c r="BZ148" t="s">
        <v>85</v>
      </c>
      <c r="CA148" s="56">
        <v>46175</v>
      </c>
      <c r="CB148">
        <v>1</v>
      </c>
      <c r="CC148">
        <v>1</v>
      </c>
      <c r="CE148">
        <v>1</v>
      </c>
      <c r="CG148" s="79">
        <v>0</v>
      </c>
      <c r="CH148" s="79">
        <v>0</v>
      </c>
      <c r="CI148" s="79">
        <v>0.27620370370370373</v>
      </c>
      <c r="CJ148" s="79">
        <v>7.1886574074074075E-2</v>
      </c>
      <c r="CK148">
        <v>80</v>
      </c>
      <c r="CL148">
        <v>164</v>
      </c>
      <c r="CM148">
        <v>24</v>
      </c>
      <c r="CN148">
        <v>1.9583333329999999</v>
      </c>
      <c r="CO148">
        <v>32049</v>
      </c>
      <c r="CP148" s="1">
        <v>0.3</v>
      </c>
      <c r="CQ148">
        <v>3</v>
      </c>
      <c r="CR148" s="1">
        <v>0.125</v>
      </c>
      <c r="CS148">
        <v>1219</v>
      </c>
      <c r="CT148">
        <v>406</v>
      </c>
      <c r="CU148">
        <v>1006</v>
      </c>
      <c r="CV148">
        <v>503</v>
      </c>
      <c r="CW148" s="1">
        <v>0.82530000000000003</v>
      </c>
      <c r="CX148" s="1">
        <v>0.64180000000000004</v>
      </c>
      <c r="CY148">
        <v>82</v>
      </c>
      <c r="CZ148">
        <v>38500</v>
      </c>
      <c r="DA148" s="1">
        <v>2.6100000000000002E-2</v>
      </c>
      <c r="DB148">
        <v>5</v>
      </c>
      <c r="DC148" t="s">
        <v>159</v>
      </c>
    </row>
    <row r="149" spans="43:107" x14ac:dyDescent="0.25">
      <c r="AQ149" s="7"/>
      <c r="BW149" t="s">
        <v>639</v>
      </c>
      <c r="BX149" t="s">
        <v>346</v>
      </c>
      <c r="BY149" t="s">
        <v>3</v>
      </c>
      <c r="BZ149" t="s">
        <v>85</v>
      </c>
      <c r="CA149" s="56">
        <v>46176</v>
      </c>
      <c r="CB149">
        <v>1</v>
      </c>
      <c r="CC149">
        <v>1</v>
      </c>
      <c r="CE149">
        <v>1</v>
      </c>
      <c r="CG149" s="79">
        <v>2.2337962962962962E-3</v>
      </c>
      <c r="CH149" s="79">
        <v>2.2337962962962962E-3</v>
      </c>
      <c r="CI149" s="79">
        <v>0.30042824074074076</v>
      </c>
      <c r="CJ149" s="79">
        <v>8.1655092592592599E-2</v>
      </c>
      <c r="CK149">
        <v>100</v>
      </c>
      <c r="CL149">
        <v>220</v>
      </c>
      <c r="CM149">
        <v>49</v>
      </c>
      <c r="CN149">
        <v>1.7959183670000001</v>
      </c>
      <c r="CO149">
        <v>22391</v>
      </c>
      <c r="CP149" s="1">
        <v>0.49</v>
      </c>
      <c r="CQ149">
        <v>2</v>
      </c>
      <c r="CR149" s="1">
        <v>4.0800000000000003E-2</v>
      </c>
      <c r="CS149">
        <v>345</v>
      </c>
      <c r="CT149">
        <v>173</v>
      </c>
      <c r="CU149">
        <v>250</v>
      </c>
      <c r="CV149">
        <v>250</v>
      </c>
      <c r="CW149" s="1">
        <v>0.72460000000000002</v>
      </c>
      <c r="CX149" s="1">
        <v>0.41089999999999999</v>
      </c>
      <c r="CY149">
        <v>78</v>
      </c>
      <c r="CZ149">
        <v>38500</v>
      </c>
      <c r="DA149" s="1">
        <v>6.4999999999999997E-3</v>
      </c>
      <c r="DB149">
        <v>1</v>
      </c>
      <c r="DC149" t="s">
        <v>158</v>
      </c>
    </row>
    <row r="150" spans="43:107" x14ac:dyDescent="0.25">
      <c r="AQ150" s="7"/>
      <c r="BW150" t="s">
        <v>639</v>
      </c>
      <c r="BX150" t="s">
        <v>346</v>
      </c>
      <c r="BY150" t="s">
        <v>3</v>
      </c>
      <c r="BZ150" t="s">
        <v>85</v>
      </c>
      <c r="CA150" s="56">
        <v>46177</v>
      </c>
      <c r="CB150">
        <v>1</v>
      </c>
      <c r="CC150">
        <v>1</v>
      </c>
      <c r="CE150">
        <v>1</v>
      </c>
      <c r="CG150" s="79">
        <v>4.0509259259259258E-4</v>
      </c>
      <c r="CH150" s="79">
        <v>4.0509259259259258E-4</v>
      </c>
      <c r="CI150" s="79">
        <v>0.27329861111111109</v>
      </c>
      <c r="CJ150" s="79">
        <v>7.2523148148148142E-2</v>
      </c>
      <c r="CK150">
        <v>103</v>
      </c>
      <c r="CL150">
        <v>224</v>
      </c>
      <c r="CM150">
        <v>38</v>
      </c>
      <c r="CN150">
        <v>1.447368421</v>
      </c>
      <c r="CO150">
        <v>22759</v>
      </c>
      <c r="CP150" s="1">
        <v>0.36890000000000001</v>
      </c>
      <c r="CR150" s="1"/>
      <c r="CW150" s="1"/>
      <c r="CX150" s="1"/>
      <c r="CY150">
        <v>84</v>
      </c>
      <c r="CZ150">
        <v>38500</v>
      </c>
      <c r="DA150" s="1"/>
      <c r="DB150">
        <v>2</v>
      </c>
      <c r="DC150" t="s">
        <v>209</v>
      </c>
    </row>
    <row r="151" spans="43:107" x14ac:dyDescent="0.25">
      <c r="AQ151" s="7"/>
      <c r="BW151" t="s">
        <v>639</v>
      </c>
      <c r="BX151" t="s">
        <v>346</v>
      </c>
      <c r="BY151" t="s">
        <v>3</v>
      </c>
      <c r="BZ151" t="s">
        <v>85</v>
      </c>
      <c r="CA151" s="56">
        <v>46178</v>
      </c>
      <c r="CB151">
        <v>1</v>
      </c>
      <c r="CC151">
        <v>1</v>
      </c>
      <c r="CE151">
        <v>1</v>
      </c>
      <c r="CG151" s="79">
        <v>2.0833333333333335E-4</v>
      </c>
      <c r="CH151" s="79">
        <v>2.0833333333333335E-4</v>
      </c>
      <c r="CI151" s="79">
        <v>0.13806712962962964</v>
      </c>
      <c r="CJ151" s="79">
        <v>5.6689814814814818E-2</v>
      </c>
      <c r="CK151">
        <v>20</v>
      </c>
      <c r="CL151">
        <v>35</v>
      </c>
      <c r="CM151">
        <v>8</v>
      </c>
      <c r="CN151">
        <v>1.125</v>
      </c>
      <c r="CO151">
        <v>24163</v>
      </c>
      <c r="CP151" s="1">
        <v>0.4</v>
      </c>
      <c r="CR151" s="1"/>
      <c r="CW151" s="1"/>
      <c r="CX151" s="1"/>
      <c r="CY151">
        <v>92</v>
      </c>
      <c r="CZ151">
        <v>38500</v>
      </c>
      <c r="DA151" s="1"/>
      <c r="DB151">
        <v>3</v>
      </c>
      <c r="DC151" t="s">
        <v>159</v>
      </c>
    </row>
    <row r="152" spans="43:107" x14ac:dyDescent="0.25">
      <c r="AQ152" s="7"/>
      <c r="BW152" t="s">
        <v>639</v>
      </c>
      <c r="BX152" t="s">
        <v>346</v>
      </c>
      <c r="BY152" t="s">
        <v>3</v>
      </c>
      <c r="BZ152" t="s">
        <v>22</v>
      </c>
      <c r="CA152" s="56">
        <v>46178</v>
      </c>
      <c r="CB152">
        <v>1</v>
      </c>
      <c r="CC152">
        <v>1</v>
      </c>
      <c r="CE152">
        <v>1</v>
      </c>
      <c r="CG152" s="79">
        <v>1.1574074074074073E-5</v>
      </c>
      <c r="CH152" s="79">
        <v>1.1574074074074073E-5</v>
      </c>
      <c r="CI152" s="79">
        <v>0.13609953703703703</v>
      </c>
      <c r="CJ152" s="79">
        <v>4.6782407407407404E-2</v>
      </c>
      <c r="CK152">
        <v>34</v>
      </c>
      <c r="CL152">
        <v>43</v>
      </c>
      <c r="CM152">
        <v>7</v>
      </c>
      <c r="CN152">
        <v>1.2857142859999999</v>
      </c>
      <c r="CO152">
        <v>26251</v>
      </c>
      <c r="CP152" s="1">
        <v>0.2059</v>
      </c>
      <c r="CR152" s="1"/>
      <c r="CW152" s="1"/>
      <c r="CX152" s="1"/>
      <c r="CY152">
        <v>92</v>
      </c>
      <c r="CZ152">
        <v>38500</v>
      </c>
      <c r="DA152" s="1"/>
      <c r="DB152">
        <v>4</v>
      </c>
      <c r="DC152" t="s">
        <v>158</v>
      </c>
    </row>
    <row r="153" spans="43:107" x14ac:dyDescent="0.25">
      <c r="AQ153" s="7"/>
      <c r="BW153" t="s">
        <v>639</v>
      </c>
      <c r="BX153" t="s">
        <v>346</v>
      </c>
      <c r="BY153" t="s">
        <v>3</v>
      </c>
      <c r="BZ153" t="s">
        <v>493</v>
      </c>
      <c r="CA153" s="56">
        <v>46174</v>
      </c>
      <c r="CB153">
        <v>1</v>
      </c>
      <c r="CC153">
        <v>1</v>
      </c>
      <c r="CE153">
        <v>1</v>
      </c>
      <c r="CG153" s="79">
        <v>0</v>
      </c>
      <c r="CH153" s="79">
        <v>0</v>
      </c>
      <c r="CI153" s="79">
        <v>0.2711689814814815</v>
      </c>
      <c r="CJ153" s="79">
        <v>6.4479166666666671E-2</v>
      </c>
      <c r="CK153">
        <v>152</v>
      </c>
      <c r="CL153">
        <v>226</v>
      </c>
      <c r="CM153">
        <v>44</v>
      </c>
      <c r="CN153">
        <v>1.75</v>
      </c>
      <c r="CO153">
        <v>13493</v>
      </c>
      <c r="CP153" s="1">
        <v>0.28949999999999998</v>
      </c>
      <c r="CQ153">
        <v>10</v>
      </c>
      <c r="CR153" s="1">
        <v>0.2273</v>
      </c>
      <c r="CS153">
        <v>6248</v>
      </c>
      <c r="CT153">
        <v>625</v>
      </c>
      <c r="CW153" s="1"/>
      <c r="CX153" s="1"/>
      <c r="CY153">
        <v>62</v>
      </c>
      <c r="CZ153">
        <v>38500</v>
      </c>
      <c r="DA153" s="1"/>
      <c r="DB153">
        <v>5</v>
      </c>
      <c r="DC153" t="s">
        <v>209</v>
      </c>
    </row>
    <row r="154" spans="43:107" x14ac:dyDescent="0.25">
      <c r="AQ154" s="7"/>
      <c r="BW154" t="s">
        <v>639</v>
      </c>
      <c r="BX154" t="s">
        <v>346</v>
      </c>
      <c r="BY154" t="s">
        <v>3</v>
      </c>
      <c r="BZ154" t="s">
        <v>493</v>
      </c>
      <c r="CA154" s="56">
        <v>46175</v>
      </c>
      <c r="CB154">
        <v>1</v>
      </c>
      <c r="CC154">
        <v>1</v>
      </c>
      <c r="CE154">
        <v>1</v>
      </c>
      <c r="CG154" s="79">
        <v>0</v>
      </c>
      <c r="CH154" s="79">
        <v>0</v>
      </c>
      <c r="CI154" s="79">
        <v>0.27223379629629629</v>
      </c>
      <c r="CJ154" s="79">
        <v>6.7326388888888894E-2</v>
      </c>
      <c r="CK154">
        <v>159</v>
      </c>
      <c r="CL154">
        <v>254</v>
      </c>
      <c r="CM154">
        <v>42</v>
      </c>
      <c r="CN154">
        <v>1.7142857140000001</v>
      </c>
      <c r="CO154">
        <v>18995</v>
      </c>
      <c r="CP154" s="1">
        <v>0.26419999999999999</v>
      </c>
      <c r="CQ154">
        <v>3</v>
      </c>
      <c r="CR154" s="1">
        <v>7.1400000000000005E-2</v>
      </c>
      <c r="CS154">
        <v>2920</v>
      </c>
      <c r="CT154">
        <v>973</v>
      </c>
      <c r="CU154">
        <v>1730</v>
      </c>
      <c r="CV154">
        <v>1730</v>
      </c>
      <c r="CW154" s="1">
        <v>0.59250000000000003</v>
      </c>
      <c r="CX154" s="1">
        <v>0.1134</v>
      </c>
      <c r="CY154">
        <v>62</v>
      </c>
      <c r="CZ154">
        <v>38500</v>
      </c>
      <c r="DA154" s="1">
        <v>4.4900000000000002E-2</v>
      </c>
      <c r="DB154">
        <v>1</v>
      </c>
      <c r="DC154" t="s">
        <v>159</v>
      </c>
    </row>
    <row r="155" spans="43:107" x14ac:dyDescent="0.25">
      <c r="AQ155" s="7"/>
      <c r="BW155" t="s">
        <v>639</v>
      </c>
      <c r="BX155" t="s">
        <v>346</v>
      </c>
      <c r="BY155" t="s">
        <v>3</v>
      </c>
      <c r="BZ155" t="s">
        <v>493</v>
      </c>
      <c r="CA155" s="56">
        <v>46176</v>
      </c>
      <c r="CB155">
        <v>1</v>
      </c>
      <c r="CC155">
        <v>1</v>
      </c>
      <c r="CE155">
        <v>1</v>
      </c>
      <c r="CG155" s="79">
        <v>0</v>
      </c>
      <c r="CH155" s="79">
        <v>0</v>
      </c>
      <c r="CI155" s="79">
        <v>0.29599537037037038</v>
      </c>
      <c r="CJ155" s="79">
        <v>7.9328703703703707E-2</v>
      </c>
      <c r="CK155">
        <v>154</v>
      </c>
      <c r="CL155">
        <v>234</v>
      </c>
      <c r="CM155">
        <v>30</v>
      </c>
      <c r="CN155">
        <v>2.0666666669999998</v>
      </c>
      <c r="CO155">
        <v>19762</v>
      </c>
      <c r="CP155" s="1">
        <v>0.1948</v>
      </c>
      <c r="CQ155">
        <v>2</v>
      </c>
      <c r="CR155" s="1">
        <v>6.6699999999999995E-2</v>
      </c>
      <c r="CS155">
        <v>5680</v>
      </c>
      <c r="CT155">
        <v>2840</v>
      </c>
      <c r="CU155">
        <v>5680</v>
      </c>
      <c r="CV155">
        <v>2840</v>
      </c>
      <c r="CW155" s="1">
        <v>1</v>
      </c>
      <c r="CX155" s="1">
        <v>0.1002</v>
      </c>
      <c r="CY155">
        <v>90</v>
      </c>
      <c r="CZ155">
        <v>38500</v>
      </c>
      <c r="DA155" s="1">
        <v>0.14749999999999999</v>
      </c>
      <c r="DB155">
        <v>2</v>
      </c>
      <c r="DC155" t="s">
        <v>158</v>
      </c>
    </row>
    <row r="156" spans="43:107" x14ac:dyDescent="0.25">
      <c r="AQ156" s="7"/>
      <c r="BW156" t="s">
        <v>639</v>
      </c>
      <c r="BX156" t="s">
        <v>346</v>
      </c>
      <c r="BY156" t="s">
        <v>3</v>
      </c>
      <c r="BZ156" t="s">
        <v>493</v>
      </c>
      <c r="CA156" s="56">
        <v>46177</v>
      </c>
      <c r="CB156">
        <v>1</v>
      </c>
      <c r="CC156">
        <v>1</v>
      </c>
      <c r="CE156">
        <v>1</v>
      </c>
      <c r="CG156" s="79">
        <v>1.0416666666666667E-4</v>
      </c>
      <c r="CH156" s="79">
        <v>1.0416666666666667E-4</v>
      </c>
      <c r="CI156" s="79">
        <v>0.27917824074074077</v>
      </c>
      <c r="CJ156" s="79">
        <v>6.2268518518518522E-2</v>
      </c>
      <c r="CK156">
        <v>108</v>
      </c>
      <c r="CL156">
        <v>209</v>
      </c>
      <c r="CM156">
        <v>19</v>
      </c>
      <c r="CN156">
        <v>2.2105263160000002</v>
      </c>
      <c r="CO156">
        <v>23568</v>
      </c>
      <c r="CP156" s="1">
        <v>0.1759</v>
      </c>
      <c r="CQ156">
        <v>2</v>
      </c>
      <c r="CR156" s="1">
        <v>0.1053</v>
      </c>
      <c r="CS156">
        <v>1175</v>
      </c>
      <c r="CT156">
        <v>588</v>
      </c>
      <c r="CW156" s="1"/>
      <c r="CX156" s="1"/>
      <c r="CY156">
        <v>98</v>
      </c>
      <c r="CZ156">
        <v>38500</v>
      </c>
      <c r="DA156" s="1"/>
      <c r="DB156">
        <v>3</v>
      </c>
      <c r="DC156" t="s">
        <v>209</v>
      </c>
    </row>
    <row r="157" spans="43:107" x14ac:dyDescent="0.25">
      <c r="AQ157" s="7"/>
      <c r="BW157" t="s">
        <v>639</v>
      </c>
      <c r="BX157" t="s">
        <v>346</v>
      </c>
      <c r="BY157" t="s">
        <v>3</v>
      </c>
      <c r="BZ157" t="s">
        <v>493</v>
      </c>
      <c r="CA157" s="56">
        <v>46178</v>
      </c>
      <c r="CB157">
        <v>1</v>
      </c>
      <c r="CC157">
        <v>1</v>
      </c>
      <c r="CE157">
        <v>1</v>
      </c>
      <c r="CG157" s="79">
        <v>0</v>
      </c>
      <c r="CH157" s="79">
        <v>0</v>
      </c>
      <c r="CI157" s="79">
        <v>0.14563657407407407</v>
      </c>
      <c r="CJ157" s="79">
        <v>4.3900462962962961E-2</v>
      </c>
      <c r="CK157">
        <v>26</v>
      </c>
      <c r="CL157">
        <v>45</v>
      </c>
      <c r="CM157">
        <v>14</v>
      </c>
      <c r="CN157">
        <v>1.2142857140000001</v>
      </c>
      <c r="CO157">
        <v>11365</v>
      </c>
      <c r="CP157" s="1">
        <v>0.53849999999999998</v>
      </c>
      <c r="CQ157">
        <v>1</v>
      </c>
      <c r="CR157" s="1">
        <v>7.1400000000000005E-2</v>
      </c>
      <c r="CS157">
        <v>4200</v>
      </c>
      <c r="CT157">
        <v>4200</v>
      </c>
      <c r="CW157" s="1"/>
      <c r="CX157" s="1"/>
      <c r="CY157">
        <v>94</v>
      </c>
      <c r="CZ157">
        <v>38500</v>
      </c>
      <c r="DA157" s="1"/>
      <c r="DB157">
        <v>4</v>
      </c>
      <c r="DC157" t="s">
        <v>159</v>
      </c>
    </row>
    <row r="158" spans="43:107" x14ac:dyDescent="0.25">
      <c r="AQ158" s="7"/>
      <c r="BW158" t="s">
        <v>639</v>
      </c>
      <c r="BX158" t="s">
        <v>346</v>
      </c>
      <c r="BY158" t="s">
        <v>3</v>
      </c>
      <c r="BZ158" t="s">
        <v>32</v>
      </c>
      <c r="CA158" s="56">
        <v>46174</v>
      </c>
      <c r="CB158">
        <v>1</v>
      </c>
      <c r="CC158">
        <v>1</v>
      </c>
      <c r="CE158">
        <v>1</v>
      </c>
      <c r="CG158" s="79">
        <v>1.6203703703703703E-4</v>
      </c>
      <c r="CH158" s="79">
        <v>1.6203703703703703E-4</v>
      </c>
      <c r="CI158" s="79">
        <v>0.24380787037037038</v>
      </c>
      <c r="CJ158" s="79">
        <v>9.4328703703703706E-2</v>
      </c>
      <c r="CK158">
        <v>119</v>
      </c>
      <c r="CL158">
        <v>215</v>
      </c>
      <c r="CM158">
        <v>46</v>
      </c>
      <c r="CN158">
        <v>1.608695652</v>
      </c>
      <c r="CO158">
        <v>29927</v>
      </c>
      <c r="CP158" s="1">
        <v>0.3866</v>
      </c>
      <c r="CQ158">
        <v>8</v>
      </c>
      <c r="CR158" s="1">
        <v>0.1739</v>
      </c>
      <c r="CS158">
        <v>3774</v>
      </c>
      <c r="CT158">
        <v>472</v>
      </c>
      <c r="CW158" s="1"/>
      <c r="CX158" s="1"/>
      <c r="CY158">
        <v>62</v>
      </c>
      <c r="CZ158">
        <v>38500</v>
      </c>
      <c r="DA158" s="1"/>
      <c r="DB158">
        <v>5</v>
      </c>
      <c r="DC158" t="s">
        <v>158</v>
      </c>
    </row>
    <row r="159" spans="43:107" x14ac:dyDescent="0.25">
      <c r="AQ159" s="7"/>
      <c r="BW159" t="s">
        <v>639</v>
      </c>
      <c r="BX159" t="s">
        <v>346</v>
      </c>
      <c r="BY159" t="s">
        <v>3</v>
      </c>
      <c r="BZ159" t="s">
        <v>32</v>
      </c>
      <c r="CA159" s="56">
        <v>46175</v>
      </c>
      <c r="CB159">
        <v>1</v>
      </c>
      <c r="CC159">
        <v>1</v>
      </c>
      <c r="CE159">
        <v>1</v>
      </c>
      <c r="CG159" s="79">
        <v>1.3888888888888889E-4</v>
      </c>
      <c r="CH159" s="79">
        <v>1.3888888888888889E-4</v>
      </c>
      <c r="CI159" s="79">
        <v>0.24503472222222222</v>
      </c>
      <c r="CJ159" s="79">
        <v>8.6249999999999993E-2</v>
      </c>
      <c r="CK159">
        <v>112</v>
      </c>
      <c r="CL159">
        <v>210</v>
      </c>
      <c r="CM159">
        <v>25</v>
      </c>
      <c r="CN159">
        <v>1.64</v>
      </c>
      <c r="CO159">
        <v>45440</v>
      </c>
      <c r="CP159" s="1">
        <v>0.22320000000000001</v>
      </c>
      <c r="CR159" s="1"/>
      <c r="CW159" s="1"/>
      <c r="CX159" s="1"/>
      <c r="CY159">
        <v>38</v>
      </c>
      <c r="CZ159">
        <v>38500</v>
      </c>
      <c r="DA159" s="1"/>
      <c r="DB159">
        <v>1</v>
      </c>
      <c r="DC159" t="s">
        <v>209</v>
      </c>
    </row>
    <row r="160" spans="43:107" x14ac:dyDescent="0.25">
      <c r="AQ160" s="7"/>
      <c r="BW160" t="s">
        <v>639</v>
      </c>
      <c r="BX160" t="s">
        <v>346</v>
      </c>
      <c r="BY160" t="s">
        <v>3</v>
      </c>
      <c r="BZ160" t="s">
        <v>32</v>
      </c>
      <c r="CA160" s="56">
        <v>46177</v>
      </c>
      <c r="CB160">
        <v>1</v>
      </c>
      <c r="CC160">
        <v>1</v>
      </c>
      <c r="CE160">
        <v>1</v>
      </c>
      <c r="CG160" s="79">
        <v>3.1250000000000001E-4</v>
      </c>
      <c r="CH160" s="79">
        <v>3.1250000000000001E-4</v>
      </c>
      <c r="CI160" s="79">
        <v>0.2492361111111111</v>
      </c>
      <c r="CJ160" s="79">
        <v>8.5555555555555551E-2</v>
      </c>
      <c r="CK160">
        <v>105</v>
      </c>
      <c r="CL160">
        <v>221</v>
      </c>
      <c r="CM160">
        <v>17</v>
      </c>
      <c r="CN160">
        <v>1.705882353</v>
      </c>
      <c r="CO160">
        <v>31799</v>
      </c>
      <c r="CP160" s="1">
        <v>0.16189999999999999</v>
      </c>
      <c r="CQ160">
        <v>1</v>
      </c>
      <c r="CR160" s="1">
        <v>5.8799999999999998E-2</v>
      </c>
      <c r="CS160">
        <v>5000</v>
      </c>
      <c r="CT160">
        <v>5000</v>
      </c>
      <c r="CW160" s="1"/>
      <c r="CX160" s="1"/>
      <c r="CY160">
        <v>94</v>
      </c>
      <c r="CZ160">
        <v>38500</v>
      </c>
      <c r="DA160" s="1"/>
      <c r="DB160">
        <v>2</v>
      </c>
      <c r="DC160" t="s">
        <v>159</v>
      </c>
    </row>
    <row r="161" spans="43:107" x14ac:dyDescent="0.25">
      <c r="AQ161" s="7"/>
      <c r="BW161" t="s">
        <v>639</v>
      </c>
      <c r="BX161" t="s">
        <v>346</v>
      </c>
      <c r="BY161" t="s">
        <v>3</v>
      </c>
      <c r="BZ161" t="s">
        <v>32</v>
      </c>
      <c r="CA161" s="56">
        <v>46178</v>
      </c>
      <c r="CB161">
        <v>1</v>
      </c>
      <c r="CC161">
        <v>1</v>
      </c>
      <c r="CE161">
        <v>1</v>
      </c>
      <c r="CG161" s="79">
        <v>3.0092592592592595E-4</v>
      </c>
      <c r="CH161" s="79">
        <v>3.0092592592592595E-4</v>
      </c>
      <c r="CI161" s="79">
        <v>0.12981481481481483</v>
      </c>
      <c r="CJ161" s="79">
        <v>4.9085648148148149E-2</v>
      </c>
      <c r="CK161">
        <v>17</v>
      </c>
      <c r="CL161">
        <v>39</v>
      </c>
      <c r="CM161">
        <v>9</v>
      </c>
      <c r="CN161">
        <v>1.111111111</v>
      </c>
      <c r="CO161">
        <v>21200</v>
      </c>
      <c r="CP161" s="1">
        <v>0.52939999999999998</v>
      </c>
      <c r="CR161" s="1"/>
      <c r="CW161" s="1"/>
      <c r="CX161" s="1"/>
      <c r="CY161">
        <v>92</v>
      </c>
      <c r="CZ161">
        <v>38500</v>
      </c>
      <c r="DA161" s="1"/>
      <c r="DB161">
        <v>3</v>
      </c>
      <c r="DC161" t="s">
        <v>158</v>
      </c>
    </row>
    <row r="162" spans="43:107" x14ac:dyDescent="0.25">
      <c r="AQ162" s="7"/>
      <c r="BW162" t="s">
        <v>639</v>
      </c>
      <c r="BX162" t="s">
        <v>346</v>
      </c>
      <c r="BY162" t="s">
        <v>3</v>
      </c>
      <c r="BZ162" t="s">
        <v>42</v>
      </c>
      <c r="CA162" s="56">
        <v>46178</v>
      </c>
      <c r="CB162">
        <v>1</v>
      </c>
      <c r="CC162">
        <v>1</v>
      </c>
      <c r="CE162">
        <v>1</v>
      </c>
      <c r="CG162" s="79">
        <v>4.6296296296296294E-5</v>
      </c>
      <c r="CH162" s="79">
        <v>4.6296296296296294E-5</v>
      </c>
      <c r="CI162" s="79">
        <v>0.12876157407407407</v>
      </c>
      <c r="CJ162" s="79">
        <v>5.6215277777777781E-2</v>
      </c>
      <c r="CK162">
        <v>23</v>
      </c>
      <c r="CL162">
        <v>30</v>
      </c>
      <c r="CM162">
        <v>4</v>
      </c>
      <c r="CN162">
        <v>1</v>
      </c>
      <c r="CO162">
        <v>14256</v>
      </c>
      <c r="CP162" s="1">
        <v>0.1739</v>
      </c>
      <c r="CQ162">
        <v>1</v>
      </c>
      <c r="CR162" s="1">
        <v>0.25</v>
      </c>
      <c r="CS162">
        <v>206</v>
      </c>
      <c r="CT162">
        <v>206</v>
      </c>
      <c r="CW162" s="1"/>
      <c r="CX162" s="1"/>
      <c r="CY162">
        <v>98</v>
      </c>
      <c r="CZ162">
        <v>38500</v>
      </c>
      <c r="DA162" s="1"/>
      <c r="DB162">
        <v>4</v>
      </c>
      <c r="DC162" t="s">
        <v>209</v>
      </c>
    </row>
    <row r="163" spans="43:107" x14ac:dyDescent="0.25">
      <c r="AQ163" s="7"/>
      <c r="BW163" t="s">
        <v>639</v>
      </c>
      <c r="BX163" t="s">
        <v>346</v>
      </c>
      <c r="BY163" t="s">
        <v>3</v>
      </c>
      <c r="BZ163" t="s">
        <v>96</v>
      </c>
      <c r="CA163" s="56">
        <v>46174</v>
      </c>
      <c r="CB163">
        <v>1</v>
      </c>
      <c r="CC163">
        <v>1</v>
      </c>
      <c r="CE163">
        <v>1</v>
      </c>
      <c r="CG163" s="79">
        <v>2.2569444444444442E-3</v>
      </c>
      <c r="CH163" s="79">
        <v>2.2569444444444442E-3</v>
      </c>
      <c r="CI163" s="79">
        <v>0.26195601851851852</v>
      </c>
      <c r="CJ163" s="79">
        <v>7.1840277777777781E-2</v>
      </c>
      <c r="CK163">
        <v>101</v>
      </c>
      <c r="CL163">
        <v>168</v>
      </c>
      <c r="CM163">
        <v>40</v>
      </c>
      <c r="CN163">
        <v>1.625</v>
      </c>
      <c r="CO163">
        <v>16226</v>
      </c>
      <c r="CP163" s="1">
        <v>0.39600000000000002</v>
      </c>
      <c r="CQ163">
        <v>10</v>
      </c>
      <c r="CR163" s="1">
        <v>0.25</v>
      </c>
      <c r="CS163">
        <v>5180</v>
      </c>
      <c r="CT163">
        <v>518</v>
      </c>
      <c r="CW163" s="1"/>
      <c r="CX163" s="1"/>
      <c r="CY163">
        <v>74</v>
      </c>
      <c r="CZ163">
        <v>38500</v>
      </c>
      <c r="DA163" s="1"/>
      <c r="DB163">
        <v>5</v>
      </c>
      <c r="DC163" t="s">
        <v>159</v>
      </c>
    </row>
    <row r="164" spans="43:107" x14ac:dyDescent="0.25">
      <c r="AQ164" s="7"/>
      <c r="BW164" t="s">
        <v>639</v>
      </c>
      <c r="BX164" t="s">
        <v>346</v>
      </c>
      <c r="BY164" t="s">
        <v>3</v>
      </c>
      <c r="BZ164" t="s">
        <v>96</v>
      </c>
      <c r="CA164" s="56">
        <v>46175</v>
      </c>
      <c r="CB164">
        <v>1</v>
      </c>
      <c r="CC164">
        <v>1</v>
      </c>
      <c r="CE164">
        <v>1</v>
      </c>
      <c r="CG164" s="79">
        <v>0</v>
      </c>
      <c r="CH164" s="79">
        <v>0</v>
      </c>
      <c r="CI164" s="79">
        <v>0.25155092592592593</v>
      </c>
      <c r="CJ164" s="79">
        <v>8.68287037037037E-2</v>
      </c>
      <c r="CK164">
        <v>93</v>
      </c>
      <c r="CL164">
        <v>182</v>
      </c>
      <c r="CM164">
        <v>23</v>
      </c>
      <c r="CN164">
        <v>1.826086957</v>
      </c>
      <c r="CO164">
        <v>16564</v>
      </c>
      <c r="CP164" s="1">
        <v>0.24729999999999999</v>
      </c>
      <c r="CQ164">
        <v>1</v>
      </c>
      <c r="CR164" s="1">
        <v>4.3499999999999997E-2</v>
      </c>
      <c r="CS164">
        <v>360</v>
      </c>
      <c r="CT164">
        <v>360</v>
      </c>
      <c r="CW164" s="1"/>
      <c r="CX164" s="1"/>
      <c r="CY164">
        <v>38</v>
      </c>
      <c r="CZ164">
        <v>38500</v>
      </c>
      <c r="DA164" s="1"/>
      <c r="DB164">
        <v>1</v>
      </c>
      <c r="DC164" t="s">
        <v>158</v>
      </c>
    </row>
    <row r="165" spans="43:107" x14ac:dyDescent="0.25">
      <c r="AQ165" s="7"/>
      <c r="BW165" t="s">
        <v>639</v>
      </c>
      <c r="BX165" t="s">
        <v>346</v>
      </c>
      <c r="BY165" t="s">
        <v>3</v>
      </c>
      <c r="BZ165" t="s">
        <v>96</v>
      </c>
      <c r="CA165" s="56">
        <v>46178</v>
      </c>
      <c r="CB165">
        <v>1</v>
      </c>
      <c r="CC165">
        <v>1</v>
      </c>
      <c r="CE165">
        <v>1</v>
      </c>
      <c r="CG165" s="79">
        <v>0</v>
      </c>
      <c r="CH165" s="79">
        <v>0</v>
      </c>
      <c r="CI165" s="79">
        <v>0.14850694444444446</v>
      </c>
      <c r="CJ165" s="79">
        <v>4.207175925925926E-2</v>
      </c>
      <c r="CK165">
        <v>34</v>
      </c>
      <c r="CL165">
        <v>47</v>
      </c>
      <c r="CM165">
        <v>2</v>
      </c>
      <c r="CN165">
        <v>1</v>
      </c>
      <c r="CO165">
        <v>14895</v>
      </c>
      <c r="CP165" s="1">
        <v>5.8799999999999998E-2</v>
      </c>
      <c r="CQ165">
        <v>1</v>
      </c>
      <c r="CR165" s="1">
        <v>0.5</v>
      </c>
      <c r="CS165">
        <v>300</v>
      </c>
      <c r="CT165">
        <v>300</v>
      </c>
      <c r="CW165" s="1"/>
      <c r="CX165" s="1"/>
      <c r="CY165">
        <v>100</v>
      </c>
      <c r="CZ165">
        <v>38500</v>
      </c>
      <c r="DA165" s="1"/>
      <c r="DB165">
        <v>2</v>
      </c>
      <c r="DC165" t="s">
        <v>209</v>
      </c>
    </row>
    <row r="166" spans="43:107" x14ac:dyDescent="0.25">
      <c r="AQ166" s="7"/>
      <c r="BW166" t="s">
        <v>639</v>
      </c>
      <c r="BX166" t="s">
        <v>346</v>
      </c>
      <c r="BY166" t="s">
        <v>3</v>
      </c>
      <c r="BZ166" t="s">
        <v>68</v>
      </c>
      <c r="CA166" s="56">
        <v>46174</v>
      </c>
      <c r="CB166">
        <v>1</v>
      </c>
      <c r="CC166">
        <v>1</v>
      </c>
      <c r="CE166">
        <v>1</v>
      </c>
      <c r="CG166" s="79">
        <v>2.7777777777777778E-4</v>
      </c>
      <c r="CH166" s="79">
        <v>2.7777777777777778E-4</v>
      </c>
      <c r="CI166" s="79">
        <v>0.17766203703703703</v>
      </c>
      <c r="CJ166" s="79">
        <v>9.1921296296296293E-2</v>
      </c>
      <c r="CK166">
        <v>60</v>
      </c>
      <c r="CL166">
        <v>106</v>
      </c>
      <c r="CM166">
        <v>27</v>
      </c>
      <c r="CN166">
        <v>1.7777777779999999</v>
      </c>
      <c r="CO166">
        <v>30200</v>
      </c>
      <c r="CP166" s="1">
        <v>0.45</v>
      </c>
      <c r="CQ166">
        <v>11</v>
      </c>
      <c r="CR166" s="1">
        <v>0.40739999999999998</v>
      </c>
      <c r="CS166">
        <v>7529</v>
      </c>
      <c r="CT166">
        <v>684</v>
      </c>
      <c r="CU166">
        <v>2020</v>
      </c>
      <c r="CV166">
        <v>673</v>
      </c>
      <c r="CW166" s="1">
        <v>0.26829999999999998</v>
      </c>
      <c r="CX166" s="1"/>
      <c r="CY166">
        <v>90</v>
      </c>
      <c r="CZ166">
        <v>72000</v>
      </c>
      <c r="DA166" s="1">
        <v>2.81E-2</v>
      </c>
      <c r="DB166">
        <v>3</v>
      </c>
      <c r="DC166" t="s">
        <v>159</v>
      </c>
    </row>
    <row r="167" spans="43:107" x14ac:dyDescent="0.25">
      <c r="AQ167" s="7"/>
      <c r="BW167" t="s">
        <v>639</v>
      </c>
      <c r="BX167" t="s">
        <v>346</v>
      </c>
      <c r="BY167" t="s">
        <v>3</v>
      </c>
      <c r="BZ167" t="s">
        <v>68</v>
      </c>
      <c r="CA167" s="56">
        <v>46176</v>
      </c>
      <c r="CB167">
        <v>1</v>
      </c>
      <c r="CC167">
        <v>1</v>
      </c>
      <c r="CE167">
        <v>1</v>
      </c>
      <c r="CG167" s="79">
        <v>7.1759259259259259E-4</v>
      </c>
      <c r="CH167" s="79">
        <v>7.1759259259259259E-4</v>
      </c>
      <c r="CI167" s="79">
        <v>0.2694097222222222</v>
      </c>
      <c r="CJ167" s="79">
        <v>8.0601851851851855E-2</v>
      </c>
      <c r="CK167">
        <v>136</v>
      </c>
      <c r="CL167">
        <v>250</v>
      </c>
      <c r="CM167">
        <v>20</v>
      </c>
      <c r="CN167">
        <v>1.25</v>
      </c>
      <c r="CO167">
        <v>23659</v>
      </c>
      <c r="CP167" s="1">
        <v>0.14710000000000001</v>
      </c>
      <c r="CR167" s="1"/>
      <c r="CW167" s="1"/>
      <c r="CX167" s="1"/>
      <c r="CY167">
        <v>56</v>
      </c>
      <c r="CZ167">
        <v>72000</v>
      </c>
      <c r="DA167" s="1"/>
      <c r="DB167">
        <v>4</v>
      </c>
      <c r="DC167" t="s">
        <v>158</v>
      </c>
    </row>
    <row r="168" spans="43:107" x14ac:dyDescent="0.25">
      <c r="AQ168" s="7"/>
      <c r="BW168" t="s">
        <v>639</v>
      </c>
      <c r="BX168" t="s">
        <v>346</v>
      </c>
      <c r="BY168" t="s">
        <v>3</v>
      </c>
      <c r="BZ168" t="s">
        <v>68</v>
      </c>
      <c r="CA168" s="56">
        <v>46177</v>
      </c>
      <c r="CB168">
        <v>1</v>
      </c>
      <c r="CC168">
        <v>1</v>
      </c>
      <c r="CE168">
        <v>1</v>
      </c>
      <c r="CG168" s="79">
        <v>4.7453703703703704E-4</v>
      </c>
      <c r="CH168" s="79">
        <v>4.7453703703703704E-4</v>
      </c>
      <c r="CI168" s="79">
        <v>0.24009259259259258</v>
      </c>
      <c r="CJ168" s="79">
        <v>7.4409722222222224E-2</v>
      </c>
      <c r="CK168">
        <v>102</v>
      </c>
      <c r="CL168">
        <v>233</v>
      </c>
      <c r="CM168">
        <v>15</v>
      </c>
      <c r="CN168">
        <v>1.733333333</v>
      </c>
      <c r="CO168">
        <v>41621</v>
      </c>
      <c r="CP168" s="1">
        <v>0.14710000000000001</v>
      </c>
      <c r="CR168" s="1"/>
      <c r="CW168" s="1"/>
      <c r="CX168" s="1"/>
      <c r="CY168">
        <v>84</v>
      </c>
      <c r="CZ168">
        <v>72000</v>
      </c>
      <c r="DA168" s="1"/>
      <c r="DB168">
        <v>5</v>
      </c>
      <c r="DC168" t="s">
        <v>209</v>
      </c>
    </row>
    <row r="169" spans="43:107" x14ac:dyDescent="0.25">
      <c r="AQ169" s="7"/>
      <c r="BW169" t="s">
        <v>639</v>
      </c>
      <c r="BX169" t="s">
        <v>346</v>
      </c>
      <c r="BY169" t="s">
        <v>3</v>
      </c>
      <c r="BZ169" t="s">
        <v>79</v>
      </c>
      <c r="CA169" s="56">
        <v>46175</v>
      </c>
      <c r="CB169">
        <v>1</v>
      </c>
      <c r="CC169">
        <v>1</v>
      </c>
      <c r="CE169">
        <v>1</v>
      </c>
      <c r="CG169" s="79">
        <v>2.4305555555555555E-4</v>
      </c>
      <c r="CH169" s="79">
        <v>2.4305555555555555E-4</v>
      </c>
      <c r="CI169" s="79">
        <v>0.20688657407407407</v>
      </c>
      <c r="CJ169" s="79">
        <v>8.4884259259259257E-2</v>
      </c>
      <c r="CK169">
        <v>79</v>
      </c>
      <c r="CL169">
        <v>192</v>
      </c>
      <c r="CM169">
        <v>15</v>
      </c>
      <c r="CN169">
        <v>1.733333333</v>
      </c>
      <c r="CO169">
        <v>33185</v>
      </c>
      <c r="CP169" s="1">
        <v>0.18990000000000001</v>
      </c>
      <c r="CQ169">
        <v>1</v>
      </c>
      <c r="CR169" s="1">
        <v>6.6699999999999995E-2</v>
      </c>
      <c r="CS169">
        <v>1000</v>
      </c>
      <c r="CT169">
        <v>1000</v>
      </c>
      <c r="CU169">
        <v>1000</v>
      </c>
      <c r="CV169">
        <v>1000</v>
      </c>
      <c r="CW169" s="1">
        <v>1</v>
      </c>
      <c r="CX169" s="1"/>
      <c r="CY169">
        <v>72</v>
      </c>
      <c r="CZ169">
        <v>72000</v>
      </c>
      <c r="DA169" s="1">
        <v>1.3899999999999999E-2</v>
      </c>
      <c r="DB169">
        <v>1</v>
      </c>
      <c r="DC169" t="s">
        <v>159</v>
      </c>
    </row>
    <row r="170" spans="43:107" x14ac:dyDescent="0.25">
      <c r="AQ170" s="7"/>
      <c r="BW170" t="s">
        <v>639</v>
      </c>
      <c r="BX170" t="s">
        <v>346</v>
      </c>
      <c r="BY170" t="s">
        <v>3</v>
      </c>
      <c r="BZ170" t="s">
        <v>79</v>
      </c>
      <c r="CA170" s="56">
        <v>46176</v>
      </c>
      <c r="CB170">
        <v>1</v>
      </c>
      <c r="CC170">
        <v>1</v>
      </c>
      <c r="CE170">
        <v>1</v>
      </c>
      <c r="CG170" s="79">
        <v>0</v>
      </c>
      <c r="CH170" s="79">
        <v>0</v>
      </c>
      <c r="CI170" s="79">
        <v>0.18363425925925925</v>
      </c>
      <c r="CJ170" s="79">
        <v>9.707175925925926E-2</v>
      </c>
      <c r="CK170">
        <v>115</v>
      </c>
      <c r="CL170">
        <v>267</v>
      </c>
      <c r="CM170">
        <v>14</v>
      </c>
      <c r="CN170">
        <v>1.7857142859999999</v>
      </c>
      <c r="CO170">
        <v>32177</v>
      </c>
      <c r="CP170" s="1">
        <v>0.1217</v>
      </c>
      <c r="CQ170">
        <v>1</v>
      </c>
      <c r="CR170" s="1">
        <v>7.1400000000000005E-2</v>
      </c>
      <c r="CS170">
        <v>1000</v>
      </c>
      <c r="CT170">
        <v>1000</v>
      </c>
      <c r="CW170" s="1"/>
      <c r="CX170" s="1"/>
      <c r="CY170">
        <v>72</v>
      </c>
      <c r="CZ170">
        <v>72000</v>
      </c>
      <c r="DA170" s="1"/>
      <c r="DB170">
        <v>2</v>
      </c>
      <c r="DC170" t="s">
        <v>158</v>
      </c>
    </row>
    <row r="171" spans="43:107" x14ac:dyDescent="0.25">
      <c r="AQ171" s="7"/>
      <c r="BW171" t="s">
        <v>639</v>
      </c>
      <c r="BX171" t="s">
        <v>346</v>
      </c>
      <c r="BY171" t="s">
        <v>3</v>
      </c>
      <c r="BZ171" t="s">
        <v>79</v>
      </c>
      <c r="CA171" s="56">
        <v>46178</v>
      </c>
      <c r="CB171">
        <v>1</v>
      </c>
      <c r="CC171">
        <v>1</v>
      </c>
      <c r="CE171">
        <v>1</v>
      </c>
      <c r="CG171" s="79">
        <v>3.472222222222222E-3</v>
      </c>
      <c r="CH171" s="79">
        <v>3.472222222222222E-3</v>
      </c>
      <c r="CI171" s="79">
        <v>0.1529861111111111</v>
      </c>
      <c r="CJ171" s="79">
        <v>3.9641203703703706E-2</v>
      </c>
      <c r="CK171">
        <v>20</v>
      </c>
      <c r="CL171">
        <v>60</v>
      </c>
      <c r="CM171">
        <v>5</v>
      </c>
      <c r="CN171">
        <v>1.2</v>
      </c>
      <c r="CO171">
        <v>28387</v>
      </c>
      <c r="CP171" s="1">
        <v>0.25</v>
      </c>
      <c r="CR171" s="1"/>
      <c r="CW171" s="1"/>
      <c r="CX171" s="1"/>
      <c r="CY171">
        <v>92</v>
      </c>
      <c r="CZ171">
        <v>72000</v>
      </c>
      <c r="DA171" s="1"/>
      <c r="DB171">
        <v>3</v>
      </c>
      <c r="DC171" t="s">
        <v>209</v>
      </c>
    </row>
    <row r="172" spans="43:107" x14ac:dyDescent="0.25">
      <c r="AQ172" s="7"/>
      <c r="BW172" t="s">
        <v>639</v>
      </c>
      <c r="BX172" t="s">
        <v>346</v>
      </c>
      <c r="BY172" t="s">
        <v>3</v>
      </c>
      <c r="BZ172" t="s">
        <v>59</v>
      </c>
      <c r="CA172" s="56">
        <v>46174</v>
      </c>
      <c r="CB172">
        <v>1</v>
      </c>
      <c r="CC172">
        <v>1</v>
      </c>
      <c r="CE172">
        <v>1</v>
      </c>
      <c r="CG172" s="79">
        <v>2.3148148148148147E-5</v>
      </c>
      <c r="CH172" s="79">
        <v>2.3148148148148147E-5</v>
      </c>
      <c r="CI172" s="79">
        <v>0.23537037037037037</v>
      </c>
      <c r="CJ172" s="79">
        <v>7.9710648148148142E-2</v>
      </c>
      <c r="CK172">
        <v>157</v>
      </c>
      <c r="CL172">
        <v>324</v>
      </c>
      <c r="CM172">
        <v>40</v>
      </c>
      <c r="CN172">
        <v>1.8</v>
      </c>
      <c r="CO172">
        <v>25130</v>
      </c>
      <c r="CP172" s="1">
        <v>0.25480000000000003</v>
      </c>
      <c r="CQ172">
        <v>10</v>
      </c>
      <c r="CR172" s="1">
        <v>0.25</v>
      </c>
      <c r="CS172">
        <v>7920</v>
      </c>
      <c r="CT172">
        <v>792</v>
      </c>
      <c r="CW172" s="1"/>
      <c r="CX172" s="1"/>
      <c r="CY172">
        <v>80</v>
      </c>
      <c r="CZ172">
        <v>72000</v>
      </c>
      <c r="DA172" s="1"/>
      <c r="DB172">
        <v>4</v>
      </c>
      <c r="DC172" t="s">
        <v>159</v>
      </c>
    </row>
    <row r="173" spans="43:107" x14ac:dyDescent="0.25">
      <c r="AQ173" s="7"/>
      <c r="BW173" t="s">
        <v>639</v>
      </c>
      <c r="BX173" t="s">
        <v>346</v>
      </c>
      <c r="BY173" t="s">
        <v>3</v>
      </c>
      <c r="BZ173" t="s">
        <v>59</v>
      </c>
      <c r="CA173" s="56">
        <v>46175</v>
      </c>
      <c r="CB173">
        <v>1</v>
      </c>
      <c r="CC173">
        <v>1</v>
      </c>
      <c r="CE173">
        <v>1</v>
      </c>
      <c r="CG173" s="79">
        <v>5.7870370370370373E-5</v>
      </c>
      <c r="CH173" s="79">
        <v>5.7870370370370373E-5</v>
      </c>
      <c r="CI173" s="79">
        <v>0.21728009259259259</v>
      </c>
      <c r="CJ173" s="79">
        <v>0.15841435185185185</v>
      </c>
      <c r="CK173">
        <v>162</v>
      </c>
      <c r="CL173">
        <v>376</v>
      </c>
      <c r="CM173">
        <v>20</v>
      </c>
      <c r="CN173">
        <v>2.4</v>
      </c>
      <c r="CO173">
        <v>18282</v>
      </c>
      <c r="CP173" s="1">
        <v>0.1235</v>
      </c>
      <c r="CQ173">
        <v>3</v>
      </c>
      <c r="CR173" s="1">
        <v>0.15</v>
      </c>
      <c r="CS173">
        <v>3700</v>
      </c>
      <c r="CT173">
        <v>1233</v>
      </c>
      <c r="CU173">
        <v>3400</v>
      </c>
      <c r="CV173">
        <v>1700</v>
      </c>
      <c r="CW173" s="1">
        <v>0.91890000000000005</v>
      </c>
      <c r="CX173" s="1">
        <v>0.12479999999999999</v>
      </c>
      <c r="CY173">
        <v>76</v>
      </c>
      <c r="CZ173">
        <v>72000</v>
      </c>
      <c r="DA173" s="1">
        <v>4.7199999999999999E-2</v>
      </c>
      <c r="DB173">
        <v>5</v>
      </c>
      <c r="DC173" t="s">
        <v>158</v>
      </c>
    </row>
    <row r="174" spans="43:107" x14ac:dyDescent="0.25">
      <c r="AQ174" s="7"/>
      <c r="BW174" t="s">
        <v>639</v>
      </c>
      <c r="BX174" t="s">
        <v>346</v>
      </c>
      <c r="BY174" t="s">
        <v>3</v>
      </c>
      <c r="BZ174" t="s">
        <v>59</v>
      </c>
      <c r="CA174" s="56">
        <v>46176</v>
      </c>
      <c r="CB174">
        <v>1</v>
      </c>
      <c r="CC174">
        <v>1</v>
      </c>
      <c r="CE174">
        <v>1</v>
      </c>
      <c r="CG174" s="79">
        <v>1.3888888888888889E-4</v>
      </c>
      <c r="CH174" s="79">
        <v>1.3888888888888889E-4</v>
      </c>
      <c r="CI174" s="79">
        <v>0.2603935185185185</v>
      </c>
      <c r="CJ174" s="79">
        <v>0.1252662037037037</v>
      </c>
      <c r="CK174">
        <v>179</v>
      </c>
      <c r="CL174">
        <v>396</v>
      </c>
      <c r="CM174">
        <v>24</v>
      </c>
      <c r="CN174">
        <v>2.3333333330000001</v>
      </c>
      <c r="CO174">
        <v>24242</v>
      </c>
      <c r="CP174" s="1">
        <v>0.1341</v>
      </c>
      <c r="CQ174">
        <v>3</v>
      </c>
      <c r="CR174" s="1">
        <v>0.125</v>
      </c>
      <c r="CS174">
        <v>3885</v>
      </c>
      <c r="CT174">
        <v>1295</v>
      </c>
      <c r="CU174">
        <v>3000</v>
      </c>
      <c r="CV174">
        <v>1500</v>
      </c>
      <c r="CW174" s="1">
        <v>0.7722</v>
      </c>
      <c r="CX174" s="1">
        <v>0.115</v>
      </c>
      <c r="CY174">
        <v>90</v>
      </c>
      <c r="CZ174">
        <v>72000</v>
      </c>
      <c r="DA174" s="1">
        <v>4.1700000000000001E-2</v>
      </c>
      <c r="DB174">
        <v>1</v>
      </c>
      <c r="DC174" t="s">
        <v>209</v>
      </c>
    </row>
    <row r="175" spans="43:107" x14ac:dyDescent="0.25">
      <c r="BW175" t="s">
        <v>639</v>
      </c>
      <c r="BX175" t="s">
        <v>346</v>
      </c>
      <c r="BY175" t="s">
        <v>3</v>
      </c>
      <c r="BZ175" t="s">
        <v>59</v>
      </c>
      <c r="CA175" s="56">
        <v>46177</v>
      </c>
      <c r="CB175">
        <v>1</v>
      </c>
      <c r="CC175">
        <v>1</v>
      </c>
      <c r="CE175">
        <v>1</v>
      </c>
      <c r="CG175" s="79">
        <v>1.0416666666666667E-4</v>
      </c>
      <c r="CH175" s="79">
        <v>1.0416666666666667E-4</v>
      </c>
      <c r="CI175" s="79">
        <v>0.21376157407407406</v>
      </c>
      <c r="CJ175" s="79">
        <v>0.1184375</v>
      </c>
      <c r="CK175">
        <v>182</v>
      </c>
      <c r="CL175">
        <v>345</v>
      </c>
      <c r="CM175">
        <v>25</v>
      </c>
      <c r="CN175">
        <v>1.44</v>
      </c>
      <c r="CO175">
        <v>28894</v>
      </c>
      <c r="CP175" s="1">
        <v>0.13739999999999999</v>
      </c>
      <c r="CR175" s="1"/>
      <c r="CW175" s="1"/>
      <c r="CX175" s="1"/>
      <c r="CY175">
        <v>84</v>
      </c>
      <c r="CZ175">
        <v>72000</v>
      </c>
      <c r="DA175" s="1"/>
      <c r="DB175">
        <v>2</v>
      </c>
      <c r="DC175" t="s">
        <v>159</v>
      </c>
    </row>
    <row r="176" spans="43:107" x14ac:dyDescent="0.25">
      <c r="BW176" t="s">
        <v>639</v>
      </c>
      <c r="BX176" t="s">
        <v>346</v>
      </c>
      <c r="BY176" t="s">
        <v>3</v>
      </c>
      <c r="BZ176" t="s">
        <v>59</v>
      </c>
      <c r="CA176" s="56">
        <v>46178</v>
      </c>
      <c r="CB176">
        <v>1</v>
      </c>
      <c r="CC176">
        <v>1</v>
      </c>
      <c r="CE176">
        <v>1</v>
      </c>
      <c r="CG176" s="79">
        <v>1.1574074074074073E-5</v>
      </c>
      <c r="CH176" s="79">
        <v>1.1574074074074073E-5</v>
      </c>
      <c r="CI176" s="79">
        <v>0.13170138888888888</v>
      </c>
      <c r="CJ176" s="79">
        <v>6.3425925925925927E-2</v>
      </c>
      <c r="CK176">
        <v>67</v>
      </c>
      <c r="CL176">
        <v>139</v>
      </c>
      <c r="CM176">
        <v>10</v>
      </c>
      <c r="CN176">
        <v>1</v>
      </c>
      <c r="CO176">
        <v>22070</v>
      </c>
      <c r="CP176" s="1">
        <v>0.14929999999999999</v>
      </c>
      <c r="CR176" s="1"/>
      <c r="CW176" s="1"/>
      <c r="CX176" s="1"/>
      <c r="CY176">
        <v>92</v>
      </c>
      <c r="CZ176">
        <v>72000</v>
      </c>
      <c r="DA176" s="1"/>
      <c r="DB176">
        <v>3</v>
      </c>
      <c r="DC176" t="s">
        <v>158</v>
      </c>
    </row>
    <row r="177" spans="75:107" x14ac:dyDescent="0.25">
      <c r="BW177" t="s">
        <v>639</v>
      </c>
      <c r="BX177" t="s">
        <v>346</v>
      </c>
      <c r="BY177" t="s">
        <v>125</v>
      </c>
      <c r="BZ177" t="s">
        <v>109</v>
      </c>
      <c r="CA177" s="56">
        <v>46177</v>
      </c>
      <c r="CB177">
        <v>1</v>
      </c>
      <c r="CC177">
        <v>1</v>
      </c>
      <c r="CD177">
        <v>1</v>
      </c>
      <c r="CG177" s="79">
        <v>6.3310185185185188E-3</v>
      </c>
      <c r="CH177" s="79">
        <v>6.3310185185185188E-3</v>
      </c>
      <c r="CI177" s="79">
        <v>0.25065972222222221</v>
      </c>
      <c r="CJ177" s="79">
        <v>8.6747685185185192E-2</v>
      </c>
      <c r="CK177">
        <v>145</v>
      </c>
      <c r="CL177">
        <v>197</v>
      </c>
      <c r="CM177">
        <v>14</v>
      </c>
      <c r="CN177">
        <v>1.928571429</v>
      </c>
      <c r="CO177">
        <v>20672</v>
      </c>
      <c r="CP177" s="1">
        <v>9.6600000000000005E-2</v>
      </c>
      <c r="CQ177">
        <v>1</v>
      </c>
      <c r="CR177" s="1">
        <v>7.1400000000000005E-2</v>
      </c>
      <c r="CS177">
        <v>1500</v>
      </c>
      <c r="CT177">
        <v>1500</v>
      </c>
      <c r="CW177" s="1"/>
      <c r="CX177" s="1"/>
      <c r="CY177">
        <v>92</v>
      </c>
      <c r="CZ177">
        <v>29500</v>
      </c>
      <c r="DA177" s="1"/>
      <c r="DB177">
        <v>4</v>
      </c>
      <c r="DC177" t="s">
        <v>209</v>
      </c>
    </row>
    <row r="178" spans="75:107" x14ac:dyDescent="0.25">
      <c r="BW178" t="s">
        <v>639</v>
      </c>
      <c r="BX178" t="s">
        <v>346</v>
      </c>
      <c r="BY178" t="s">
        <v>125</v>
      </c>
      <c r="BZ178" t="s">
        <v>109</v>
      </c>
      <c r="CA178" s="56">
        <v>46178</v>
      </c>
      <c r="CB178">
        <v>1</v>
      </c>
      <c r="CC178">
        <v>1</v>
      </c>
      <c r="CG178" s="79">
        <v>3.4837962962962965E-3</v>
      </c>
      <c r="CH178" s="79">
        <v>3.4837962962962965E-3</v>
      </c>
      <c r="CI178" s="79">
        <v>0.14385416666666667</v>
      </c>
      <c r="CJ178" s="79">
        <v>3.8368055555555558E-2</v>
      </c>
      <c r="CK178">
        <v>35</v>
      </c>
      <c r="CL178">
        <v>78</v>
      </c>
      <c r="CM178">
        <v>6</v>
      </c>
      <c r="CN178">
        <v>1</v>
      </c>
      <c r="CO178">
        <v>37102</v>
      </c>
      <c r="CP178" s="1">
        <v>0.1714</v>
      </c>
      <c r="CR178" s="1"/>
      <c r="CW178" s="1"/>
      <c r="CX178" s="1"/>
      <c r="CY178">
        <v>94</v>
      </c>
      <c r="CZ178">
        <v>29500</v>
      </c>
      <c r="DA178" s="1"/>
      <c r="DB178">
        <v>5</v>
      </c>
      <c r="DC178" t="s">
        <v>159</v>
      </c>
    </row>
    <row r="179" spans="75:107" x14ac:dyDescent="0.25">
      <c r="BW179" t="s">
        <v>639</v>
      </c>
      <c r="BX179" t="s">
        <v>346</v>
      </c>
      <c r="BY179" t="s">
        <v>125</v>
      </c>
      <c r="BZ179" t="s">
        <v>41</v>
      </c>
      <c r="CA179" s="56">
        <v>46177</v>
      </c>
      <c r="CB179">
        <v>1</v>
      </c>
      <c r="CC179">
        <v>1</v>
      </c>
      <c r="CD179">
        <v>1</v>
      </c>
      <c r="CG179" s="79">
        <v>8.518518518518519E-3</v>
      </c>
      <c r="CH179" s="79">
        <v>8.518518518518519E-3</v>
      </c>
      <c r="CI179" s="79">
        <v>0.20637731481481481</v>
      </c>
      <c r="CJ179" s="79">
        <v>0.12762731481481482</v>
      </c>
      <c r="CK179">
        <v>69</v>
      </c>
      <c r="CL179">
        <v>192</v>
      </c>
      <c r="CM179">
        <v>12</v>
      </c>
      <c r="CN179">
        <v>1.9166666670000001</v>
      </c>
      <c r="CO179">
        <v>26141</v>
      </c>
      <c r="CP179" s="1">
        <v>0.1739</v>
      </c>
      <c r="CQ179">
        <v>1</v>
      </c>
      <c r="CR179" s="1">
        <v>8.3299999999999999E-2</v>
      </c>
      <c r="CS179">
        <v>2500</v>
      </c>
      <c r="CT179">
        <v>2500</v>
      </c>
      <c r="CW179" s="1"/>
      <c r="CX179" s="1"/>
      <c r="CY179">
        <v>94</v>
      </c>
      <c r="CZ179">
        <v>29500</v>
      </c>
      <c r="DA179" s="1"/>
      <c r="DB179">
        <v>1</v>
      </c>
      <c r="DC179" t="s">
        <v>158</v>
      </c>
    </row>
    <row r="180" spans="75:107" x14ac:dyDescent="0.25">
      <c r="BW180" t="s">
        <v>639</v>
      </c>
      <c r="BX180" t="s">
        <v>346</v>
      </c>
      <c r="BY180" t="s">
        <v>125</v>
      </c>
      <c r="BZ180" t="s">
        <v>41</v>
      </c>
      <c r="CA180" s="56">
        <v>46178</v>
      </c>
      <c r="CB180">
        <v>1</v>
      </c>
      <c r="CC180">
        <v>1</v>
      </c>
      <c r="CG180" s="79">
        <v>3.6342592592592594E-3</v>
      </c>
      <c r="CH180" s="79">
        <v>3.6342592592592594E-3</v>
      </c>
      <c r="CI180" s="79">
        <v>0.13372685185185185</v>
      </c>
      <c r="CJ180" s="79">
        <v>5.0115740740740738E-2</v>
      </c>
      <c r="CK180">
        <v>17</v>
      </c>
      <c r="CL180">
        <v>49</v>
      </c>
      <c r="CM180">
        <v>4</v>
      </c>
      <c r="CN180">
        <v>1</v>
      </c>
      <c r="CO180">
        <v>16961</v>
      </c>
      <c r="CP180" s="1">
        <v>0.23530000000000001</v>
      </c>
      <c r="CR180" s="1"/>
      <c r="CW180" s="1"/>
      <c r="CX180" s="1"/>
      <c r="CY180">
        <v>94</v>
      </c>
      <c r="CZ180">
        <v>29500</v>
      </c>
      <c r="DA180" s="1"/>
      <c r="DB180">
        <v>2</v>
      </c>
      <c r="DC180" t="s">
        <v>209</v>
      </c>
    </row>
    <row r="181" spans="75:107" x14ac:dyDescent="0.25">
      <c r="BW181" t="s">
        <v>639</v>
      </c>
      <c r="BX181" t="s">
        <v>346</v>
      </c>
      <c r="BY181" t="s">
        <v>125</v>
      </c>
      <c r="BZ181" t="s">
        <v>61</v>
      </c>
      <c r="CA181" s="56">
        <v>46175</v>
      </c>
      <c r="CB181">
        <v>1</v>
      </c>
      <c r="CC181">
        <v>1</v>
      </c>
      <c r="CF181">
        <v>1</v>
      </c>
      <c r="CG181" s="79">
        <v>0</v>
      </c>
      <c r="CH181" s="79">
        <v>0</v>
      </c>
      <c r="CI181" s="79">
        <v>0</v>
      </c>
      <c r="CJ181" s="79">
        <v>0</v>
      </c>
      <c r="CP181" s="1"/>
      <c r="CR181" s="1"/>
      <c r="CW181" s="1"/>
      <c r="CX181" s="1"/>
      <c r="CY181">
        <v>78</v>
      </c>
      <c r="CZ181">
        <v>29500</v>
      </c>
      <c r="DA181" s="1"/>
      <c r="DB181">
        <v>3</v>
      </c>
      <c r="DC181" t="s">
        <v>159</v>
      </c>
    </row>
    <row r="182" spans="75:107" x14ac:dyDescent="0.25">
      <c r="BW182" t="s">
        <v>639</v>
      </c>
      <c r="BX182" t="s">
        <v>346</v>
      </c>
      <c r="BY182" t="s">
        <v>125</v>
      </c>
      <c r="BZ182" t="s">
        <v>61</v>
      </c>
      <c r="CA182" s="56">
        <v>46177</v>
      </c>
      <c r="CB182">
        <v>1</v>
      </c>
      <c r="CC182">
        <v>1</v>
      </c>
      <c r="CD182">
        <v>1</v>
      </c>
      <c r="CG182" s="79">
        <v>8.7152777777777784E-3</v>
      </c>
      <c r="CH182" s="79">
        <v>8.7152777777777784E-3</v>
      </c>
      <c r="CI182" s="79">
        <v>0.24671296296296297</v>
      </c>
      <c r="CJ182" s="79">
        <v>8.0763888888888885E-2</v>
      </c>
      <c r="CK182">
        <v>135</v>
      </c>
      <c r="CL182">
        <v>270</v>
      </c>
      <c r="CM182">
        <v>25</v>
      </c>
      <c r="CN182">
        <v>1.76</v>
      </c>
      <c r="CO182">
        <v>31628</v>
      </c>
      <c r="CP182" s="1">
        <v>0.1852</v>
      </c>
      <c r="CR182" s="1"/>
      <c r="CW182" s="1"/>
      <c r="CX182" s="1"/>
      <c r="CY182">
        <v>78</v>
      </c>
      <c r="CZ182">
        <v>29500</v>
      </c>
      <c r="DA182" s="1"/>
      <c r="DB182">
        <v>4</v>
      </c>
      <c r="DC182" t="s">
        <v>158</v>
      </c>
    </row>
    <row r="183" spans="75:107" x14ac:dyDescent="0.25">
      <c r="BW183" t="s">
        <v>639</v>
      </c>
      <c r="BX183" t="s">
        <v>346</v>
      </c>
      <c r="BY183" t="s">
        <v>125</v>
      </c>
      <c r="BZ183" t="s">
        <v>80</v>
      </c>
      <c r="CA183" s="56">
        <v>46178</v>
      </c>
      <c r="CB183">
        <v>1</v>
      </c>
      <c r="CC183">
        <v>1</v>
      </c>
      <c r="CD183">
        <v>1</v>
      </c>
      <c r="CG183" s="79">
        <v>4.178240740740741E-3</v>
      </c>
      <c r="CH183" s="79">
        <v>4.178240740740741E-3</v>
      </c>
      <c r="CI183" s="79">
        <v>8.7986111111111112E-2</v>
      </c>
      <c r="CJ183" s="79">
        <v>0.10043981481481482</v>
      </c>
      <c r="CK183">
        <v>11</v>
      </c>
      <c r="CL183">
        <v>27</v>
      </c>
      <c r="CM183">
        <v>3</v>
      </c>
      <c r="CN183">
        <v>4</v>
      </c>
      <c r="CO183">
        <v>61083</v>
      </c>
      <c r="CP183" s="1">
        <v>0.2727</v>
      </c>
      <c r="CQ183">
        <v>1</v>
      </c>
      <c r="CR183" s="1">
        <v>0.33329999999999999</v>
      </c>
      <c r="CS183">
        <v>1500</v>
      </c>
      <c r="CT183">
        <v>1500</v>
      </c>
      <c r="CW183" s="1"/>
      <c r="CX183" s="1"/>
      <c r="CY183">
        <v>94</v>
      </c>
      <c r="CZ183">
        <v>29500</v>
      </c>
      <c r="DA183" s="1"/>
      <c r="DB183">
        <v>5</v>
      </c>
      <c r="DC183" t="s">
        <v>209</v>
      </c>
    </row>
    <row r="184" spans="75:107" x14ac:dyDescent="0.25">
      <c r="BW184" t="s">
        <v>639</v>
      </c>
      <c r="BX184" t="s">
        <v>346</v>
      </c>
      <c r="BY184" t="s">
        <v>125</v>
      </c>
      <c r="BZ184" t="s">
        <v>495</v>
      </c>
      <c r="CA184" s="56">
        <v>46174</v>
      </c>
      <c r="CB184">
        <v>1</v>
      </c>
      <c r="CC184">
        <v>1</v>
      </c>
      <c r="CD184">
        <v>1</v>
      </c>
      <c r="CG184" s="79">
        <v>1.3726851851851851E-2</v>
      </c>
      <c r="CH184" s="79">
        <v>1.3726851851851851E-2</v>
      </c>
      <c r="CI184" s="79">
        <v>0.24335648148148148</v>
      </c>
      <c r="CJ184" s="79">
        <v>8.7870370370370376E-2</v>
      </c>
      <c r="CK184">
        <v>107</v>
      </c>
      <c r="CL184">
        <v>210</v>
      </c>
      <c r="CM184">
        <v>27</v>
      </c>
      <c r="CN184">
        <v>1.8148148150000001</v>
      </c>
      <c r="CO184">
        <v>24923</v>
      </c>
      <c r="CP184" s="1">
        <v>0.25230000000000002</v>
      </c>
      <c r="CQ184">
        <v>5</v>
      </c>
      <c r="CR184" s="1">
        <v>0.1852</v>
      </c>
      <c r="CS184">
        <v>3850</v>
      </c>
      <c r="CT184">
        <v>770</v>
      </c>
      <c r="CU184">
        <v>1000</v>
      </c>
      <c r="CV184">
        <v>1000</v>
      </c>
      <c r="CW184" s="1">
        <v>0.25969999999999999</v>
      </c>
      <c r="CX184" s="1">
        <v>0.19220000000000001</v>
      </c>
      <c r="CY184">
        <v>72</v>
      </c>
      <c r="CZ184">
        <v>29500</v>
      </c>
      <c r="DA184" s="1">
        <v>3.39E-2</v>
      </c>
      <c r="DB184">
        <v>1</v>
      </c>
      <c r="DC184" t="s">
        <v>159</v>
      </c>
    </row>
    <row r="185" spans="75:107" x14ac:dyDescent="0.25">
      <c r="BW185" t="s">
        <v>639</v>
      </c>
      <c r="BX185" t="s">
        <v>346</v>
      </c>
      <c r="BY185" t="s">
        <v>125</v>
      </c>
      <c r="BZ185" t="s">
        <v>495</v>
      </c>
      <c r="CA185" s="56">
        <v>46175</v>
      </c>
      <c r="CB185">
        <v>1</v>
      </c>
      <c r="CC185">
        <v>1</v>
      </c>
      <c r="CD185">
        <v>1</v>
      </c>
      <c r="CG185" s="79">
        <v>4.9421296296296297E-3</v>
      </c>
      <c r="CH185" s="79">
        <v>4.9421296296296297E-3</v>
      </c>
      <c r="CI185" s="79">
        <v>0.19636574074074073</v>
      </c>
      <c r="CJ185" s="79">
        <v>0.11891203703703704</v>
      </c>
      <c r="CK185">
        <v>119</v>
      </c>
      <c r="CL185">
        <v>244</v>
      </c>
      <c r="CM185">
        <v>27</v>
      </c>
      <c r="CN185">
        <v>1.6296296299999999</v>
      </c>
      <c r="CO185">
        <v>24058</v>
      </c>
      <c r="CP185" s="1">
        <v>0.22689999999999999</v>
      </c>
      <c r="CQ185">
        <v>1</v>
      </c>
      <c r="CR185" s="1">
        <v>3.6999999999999998E-2</v>
      </c>
      <c r="CS185">
        <v>1100</v>
      </c>
      <c r="CT185">
        <v>1100</v>
      </c>
      <c r="CW185" s="1"/>
      <c r="CX185" s="1"/>
      <c r="CY185">
        <v>94</v>
      </c>
      <c r="CZ185">
        <v>29500</v>
      </c>
      <c r="DA185" s="1"/>
      <c r="DB185">
        <v>2</v>
      </c>
      <c r="DC185" t="s">
        <v>158</v>
      </c>
    </row>
    <row r="186" spans="75:107" x14ac:dyDescent="0.25">
      <c r="BW186" t="s">
        <v>639</v>
      </c>
      <c r="BX186" t="s">
        <v>346</v>
      </c>
      <c r="BY186" t="s">
        <v>125</v>
      </c>
      <c r="BZ186" t="s">
        <v>72</v>
      </c>
      <c r="CA186" s="56">
        <v>46175</v>
      </c>
      <c r="CB186">
        <v>1</v>
      </c>
      <c r="CC186">
        <v>1</v>
      </c>
      <c r="CD186">
        <v>1</v>
      </c>
      <c r="CG186" s="79">
        <v>4.7106481481481478E-3</v>
      </c>
      <c r="CH186" s="79">
        <v>4.7106481481481478E-3</v>
      </c>
      <c r="CI186" s="79">
        <v>0.19443287037037038</v>
      </c>
      <c r="CJ186" s="79">
        <v>0.12207175925925925</v>
      </c>
      <c r="CK186">
        <v>173</v>
      </c>
      <c r="CL186">
        <v>353</v>
      </c>
      <c r="CM186">
        <v>44</v>
      </c>
      <c r="CN186">
        <v>1.7272727269999999</v>
      </c>
      <c r="CO186">
        <v>30735</v>
      </c>
      <c r="CP186" s="1">
        <v>0.25430000000000003</v>
      </c>
      <c r="CR186" s="1"/>
      <c r="CW186" s="1"/>
      <c r="CX186" s="1"/>
      <c r="CY186">
        <v>78</v>
      </c>
      <c r="CZ186">
        <v>29500</v>
      </c>
      <c r="DA186" s="1"/>
      <c r="DB186">
        <v>3</v>
      </c>
      <c r="DC186" t="s">
        <v>209</v>
      </c>
    </row>
    <row r="187" spans="75:107" x14ac:dyDescent="0.25">
      <c r="BW187" t="s">
        <v>639</v>
      </c>
      <c r="BX187" t="s">
        <v>346</v>
      </c>
      <c r="BY187" t="s">
        <v>125</v>
      </c>
      <c r="BZ187" t="s">
        <v>12</v>
      </c>
      <c r="CA187" s="56">
        <v>46176</v>
      </c>
      <c r="CB187">
        <v>1</v>
      </c>
      <c r="CC187">
        <v>1</v>
      </c>
      <c r="CG187" s="79">
        <v>6.8287037037037036E-4</v>
      </c>
      <c r="CH187" s="79">
        <v>6.8287037037037036E-4</v>
      </c>
      <c r="CI187" s="79">
        <v>0.17096064814814815</v>
      </c>
      <c r="CJ187" s="79">
        <v>0.11684027777777778</v>
      </c>
      <c r="CK187">
        <v>69</v>
      </c>
      <c r="CL187">
        <v>161</v>
      </c>
      <c r="CM187">
        <v>13</v>
      </c>
      <c r="CN187">
        <v>1.769230769</v>
      </c>
      <c r="CO187">
        <v>25685</v>
      </c>
      <c r="CP187" s="1">
        <v>0.18840000000000001</v>
      </c>
      <c r="CR187" s="1"/>
      <c r="CW187" s="1"/>
      <c r="CX187" s="1"/>
      <c r="CY187">
        <v>60</v>
      </c>
      <c r="CZ187">
        <v>29500</v>
      </c>
      <c r="DA187" s="1"/>
      <c r="DB187">
        <v>4</v>
      </c>
      <c r="DC187" t="s">
        <v>159</v>
      </c>
    </row>
    <row r="188" spans="75:107" x14ac:dyDescent="0.25">
      <c r="BW188" t="s">
        <v>639</v>
      </c>
      <c r="BX188" t="s">
        <v>346</v>
      </c>
      <c r="BY188" t="s">
        <v>125</v>
      </c>
      <c r="BZ188" t="s">
        <v>26</v>
      </c>
      <c r="CA188" s="56">
        <v>46176</v>
      </c>
      <c r="CB188">
        <v>1</v>
      </c>
      <c r="CC188">
        <v>1</v>
      </c>
      <c r="CD188">
        <v>1</v>
      </c>
      <c r="CG188" s="79">
        <v>0.14399305555555555</v>
      </c>
      <c r="CH188" s="79">
        <v>0.14399305555555555</v>
      </c>
      <c r="CI188" s="79">
        <v>0.1879861111111111</v>
      </c>
      <c r="CJ188" s="79">
        <v>8.4247685185185189E-2</v>
      </c>
      <c r="CK188">
        <v>147</v>
      </c>
      <c r="CL188">
        <v>332</v>
      </c>
      <c r="CM188">
        <v>16</v>
      </c>
      <c r="CN188">
        <v>1.6875</v>
      </c>
      <c r="CO188">
        <v>29161</v>
      </c>
      <c r="CP188" s="1">
        <v>0.10879999999999999</v>
      </c>
      <c r="CQ188">
        <v>1</v>
      </c>
      <c r="CR188" s="1">
        <v>6.25E-2</v>
      </c>
      <c r="CS188">
        <v>3700</v>
      </c>
      <c r="CT188">
        <v>3700</v>
      </c>
      <c r="CU188">
        <v>3700</v>
      </c>
      <c r="CV188">
        <v>3700</v>
      </c>
      <c r="CW188" s="1">
        <v>1</v>
      </c>
      <c r="CX188" s="1">
        <v>0.1018</v>
      </c>
      <c r="CY188">
        <v>86</v>
      </c>
      <c r="CZ188">
        <v>29500</v>
      </c>
      <c r="DA188" s="1">
        <v>0.12540000000000001</v>
      </c>
      <c r="DB188">
        <v>5</v>
      </c>
      <c r="DC188" t="s">
        <v>158</v>
      </c>
    </row>
    <row r="189" spans="75:107" x14ac:dyDescent="0.25">
      <c r="BW189" t="s">
        <v>639</v>
      </c>
      <c r="BX189" t="s">
        <v>346</v>
      </c>
      <c r="BY189" t="s">
        <v>2</v>
      </c>
      <c r="BZ189" t="s">
        <v>15</v>
      </c>
      <c r="CA189" s="56">
        <v>46174</v>
      </c>
      <c r="CB189">
        <v>1</v>
      </c>
      <c r="CC189">
        <v>1</v>
      </c>
      <c r="CD189">
        <v>1</v>
      </c>
      <c r="CG189" s="79">
        <v>1.0069444444444445E-2</v>
      </c>
      <c r="CH189" s="79">
        <v>1.0069444444444445E-2</v>
      </c>
      <c r="CI189" s="79">
        <v>0.22826388888888888</v>
      </c>
      <c r="CJ189" s="79">
        <v>7.8912037037037031E-2</v>
      </c>
      <c r="CK189">
        <v>66</v>
      </c>
      <c r="CL189">
        <v>92</v>
      </c>
      <c r="CM189">
        <v>22</v>
      </c>
      <c r="CN189">
        <v>1.818181818</v>
      </c>
      <c r="CO189">
        <v>38376</v>
      </c>
      <c r="CP189" s="1">
        <v>0.33329999999999999</v>
      </c>
      <c r="CQ189">
        <v>4</v>
      </c>
      <c r="CR189" s="1">
        <v>0.18179999999999999</v>
      </c>
      <c r="CS189">
        <v>3176</v>
      </c>
      <c r="CT189">
        <v>794</v>
      </c>
      <c r="CU189">
        <v>2100</v>
      </c>
      <c r="CV189">
        <v>2100</v>
      </c>
      <c r="CW189" s="1">
        <v>0.66120000000000001</v>
      </c>
      <c r="CX189" s="1"/>
      <c r="CY189">
        <v>68</v>
      </c>
      <c r="CZ189">
        <v>67500</v>
      </c>
      <c r="DA189" s="1">
        <v>3.1099999999999999E-2</v>
      </c>
      <c r="DB189">
        <v>1</v>
      </c>
      <c r="DC189" t="s">
        <v>209</v>
      </c>
    </row>
    <row r="190" spans="75:107" x14ac:dyDescent="0.25">
      <c r="BW190" t="s">
        <v>639</v>
      </c>
      <c r="BX190" t="s">
        <v>346</v>
      </c>
      <c r="BY190" t="s">
        <v>2</v>
      </c>
      <c r="BZ190" t="s">
        <v>81</v>
      </c>
      <c r="CA190" s="56">
        <v>46174</v>
      </c>
      <c r="CB190">
        <v>1</v>
      </c>
      <c r="CC190">
        <v>1</v>
      </c>
      <c r="CF190">
        <v>1</v>
      </c>
      <c r="CG190" s="79">
        <v>0</v>
      </c>
      <c r="CH190" s="79">
        <v>0</v>
      </c>
      <c r="CI190" s="79">
        <v>0</v>
      </c>
      <c r="CJ190" s="79">
        <v>0</v>
      </c>
      <c r="CP190" s="1"/>
      <c r="CR190" s="1"/>
      <c r="CW190" s="1"/>
      <c r="CX190" s="1"/>
      <c r="CY190">
        <v>42</v>
      </c>
      <c r="CZ190">
        <v>67500</v>
      </c>
      <c r="DA190" s="1"/>
      <c r="DB190">
        <v>2</v>
      </c>
      <c r="DC190" t="s">
        <v>159</v>
      </c>
    </row>
    <row r="191" spans="75:107" x14ac:dyDescent="0.25">
      <c r="BW191" t="s">
        <v>639</v>
      </c>
      <c r="BX191" t="s">
        <v>346</v>
      </c>
      <c r="BY191" t="s">
        <v>2</v>
      </c>
      <c r="BZ191" t="s">
        <v>81</v>
      </c>
      <c r="CA191" s="56">
        <v>46175</v>
      </c>
      <c r="CB191">
        <v>1</v>
      </c>
      <c r="CC191">
        <v>1</v>
      </c>
      <c r="CF191">
        <v>1</v>
      </c>
      <c r="CG191" s="79">
        <v>0</v>
      </c>
      <c r="CH191" s="79">
        <v>0</v>
      </c>
      <c r="CI191" s="79">
        <v>0</v>
      </c>
      <c r="CJ191" s="79">
        <v>0</v>
      </c>
      <c r="CP191" s="1"/>
      <c r="CR191" s="1"/>
      <c r="CW191" s="1"/>
      <c r="CX191" s="1"/>
      <c r="CY191">
        <v>36</v>
      </c>
      <c r="CZ191">
        <v>67500</v>
      </c>
      <c r="DA191" s="1"/>
      <c r="DB191">
        <v>3</v>
      </c>
      <c r="DC191" t="s">
        <v>158</v>
      </c>
    </row>
    <row r="192" spans="75:107" x14ac:dyDescent="0.25">
      <c r="BW192" t="s">
        <v>639</v>
      </c>
      <c r="BX192" t="s">
        <v>346</v>
      </c>
      <c r="BY192" t="s">
        <v>2</v>
      </c>
      <c r="BZ192" t="s">
        <v>81</v>
      </c>
      <c r="CA192" s="56">
        <v>46176</v>
      </c>
      <c r="CB192">
        <v>1</v>
      </c>
      <c r="CC192">
        <v>1</v>
      </c>
      <c r="CF192">
        <v>1</v>
      </c>
      <c r="CG192" s="79">
        <v>0</v>
      </c>
      <c r="CH192" s="79">
        <v>0</v>
      </c>
      <c r="CI192" s="79">
        <v>0</v>
      </c>
      <c r="CJ192" s="79">
        <v>0</v>
      </c>
      <c r="CP192" s="1"/>
      <c r="CR192" s="1"/>
      <c r="CW192" s="1"/>
      <c r="CX192" s="1"/>
      <c r="CY192">
        <v>60</v>
      </c>
      <c r="CZ192">
        <v>67500</v>
      </c>
      <c r="DA192" s="1"/>
      <c r="DB192">
        <v>4</v>
      </c>
      <c r="DC192" t="s">
        <v>209</v>
      </c>
    </row>
    <row r="193" spans="75:107" x14ac:dyDescent="0.25">
      <c r="BW193" t="s">
        <v>639</v>
      </c>
      <c r="BX193" t="s">
        <v>346</v>
      </c>
      <c r="BY193" t="s">
        <v>2</v>
      </c>
      <c r="BZ193" t="s">
        <v>81</v>
      </c>
      <c r="CA193" s="56">
        <v>46177</v>
      </c>
      <c r="CB193">
        <v>1</v>
      </c>
      <c r="CC193">
        <v>1</v>
      </c>
      <c r="CF193">
        <v>1</v>
      </c>
      <c r="CG193" s="79">
        <v>0</v>
      </c>
      <c r="CH193" s="79">
        <v>0</v>
      </c>
      <c r="CI193" s="79">
        <v>0</v>
      </c>
      <c r="CJ193" s="79">
        <v>0</v>
      </c>
      <c r="CP193" s="1"/>
      <c r="CR193" s="1"/>
      <c r="CW193" s="1"/>
      <c r="CX193" s="1"/>
      <c r="CY193">
        <v>86</v>
      </c>
      <c r="CZ193">
        <v>67500</v>
      </c>
      <c r="DA193" s="1"/>
      <c r="DB193">
        <v>5</v>
      </c>
      <c r="DC193" t="s">
        <v>159</v>
      </c>
    </row>
    <row r="194" spans="75:107" x14ac:dyDescent="0.25">
      <c r="BW194" t="s">
        <v>639</v>
      </c>
      <c r="BX194" t="s">
        <v>346</v>
      </c>
      <c r="BY194" t="s">
        <v>2</v>
      </c>
      <c r="BZ194" t="s">
        <v>81</v>
      </c>
      <c r="CA194" s="56">
        <v>46178</v>
      </c>
      <c r="CB194">
        <v>1</v>
      </c>
      <c r="CC194">
        <v>1</v>
      </c>
      <c r="CF194">
        <v>1</v>
      </c>
      <c r="CG194" s="79">
        <v>0</v>
      </c>
      <c r="CH194" s="79">
        <v>0</v>
      </c>
      <c r="CI194" s="79">
        <v>0</v>
      </c>
      <c r="CJ194" s="79">
        <v>0</v>
      </c>
      <c r="CP194" s="1"/>
      <c r="CR194" s="1"/>
      <c r="CW194" s="1"/>
      <c r="CX194" s="1"/>
      <c r="CY194">
        <v>86</v>
      </c>
      <c r="CZ194">
        <v>67500</v>
      </c>
      <c r="DA194" s="1"/>
      <c r="DB194">
        <v>1</v>
      </c>
      <c r="DC194" t="s">
        <v>158</v>
      </c>
    </row>
    <row r="195" spans="75:107" x14ac:dyDescent="0.25">
      <c r="BW195" t="s">
        <v>639</v>
      </c>
      <c r="BX195" t="s">
        <v>346</v>
      </c>
      <c r="BY195" t="s">
        <v>2</v>
      </c>
      <c r="BZ195" t="s">
        <v>24</v>
      </c>
      <c r="CA195" s="56">
        <v>46174</v>
      </c>
      <c r="CB195">
        <v>1</v>
      </c>
      <c r="CC195">
        <v>1</v>
      </c>
      <c r="CD195">
        <v>1</v>
      </c>
      <c r="CG195" s="79">
        <v>6.9791666666666665E-3</v>
      </c>
      <c r="CH195" s="79">
        <v>6.9791666666666665E-3</v>
      </c>
      <c r="CI195" s="79">
        <v>0.23766203703703703</v>
      </c>
      <c r="CJ195" s="79">
        <v>7.0219907407407411E-2</v>
      </c>
      <c r="CK195">
        <v>81</v>
      </c>
      <c r="CL195">
        <v>136</v>
      </c>
      <c r="CM195">
        <v>43</v>
      </c>
      <c r="CN195">
        <v>1.6976744189999999</v>
      </c>
      <c r="CO195">
        <v>33579</v>
      </c>
      <c r="CP195" s="1">
        <v>0.53090000000000004</v>
      </c>
      <c r="CQ195">
        <v>11</v>
      </c>
      <c r="CR195" s="1">
        <v>0.25580000000000003</v>
      </c>
      <c r="CS195">
        <v>8435</v>
      </c>
      <c r="CT195">
        <v>767</v>
      </c>
      <c r="CU195">
        <v>350</v>
      </c>
      <c r="CV195">
        <v>350</v>
      </c>
      <c r="CW195" s="1">
        <v>4.1500000000000002E-2</v>
      </c>
      <c r="CX195" s="1"/>
      <c r="CY195">
        <v>68</v>
      </c>
      <c r="CZ195">
        <v>67500</v>
      </c>
      <c r="DA195" s="1">
        <v>5.1999999999999998E-3</v>
      </c>
      <c r="DB195">
        <v>2</v>
      </c>
      <c r="DC195" t="s">
        <v>209</v>
      </c>
    </row>
    <row r="196" spans="75:107" x14ac:dyDescent="0.25">
      <c r="BW196" t="s">
        <v>639</v>
      </c>
      <c r="BX196" t="s">
        <v>346</v>
      </c>
      <c r="BY196" t="s">
        <v>2</v>
      </c>
      <c r="BZ196" t="s">
        <v>24</v>
      </c>
      <c r="CA196" s="56">
        <v>46176</v>
      </c>
      <c r="CB196">
        <v>1</v>
      </c>
      <c r="CC196">
        <v>1</v>
      </c>
      <c r="CD196">
        <v>1</v>
      </c>
      <c r="CG196" s="79">
        <v>4.5601851851851853E-3</v>
      </c>
      <c r="CH196" s="79">
        <v>4.5601851851851853E-3</v>
      </c>
      <c r="CI196" s="79">
        <v>0.24469907407407407</v>
      </c>
      <c r="CJ196" s="79">
        <v>0.15143518518518517</v>
      </c>
      <c r="CK196">
        <v>63</v>
      </c>
      <c r="CL196">
        <v>156</v>
      </c>
      <c r="CM196">
        <v>30</v>
      </c>
      <c r="CN196">
        <v>1.933333333</v>
      </c>
      <c r="CO196">
        <v>34304</v>
      </c>
      <c r="CP196" s="1">
        <v>0.47620000000000001</v>
      </c>
      <c r="CQ196">
        <v>1</v>
      </c>
      <c r="CR196" s="1">
        <v>3.3300000000000003E-2</v>
      </c>
      <c r="CS196">
        <v>300</v>
      </c>
      <c r="CT196">
        <v>300</v>
      </c>
      <c r="CW196" s="1"/>
      <c r="CX196" s="1"/>
      <c r="CY196">
        <v>72</v>
      </c>
      <c r="CZ196">
        <v>67500</v>
      </c>
      <c r="DA196" s="1"/>
      <c r="DB196">
        <v>3</v>
      </c>
      <c r="DC196" t="s">
        <v>159</v>
      </c>
    </row>
    <row r="197" spans="75:107" x14ac:dyDescent="0.25">
      <c r="BW197" t="s">
        <v>639</v>
      </c>
      <c r="BX197" t="s">
        <v>346</v>
      </c>
      <c r="BY197" t="s">
        <v>2</v>
      </c>
      <c r="BZ197" t="s">
        <v>24</v>
      </c>
      <c r="CA197" s="56">
        <v>46177</v>
      </c>
      <c r="CB197">
        <v>1</v>
      </c>
      <c r="CC197">
        <v>1</v>
      </c>
      <c r="CD197">
        <v>1</v>
      </c>
      <c r="CG197" s="79">
        <v>8.1828703703703699E-3</v>
      </c>
      <c r="CH197" s="79">
        <v>8.1828703703703699E-3</v>
      </c>
      <c r="CI197" s="79">
        <v>0.21612268518518518</v>
      </c>
      <c r="CJ197" s="79">
        <v>0.10864583333333333</v>
      </c>
      <c r="CK197">
        <v>48</v>
      </c>
      <c r="CL197">
        <v>110</v>
      </c>
      <c r="CM197">
        <v>12</v>
      </c>
      <c r="CN197">
        <v>1.9166666670000001</v>
      </c>
      <c r="CO197">
        <v>26831</v>
      </c>
      <c r="CP197" s="1">
        <v>0.25</v>
      </c>
      <c r="CQ197">
        <v>1</v>
      </c>
      <c r="CR197" s="1">
        <v>8.3299999999999999E-2</v>
      </c>
      <c r="CS197">
        <v>348</v>
      </c>
      <c r="CT197">
        <v>348</v>
      </c>
      <c r="CW197" s="1"/>
      <c r="CX197" s="1"/>
      <c r="CY197">
        <v>86</v>
      </c>
      <c r="CZ197">
        <v>67500</v>
      </c>
      <c r="DA197" s="1"/>
      <c r="DB197">
        <v>4</v>
      </c>
      <c r="DC197" t="s">
        <v>158</v>
      </c>
    </row>
    <row r="198" spans="75:107" x14ac:dyDescent="0.25">
      <c r="BW198" t="s">
        <v>639</v>
      </c>
      <c r="BX198" t="s">
        <v>346</v>
      </c>
      <c r="BY198" t="s">
        <v>2</v>
      </c>
      <c r="BZ198" t="s">
        <v>24</v>
      </c>
      <c r="CA198" s="56">
        <v>46178</v>
      </c>
      <c r="CB198">
        <v>1</v>
      </c>
      <c r="CC198">
        <v>1</v>
      </c>
      <c r="CD198">
        <v>1</v>
      </c>
      <c r="CG198" s="79">
        <v>1.0034722222222223E-2</v>
      </c>
      <c r="CH198" s="79">
        <v>1.0034722222222223E-2</v>
      </c>
      <c r="CI198" s="79">
        <v>0.12842592592592592</v>
      </c>
      <c r="CJ198" s="79">
        <v>5.4027777777777779E-2</v>
      </c>
      <c r="CK198">
        <v>18</v>
      </c>
      <c r="CL198">
        <v>44</v>
      </c>
      <c r="CM198">
        <v>2</v>
      </c>
      <c r="CN198">
        <v>1</v>
      </c>
      <c r="CO198">
        <v>45886</v>
      </c>
      <c r="CP198" s="1">
        <v>0.1111</v>
      </c>
      <c r="CR198" s="1"/>
      <c r="CW198" s="1"/>
      <c r="CX198" s="1"/>
      <c r="CY198">
        <v>86</v>
      </c>
      <c r="CZ198">
        <v>67500</v>
      </c>
      <c r="DA198" s="1"/>
      <c r="DB198">
        <v>5</v>
      </c>
      <c r="DC198" t="s">
        <v>209</v>
      </c>
    </row>
    <row r="199" spans="75:107" x14ac:dyDescent="0.25">
      <c r="BW199" t="s">
        <v>639</v>
      </c>
      <c r="BX199" t="s">
        <v>346</v>
      </c>
      <c r="BY199" t="s">
        <v>2</v>
      </c>
      <c r="BZ199" t="s">
        <v>13</v>
      </c>
      <c r="CA199" s="56">
        <v>46175</v>
      </c>
      <c r="CB199">
        <v>1</v>
      </c>
      <c r="CC199">
        <v>1</v>
      </c>
      <c r="CD199">
        <v>1</v>
      </c>
      <c r="CG199" s="79">
        <v>1.2905092592592593E-2</v>
      </c>
      <c r="CH199" s="79">
        <v>1.2905092592592593E-2</v>
      </c>
      <c r="CI199" s="79">
        <v>0.15277777777777779</v>
      </c>
      <c r="CJ199" s="79">
        <v>0.12953703703703703</v>
      </c>
      <c r="CK199">
        <v>90</v>
      </c>
      <c r="CL199">
        <v>179</v>
      </c>
      <c r="CM199">
        <v>22</v>
      </c>
      <c r="CN199">
        <v>1.9090909089999999</v>
      </c>
      <c r="CO199">
        <v>30456</v>
      </c>
      <c r="CP199" s="1">
        <v>0.24440000000000001</v>
      </c>
      <c r="CQ199">
        <v>5</v>
      </c>
      <c r="CR199" s="1">
        <v>0.2273</v>
      </c>
      <c r="CS199">
        <v>8474</v>
      </c>
      <c r="CT199">
        <v>1695</v>
      </c>
      <c r="CU199">
        <v>7000</v>
      </c>
      <c r="CV199">
        <v>7000</v>
      </c>
      <c r="CW199" s="1">
        <v>0.82609999999999995</v>
      </c>
      <c r="CX199" s="1">
        <v>0.13270000000000001</v>
      </c>
      <c r="CY199">
        <v>78</v>
      </c>
      <c r="CZ199">
        <v>67500</v>
      </c>
      <c r="DA199" s="1">
        <v>0.1037</v>
      </c>
      <c r="DB199">
        <v>1</v>
      </c>
      <c r="DC199" t="s">
        <v>159</v>
      </c>
    </row>
    <row r="200" spans="75:107" x14ac:dyDescent="0.25">
      <c r="BW200" t="s">
        <v>639</v>
      </c>
      <c r="BX200" t="s">
        <v>346</v>
      </c>
      <c r="BY200" t="s">
        <v>2</v>
      </c>
      <c r="BZ200" t="s">
        <v>13</v>
      </c>
      <c r="CA200" s="56">
        <v>46176</v>
      </c>
      <c r="CB200">
        <v>1</v>
      </c>
      <c r="CC200">
        <v>1</v>
      </c>
      <c r="CD200">
        <v>1</v>
      </c>
      <c r="CG200" s="79">
        <v>0.16136574074074075</v>
      </c>
      <c r="CH200" s="79">
        <v>0.16136574074074075</v>
      </c>
      <c r="CI200" s="79">
        <v>0.18663194444444445</v>
      </c>
      <c r="CJ200" s="79">
        <v>8.4317129629629631E-2</v>
      </c>
      <c r="CK200">
        <v>67</v>
      </c>
      <c r="CL200">
        <v>141</v>
      </c>
      <c r="CM200">
        <v>16</v>
      </c>
      <c r="CN200">
        <v>1.875</v>
      </c>
      <c r="CO200">
        <v>29625</v>
      </c>
      <c r="CP200" s="1">
        <v>0.23880000000000001</v>
      </c>
      <c r="CR200" s="1"/>
      <c r="CW200" s="1"/>
      <c r="CX200" s="1"/>
      <c r="CY200">
        <v>60</v>
      </c>
      <c r="CZ200">
        <v>67500</v>
      </c>
      <c r="DA200" s="1"/>
      <c r="DB200">
        <v>2</v>
      </c>
      <c r="DC200" t="s">
        <v>158</v>
      </c>
    </row>
    <row r="201" spans="75:107" x14ac:dyDescent="0.25">
      <c r="BW201" t="s">
        <v>639</v>
      </c>
      <c r="BX201" t="s">
        <v>346</v>
      </c>
      <c r="BY201" t="s">
        <v>2</v>
      </c>
      <c r="BZ201" t="s">
        <v>13</v>
      </c>
      <c r="CA201" s="56">
        <v>46178</v>
      </c>
      <c r="CB201">
        <v>1</v>
      </c>
      <c r="CC201">
        <v>1</v>
      </c>
      <c r="CD201">
        <v>1</v>
      </c>
      <c r="CG201" s="79">
        <v>1.0625000000000001E-2</v>
      </c>
      <c r="CH201" s="79">
        <v>1.0625000000000001E-2</v>
      </c>
      <c r="CI201" s="79">
        <v>0.1436574074074074</v>
      </c>
      <c r="CJ201" s="79">
        <v>4.809027777777778E-2</v>
      </c>
      <c r="CK201">
        <v>37</v>
      </c>
      <c r="CL201">
        <v>61</v>
      </c>
      <c r="CM201">
        <v>3</v>
      </c>
      <c r="CN201">
        <v>1</v>
      </c>
      <c r="CO201">
        <v>33422</v>
      </c>
      <c r="CP201" s="1">
        <v>8.1100000000000005E-2</v>
      </c>
      <c r="CR201" s="1"/>
      <c r="CW201" s="1"/>
      <c r="CX201" s="1"/>
      <c r="CY201">
        <v>86</v>
      </c>
      <c r="CZ201">
        <v>67500</v>
      </c>
      <c r="DA201" s="1"/>
      <c r="DB201">
        <v>3</v>
      </c>
      <c r="DC201" t="s">
        <v>209</v>
      </c>
    </row>
    <row r="202" spans="75:107" x14ac:dyDescent="0.25">
      <c r="BW202" t="s">
        <v>639</v>
      </c>
      <c r="BX202" t="s">
        <v>346</v>
      </c>
      <c r="BY202" t="s">
        <v>2</v>
      </c>
      <c r="BZ202" t="s">
        <v>25</v>
      </c>
      <c r="CA202" s="56">
        <v>46174</v>
      </c>
      <c r="CB202">
        <v>1</v>
      </c>
      <c r="CC202">
        <v>1</v>
      </c>
      <c r="CG202" s="79">
        <v>3.5069444444444445E-3</v>
      </c>
      <c r="CH202" s="79">
        <v>3.5069444444444445E-3</v>
      </c>
      <c r="CI202" s="79">
        <v>0.20165509259259259</v>
      </c>
      <c r="CJ202" s="79">
        <v>0.11805555555555555</v>
      </c>
      <c r="CK202">
        <v>63</v>
      </c>
      <c r="CL202">
        <v>111</v>
      </c>
      <c r="CM202">
        <v>34</v>
      </c>
      <c r="CN202">
        <v>1.8235294120000001</v>
      </c>
      <c r="CO202">
        <v>33542</v>
      </c>
      <c r="CP202" s="1">
        <v>0.53969999999999996</v>
      </c>
      <c r="CQ202">
        <v>7</v>
      </c>
      <c r="CR202" s="1">
        <v>0.2059</v>
      </c>
      <c r="CS202">
        <v>8304</v>
      </c>
      <c r="CT202">
        <v>1186</v>
      </c>
      <c r="CW202" s="1"/>
      <c r="CX202" s="1"/>
      <c r="CY202">
        <v>60</v>
      </c>
      <c r="CZ202">
        <v>67500</v>
      </c>
      <c r="DA202" s="1"/>
      <c r="DB202">
        <v>4</v>
      </c>
      <c r="DC202" t="s">
        <v>159</v>
      </c>
    </row>
    <row r="203" spans="75:107" x14ac:dyDescent="0.25">
      <c r="BW203" t="s">
        <v>639</v>
      </c>
      <c r="BX203" t="s">
        <v>346</v>
      </c>
      <c r="BY203" t="s">
        <v>2</v>
      </c>
      <c r="BZ203" t="s">
        <v>25</v>
      </c>
      <c r="CA203" s="56">
        <v>46177</v>
      </c>
      <c r="CB203">
        <v>1</v>
      </c>
      <c r="CC203">
        <v>1</v>
      </c>
      <c r="CD203">
        <v>1</v>
      </c>
      <c r="CG203" s="79">
        <v>8.4722222222222227E-2</v>
      </c>
      <c r="CH203" s="79">
        <v>8.4722222222222227E-2</v>
      </c>
      <c r="CI203" s="79">
        <v>0.14059027777777777</v>
      </c>
      <c r="CJ203" s="79">
        <v>0.1109837962962963</v>
      </c>
      <c r="CK203">
        <v>64</v>
      </c>
      <c r="CL203">
        <v>97</v>
      </c>
      <c r="CM203">
        <v>14</v>
      </c>
      <c r="CN203">
        <v>1.5</v>
      </c>
      <c r="CO203">
        <v>36295</v>
      </c>
      <c r="CP203" s="1">
        <v>0.21879999999999999</v>
      </c>
      <c r="CR203" s="1"/>
      <c r="CW203" s="1"/>
      <c r="CX203" s="1"/>
      <c r="CY203">
        <v>86</v>
      </c>
      <c r="CZ203">
        <v>67500</v>
      </c>
      <c r="DA203" s="1"/>
      <c r="DB203">
        <v>5</v>
      </c>
      <c r="DC203" t="s">
        <v>158</v>
      </c>
    </row>
    <row r="204" spans="75:107" x14ac:dyDescent="0.25">
      <c r="BW204" t="s">
        <v>639</v>
      </c>
      <c r="BX204" t="s">
        <v>346</v>
      </c>
      <c r="BY204" t="s">
        <v>2</v>
      </c>
      <c r="BZ204" t="s">
        <v>25</v>
      </c>
      <c r="CA204" s="56">
        <v>46178</v>
      </c>
      <c r="CB204">
        <v>1</v>
      </c>
      <c r="CC204">
        <v>1</v>
      </c>
      <c r="CD204">
        <v>1</v>
      </c>
      <c r="CG204" s="79">
        <v>2.613425925925926E-2</v>
      </c>
      <c r="CH204" s="79">
        <v>2.613425925925926E-2</v>
      </c>
      <c r="CI204" s="79">
        <v>0.12622685185185184</v>
      </c>
      <c r="CJ204" s="79">
        <v>4.2673611111111114E-2</v>
      </c>
      <c r="CK204">
        <v>6</v>
      </c>
      <c r="CL204">
        <v>10</v>
      </c>
      <c r="CM204">
        <v>4</v>
      </c>
      <c r="CN204">
        <v>1</v>
      </c>
      <c r="CO204">
        <v>26010</v>
      </c>
      <c r="CP204" s="1">
        <v>0.66669999999999996</v>
      </c>
      <c r="CR204" s="1"/>
      <c r="CW204" s="1"/>
      <c r="CX204" s="1"/>
      <c r="CY204">
        <v>86</v>
      </c>
      <c r="CZ204">
        <v>67500</v>
      </c>
      <c r="DA204" s="1"/>
      <c r="DB204">
        <v>1</v>
      </c>
      <c r="DC204" t="s">
        <v>209</v>
      </c>
    </row>
    <row r="205" spans="75:107" x14ac:dyDescent="0.25">
      <c r="BW205" t="s">
        <v>639</v>
      </c>
      <c r="BX205" t="s">
        <v>346</v>
      </c>
      <c r="BY205" t="s">
        <v>2</v>
      </c>
      <c r="BZ205" t="s">
        <v>76</v>
      </c>
      <c r="CA205" s="56">
        <v>46174</v>
      </c>
      <c r="CB205">
        <v>1</v>
      </c>
      <c r="CC205">
        <v>1</v>
      </c>
      <c r="CD205">
        <v>1</v>
      </c>
      <c r="CG205" s="79">
        <v>2.7476851851851853E-2</v>
      </c>
      <c r="CH205" s="79">
        <v>2.7476851851851853E-2</v>
      </c>
      <c r="CI205" s="79">
        <v>0.21766203703703704</v>
      </c>
      <c r="CJ205" s="79">
        <v>3.7418981481481484E-2</v>
      </c>
      <c r="CK205">
        <v>65</v>
      </c>
      <c r="CL205">
        <v>99</v>
      </c>
      <c r="CM205">
        <v>34</v>
      </c>
      <c r="CN205">
        <v>1.794117647</v>
      </c>
      <c r="CO205">
        <v>33139</v>
      </c>
      <c r="CP205" s="1">
        <v>0.52310000000000001</v>
      </c>
      <c r="CQ205">
        <v>4</v>
      </c>
      <c r="CR205" s="1">
        <v>0.1176</v>
      </c>
      <c r="CS205">
        <v>4646</v>
      </c>
      <c r="CT205">
        <v>1162</v>
      </c>
      <c r="CW205" s="1"/>
      <c r="CX205" s="1"/>
      <c r="CY205">
        <v>54</v>
      </c>
      <c r="CZ205">
        <v>67500</v>
      </c>
      <c r="DA205" s="1"/>
      <c r="DB205">
        <v>2</v>
      </c>
      <c r="DC205" t="s">
        <v>159</v>
      </c>
    </row>
    <row r="206" spans="75:107" x14ac:dyDescent="0.25">
      <c r="BW206" t="s">
        <v>639</v>
      </c>
      <c r="BX206" t="s">
        <v>346</v>
      </c>
      <c r="BY206" t="s">
        <v>2</v>
      </c>
      <c r="BZ206" t="s">
        <v>76</v>
      </c>
      <c r="CA206" s="56">
        <v>46175</v>
      </c>
      <c r="CB206">
        <v>1</v>
      </c>
      <c r="CC206">
        <v>1</v>
      </c>
      <c r="CD206">
        <v>1</v>
      </c>
      <c r="CG206" s="79">
        <v>9.2592592592592587E-3</v>
      </c>
      <c r="CH206" s="79">
        <v>9.2592592592592587E-3</v>
      </c>
      <c r="CI206" s="79">
        <v>0.15736111111111112</v>
      </c>
      <c r="CJ206" s="79">
        <v>0.1187962962962963</v>
      </c>
      <c r="CK206">
        <v>71</v>
      </c>
      <c r="CL206">
        <v>106</v>
      </c>
      <c r="CM206">
        <v>24</v>
      </c>
      <c r="CN206">
        <v>1.8333333329999999</v>
      </c>
      <c r="CO206">
        <v>31384</v>
      </c>
      <c r="CP206" s="1">
        <v>0.33800000000000002</v>
      </c>
      <c r="CQ206">
        <v>2</v>
      </c>
      <c r="CR206" s="1">
        <v>8.3299999999999999E-2</v>
      </c>
      <c r="CS206">
        <v>2618</v>
      </c>
      <c r="CT206">
        <v>1309</v>
      </c>
      <c r="CU206">
        <v>1034</v>
      </c>
      <c r="CV206">
        <v>1034</v>
      </c>
      <c r="CW206" s="1">
        <v>0.39500000000000002</v>
      </c>
      <c r="CX206" s="1"/>
      <c r="CY206">
        <v>60</v>
      </c>
      <c r="CZ206">
        <v>67500</v>
      </c>
      <c r="DA206" s="1">
        <v>1.5299999999999999E-2</v>
      </c>
      <c r="DB206">
        <v>3</v>
      </c>
      <c r="DC206" t="s">
        <v>158</v>
      </c>
    </row>
    <row r="207" spans="75:107" x14ac:dyDescent="0.25">
      <c r="BW207" t="s">
        <v>639</v>
      </c>
      <c r="BX207" t="s">
        <v>346</v>
      </c>
      <c r="BY207" t="s">
        <v>2</v>
      </c>
      <c r="BZ207" t="s">
        <v>76</v>
      </c>
      <c r="CA207" s="56">
        <v>46176</v>
      </c>
      <c r="CB207">
        <v>1</v>
      </c>
      <c r="CC207">
        <v>1</v>
      </c>
      <c r="CD207">
        <v>1</v>
      </c>
      <c r="CG207" s="79">
        <v>1.1817129629629629E-2</v>
      </c>
      <c r="CH207" s="79">
        <v>1.1817129629629629E-2</v>
      </c>
      <c r="CI207" s="79">
        <v>0.27979166666666666</v>
      </c>
      <c r="CJ207" s="79">
        <v>8.7974537037037032E-2</v>
      </c>
      <c r="CK207">
        <v>136</v>
      </c>
      <c r="CL207">
        <v>183</v>
      </c>
      <c r="CM207">
        <v>30</v>
      </c>
      <c r="CN207">
        <v>1.7</v>
      </c>
      <c r="CO207">
        <v>39018</v>
      </c>
      <c r="CP207" s="1">
        <v>0.22059999999999999</v>
      </c>
      <c r="CQ207">
        <v>1</v>
      </c>
      <c r="CR207" s="1">
        <v>3.3300000000000003E-2</v>
      </c>
      <c r="CS207">
        <v>483</v>
      </c>
      <c r="CT207">
        <v>483</v>
      </c>
      <c r="CW207" s="1"/>
      <c r="CX207" s="1"/>
      <c r="CY207">
        <v>76</v>
      </c>
      <c r="CZ207">
        <v>67500</v>
      </c>
      <c r="DA207" s="1"/>
      <c r="DB207">
        <v>4</v>
      </c>
      <c r="DC207" t="s">
        <v>209</v>
      </c>
    </row>
    <row r="208" spans="75:107" x14ac:dyDescent="0.25">
      <c r="BW208" t="s">
        <v>639</v>
      </c>
      <c r="BX208" t="s">
        <v>346</v>
      </c>
      <c r="BY208" t="s">
        <v>6</v>
      </c>
      <c r="BZ208" t="s">
        <v>105</v>
      </c>
      <c r="CA208" s="56">
        <v>46176</v>
      </c>
      <c r="CB208">
        <v>1</v>
      </c>
      <c r="CC208">
        <v>1</v>
      </c>
      <c r="CD208">
        <v>1</v>
      </c>
      <c r="CG208" s="79">
        <v>1.6516203703703703E-2</v>
      </c>
      <c r="CH208" s="79">
        <v>1.6516203703703703E-2</v>
      </c>
      <c r="CI208" s="79">
        <v>0.25628472222222221</v>
      </c>
      <c r="CJ208" s="79">
        <v>9.0509259259259262E-2</v>
      </c>
      <c r="CK208">
        <v>105</v>
      </c>
      <c r="CL208">
        <v>186</v>
      </c>
      <c r="CM208">
        <v>15</v>
      </c>
      <c r="CN208">
        <v>2.1333333329999999</v>
      </c>
      <c r="CO208">
        <v>10812</v>
      </c>
      <c r="CP208" s="1">
        <v>0.1429</v>
      </c>
      <c r="CQ208">
        <v>1</v>
      </c>
      <c r="CR208" s="1">
        <v>6.6699999999999995E-2</v>
      </c>
      <c r="CS208">
        <v>3500</v>
      </c>
      <c r="CT208">
        <v>3500</v>
      </c>
      <c r="CW208" s="1"/>
      <c r="CX208" s="1"/>
      <c r="CY208">
        <v>76</v>
      </c>
      <c r="CZ208">
        <v>40500</v>
      </c>
      <c r="DA208" s="1"/>
      <c r="DB208">
        <v>5</v>
      </c>
      <c r="DC208" t="s">
        <v>159</v>
      </c>
    </row>
    <row r="209" spans="75:107" x14ac:dyDescent="0.25">
      <c r="BW209" t="s">
        <v>639</v>
      </c>
      <c r="BX209" t="s">
        <v>346</v>
      </c>
      <c r="BY209" t="s">
        <v>6</v>
      </c>
      <c r="BZ209" t="s">
        <v>105</v>
      </c>
      <c r="CA209" s="56">
        <v>46178</v>
      </c>
      <c r="CB209">
        <v>1</v>
      </c>
      <c r="CC209">
        <v>1</v>
      </c>
      <c r="CG209" s="79">
        <v>3.5300925925925925E-3</v>
      </c>
      <c r="CH209" s="79">
        <v>3.5300925925925925E-3</v>
      </c>
      <c r="CI209" s="79">
        <v>0.10413194444444444</v>
      </c>
      <c r="CJ209" s="79">
        <v>7.3749999999999996E-2</v>
      </c>
      <c r="CK209">
        <v>14</v>
      </c>
      <c r="CL209">
        <v>34</v>
      </c>
      <c r="CM209">
        <v>5</v>
      </c>
      <c r="CN209">
        <v>1.2</v>
      </c>
      <c r="CO209">
        <v>77710</v>
      </c>
      <c r="CP209" s="1">
        <v>0.35709999999999997</v>
      </c>
      <c r="CR209" s="1"/>
      <c r="CW209" s="1"/>
      <c r="CX209" s="1"/>
      <c r="CY209">
        <v>92</v>
      </c>
      <c r="CZ209">
        <v>40500</v>
      </c>
      <c r="DA209" s="1"/>
      <c r="DB209">
        <v>1</v>
      </c>
      <c r="DC209" t="s">
        <v>158</v>
      </c>
    </row>
    <row r="210" spans="75:107" x14ac:dyDescent="0.25">
      <c r="BW210" t="s">
        <v>639</v>
      </c>
      <c r="BX210" t="s">
        <v>346</v>
      </c>
      <c r="BY210" t="s">
        <v>6</v>
      </c>
      <c r="BZ210" t="s">
        <v>38</v>
      </c>
      <c r="CA210" s="56">
        <v>46174</v>
      </c>
      <c r="CB210">
        <v>1</v>
      </c>
      <c r="CC210">
        <v>1</v>
      </c>
      <c r="CG210" s="79">
        <v>8.2175925925925927E-4</v>
      </c>
      <c r="CH210" s="79">
        <v>8.2175925925925927E-4</v>
      </c>
      <c r="CI210" s="79">
        <v>0.19222222222222221</v>
      </c>
      <c r="CJ210" s="79">
        <v>0.11018518518518519</v>
      </c>
      <c r="CK210">
        <v>92</v>
      </c>
      <c r="CL210">
        <v>127</v>
      </c>
      <c r="CM210">
        <v>31</v>
      </c>
      <c r="CN210">
        <v>1.548387097</v>
      </c>
      <c r="CO210">
        <v>15328</v>
      </c>
      <c r="CP210" s="1">
        <v>0.33700000000000002</v>
      </c>
      <c r="CQ210">
        <v>8</v>
      </c>
      <c r="CR210" s="1">
        <v>0.2581</v>
      </c>
      <c r="CS210">
        <v>4160</v>
      </c>
      <c r="CT210">
        <v>520</v>
      </c>
      <c r="CW210" s="1"/>
      <c r="CX210" s="1"/>
      <c r="CY210">
        <v>52</v>
      </c>
      <c r="CZ210">
        <v>40500</v>
      </c>
      <c r="DA210" s="1"/>
      <c r="DB210">
        <v>2</v>
      </c>
      <c r="DC210" t="s">
        <v>209</v>
      </c>
    </row>
    <row r="211" spans="75:107" x14ac:dyDescent="0.25">
      <c r="BW211" t="s">
        <v>639</v>
      </c>
      <c r="BX211" t="s">
        <v>346</v>
      </c>
      <c r="BY211" t="s">
        <v>7</v>
      </c>
      <c r="BZ211" t="s">
        <v>600</v>
      </c>
      <c r="CA211" s="56">
        <v>46174</v>
      </c>
      <c r="CB211">
        <v>1</v>
      </c>
      <c r="CC211">
        <v>1</v>
      </c>
      <c r="CD211">
        <v>1</v>
      </c>
      <c r="CG211" s="79">
        <v>4.7685185185185183E-3</v>
      </c>
      <c r="CH211" s="79">
        <v>4.7685185185185183E-3</v>
      </c>
      <c r="CI211" s="79">
        <v>0.23247685185185185</v>
      </c>
      <c r="CJ211" s="79">
        <v>8.9687500000000003E-2</v>
      </c>
      <c r="CK211">
        <v>108</v>
      </c>
      <c r="CL211">
        <v>182</v>
      </c>
      <c r="CM211">
        <v>37</v>
      </c>
      <c r="CN211">
        <v>1.7297297300000001</v>
      </c>
      <c r="CO211">
        <v>8840</v>
      </c>
      <c r="CP211" s="1">
        <v>0.34260000000000002</v>
      </c>
      <c r="CQ211">
        <v>1</v>
      </c>
      <c r="CR211" s="1">
        <v>2.7E-2</v>
      </c>
      <c r="CS211">
        <v>750</v>
      </c>
      <c r="CT211">
        <v>750</v>
      </c>
      <c r="CU211">
        <v>750</v>
      </c>
      <c r="CV211">
        <v>750</v>
      </c>
      <c r="CW211" s="1">
        <v>1</v>
      </c>
      <c r="CX211" s="1">
        <v>0.19089999999999999</v>
      </c>
      <c r="CY211">
        <v>76</v>
      </c>
      <c r="CZ211">
        <v>12000</v>
      </c>
      <c r="DA211" s="1">
        <v>6.25E-2</v>
      </c>
      <c r="DB211">
        <v>3</v>
      </c>
      <c r="DC211" t="s">
        <v>159</v>
      </c>
    </row>
    <row r="212" spans="75:107" x14ac:dyDescent="0.25">
      <c r="BW212" t="s">
        <v>639</v>
      </c>
      <c r="BX212" t="s">
        <v>346</v>
      </c>
      <c r="BY212" t="s">
        <v>7</v>
      </c>
      <c r="BZ212" t="s">
        <v>51</v>
      </c>
      <c r="CA212" s="56">
        <v>46174</v>
      </c>
      <c r="CB212">
        <v>1</v>
      </c>
      <c r="CC212">
        <v>1</v>
      </c>
      <c r="CD212">
        <v>1</v>
      </c>
      <c r="CG212" s="79">
        <v>5.138888888888889E-3</v>
      </c>
      <c r="CH212" s="79">
        <v>5.138888888888889E-3</v>
      </c>
      <c r="CI212" s="79">
        <v>0.20576388888888889</v>
      </c>
      <c r="CJ212" s="79">
        <v>9.4872685185185185E-2</v>
      </c>
      <c r="CK212">
        <v>90</v>
      </c>
      <c r="CL212">
        <v>152</v>
      </c>
      <c r="CM212">
        <v>18</v>
      </c>
      <c r="CN212">
        <v>1.7777777779999999</v>
      </c>
      <c r="CO212">
        <v>6889</v>
      </c>
      <c r="CP212" s="1">
        <v>0.2</v>
      </c>
      <c r="CQ212">
        <v>1</v>
      </c>
      <c r="CR212" s="1">
        <v>5.5599999999999997E-2</v>
      </c>
      <c r="CS212">
        <v>100</v>
      </c>
      <c r="CT212">
        <v>100</v>
      </c>
      <c r="CU212">
        <v>100</v>
      </c>
      <c r="CV212">
        <v>100</v>
      </c>
      <c r="CW212" s="1">
        <v>1</v>
      </c>
      <c r="CX212" s="1">
        <v>0.30969999999999998</v>
      </c>
      <c r="CY212">
        <v>80</v>
      </c>
      <c r="CZ212">
        <v>12000</v>
      </c>
      <c r="DA212" s="1">
        <v>8.3000000000000001E-3</v>
      </c>
      <c r="DB212">
        <v>4</v>
      </c>
      <c r="DC212" t="s">
        <v>158</v>
      </c>
    </row>
    <row r="213" spans="75:107" x14ac:dyDescent="0.25">
      <c r="BW213" t="s">
        <v>639</v>
      </c>
      <c r="BX213" t="s">
        <v>346</v>
      </c>
      <c r="BY213" t="s">
        <v>7</v>
      </c>
      <c r="BZ213" t="s">
        <v>49</v>
      </c>
      <c r="CA213" s="56">
        <v>46175</v>
      </c>
      <c r="CB213">
        <v>1</v>
      </c>
      <c r="CC213">
        <v>1</v>
      </c>
      <c r="CD213">
        <v>1</v>
      </c>
      <c r="CG213" s="79">
        <v>5.8449074074074072E-3</v>
      </c>
      <c r="CH213" s="79">
        <v>5.8449074074074072E-3</v>
      </c>
      <c r="CI213" s="79">
        <v>0.22905092592592594</v>
      </c>
      <c r="CJ213" s="79">
        <v>9.2673611111111109E-2</v>
      </c>
      <c r="CK213">
        <v>77</v>
      </c>
      <c r="CL213">
        <v>113</v>
      </c>
      <c r="CM213">
        <v>16</v>
      </c>
      <c r="CN213">
        <v>1.5625</v>
      </c>
      <c r="CO213">
        <v>5795</v>
      </c>
      <c r="CP213" s="1">
        <v>0.20780000000000001</v>
      </c>
      <c r="CQ213">
        <v>3</v>
      </c>
      <c r="CR213" s="1">
        <v>0.1875</v>
      </c>
      <c r="CS213">
        <v>1100</v>
      </c>
      <c r="CT213">
        <v>367</v>
      </c>
      <c r="CW213" s="1"/>
      <c r="CX213" s="1"/>
      <c r="CY213">
        <v>76</v>
      </c>
      <c r="CZ213">
        <v>12000</v>
      </c>
      <c r="DA213" s="1"/>
      <c r="DB213">
        <v>5</v>
      </c>
      <c r="DC213" t="s">
        <v>209</v>
      </c>
    </row>
    <row r="214" spans="75:107" x14ac:dyDescent="0.25">
      <c r="BW214" t="s">
        <v>639</v>
      </c>
      <c r="BX214" t="s">
        <v>346</v>
      </c>
      <c r="BY214" t="s">
        <v>7</v>
      </c>
      <c r="BZ214" t="s">
        <v>49</v>
      </c>
      <c r="CA214" s="56">
        <v>46177</v>
      </c>
      <c r="CB214">
        <v>1</v>
      </c>
      <c r="CC214">
        <v>1</v>
      </c>
      <c r="CD214">
        <v>1</v>
      </c>
      <c r="CG214" s="79">
        <v>8.773148148148148E-3</v>
      </c>
      <c r="CH214" s="79">
        <v>8.773148148148148E-3</v>
      </c>
      <c r="CI214" s="79">
        <v>0.2442013888888889</v>
      </c>
      <c r="CJ214" s="79">
        <v>7.6192129629629624E-2</v>
      </c>
      <c r="CK214">
        <v>77</v>
      </c>
      <c r="CL214">
        <v>107</v>
      </c>
      <c r="CM214">
        <v>13</v>
      </c>
      <c r="CN214">
        <v>1.384615385</v>
      </c>
      <c r="CO214">
        <v>11396</v>
      </c>
      <c r="CP214" s="1">
        <v>0.16880000000000001</v>
      </c>
      <c r="CR214" s="1"/>
      <c r="CW214" s="1"/>
      <c r="CX214" s="1"/>
      <c r="CY214">
        <v>62</v>
      </c>
      <c r="CZ214">
        <v>12000</v>
      </c>
      <c r="DA214" s="1"/>
      <c r="DB214">
        <v>1</v>
      </c>
      <c r="DC214" t="s">
        <v>159</v>
      </c>
    </row>
    <row r="215" spans="75:107" x14ac:dyDescent="0.25">
      <c r="BW215" t="s">
        <v>639</v>
      </c>
      <c r="BX215" t="s">
        <v>346</v>
      </c>
      <c r="BY215" t="s">
        <v>7</v>
      </c>
      <c r="BZ215" t="s">
        <v>49</v>
      </c>
      <c r="CA215" s="56">
        <v>46178</v>
      </c>
      <c r="CB215">
        <v>1</v>
      </c>
      <c r="CC215">
        <v>1</v>
      </c>
      <c r="CG215" s="79">
        <v>3.7037037037037038E-3</v>
      </c>
      <c r="CH215" s="79">
        <v>3.7037037037037038E-3</v>
      </c>
      <c r="CI215" s="79">
        <v>0.13876157407407408</v>
      </c>
      <c r="CJ215" s="79">
        <v>4.6724537037037037E-2</v>
      </c>
      <c r="CK215">
        <v>20</v>
      </c>
      <c r="CL215">
        <v>22</v>
      </c>
      <c r="CM215">
        <v>5</v>
      </c>
      <c r="CN215">
        <v>1</v>
      </c>
      <c r="CO215">
        <v>14966</v>
      </c>
      <c r="CP215" s="1">
        <v>0.25</v>
      </c>
      <c r="CR215" s="1"/>
      <c r="CW215" s="1"/>
      <c r="CX215" s="1"/>
      <c r="CY215">
        <v>92</v>
      </c>
      <c r="CZ215">
        <v>12000</v>
      </c>
      <c r="DA215" s="1"/>
      <c r="DB215">
        <v>2</v>
      </c>
      <c r="DC215" t="s">
        <v>158</v>
      </c>
    </row>
    <row r="216" spans="75:107" x14ac:dyDescent="0.25">
      <c r="BW216" t="s">
        <v>639</v>
      </c>
      <c r="BX216" t="s">
        <v>346</v>
      </c>
      <c r="BY216" t="s">
        <v>7</v>
      </c>
      <c r="BZ216" t="s">
        <v>599</v>
      </c>
      <c r="CA216" s="56">
        <v>46174</v>
      </c>
      <c r="CB216">
        <v>1</v>
      </c>
      <c r="CC216">
        <v>1</v>
      </c>
      <c r="CD216">
        <v>1</v>
      </c>
      <c r="CG216" s="79">
        <v>6.9097222222222225E-3</v>
      </c>
      <c r="CH216" s="79">
        <v>6.9097222222222225E-3</v>
      </c>
      <c r="CI216" s="79">
        <v>0.25027777777777777</v>
      </c>
      <c r="CJ216" s="79">
        <v>5.6099537037037038E-2</v>
      </c>
      <c r="CK216">
        <v>125</v>
      </c>
      <c r="CL216">
        <v>151</v>
      </c>
      <c r="CM216">
        <v>25</v>
      </c>
      <c r="CN216">
        <v>1.56</v>
      </c>
      <c r="CO216">
        <v>5637</v>
      </c>
      <c r="CP216" s="1">
        <v>0.2</v>
      </c>
      <c r="CQ216">
        <v>1</v>
      </c>
      <c r="CR216" s="1">
        <v>0.04</v>
      </c>
      <c r="CS216">
        <v>225</v>
      </c>
      <c r="CT216">
        <v>225</v>
      </c>
      <c r="CW216" s="1"/>
      <c r="CX216" s="1"/>
      <c r="CY216">
        <v>62</v>
      </c>
      <c r="CZ216">
        <v>12000</v>
      </c>
      <c r="DA216" s="1"/>
      <c r="DB216">
        <v>3</v>
      </c>
      <c r="DC216" t="s">
        <v>209</v>
      </c>
    </row>
    <row r="217" spans="75:107" x14ac:dyDescent="0.25">
      <c r="BW217" t="s">
        <v>639</v>
      </c>
      <c r="BX217" t="s">
        <v>346</v>
      </c>
      <c r="BY217" t="s">
        <v>7</v>
      </c>
      <c r="BZ217" t="s">
        <v>599</v>
      </c>
      <c r="CA217" s="56">
        <v>46175</v>
      </c>
      <c r="CB217">
        <v>1</v>
      </c>
      <c r="CC217">
        <v>1</v>
      </c>
      <c r="CD217">
        <v>1</v>
      </c>
      <c r="CG217" s="79">
        <v>8.4027777777777781E-3</v>
      </c>
      <c r="CH217" s="79">
        <v>8.4027777777777781E-3</v>
      </c>
      <c r="CI217" s="79">
        <v>0.26438657407407407</v>
      </c>
      <c r="CJ217" s="79">
        <v>9.3900462962962963E-2</v>
      </c>
      <c r="CK217">
        <v>144</v>
      </c>
      <c r="CL217">
        <v>186</v>
      </c>
      <c r="CM217">
        <v>26</v>
      </c>
      <c r="CN217">
        <v>1.923076923</v>
      </c>
      <c r="CO217">
        <v>5784</v>
      </c>
      <c r="CP217" s="1">
        <v>0.18060000000000001</v>
      </c>
      <c r="CQ217">
        <v>3</v>
      </c>
      <c r="CR217" s="1">
        <v>0.1154</v>
      </c>
      <c r="CS217">
        <v>945</v>
      </c>
      <c r="CT217">
        <v>315</v>
      </c>
      <c r="CU217">
        <v>300</v>
      </c>
      <c r="CV217">
        <v>300</v>
      </c>
      <c r="CW217" s="1">
        <v>0.3175</v>
      </c>
      <c r="CX217" s="1">
        <v>0.16550000000000001</v>
      </c>
      <c r="CY217">
        <v>86</v>
      </c>
      <c r="CZ217">
        <v>12000</v>
      </c>
      <c r="DA217" s="1">
        <v>2.5000000000000001E-2</v>
      </c>
      <c r="DB217">
        <v>4</v>
      </c>
      <c r="DC217" t="s">
        <v>159</v>
      </c>
    </row>
    <row r="218" spans="75:107" x14ac:dyDescent="0.25">
      <c r="BW218" t="s">
        <v>639</v>
      </c>
      <c r="BX218" t="s">
        <v>346</v>
      </c>
      <c r="BY218" t="s">
        <v>7</v>
      </c>
      <c r="BZ218" t="s">
        <v>37</v>
      </c>
      <c r="CA218" s="56">
        <v>46174</v>
      </c>
      <c r="CB218">
        <v>1</v>
      </c>
      <c r="CC218">
        <v>1</v>
      </c>
      <c r="CD218">
        <v>1</v>
      </c>
      <c r="CG218" s="79">
        <v>8.6203703703703699E-2</v>
      </c>
      <c r="CH218" s="79">
        <v>8.6203703703703699E-2</v>
      </c>
      <c r="CI218" s="79">
        <v>0.18914351851851852</v>
      </c>
      <c r="CJ218" s="79">
        <v>6.1087962962962962E-2</v>
      </c>
      <c r="CK218">
        <v>85</v>
      </c>
      <c r="CL218">
        <v>116</v>
      </c>
      <c r="CM218">
        <v>25</v>
      </c>
      <c r="CN218">
        <v>1.96</v>
      </c>
      <c r="CO218">
        <v>4807</v>
      </c>
      <c r="CP218" s="1">
        <v>0.29409999999999997</v>
      </c>
      <c r="CQ218">
        <v>2</v>
      </c>
      <c r="CR218" s="1">
        <v>0.08</v>
      </c>
      <c r="CS218">
        <v>1450</v>
      </c>
      <c r="CT218">
        <v>725</v>
      </c>
      <c r="CU218">
        <v>225</v>
      </c>
      <c r="CV218">
        <v>225</v>
      </c>
      <c r="CW218" s="1">
        <v>0.1552</v>
      </c>
      <c r="CX218" s="1">
        <v>2.2800000000000001E-2</v>
      </c>
      <c r="CY218">
        <v>72</v>
      </c>
      <c r="CZ218">
        <v>12000</v>
      </c>
      <c r="DA218" s="1">
        <v>1.8800000000000001E-2</v>
      </c>
      <c r="DB218">
        <v>5</v>
      </c>
      <c r="DC218" t="s">
        <v>158</v>
      </c>
    </row>
    <row r="219" spans="75:107" x14ac:dyDescent="0.25">
      <c r="BW219" t="s">
        <v>639</v>
      </c>
      <c r="BX219" t="s">
        <v>346</v>
      </c>
      <c r="BY219" t="s">
        <v>7</v>
      </c>
      <c r="BZ219" t="s">
        <v>37</v>
      </c>
      <c r="CA219" s="56">
        <v>46175</v>
      </c>
      <c r="CB219">
        <v>1</v>
      </c>
      <c r="CC219">
        <v>1</v>
      </c>
      <c r="CD219">
        <v>1</v>
      </c>
      <c r="CG219" s="79">
        <v>1.3449074074074073E-2</v>
      </c>
      <c r="CH219" s="79">
        <v>1.3449074074074073E-2</v>
      </c>
      <c r="CI219" s="79">
        <v>0.22771990740740741</v>
      </c>
      <c r="CJ219" s="79">
        <v>9.4004629629629632E-2</v>
      </c>
      <c r="CK219">
        <v>95</v>
      </c>
      <c r="CL219">
        <v>164</v>
      </c>
      <c r="CM219">
        <v>50</v>
      </c>
      <c r="CN219">
        <v>1.84</v>
      </c>
      <c r="CO219">
        <v>10267</v>
      </c>
      <c r="CP219" s="1">
        <v>0.52629999999999999</v>
      </c>
      <c r="CQ219">
        <v>3</v>
      </c>
      <c r="CR219" s="1">
        <v>0.06</v>
      </c>
      <c r="CS219">
        <v>603</v>
      </c>
      <c r="CT219">
        <v>201</v>
      </c>
      <c r="CU219">
        <v>353</v>
      </c>
      <c r="CV219">
        <v>177</v>
      </c>
      <c r="CW219" s="1">
        <v>0.58540000000000003</v>
      </c>
      <c r="CX219" s="1">
        <v>0.50529999999999997</v>
      </c>
      <c r="CY219">
        <v>80</v>
      </c>
      <c r="CZ219">
        <v>12000</v>
      </c>
      <c r="DA219" s="1">
        <v>2.9399999999999999E-2</v>
      </c>
      <c r="DB219">
        <v>1</v>
      </c>
      <c r="DC219" t="s">
        <v>209</v>
      </c>
    </row>
    <row r="220" spans="75:107" x14ac:dyDescent="0.25">
      <c r="BW220" t="s">
        <v>639</v>
      </c>
      <c r="BX220" t="s">
        <v>346</v>
      </c>
      <c r="BY220" t="s">
        <v>7</v>
      </c>
      <c r="BZ220" t="s">
        <v>37</v>
      </c>
      <c r="CA220" s="56">
        <v>46177</v>
      </c>
      <c r="CB220">
        <v>1</v>
      </c>
      <c r="CC220">
        <v>1</v>
      </c>
      <c r="CD220">
        <v>1</v>
      </c>
      <c r="CG220" s="79">
        <v>8.1481481481481474E-3</v>
      </c>
      <c r="CH220" s="79">
        <v>8.1481481481481474E-3</v>
      </c>
      <c r="CI220" s="79">
        <v>0.25874999999999998</v>
      </c>
      <c r="CJ220" s="79">
        <v>7.4849537037037034E-2</v>
      </c>
      <c r="CK220">
        <v>84</v>
      </c>
      <c r="CL220">
        <v>130</v>
      </c>
      <c r="CM220">
        <v>30</v>
      </c>
      <c r="CN220">
        <v>1.6333333329999999</v>
      </c>
      <c r="CO220">
        <v>7721</v>
      </c>
      <c r="CP220" s="1">
        <v>0.35709999999999997</v>
      </c>
      <c r="CQ220">
        <v>3</v>
      </c>
      <c r="CR220" s="1">
        <v>0.1</v>
      </c>
      <c r="CS220">
        <v>866</v>
      </c>
      <c r="CT220">
        <v>289</v>
      </c>
      <c r="CW220" s="1"/>
      <c r="CX220" s="1"/>
      <c r="CY220">
        <v>84</v>
      </c>
      <c r="CZ220">
        <v>12000</v>
      </c>
      <c r="DA220" s="1"/>
      <c r="DB220">
        <v>2</v>
      </c>
      <c r="DC220" t="s">
        <v>159</v>
      </c>
    </row>
    <row r="221" spans="75:107" x14ac:dyDescent="0.25">
      <c r="BW221" t="s">
        <v>639</v>
      </c>
      <c r="BX221" t="s">
        <v>346</v>
      </c>
      <c r="BY221" t="s">
        <v>7</v>
      </c>
      <c r="BZ221" t="s">
        <v>549</v>
      </c>
      <c r="CA221" s="56">
        <v>46175</v>
      </c>
      <c r="CB221">
        <v>1</v>
      </c>
      <c r="CC221">
        <v>1</v>
      </c>
      <c r="CD221">
        <v>1</v>
      </c>
      <c r="CG221" s="79">
        <v>1.5671296296296298E-2</v>
      </c>
      <c r="CH221" s="79">
        <v>1.5671296296296298E-2</v>
      </c>
      <c r="CI221" s="79">
        <v>0.22630787037037037</v>
      </c>
      <c r="CJ221" s="79">
        <v>0.11070601851851852</v>
      </c>
      <c r="CK221">
        <v>154</v>
      </c>
      <c r="CL221">
        <v>258</v>
      </c>
      <c r="CM221">
        <v>54</v>
      </c>
      <c r="CN221">
        <v>1.8703703700000001</v>
      </c>
      <c r="CO221">
        <v>6624</v>
      </c>
      <c r="CP221" s="1">
        <v>0.35060000000000002</v>
      </c>
      <c r="CQ221">
        <v>3</v>
      </c>
      <c r="CR221" s="1">
        <v>5.5599999999999997E-2</v>
      </c>
      <c r="CS221">
        <v>462</v>
      </c>
      <c r="CT221">
        <v>154</v>
      </c>
      <c r="CU221">
        <v>250</v>
      </c>
      <c r="CV221">
        <v>125</v>
      </c>
      <c r="CW221" s="1">
        <v>0.54110000000000003</v>
      </c>
      <c r="CX221" s="1">
        <v>0.19939999999999999</v>
      </c>
      <c r="CY221">
        <v>66</v>
      </c>
      <c r="CZ221">
        <v>12000</v>
      </c>
      <c r="DA221" s="1">
        <v>2.0799999999999999E-2</v>
      </c>
      <c r="DB221">
        <v>3</v>
      </c>
      <c r="DC221" t="s">
        <v>158</v>
      </c>
    </row>
    <row r="222" spans="75:107" x14ac:dyDescent="0.25">
      <c r="BW222" t="s">
        <v>639</v>
      </c>
      <c r="BX222" t="s">
        <v>346</v>
      </c>
      <c r="BY222" t="s">
        <v>7</v>
      </c>
      <c r="BZ222" t="s">
        <v>77</v>
      </c>
      <c r="CA222" s="56">
        <v>46174</v>
      </c>
      <c r="CB222">
        <v>1</v>
      </c>
      <c r="CC222">
        <v>1</v>
      </c>
      <c r="CD222">
        <v>1</v>
      </c>
      <c r="CG222" s="79">
        <v>2.8969907407407406E-2</v>
      </c>
      <c r="CH222" s="79">
        <v>2.8969907407407406E-2</v>
      </c>
      <c r="CI222" s="79">
        <v>0.16260416666666666</v>
      </c>
      <c r="CJ222" s="79">
        <v>9.7141203703703702E-2</v>
      </c>
      <c r="CK222">
        <v>116</v>
      </c>
      <c r="CL222">
        <v>168</v>
      </c>
      <c r="CM222">
        <v>37</v>
      </c>
      <c r="CN222">
        <v>1.8648648649999999</v>
      </c>
      <c r="CO222">
        <v>6006</v>
      </c>
      <c r="CP222" s="1">
        <v>0.31900000000000001</v>
      </c>
      <c r="CR222" s="1"/>
      <c r="CW222" s="1"/>
      <c r="CX222" s="1"/>
      <c r="CY222">
        <v>54</v>
      </c>
      <c r="CZ222">
        <v>12000</v>
      </c>
      <c r="DA222" s="1"/>
      <c r="DB222">
        <v>4</v>
      </c>
      <c r="DC222" t="s">
        <v>209</v>
      </c>
    </row>
    <row r="223" spans="75:107" x14ac:dyDescent="0.25">
      <c r="BW223" t="s">
        <v>639</v>
      </c>
      <c r="BX223" t="s">
        <v>346</v>
      </c>
      <c r="BY223" t="s">
        <v>7</v>
      </c>
      <c r="BZ223" t="s">
        <v>77</v>
      </c>
      <c r="CA223" s="56">
        <v>46177</v>
      </c>
      <c r="CB223">
        <v>1</v>
      </c>
      <c r="CC223">
        <v>1</v>
      </c>
      <c r="CD223">
        <v>1</v>
      </c>
      <c r="CG223" s="79">
        <v>7.3379629629629628E-3</v>
      </c>
      <c r="CH223" s="79">
        <v>7.3379629629629628E-3</v>
      </c>
      <c r="CI223" s="79">
        <v>0.25892361111111112</v>
      </c>
      <c r="CJ223" s="79">
        <v>6.6006944444444438E-2</v>
      </c>
      <c r="CK223">
        <v>121</v>
      </c>
      <c r="CL223">
        <v>193</v>
      </c>
      <c r="CM223">
        <v>58</v>
      </c>
      <c r="CN223">
        <v>1.8103448280000001</v>
      </c>
      <c r="CO223">
        <v>5850</v>
      </c>
      <c r="CP223" s="1">
        <v>0.4793</v>
      </c>
      <c r="CQ223">
        <v>3</v>
      </c>
      <c r="CR223" s="1">
        <v>5.1700000000000003E-2</v>
      </c>
      <c r="CS223">
        <v>2645</v>
      </c>
      <c r="CT223">
        <v>882</v>
      </c>
      <c r="CW223" s="1"/>
      <c r="CX223" s="1"/>
      <c r="CY223">
        <v>82</v>
      </c>
      <c r="CZ223">
        <v>12000</v>
      </c>
      <c r="DA223" s="1"/>
      <c r="DB223">
        <v>5</v>
      </c>
      <c r="DC223" t="s">
        <v>159</v>
      </c>
    </row>
    <row r="224" spans="75:107" x14ac:dyDescent="0.25">
      <c r="BW224" t="s">
        <v>639</v>
      </c>
      <c r="BX224" t="s">
        <v>346</v>
      </c>
      <c r="BY224" t="s">
        <v>7</v>
      </c>
      <c r="BZ224" t="s">
        <v>630</v>
      </c>
      <c r="CA224" s="56">
        <v>46175</v>
      </c>
      <c r="CB224">
        <v>1</v>
      </c>
      <c r="CC224">
        <v>1</v>
      </c>
      <c r="CD224">
        <v>1</v>
      </c>
      <c r="CG224" s="79">
        <v>0.21697916666666667</v>
      </c>
      <c r="CH224" s="79">
        <v>0.21697916666666667</v>
      </c>
      <c r="CI224" s="79">
        <v>3.3148148148148149E-2</v>
      </c>
      <c r="CJ224" s="79">
        <v>0</v>
      </c>
      <c r="CK224">
        <v>22</v>
      </c>
      <c r="CL224">
        <v>32</v>
      </c>
      <c r="CM224">
        <v>10</v>
      </c>
      <c r="CN224">
        <v>2</v>
      </c>
      <c r="CO224">
        <v>2193</v>
      </c>
      <c r="CP224" s="1">
        <v>0.45450000000000002</v>
      </c>
      <c r="CR224" s="1"/>
      <c r="CW224" s="1"/>
      <c r="CX224" s="1"/>
      <c r="CY224">
        <v>44</v>
      </c>
      <c r="CZ224">
        <v>0</v>
      </c>
      <c r="DA224" s="1"/>
      <c r="DB224">
        <v>1</v>
      </c>
      <c r="DC224" t="s">
        <v>158</v>
      </c>
    </row>
    <row r="225" spans="75:107" x14ac:dyDescent="0.25">
      <c r="BW225" t="s">
        <v>639</v>
      </c>
      <c r="BX225" t="s">
        <v>346</v>
      </c>
      <c r="BY225" t="s">
        <v>7</v>
      </c>
      <c r="BZ225" t="s">
        <v>630</v>
      </c>
      <c r="CA225" s="56">
        <v>46176</v>
      </c>
      <c r="CB225">
        <v>1</v>
      </c>
      <c r="CC225">
        <v>1</v>
      </c>
      <c r="CD225">
        <v>1</v>
      </c>
      <c r="CG225" s="79">
        <v>1.0532407407407407E-2</v>
      </c>
      <c r="CH225" s="79">
        <v>1.0532407407407407E-2</v>
      </c>
      <c r="CI225" s="79">
        <v>0.31082175925925926</v>
      </c>
      <c r="CJ225" s="79">
        <v>7.3564814814814819E-2</v>
      </c>
      <c r="CK225">
        <v>147</v>
      </c>
      <c r="CL225">
        <v>179</v>
      </c>
      <c r="CM225">
        <v>37</v>
      </c>
      <c r="CN225">
        <v>1.6216216219999999</v>
      </c>
      <c r="CO225">
        <v>6795</v>
      </c>
      <c r="CP225" s="1">
        <v>0.25169999999999998</v>
      </c>
      <c r="CR225" s="1"/>
      <c r="CW225" s="1"/>
      <c r="CX225" s="1"/>
      <c r="CY225">
        <v>40</v>
      </c>
      <c r="CZ225">
        <v>0</v>
      </c>
      <c r="DA225" s="1"/>
      <c r="DB225">
        <v>2</v>
      </c>
      <c r="DC225" t="s">
        <v>209</v>
      </c>
    </row>
    <row r="226" spans="75:107" x14ac:dyDescent="0.25">
      <c r="BW226" t="s">
        <v>639</v>
      </c>
      <c r="BX226" t="s">
        <v>346</v>
      </c>
      <c r="BY226" t="s">
        <v>7</v>
      </c>
      <c r="BZ226" t="s">
        <v>630</v>
      </c>
      <c r="CA226" s="56">
        <v>46177</v>
      </c>
      <c r="CB226">
        <v>1</v>
      </c>
      <c r="CC226">
        <v>1</v>
      </c>
      <c r="CD226">
        <v>1</v>
      </c>
      <c r="CG226" s="79">
        <v>1.2152777777777778E-2</v>
      </c>
      <c r="CH226" s="79">
        <v>1.2152777777777778E-2</v>
      </c>
      <c r="CI226" s="79">
        <v>0.23320601851851852</v>
      </c>
      <c r="CJ226" s="79">
        <v>7.7384259259259264E-2</v>
      </c>
      <c r="CK226">
        <v>95</v>
      </c>
      <c r="CL226">
        <v>126</v>
      </c>
      <c r="CM226">
        <v>36</v>
      </c>
      <c r="CN226">
        <v>1.6666666670000001</v>
      </c>
      <c r="CO226">
        <v>7162</v>
      </c>
      <c r="CP226" s="1">
        <v>0.37890000000000001</v>
      </c>
      <c r="CQ226">
        <v>1</v>
      </c>
      <c r="CR226" s="1">
        <v>2.7799999999999998E-2</v>
      </c>
      <c r="CS226">
        <v>160</v>
      </c>
      <c r="CT226">
        <v>160</v>
      </c>
      <c r="CW226" s="1"/>
      <c r="CX226" s="1"/>
      <c r="CY226">
        <v>70</v>
      </c>
      <c r="CZ226">
        <v>0</v>
      </c>
      <c r="DA226" s="1"/>
      <c r="DB226">
        <v>3</v>
      </c>
      <c r="DC226" t="s">
        <v>159</v>
      </c>
    </row>
    <row r="227" spans="75:107" x14ac:dyDescent="0.25">
      <c r="BW227" t="s">
        <v>639</v>
      </c>
      <c r="BX227" t="s">
        <v>346</v>
      </c>
      <c r="BY227" t="s">
        <v>7</v>
      </c>
      <c r="BZ227" t="s">
        <v>50</v>
      </c>
      <c r="CA227" s="56">
        <v>46174</v>
      </c>
      <c r="CB227">
        <v>1</v>
      </c>
      <c r="CC227">
        <v>1</v>
      </c>
      <c r="CD227">
        <v>1</v>
      </c>
      <c r="CG227" s="79">
        <v>3.5173611111111114E-2</v>
      </c>
      <c r="CH227" s="79">
        <v>3.5173611111111114E-2</v>
      </c>
      <c r="CI227" s="79">
        <v>0.19987268518518519</v>
      </c>
      <c r="CJ227" s="79">
        <v>7.6030092592592594E-2</v>
      </c>
      <c r="CK227">
        <v>95</v>
      </c>
      <c r="CL227">
        <v>148</v>
      </c>
      <c r="CM227">
        <v>10</v>
      </c>
      <c r="CN227">
        <v>2.2999999999999998</v>
      </c>
      <c r="CO227">
        <v>8799</v>
      </c>
      <c r="CP227" s="1">
        <v>0.1053</v>
      </c>
      <c r="CQ227">
        <v>2</v>
      </c>
      <c r="CR227" s="1">
        <v>0.2</v>
      </c>
      <c r="CS227">
        <v>1050</v>
      </c>
      <c r="CT227">
        <v>525</v>
      </c>
      <c r="CW227" s="1"/>
      <c r="CX227" s="1"/>
      <c r="CY227">
        <v>76</v>
      </c>
      <c r="CZ227">
        <v>12000</v>
      </c>
      <c r="DA227" s="1"/>
      <c r="DB227">
        <v>4</v>
      </c>
      <c r="DC227" t="s">
        <v>158</v>
      </c>
    </row>
    <row r="228" spans="75:107" x14ac:dyDescent="0.25">
      <c r="BW228" t="s">
        <v>639</v>
      </c>
      <c r="BX228" t="s">
        <v>346</v>
      </c>
      <c r="BY228" t="s">
        <v>7</v>
      </c>
      <c r="BZ228" t="s">
        <v>50</v>
      </c>
      <c r="CA228" s="56">
        <v>46175</v>
      </c>
      <c r="CB228">
        <v>1</v>
      </c>
      <c r="CC228">
        <v>1</v>
      </c>
      <c r="CF228">
        <v>1</v>
      </c>
      <c r="CG228" s="79">
        <v>0</v>
      </c>
      <c r="CH228" s="79">
        <v>0</v>
      </c>
      <c r="CI228" s="79">
        <v>0</v>
      </c>
      <c r="CJ228" s="79">
        <v>0</v>
      </c>
      <c r="CP228" s="1"/>
      <c r="CR228" s="1"/>
      <c r="CW228" s="1"/>
      <c r="CX228" s="1"/>
      <c r="CY228">
        <v>44</v>
      </c>
      <c r="CZ228">
        <v>12000</v>
      </c>
      <c r="DA228" s="1"/>
      <c r="DB228">
        <v>5</v>
      </c>
      <c r="DC228" t="s">
        <v>209</v>
      </c>
    </row>
    <row r="229" spans="75:107" x14ac:dyDescent="0.25">
      <c r="BW229" t="s">
        <v>639</v>
      </c>
      <c r="BX229" t="s">
        <v>346</v>
      </c>
      <c r="BY229" t="s">
        <v>7</v>
      </c>
      <c r="BZ229" t="s">
        <v>50</v>
      </c>
      <c r="CA229" s="56">
        <v>46178</v>
      </c>
      <c r="CB229">
        <v>1</v>
      </c>
      <c r="CC229">
        <v>1</v>
      </c>
      <c r="CD229">
        <v>1</v>
      </c>
      <c r="CG229" s="79">
        <v>1.9282407407407408E-2</v>
      </c>
      <c r="CH229" s="79">
        <v>1.9282407407407408E-2</v>
      </c>
      <c r="CI229" s="79">
        <v>0.11964120370370371</v>
      </c>
      <c r="CJ229" s="79">
        <v>5.0185185185185187E-2</v>
      </c>
      <c r="CK229">
        <v>60</v>
      </c>
      <c r="CL229">
        <v>63</v>
      </c>
      <c r="CM229">
        <v>8</v>
      </c>
      <c r="CN229">
        <v>1</v>
      </c>
      <c r="CO229">
        <v>3471</v>
      </c>
      <c r="CP229" s="1">
        <v>0.1333</v>
      </c>
      <c r="CR229" s="1"/>
      <c r="CW229" s="1"/>
      <c r="CX229" s="1"/>
      <c r="CY229">
        <v>92</v>
      </c>
      <c r="CZ229">
        <v>12000</v>
      </c>
      <c r="DA229" s="1"/>
      <c r="DB229">
        <v>1</v>
      </c>
      <c r="DC229" t="s">
        <v>159</v>
      </c>
    </row>
    <row r="230" spans="75:107" x14ac:dyDescent="0.25">
      <c r="BW230" t="s">
        <v>639</v>
      </c>
      <c r="BX230" t="s">
        <v>346</v>
      </c>
      <c r="BY230" t="s">
        <v>7</v>
      </c>
      <c r="BZ230" t="s">
        <v>73</v>
      </c>
      <c r="CA230" s="56">
        <v>46174</v>
      </c>
      <c r="CB230">
        <v>1</v>
      </c>
      <c r="CC230">
        <v>1</v>
      </c>
      <c r="CD230">
        <v>1</v>
      </c>
      <c r="CG230" s="79">
        <v>1.9293981481481481E-2</v>
      </c>
      <c r="CH230" s="79">
        <v>1.9293981481481481E-2</v>
      </c>
      <c r="CI230" s="79">
        <v>0.22399305555555554</v>
      </c>
      <c r="CJ230" s="79">
        <v>0.10674768518518518</v>
      </c>
      <c r="CK230">
        <v>143</v>
      </c>
      <c r="CL230">
        <v>188</v>
      </c>
      <c r="CM230">
        <v>13</v>
      </c>
      <c r="CN230">
        <v>1.692307692</v>
      </c>
      <c r="CO230">
        <v>6232</v>
      </c>
      <c r="CP230" s="1">
        <v>9.0899999999999995E-2</v>
      </c>
      <c r="CR230" s="1"/>
      <c r="CW230" s="1"/>
      <c r="CX230" s="1"/>
      <c r="CY230">
        <v>54</v>
      </c>
      <c r="CZ230">
        <v>12000</v>
      </c>
      <c r="DA230" s="1"/>
      <c r="DB230">
        <v>2</v>
      </c>
      <c r="DC230" t="s">
        <v>158</v>
      </c>
    </row>
    <row r="231" spans="75:107" x14ac:dyDescent="0.25">
      <c r="BW231" t="s">
        <v>639</v>
      </c>
      <c r="BX231" t="s">
        <v>346</v>
      </c>
      <c r="BY231" t="s">
        <v>7</v>
      </c>
      <c r="BZ231" t="s">
        <v>73</v>
      </c>
      <c r="CA231" s="56">
        <v>46175</v>
      </c>
      <c r="CB231">
        <v>1</v>
      </c>
      <c r="CC231">
        <v>1</v>
      </c>
      <c r="CD231">
        <v>1</v>
      </c>
      <c r="CG231" s="79">
        <v>1.2025462962962963E-2</v>
      </c>
      <c r="CH231" s="79">
        <v>1.2025462962962963E-2</v>
      </c>
      <c r="CI231" s="79">
        <v>0.2170138888888889</v>
      </c>
      <c r="CJ231" s="79">
        <v>0.12670138888888888</v>
      </c>
      <c r="CK231">
        <v>128</v>
      </c>
      <c r="CL231">
        <v>184</v>
      </c>
      <c r="CM231">
        <v>29</v>
      </c>
      <c r="CN231">
        <v>1.448275862</v>
      </c>
      <c r="CO231">
        <v>5553</v>
      </c>
      <c r="CP231" s="1">
        <v>0.2266</v>
      </c>
      <c r="CQ231">
        <v>1</v>
      </c>
      <c r="CR231" s="1">
        <v>3.4500000000000003E-2</v>
      </c>
      <c r="CS231">
        <v>263</v>
      </c>
      <c r="CT231">
        <v>263</v>
      </c>
      <c r="CW231" s="1"/>
      <c r="CX231" s="1"/>
      <c r="CY231">
        <v>48</v>
      </c>
      <c r="CZ231">
        <v>12000</v>
      </c>
      <c r="DA231" s="1"/>
      <c r="DB231">
        <v>3</v>
      </c>
      <c r="DC231" t="s">
        <v>209</v>
      </c>
    </row>
    <row r="232" spans="75:107" x14ac:dyDescent="0.25">
      <c r="BW232" t="s">
        <v>639</v>
      </c>
      <c r="BX232" t="s">
        <v>346</v>
      </c>
      <c r="BY232" t="s">
        <v>7</v>
      </c>
      <c r="BZ232" t="s">
        <v>73</v>
      </c>
      <c r="CA232" s="56">
        <v>46177</v>
      </c>
      <c r="CB232">
        <v>1</v>
      </c>
      <c r="CC232">
        <v>1</v>
      </c>
      <c r="CD232">
        <v>1</v>
      </c>
      <c r="CG232" s="79">
        <v>1.3321759259259259E-2</v>
      </c>
      <c r="CH232" s="79">
        <v>1.3321759259259259E-2</v>
      </c>
      <c r="CI232" s="79">
        <v>0.23502314814814815</v>
      </c>
      <c r="CJ232" s="79">
        <v>9.8148148148148151E-2</v>
      </c>
      <c r="CK232">
        <v>148</v>
      </c>
      <c r="CL232">
        <v>202</v>
      </c>
      <c r="CM232">
        <v>18</v>
      </c>
      <c r="CN232">
        <v>1.4444444439999999</v>
      </c>
      <c r="CO232">
        <v>2616</v>
      </c>
      <c r="CP232" s="1">
        <v>0.1216</v>
      </c>
      <c r="CQ232">
        <v>1</v>
      </c>
      <c r="CR232" s="1">
        <v>5.5599999999999997E-2</v>
      </c>
      <c r="CS232">
        <v>220</v>
      </c>
      <c r="CT232">
        <v>220</v>
      </c>
      <c r="CW232" s="1"/>
      <c r="CX232" s="1"/>
      <c r="CY232">
        <v>76</v>
      </c>
      <c r="CZ232">
        <v>12000</v>
      </c>
      <c r="DA232" s="1"/>
      <c r="DB232">
        <v>4</v>
      </c>
      <c r="DC232" t="s">
        <v>159</v>
      </c>
    </row>
    <row r="233" spans="75:107" x14ac:dyDescent="0.25">
      <c r="BW233" t="s">
        <v>639</v>
      </c>
      <c r="BX233" t="s">
        <v>346</v>
      </c>
      <c r="BY233" t="s">
        <v>3</v>
      </c>
      <c r="BZ233" t="s">
        <v>22</v>
      </c>
      <c r="CA233" s="56">
        <v>46174</v>
      </c>
      <c r="CB233">
        <v>1</v>
      </c>
      <c r="CC233">
        <v>1</v>
      </c>
      <c r="CG233" s="79">
        <v>1.7708333333333332E-3</v>
      </c>
      <c r="CH233" s="79">
        <v>1.7708333333333332E-3</v>
      </c>
      <c r="CI233" s="79">
        <v>0.17866898148148147</v>
      </c>
      <c r="CJ233" s="79">
        <v>2.9444444444444443E-2</v>
      </c>
      <c r="CK233">
        <v>64</v>
      </c>
      <c r="CL233">
        <v>115</v>
      </c>
      <c r="CM233">
        <v>32</v>
      </c>
      <c r="CN233">
        <v>1.9375</v>
      </c>
      <c r="CO233">
        <v>29825</v>
      </c>
      <c r="CP233" s="1">
        <v>0.5</v>
      </c>
      <c r="CQ233">
        <v>4</v>
      </c>
      <c r="CR233" s="1">
        <v>0.125</v>
      </c>
      <c r="CS233">
        <v>2616</v>
      </c>
      <c r="CT233">
        <v>654</v>
      </c>
      <c r="CU233">
        <v>1400</v>
      </c>
      <c r="CV233">
        <v>1400</v>
      </c>
      <c r="CW233" s="1">
        <v>0.53520000000000001</v>
      </c>
      <c r="CX233" s="1"/>
      <c r="CY233">
        <v>62</v>
      </c>
      <c r="CZ233">
        <v>38500</v>
      </c>
      <c r="DA233" s="1">
        <v>3.6400000000000002E-2</v>
      </c>
      <c r="DB233">
        <v>5</v>
      </c>
      <c r="DC233" t="s">
        <v>158</v>
      </c>
    </row>
    <row r="234" spans="75:107" x14ac:dyDescent="0.25">
      <c r="BW234" t="s">
        <v>639</v>
      </c>
      <c r="BX234" t="s">
        <v>346</v>
      </c>
      <c r="BY234" t="s">
        <v>3</v>
      </c>
      <c r="BZ234" t="s">
        <v>22</v>
      </c>
      <c r="CA234" s="56">
        <v>46175</v>
      </c>
      <c r="CB234">
        <v>1</v>
      </c>
      <c r="CC234">
        <v>1</v>
      </c>
      <c r="CD234">
        <v>1</v>
      </c>
      <c r="CG234" s="79">
        <v>4.4791666666666669E-3</v>
      </c>
      <c r="CH234" s="79">
        <v>4.4791666666666669E-3</v>
      </c>
      <c r="CI234" s="79">
        <v>0.23304398148148148</v>
      </c>
      <c r="CJ234" s="79">
        <v>9.4328703703703706E-2</v>
      </c>
      <c r="CK234">
        <v>100</v>
      </c>
      <c r="CL234">
        <v>162</v>
      </c>
      <c r="CM234">
        <v>35</v>
      </c>
      <c r="CN234">
        <v>1.628571429</v>
      </c>
      <c r="CO234">
        <v>14612</v>
      </c>
      <c r="CP234" s="1">
        <v>0.35</v>
      </c>
      <c r="CQ234">
        <v>2</v>
      </c>
      <c r="CR234" s="1">
        <v>5.7099999999999998E-2</v>
      </c>
      <c r="CS234">
        <v>635</v>
      </c>
      <c r="CT234">
        <v>318</v>
      </c>
      <c r="CW234" s="1"/>
      <c r="CX234" s="1"/>
      <c r="CY234">
        <v>36</v>
      </c>
      <c r="CZ234">
        <v>38500</v>
      </c>
      <c r="DA234" s="1"/>
      <c r="DB234">
        <v>1</v>
      </c>
      <c r="DC234" t="s">
        <v>209</v>
      </c>
    </row>
    <row r="235" spans="75:107" x14ac:dyDescent="0.25">
      <c r="BW235" t="s">
        <v>639</v>
      </c>
      <c r="BX235" t="s">
        <v>346</v>
      </c>
      <c r="BY235" t="s">
        <v>3</v>
      </c>
      <c r="BZ235" t="s">
        <v>22</v>
      </c>
      <c r="CA235" s="56">
        <v>46176</v>
      </c>
      <c r="CB235">
        <v>1</v>
      </c>
      <c r="CC235">
        <v>1</v>
      </c>
      <c r="CD235">
        <v>1</v>
      </c>
      <c r="CG235" s="79">
        <v>2.4004629629629629E-2</v>
      </c>
      <c r="CH235" s="79">
        <v>2.4004629629629629E-2</v>
      </c>
      <c r="CI235" s="79">
        <v>0.23053240740740741</v>
      </c>
      <c r="CJ235" s="79">
        <v>0.11354166666666667</v>
      </c>
      <c r="CK235">
        <v>99</v>
      </c>
      <c r="CL235">
        <v>189</v>
      </c>
      <c r="CM235">
        <v>25</v>
      </c>
      <c r="CN235">
        <v>1.68</v>
      </c>
      <c r="CO235">
        <v>20611</v>
      </c>
      <c r="CP235" s="1">
        <v>0.2525</v>
      </c>
      <c r="CR235" s="1"/>
      <c r="CW235" s="1"/>
      <c r="CX235" s="1"/>
      <c r="CY235">
        <v>50</v>
      </c>
      <c r="CZ235">
        <v>38500</v>
      </c>
      <c r="DA235" s="1"/>
      <c r="DB235">
        <v>2</v>
      </c>
      <c r="DC235" t="s">
        <v>159</v>
      </c>
    </row>
    <row r="236" spans="75:107" x14ac:dyDescent="0.25">
      <c r="BW236" t="s">
        <v>639</v>
      </c>
      <c r="BX236" t="s">
        <v>346</v>
      </c>
      <c r="BY236" t="s">
        <v>3</v>
      </c>
      <c r="BZ236" t="s">
        <v>22</v>
      </c>
      <c r="CA236" s="56">
        <v>46177</v>
      </c>
      <c r="CB236">
        <v>1</v>
      </c>
      <c r="CC236">
        <v>1</v>
      </c>
      <c r="CD236">
        <v>1</v>
      </c>
      <c r="CG236" s="79">
        <v>5.4629629629629629E-3</v>
      </c>
      <c r="CH236" s="79">
        <v>5.4629629629629629E-3</v>
      </c>
      <c r="CI236" s="79">
        <v>0.23981481481481481</v>
      </c>
      <c r="CJ236" s="79">
        <v>8.8113425925925928E-2</v>
      </c>
      <c r="CK236">
        <v>130</v>
      </c>
      <c r="CL236">
        <v>241</v>
      </c>
      <c r="CM236">
        <v>20</v>
      </c>
      <c r="CN236">
        <v>1.6</v>
      </c>
      <c r="CO236">
        <v>24660</v>
      </c>
      <c r="CP236" s="1">
        <v>0.15379999999999999</v>
      </c>
      <c r="CR236" s="1"/>
      <c r="CW236" s="1"/>
      <c r="CX236" s="1"/>
      <c r="CY236">
        <v>78</v>
      </c>
      <c r="CZ236">
        <v>38500</v>
      </c>
      <c r="DA236" s="1"/>
      <c r="DB236">
        <v>3</v>
      </c>
      <c r="DC236" t="s">
        <v>158</v>
      </c>
    </row>
    <row r="237" spans="75:107" x14ac:dyDescent="0.25">
      <c r="BW237" t="s">
        <v>639</v>
      </c>
      <c r="BX237" t="s">
        <v>346</v>
      </c>
      <c r="BY237" t="s">
        <v>3</v>
      </c>
      <c r="BZ237" t="s">
        <v>32</v>
      </c>
      <c r="CA237" s="56">
        <v>46176</v>
      </c>
      <c r="CB237">
        <v>1</v>
      </c>
      <c r="CC237">
        <v>1</v>
      </c>
      <c r="CD237">
        <v>1</v>
      </c>
      <c r="CG237" s="79">
        <v>8.8773148148148153E-3</v>
      </c>
      <c r="CH237" s="79">
        <v>8.8773148148148153E-3</v>
      </c>
      <c r="CI237" s="79">
        <v>0.26887731481481481</v>
      </c>
      <c r="CJ237" s="79">
        <v>8.9155092592592591E-2</v>
      </c>
      <c r="CK237">
        <v>129</v>
      </c>
      <c r="CL237">
        <v>251</v>
      </c>
      <c r="CM237">
        <v>24</v>
      </c>
      <c r="CN237">
        <v>2.0416666669999999</v>
      </c>
      <c r="CO237">
        <v>25883</v>
      </c>
      <c r="CP237" s="1">
        <v>0.186</v>
      </c>
      <c r="CR237" s="1"/>
      <c r="CW237" s="1"/>
      <c r="CX237" s="1"/>
      <c r="CY237">
        <v>50</v>
      </c>
      <c r="CZ237">
        <v>38500</v>
      </c>
      <c r="DA237" s="1"/>
      <c r="DB237">
        <v>4</v>
      </c>
      <c r="DC237" t="s">
        <v>209</v>
      </c>
    </row>
    <row r="238" spans="75:107" x14ac:dyDescent="0.25">
      <c r="BW238" t="s">
        <v>639</v>
      </c>
      <c r="BX238" t="s">
        <v>346</v>
      </c>
      <c r="BY238" t="s">
        <v>3</v>
      </c>
      <c r="BZ238" t="s">
        <v>42</v>
      </c>
      <c r="CA238" s="56">
        <v>46174</v>
      </c>
      <c r="CB238">
        <v>1</v>
      </c>
      <c r="CC238">
        <v>1</v>
      </c>
      <c r="CD238">
        <v>1</v>
      </c>
      <c r="CG238" s="79">
        <v>6.2152777777777779E-3</v>
      </c>
      <c r="CH238" s="79">
        <v>6.2152777777777779E-3</v>
      </c>
      <c r="CI238" s="79">
        <v>0.21657407407407409</v>
      </c>
      <c r="CJ238" s="79">
        <v>0.10451388888888889</v>
      </c>
      <c r="CK238">
        <v>100</v>
      </c>
      <c r="CL238">
        <v>171</v>
      </c>
      <c r="CM238">
        <v>43</v>
      </c>
      <c r="CN238">
        <v>1.651162791</v>
      </c>
      <c r="CO238">
        <v>34777</v>
      </c>
      <c r="CP238" s="1">
        <v>0.43</v>
      </c>
      <c r="CQ238">
        <v>5</v>
      </c>
      <c r="CR238" s="1">
        <v>0.1163</v>
      </c>
      <c r="CS238">
        <v>3871</v>
      </c>
      <c r="CT238">
        <v>774</v>
      </c>
      <c r="CW238" s="1"/>
      <c r="CX238" s="1"/>
      <c r="CY238">
        <v>54</v>
      </c>
      <c r="CZ238">
        <v>38500</v>
      </c>
      <c r="DA238" s="1"/>
      <c r="DB238">
        <v>5</v>
      </c>
      <c r="DC238" t="s">
        <v>159</v>
      </c>
    </row>
    <row r="239" spans="75:107" x14ac:dyDescent="0.25">
      <c r="BW239" t="s">
        <v>639</v>
      </c>
      <c r="BX239" t="s">
        <v>346</v>
      </c>
      <c r="BY239" t="s">
        <v>3</v>
      </c>
      <c r="BZ239" t="s">
        <v>42</v>
      </c>
      <c r="CA239" s="56">
        <v>46175</v>
      </c>
      <c r="CB239">
        <v>1</v>
      </c>
      <c r="CC239">
        <v>1</v>
      </c>
      <c r="CD239">
        <v>1</v>
      </c>
      <c r="CG239" s="79">
        <v>1.9560185185185184E-2</v>
      </c>
      <c r="CH239" s="79">
        <v>1.9560185185185184E-2</v>
      </c>
      <c r="CI239" s="79">
        <v>0.23357638888888888</v>
      </c>
      <c r="CJ239" s="79">
        <v>8.216435185185185E-2</v>
      </c>
      <c r="CK239">
        <v>99</v>
      </c>
      <c r="CL239">
        <v>171</v>
      </c>
      <c r="CM239">
        <v>43</v>
      </c>
      <c r="CN239">
        <v>1.7674418599999999</v>
      </c>
      <c r="CO239">
        <v>17854</v>
      </c>
      <c r="CP239" s="1">
        <v>0.43430000000000002</v>
      </c>
      <c r="CQ239">
        <v>1</v>
      </c>
      <c r="CR239" s="1">
        <v>2.3300000000000001E-2</v>
      </c>
      <c r="CS239">
        <v>15000</v>
      </c>
      <c r="CT239">
        <v>15000</v>
      </c>
      <c r="CU239">
        <v>15000</v>
      </c>
      <c r="CV239">
        <v>15000</v>
      </c>
      <c r="CW239" s="1">
        <v>1</v>
      </c>
      <c r="CX239" s="1">
        <v>0.18260000000000001</v>
      </c>
      <c r="CY239">
        <v>68</v>
      </c>
      <c r="CZ239">
        <v>38500</v>
      </c>
      <c r="DA239" s="1">
        <v>0.3896</v>
      </c>
      <c r="DB239">
        <v>1</v>
      </c>
      <c r="DC239" t="s">
        <v>158</v>
      </c>
    </row>
    <row r="240" spans="75:107" x14ac:dyDescent="0.25">
      <c r="BW240" t="s">
        <v>639</v>
      </c>
      <c r="BX240" t="s">
        <v>346</v>
      </c>
      <c r="BY240" t="s">
        <v>3</v>
      </c>
      <c r="BZ240" t="s">
        <v>42</v>
      </c>
      <c r="CA240" s="56">
        <v>46176</v>
      </c>
      <c r="CB240">
        <v>1</v>
      </c>
      <c r="CC240">
        <v>1</v>
      </c>
      <c r="CD240">
        <v>1</v>
      </c>
      <c r="CG240" s="79">
        <v>2.5243055555555557E-2</v>
      </c>
      <c r="CH240" s="79">
        <v>2.5243055555555557E-2</v>
      </c>
      <c r="CI240" s="79">
        <v>0.27792824074074074</v>
      </c>
      <c r="CJ240" s="79">
        <v>7.3819444444444438E-2</v>
      </c>
      <c r="CK240">
        <v>125</v>
      </c>
      <c r="CL240">
        <v>213</v>
      </c>
      <c r="CM240">
        <v>30</v>
      </c>
      <c r="CN240">
        <v>1.6</v>
      </c>
      <c r="CO240">
        <v>27983</v>
      </c>
      <c r="CP240" s="1">
        <v>0.24</v>
      </c>
      <c r="CR240" s="1"/>
      <c r="CW240" s="1"/>
      <c r="CX240" s="1"/>
      <c r="CY240">
        <v>50</v>
      </c>
      <c r="CZ240">
        <v>38500</v>
      </c>
      <c r="DA240" s="1"/>
      <c r="DB240">
        <v>2</v>
      </c>
      <c r="DC240" t="s">
        <v>209</v>
      </c>
    </row>
    <row r="241" spans="75:107" x14ac:dyDescent="0.25">
      <c r="BW241" t="s">
        <v>639</v>
      </c>
      <c r="BX241" t="s">
        <v>346</v>
      </c>
      <c r="BY241" t="s">
        <v>3</v>
      </c>
      <c r="BZ241" t="s">
        <v>42</v>
      </c>
      <c r="CA241" s="56">
        <v>46177</v>
      </c>
      <c r="CB241">
        <v>1</v>
      </c>
      <c r="CC241">
        <v>1</v>
      </c>
      <c r="CD241">
        <v>1</v>
      </c>
      <c r="CG241" s="79">
        <v>5.9490740740740745E-3</v>
      </c>
      <c r="CH241" s="79">
        <v>5.9490740740740745E-3</v>
      </c>
      <c r="CI241" s="79">
        <v>0.27440972222222221</v>
      </c>
      <c r="CJ241" s="79">
        <v>6.5000000000000002E-2</v>
      </c>
      <c r="CK241">
        <v>140</v>
      </c>
      <c r="CL241">
        <v>215</v>
      </c>
      <c r="CM241">
        <v>31</v>
      </c>
      <c r="CN241">
        <v>1.6451612900000001</v>
      </c>
      <c r="CO241">
        <v>30963</v>
      </c>
      <c r="CP241" s="1">
        <v>0.22140000000000001</v>
      </c>
      <c r="CR241" s="1"/>
      <c r="CW241" s="1"/>
      <c r="CX241" s="1"/>
      <c r="CY241">
        <v>78</v>
      </c>
      <c r="CZ241">
        <v>38500</v>
      </c>
      <c r="DA241" s="1"/>
      <c r="DB241">
        <v>3</v>
      </c>
      <c r="DC241" t="s">
        <v>159</v>
      </c>
    </row>
    <row r="242" spans="75:107" x14ac:dyDescent="0.25">
      <c r="BW242" t="s">
        <v>639</v>
      </c>
      <c r="BX242" t="s">
        <v>346</v>
      </c>
      <c r="BY242" t="s">
        <v>3</v>
      </c>
      <c r="BZ242" t="s">
        <v>96</v>
      </c>
      <c r="CA242" s="56">
        <v>46176</v>
      </c>
      <c r="CB242">
        <v>1</v>
      </c>
      <c r="CC242">
        <v>1</v>
      </c>
      <c r="CD242">
        <v>1</v>
      </c>
      <c r="CG242" s="79">
        <v>8.9120370370370378E-3</v>
      </c>
      <c r="CH242" s="79">
        <v>8.9120370370370378E-3</v>
      </c>
      <c r="CI242" s="79">
        <v>0.28523148148148147</v>
      </c>
      <c r="CJ242" s="79">
        <v>7.3645833333333327E-2</v>
      </c>
      <c r="CK242">
        <v>107</v>
      </c>
      <c r="CL242">
        <v>196</v>
      </c>
      <c r="CM242">
        <v>25</v>
      </c>
      <c r="CN242">
        <v>2.12</v>
      </c>
      <c r="CO242">
        <v>18253</v>
      </c>
      <c r="CP242" s="1">
        <v>0.2336</v>
      </c>
      <c r="CQ242">
        <v>1</v>
      </c>
      <c r="CR242" s="1">
        <v>0.04</v>
      </c>
      <c r="CS242">
        <v>460</v>
      </c>
      <c r="CT242">
        <v>460</v>
      </c>
      <c r="CU242">
        <v>460</v>
      </c>
      <c r="CV242">
        <v>460</v>
      </c>
      <c r="CW242" s="1">
        <v>1</v>
      </c>
      <c r="CX242" s="1">
        <v>0.25219999999999998</v>
      </c>
      <c r="CY242">
        <v>78</v>
      </c>
      <c r="CZ242">
        <v>38500</v>
      </c>
      <c r="DA242" s="1">
        <v>1.1900000000000001E-2</v>
      </c>
      <c r="DB242">
        <v>4</v>
      </c>
      <c r="DC242" t="s">
        <v>158</v>
      </c>
    </row>
    <row r="243" spans="75:107" x14ac:dyDescent="0.25">
      <c r="BW243" t="s">
        <v>639</v>
      </c>
      <c r="BX243" t="s">
        <v>346</v>
      </c>
      <c r="BY243" t="s">
        <v>3</v>
      </c>
      <c r="BZ243" t="s">
        <v>96</v>
      </c>
      <c r="CA243" s="56">
        <v>46177</v>
      </c>
      <c r="CB243">
        <v>1</v>
      </c>
      <c r="CC243">
        <v>1</v>
      </c>
      <c r="CG243" s="79">
        <v>3.7847222222222223E-3</v>
      </c>
      <c r="CH243" s="79">
        <v>3.7847222222222223E-3</v>
      </c>
      <c r="CI243" s="79">
        <v>0.2835185185185185</v>
      </c>
      <c r="CJ243" s="79">
        <v>6.3541666666666663E-2</v>
      </c>
      <c r="CK243">
        <v>100</v>
      </c>
      <c r="CL243">
        <v>199</v>
      </c>
      <c r="CM243">
        <v>13</v>
      </c>
      <c r="CN243">
        <v>1.846153846</v>
      </c>
      <c r="CO243">
        <v>34604</v>
      </c>
      <c r="CP243" s="1">
        <v>0.13</v>
      </c>
      <c r="CQ243">
        <v>1</v>
      </c>
      <c r="CR243" s="1">
        <v>7.6899999999999996E-2</v>
      </c>
      <c r="CS243">
        <v>400</v>
      </c>
      <c r="CT243">
        <v>400</v>
      </c>
      <c r="CW243" s="1"/>
      <c r="CX243" s="1"/>
      <c r="CY243">
        <v>92</v>
      </c>
      <c r="CZ243">
        <v>38500</v>
      </c>
      <c r="DA243" s="1"/>
      <c r="DB243">
        <v>5</v>
      </c>
      <c r="DC243" t="s">
        <v>209</v>
      </c>
    </row>
    <row r="244" spans="75:107" x14ac:dyDescent="0.25">
      <c r="BW244" t="s">
        <v>639</v>
      </c>
      <c r="BX244" t="s">
        <v>346</v>
      </c>
      <c r="BY244" t="s">
        <v>3</v>
      </c>
      <c r="BZ244" t="s">
        <v>68</v>
      </c>
      <c r="CA244" s="56">
        <v>46175</v>
      </c>
      <c r="CB244">
        <v>1</v>
      </c>
      <c r="CC244">
        <v>1</v>
      </c>
      <c r="CD244">
        <v>1</v>
      </c>
      <c r="CG244" s="79">
        <v>7.7083333333333335E-3</v>
      </c>
      <c r="CH244" s="79">
        <v>7.7083333333333335E-3</v>
      </c>
      <c r="CI244" s="79">
        <v>0.23613425925925927</v>
      </c>
      <c r="CJ244" s="79">
        <v>7.2465277777777781E-2</v>
      </c>
      <c r="CK244">
        <v>74</v>
      </c>
      <c r="CL244">
        <v>165</v>
      </c>
      <c r="CM244">
        <v>17</v>
      </c>
      <c r="CN244">
        <v>1.8235294120000001</v>
      </c>
      <c r="CO244">
        <v>18992</v>
      </c>
      <c r="CP244" s="1">
        <v>0.22969999999999999</v>
      </c>
      <c r="CQ244">
        <v>1</v>
      </c>
      <c r="CR244" s="1">
        <v>5.8799999999999998E-2</v>
      </c>
      <c r="CS244">
        <v>1867</v>
      </c>
      <c r="CT244">
        <v>1867</v>
      </c>
      <c r="CW244" s="1"/>
      <c r="CX244" s="1"/>
      <c r="CY244">
        <v>48</v>
      </c>
      <c r="CZ244">
        <v>72000</v>
      </c>
      <c r="DA244" s="1"/>
      <c r="DB244">
        <v>1</v>
      </c>
      <c r="DC244" t="s">
        <v>159</v>
      </c>
    </row>
    <row r="245" spans="75:107" x14ac:dyDescent="0.25">
      <c r="BW245" t="s">
        <v>639</v>
      </c>
      <c r="BX245" t="s">
        <v>346</v>
      </c>
      <c r="BY245" t="s">
        <v>3</v>
      </c>
      <c r="BZ245" t="s">
        <v>68</v>
      </c>
      <c r="CA245" s="56">
        <v>46178</v>
      </c>
      <c r="CB245">
        <v>1</v>
      </c>
      <c r="CC245">
        <v>1</v>
      </c>
      <c r="CD245">
        <v>1</v>
      </c>
      <c r="CG245" s="79">
        <v>9.8379629629629633E-3</v>
      </c>
      <c r="CH245" s="79">
        <v>9.8379629629629633E-3</v>
      </c>
      <c r="CI245" s="79">
        <v>0.12562499999999999</v>
      </c>
      <c r="CJ245" s="79">
        <v>4.7060185185185184E-2</v>
      </c>
      <c r="CK245">
        <v>32</v>
      </c>
      <c r="CL245">
        <v>70</v>
      </c>
      <c r="CM245">
        <v>4</v>
      </c>
      <c r="CN245">
        <v>1</v>
      </c>
      <c r="CO245">
        <v>12562</v>
      </c>
      <c r="CP245" s="1">
        <v>0.125</v>
      </c>
      <c r="CR245" s="1"/>
      <c r="CW245" s="1"/>
      <c r="CX245" s="1"/>
      <c r="CY245">
        <v>84</v>
      </c>
      <c r="CZ245">
        <v>72000</v>
      </c>
      <c r="DA245" s="1"/>
      <c r="DB245">
        <v>2</v>
      </c>
      <c r="DC245" t="s">
        <v>158</v>
      </c>
    </row>
    <row r="246" spans="75:107" x14ac:dyDescent="0.25">
      <c r="BW246" t="s">
        <v>639</v>
      </c>
      <c r="BX246" t="s">
        <v>346</v>
      </c>
      <c r="BY246" t="s">
        <v>3</v>
      </c>
      <c r="BZ246" t="s">
        <v>79</v>
      </c>
      <c r="CA246" s="56">
        <v>46174</v>
      </c>
      <c r="CB246">
        <v>1</v>
      </c>
      <c r="CC246">
        <v>1</v>
      </c>
      <c r="CD246">
        <v>1</v>
      </c>
      <c r="CG246" s="79">
        <v>1.3009259259259259E-2</v>
      </c>
      <c r="CH246" s="79">
        <v>1.3009259259259259E-2</v>
      </c>
      <c r="CI246" s="79">
        <v>0.10885416666666667</v>
      </c>
      <c r="CJ246" s="79">
        <v>5.7175925925925929E-2</v>
      </c>
      <c r="CK246">
        <v>60</v>
      </c>
      <c r="CL246">
        <v>129</v>
      </c>
      <c r="CM246">
        <v>25</v>
      </c>
      <c r="CN246">
        <v>2.04</v>
      </c>
      <c r="CO246">
        <v>18038</v>
      </c>
      <c r="CP246" s="1">
        <v>0.41670000000000001</v>
      </c>
      <c r="CQ246">
        <v>8</v>
      </c>
      <c r="CR246" s="1">
        <v>0.32</v>
      </c>
      <c r="CS246">
        <v>5039</v>
      </c>
      <c r="CT246">
        <v>630</v>
      </c>
      <c r="CW246" s="1"/>
      <c r="CX246" s="1"/>
      <c r="CY246">
        <v>74</v>
      </c>
      <c r="CZ246">
        <v>72000</v>
      </c>
      <c r="DA246" s="1"/>
      <c r="DB246">
        <v>3</v>
      </c>
      <c r="DC246" t="s">
        <v>209</v>
      </c>
    </row>
    <row r="247" spans="75:107" x14ac:dyDescent="0.25">
      <c r="BW247" t="s">
        <v>639</v>
      </c>
      <c r="BX247" t="s">
        <v>346</v>
      </c>
      <c r="BY247" t="s">
        <v>3</v>
      </c>
      <c r="BZ247" t="s">
        <v>79</v>
      </c>
      <c r="CA247" s="56">
        <v>46177</v>
      </c>
      <c r="CB247">
        <v>1</v>
      </c>
      <c r="CC247">
        <v>1</v>
      </c>
      <c r="CD247">
        <v>1</v>
      </c>
      <c r="CG247" s="79">
        <v>8.2754629629629636E-3</v>
      </c>
      <c r="CH247" s="79">
        <v>8.2754629629629636E-3</v>
      </c>
      <c r="CI247" s="79">
        <v>0.23835648148148147</v>
      </c>
      <c r="CJ247" s="79">
        <v>4.175925925925926E-2</v>
      </c>
      <c r="CK247">
        <v>88</v>
      </c>
      <c r="CL247">
        <v>207</v>
      </c>
      <c r="CM247">
        <v>11</v>
      </c>
      <c r="CN247">
        <v>1.5454545449999999</v>
      </c>
      <c r="CO247">
        <v>43982</v>
      </c>
      <c r="CP247" s="1">
        <v>0.125</v>
      </c>
      <c r="CR247" s="1"/>
      <c r="CW247" s="1"/>
      <c r="CX247" s="1"/>
      <c r="CY247">
        <v>78</v>
      </c>
      <c r="CZ247">
        <v>72000</v>
      </c>
      <c r="DA247" s="1"/>
      <c r="DB247">
        <v>4</v>
      </c>
      <c r="DC247" t="s">
        <v>159</v>
      </c>
    </row>
  </sheetData>
  <phoneticPr fontId="2" type="noConversion"/>
  <conditionalFormatting sqref="E3:E55">
    <cfRule type="containsText" dxfId="1" priority="1" operator="containsText" text="kenneth">
      <formula>NOT(ISERROR(SEARCH("kenneth",E3)))</formula>
    </cfRule>
  </conditionalFormatting>
  <conditionalFormatting sqref="R9:R57">
    <cfRule type="duplicateValues" dxfId="0" priority="53"/>
  </conditionalFormatting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87"/>
  <sheetViews>
    <sheetView topLeftCell="A466" workbookViewId="0">
      <selection activeCell="A469" sqref="A469:D471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70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42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87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77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89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93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59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45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100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94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63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56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56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49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48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48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47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44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44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44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43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43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42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41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40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40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39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38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34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34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34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33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29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28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27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27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27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27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26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26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25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24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21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21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19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16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16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16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16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14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14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12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12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12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12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11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11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10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9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9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9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9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9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9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9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8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70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49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87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77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89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93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100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94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63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56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49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48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48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47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44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44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44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43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43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42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41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40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38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34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34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33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29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28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27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27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27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27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26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26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25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24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21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21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19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16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16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12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12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12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10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9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9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9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8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6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70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49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87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77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89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47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44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44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40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33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26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25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12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63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49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29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26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21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12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100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94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43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34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28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24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16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9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48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48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41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34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27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16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10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6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43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42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38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27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27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21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9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6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70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49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87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42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89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100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94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63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49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48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48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47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44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44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43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43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42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41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40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38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34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34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33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29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28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27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27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27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26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26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25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24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21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21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16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16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12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12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10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9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9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6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6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5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5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4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4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4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4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4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70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49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87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42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56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100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94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34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28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16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6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4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4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48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48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43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41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34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27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16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10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6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5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5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4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47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44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44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33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26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25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12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63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49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40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29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26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21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12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9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42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38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27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21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9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4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4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3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3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3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70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49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87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42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77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100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94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63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49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48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48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47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44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44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43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42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41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40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38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34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34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33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29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28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27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27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26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26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25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21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21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16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16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12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12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10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9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9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6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6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5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5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4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4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4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4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3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3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3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3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3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70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49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87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42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77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4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6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33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26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21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9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3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100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4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44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12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9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26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47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38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27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44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25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21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12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43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27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34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48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10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41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16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48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29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63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4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5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34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94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28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3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3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1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1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1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1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42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40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49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16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70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49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87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77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44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9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26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49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4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577</v>
      </c>
      <c r="F482" t="s">
        <v>575</v>
      </c>
      <c r="G482" s="56">
        <v>45992</v>
      </c>
      <c r="H482">
        <v>5</v>
      </c>
      <c r="I482" t="s">
        <v>209</v>
      </c>
      <c r="J482" s="56">
        <v>46161</v>
      </c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33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26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21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9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3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100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4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38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27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44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25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2</v>
      </c>
      <c r="E498" t="s">
        <v>602</v>
      </c>
      <c r="F498" t="s">
        <v>575</v>
      </c>
      <c r="G498" s="56">
        <v>45511</v>
      </c>
      <c r="H498">
        <v>21</v>
      </c>
      <c r="I498" t="s">
        <v>159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1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48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43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27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34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48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10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41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16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29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16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63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4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5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94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40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1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28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3</v>
      </c>
      <c r="I519" t="s">
        <v>587</v>
      </c>
      <c r="J519" s="56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577</v>
      </c>
      <c r="F520" t="s">
        <v>575</v>
      </c>
      <c r="G520" s="56">
        <v>46084</v>
      </c>
      <c r="H520">
        <v>2</v>
      </c>
      <c r="I520" t="s">
        <v>587</v>
      </c>
      <c r="J520" s="56">
        <v>46172</v>
      </c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1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577</v>
      </c>
      <c r="F523" t="s">
        <v>575</v>
      </c>
      <c r="G523" s="56">
        <v>46141</v>
      </c>
      <c r="H523">
        <v>1</v>
      </c>
      <c r="I523" t="s">
        <v>587</v>
      </c>
      <c r="J523" s="56">
        <v>46172</v>
      </c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602</v>
      </c>
      <c r="F524" t="s">
        <v>575</v>
      </c>
      <c r="G524" s="56">
        <v>44886</v>
      </c>
      <c r="H524">
        <v>42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500</v>
      </c>
      <c r="F525" t="s">
        <v>575</v>
      </c>
      <c r="G525" s="56">
        <v>45800</v>
      </c>
      <c r="H525">
        <v>12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500</v>
      </c>
      <c r="F526" t="s">
        <v>575</v>
      </c>
      <c r="G526" s="56">
        <v>44733</v>
      </c>
      <c r="H526">
        <v>47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500</v>
      </c>
      <c r="F527" t="s">
        <v>575</v>
      </c>
      <c r="G527" s="56">
        <v>45789</v>
      </c>
      <c r="H527">
        <v>12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500</v>
      </c>
      <c r="F528" t="s">
        <v>575</v>
      </c>
      <c r="G528" s="56">
        <v>45141</v>
      </c>
      <c r="H528">
        <v>34</v>
      </c>
      <c r="I528" t="s">
        <v>500</v>
      </c>
      <c r="J528" s="56"/>
    </row>
    <row r="529" spans="1:10" x14ac:dyDescent="0.25">
      <c r="A529" t="s">
        <v>628</v>
      </c>
      <c r="B529" t="s">
        <v>219</v>
      </c>
      <c r="C529">
        <v>74122258</v>
      </c>
      <c r="D529" t="s">
        <v>6</v>
      </c>
      <c r="E529" t="s">
        <v>133</v>
      </c>
      <c r="F529" t="s">
        <v>575</v>
      </c>
      <c r="G529" s="56">
        <v>44022</v>
      </c>
      <c r="H529">
        <v>70</v>
      </c>
      <c r="I529" t="s">
        <v>209</v>
      </c>
      <c r="J529" s="56"/>
    </row>
    <row r="530" spans="1:10" x14ac:dyDescent="0.25">
      <c r="A530" t="s">
        <v>628</v>
      </c>
      <c r="B530" t="s">
        <v>248</v>
      </c>
      <c r="C530">
        <v>44265602</v>
      </c>
      <c r="D530" t="s">
        <v>2</v>
      </c>
      <c r="E530" t="s">
        <v>133</v>
      </c>
      <c r="F530" t="s">
        <v>575</v>
      </c>
      <c r="G530" s="56">
        <v>44673</v>
      </c>
      <c r="H530">
        <v>49</v>
      </c>
      <c r="I530" t="s">
        <v>159</v>
      </c>
      <c r="J530" s="56"/>
    </row>
    <row r="531" spans="1:10" x14ac:dyDescent="0.25">
      <c r="A531" t="s">
        <v>628</v>
      </c>
      <c r="B531" t="s">
        <v>226</v>
      </c>
      <c r="C531">
        <v>73049631</v>
      </c>
      <c r="D531" t="s">
        <v>3</v>
      </c>
      <c r="E531" t="s">
        <v>133</v>
      </c>
      <c r="F531" t="s">
        <v>575</v>
      </c>
      <c r="G531" s="56">
        <v>43506</v>
      </c>
      <c r="H531">
        <v>87</v>
      </c>
      <c r="I531" t="s">
        <v>209</v>
      </c>
      <c r="J531" s="56"/>
    </row>
    <row r="532" spans="1:10" x14ac:dyDescent="0.25">
      <c r="A532" t="s">
        <v>628</v>
      </c>
      <c r="B532" t="s">
        <v>222</v>
      </c>
      <c r="C532">
        <v>75000131</v>
      </c>
      <c r="D532" t="s">
        <v>125</v>
      </c>
      <c r="E532" t="s">
        <v>133</v>
      </c>
      <c r="F532" t="s">
        <v>575</v>
      </c>
      <c r="G532" s="56">
        <v>44109</v>
      </c>
      <c r="H532">
        <v>67</v>
      </c>
      <c r="I532" t="s">
        <v>159</v>
      </c>
      <c r="J532" s="56"/>
    </row>
    <row r="533" spans="1:10" x14ac:dyDescent="0.25">
      <c r="A533" t="s">
        <v>628</v>
      </c>
      <c r="B533" t="s">
        <v>214</v>
      </c>
      <c r="C533">
        <v>46872195</v>
      </c>
      <c r="D533" t="s">
        <v>7</v>
      </c>
      <c r="E533" t="s">
        <v>133</v>
      </c>
      <c r="F533" t="s">
        <v>575</v>
      </c>
      <c r="G533" s="56">
        <v>43805</v>
      </c>
      <c r="H533">
        <v>77</v>
      </c>
      <c r="I533" t="s">
        <v>158</v>
      </c>
      <c r="J533" s="56"/>
    </row>
    <row r="534" spans="1:10" x14ac:dyDescent="0.25">
      <c r="A534" t="s">
        <v>628</v>
      </c>
      <c r="B534" t="s">
        <v>23</v>
      </c>
      <c r="C534">
        <v>72413556</v>
      </c>
      <c r="D534" t="s">
        <v>604</v>
      </c>
      <c r="E534" t="s">
        <v>133</v>
      </c>
      <c r="F534" t="s">
        <v>575</v>
      </c>
      <c r="G534" s="56">
        <v>44109</v>
      </c>
      <c r="H534">
        <v>67</v>
      </c>
      <c r="I534" t="s">
        <v>209</v>
      </c>
      <c r="J534" s="56"/>
    </row>
    <row r="535" spans="1:10" x14ac:dyDescent="0.25">
      <c r="A535" t="s">
        <v>628</v>
      </c>
      <c r="B535" t="s">
        <v>59</v>
      </c>
      <c r="C535">
        <v>60870839</v>
      </c>
      <c r="D535" t="s">
        <v>3</v>
      </c>
      <c r="E535" t="s">
        <v>501</v>
      </c>
      <c r="F535" t="s">
        <v>575</v>
      </c>
      <c r="G535" s="56">
        <v>45344</v>
      </c>
      <c r="H535">
        <v>27</v>
      </c>
      <c r="I535" t="s">
        <v>629</v>
      </c>
      <c r="J535" s="56"/>
    </row>
    <row r="536" spans="1:10" x14ac:dyDescent="0.25">
      <c r="A536" t="s">
        <v>628</v>
      </c>
      <c r="B536" t="s">
        <v>60</v>
      </c>
      <c r="C536">
        <v>72839865</v>
      </c>
      <c r="D536" t="s">
        <v>3</v>
      </c>
      <c r="E536" t="s">
        <v>501</v>
      </c>
      <c r="F536" t="s">
        <v>575</v>
      </c>
      <c r="G536" s="56">
        <v>45854</v>
      </c>
      <c r="H536">
        <v>10</v>
      </c>
      <c r="I536" t="s">
        <v>629</v>
      </c>
      <c r="J536" s="56"/>
    </row>
    <row r="537" spans="1:10" x14ac:dyDescent="0.25">
      <c r="A537" t="s">
        <v>628</v>
      </c>
      <c r="B537" t="s">
        <v>79</v>
      </c>
      <c r="C537">
        <v>71262377</v>
      </c>
      <c r="D537" t="s">
        <v>3</v>
      </c>
      <c r="E537" t="s">
        <v>501</v>
      </c>
      <c r="F537" t="s">
        <v>575</v>
      </c>
      <c r="G537" s="56">
        <v>45145</v>
      </c>
      <c r="H537">
        <v>33</v>
      </c>
      <c r="I537" t="s">
        <v>629</v>
      </c>
      <c r="J537" s="56"/>
    </row>
    <row r="538" spans="1:10" x14ac:dyDescent="0.25">
      <c r="A538" t="s">
        <v>628</v>
      </c>
      <c r="B538" t="s">
        <v>68</v>
      </c>
      <c r="C538">
        <v>73257316</v>
      </c>
      <c r="D538" t="s">
        <v>3</v>
      </c>
      <c r="E538" t="s">
        <v>501</v>
      </c>
      <c r="F538" t="s">
        <v>575</v>
      </c>
      <c r="G538" s="56">
        <v>45363</v>
      </c>
      <c r="H538">
        <v>26</v>
      </c>
      <c r="I538" t="s">
        <v>629</v>
      </c>
      <c r="J538" s="56"/>
    </row>
    <row r="539" spans="1:10" x14ac:dyDescent="0.25">
      <c r="A539" t="s">
        <v>628</v>
      </c>
      <c r="B539" t="s">
        <v>97</v>
      </c>
      <c r="C539">
        <v>74602206</v>
      </c>
      <c r="D539" t="s">
        <v>6</v>
      </c>
      <c r="E539" t="s">
        <v>501</v>
      </c>
      <c r="F539" t="s">
        <v>575</v>
      </c>
      <c r="G539" s="56">
        <v>45884</v>
      </c>
      <c r="H539">
        <v>9</v>
      </c>
      <c r="I539" t="s">
        <v>209</v>
      </c>
      <c r="J539" s="56"/>
    </row>
    <row r="540" spans="1:10" x14ac:dyDescent="0.25">
      <c r="A540" t="s">
        <v>628</v>
      </c>
      <c r="B540" t="s">
        <v>105</v>
      </c>
      <c r="C540">
        <v>48344037</v>
      </c>
      <c r="D540" t="s">
        <v>6</v>
      </c>
      <c r="E540" t="s">
        <v>501</v>
      </c>
      <c r="F540" t="s">
        <v>575</v>
      </c>
      <c r="G540" s="56">
        <v>46027</v>
      </c>
      <c r="H540">
        <v>4</v>
      </c>
      <c r="I540" t="s">
        <v>209</v>
      </c>
      <c r="J540" s="56"/>
    </row>
    <row r="541" spans="1:10" x14ac:dyDescent="0.25">
      <c r="A541" t="s">
        <v>628</v>
      </c>
      <c r="B541" t="s">
        <v>31</v>
      </c>
      <c r="C541">
        <v>75882265</v>
      </c>
      <c r="D541" t="s">
        <v>6</v>
      </c>
      <c r="E541" t="s">
        <v>501</v>
      </c>
      <c r="F541" t="s">
        <v>575</v>
      </c>
      <c r="G541" s="56">
        <v>46141</v>
      </c>
      <c r="H541">
        <v>1</v>
      </c>
      <c r="I541" t="s">
        <v>209</v>
      </c>
      <c r="J541" s="56"/>
    </row>
    <row r="542" spans="1:10" x14ac:dyDescent="0.25">
      <c r="A542" t="s">
        <v>628</v>
      </c>
      <c r="B542" t="s">
        <v>35</v>
      </c>
      <c r="C542">
        <v>10491198</v>
      </c>
      <c r="D542" t="s">
        <v>6</v>
      </c>
      <c r="E542" t="s">
        <v>501</v>
      </c>
      <c r="F542" t="s">
        <v>575</v>
      </c>
      <c r="G542" s="56">
        <v>44746</v>
      </c>
      <c r="H542">
        <v>46</v>
      </c>
      <c r="I542" t="s">
        <v>209</v>
      </c>
      <c r="J542" s="56"/>
    </row>
    <row r="543" spans="1:10" x14ac:dyDescent="0.25">
      <c r="A543" t="s">
        <v>628</v>
      </c>
      <c r="B543" t="s">
        <v>11</v>
      </c>
      <c r="C543">
        <v>45139159</v>
      </c>
      <c r="D543" t="s">
        <v>6</v>
      </c>
      <c r="E543" t="s">
        <v>501</v>
      </c>
      <c r="F543" t="s">
        <v>575</v>
      </c>
      <c r="G543" s="56">
        <v>45369</v>
      </c>
      <c r="H543">
        <v>26</v>
      </c>
      <c r="I543" t="s">
        <v>209</v>
      </c>
      <c r="J543" s="56"/>
    </row>
    <row r="544" spans="1:10" x14ac:dyDescent="0.25">
      <c r="A544" t="s">
        <v>628</v>
      </c>
      <c r="B544" t="s">
        <v>34</v>
      </c>
      <c r="C544">
        <v>76824571</v>
      </c>
      <c r="D544" t="s">
        <v>6</v>
      </c>
      <c r="E544" t="s">
        <v>501</v>
      </c>
      <c r="F544" t="s">
        <v>575</v>
      </c>
      <c r="G544" s="56">
        <v>45173</v>
      </c>
      <c r="H544">
        <v>32</v>
      </c>
      <c r="I544" t="s">
        <v>209</v>
      </c>
      <c r="J544" s="56"/>
    </row>
    <row r="545" spans="1:10" x14ac:dyDescent="0.25">
      <c r="A545" t="s">
        <v>628</v>
      </c>
      <c r="B545" t="s">
        <v>19</v>
      </c>
      <c r="C545">
        <v>76656128</v>
      </c>
      <c r="D545" t="s">
        <v>6</v>
      </c>
      <c r="E545" t="s">
        <v>501</v>
      </c>
      <c r="F545" t="s">
        <v>575</v>
      </c>
      <c r="G545" s="56">
        <v>44671</v>
      </c>
      <c r="H545">
        <v>49</v>
      </c>
      <c r="I545" t="s">
        <v>209</v>
      </c>
      <c r="J545" s="56"/>
    </row>
    <row r="546" spans="1:10" x14ac:dyDescent="0.25">
      <c r="A546" t="s">
        <v>628</v>
      </c>
      <c r="B546" t="s">
        <v>38</v>
      </c>
      <c r="C546">
        <v>47411966</v>
      </c>
      <c r="D546" t="s">
        <v>6</v>
      </c>
      <c r="E546" t="s">
        <v>501</v>
      </c>
      <c r="F546" t="s">
        <v>575</v>
      </c>
      <c r="G546" s="56">
        <v>45800</v>
      </c>
      <c r="H546">
        <v>12</v>
      </c>
      <c r="I546" t="s">
        <v>209</v>
      </c>
      <c r="J546" s="56"/>
    </row>
    <row r="547" spans="1:10" x14ac:dyDescent="0.25">
      <c r="A547" t="s">
        <v>628</v>
      </c>
      <c r="B547" t="s">
        <v>493</v>
      </c>
      <c r="C547">
        <v>75026229</v>
      </c>
      <c r="D547" t="s">
        <v>3</v>
      </c>
      <c r="E547" t="s">
        <v>501</v>
      </c>
      <c r="F547" t="s">
        <v>575</v>
      </c>
      <c r="G547" s="56">
        <v>46052</v>
      </c>
      <c r="H547">
        <v>4</v>
      </c>
      <c r="I547" t="s">
        <v>209</v>
      </c>
      <c r="J547" s="56"/>
    </row>
    <row r="548" spans="1:10" x14ac:dyDescent="0.25">
      <c r="A548" t="s">
        <v>628</v>
      </c>
      <c r="B548" t="s">
        <v>32</v>
      </c>
      <c r="C548">
        <v>48584670</v>
      </c>
      <c r="D548" t="s">
        <v>3</v>
      </c>
      <c r="E548" t="s">
        <v>501</v>
      </c>
      <c r="F548" t="s">
        <v>575</v>
      </c>
      <c r="G548" s="56">
        <v>45526</v>
      </c>
      <c r="H548">
        <v>21</v>
      </c>
      <c r="I548" t="s">
        <v>209</v>
      </c>
      <c r="J548" s="56"/>
    </row>
    <row r="549" spans="1:10" x14ac:dyDescent="0.25">
      <c r="A549" t="s">
        <v>628</v>
      </c>
      <c r="B549" t="s">
        <v>22</v>
      </c>
      <c r="C549">
        <v>70551168</v>
      </c>
      <c r="D549" t="s">
        <v>3</v>
      </c>
      <c r="E549" t="s">
        <v>501</v>
      </c>
      <c r="F549" t="s">
        <v>575</v>
      </c>
      <c r="G549" s="56">
        <v>45295</v>
      </c>
      <c r="H549">
        <v>28</v>
      </c>
      <c r="I549" t="s">
        <v>209</v>
      </c>
      <c r="J549" s="56"/>
    </row>
    <row r="550" spans="1:10" x14ac:dyDescent="0.25">
      <c r="A550" t="s">
        <v>628</v>
      </c>
      <c r="B550" t="s">
        <v>42</v>
      </c>
      <c r="C550">
        <v>73725129</v>
      </c>
      <c r="D550" t="s">
        <v>3</v>
      </c>
      <c r="E550" t="s">
        <v>501</v>
      </c>
      <c r="F550" t="s">
        <v>575</v>
      </c>
      <c r="G550" s="56">
        <v>45398</v>
      </c>
      <c r="H550">
        <v>25</v>
      </c>
      <c r="I550" t="s">
        <v>209</v>
      </c>
      <c r="J550" s="56"/>
    </row>
    <row r="551" spans="1:10" x14ac:dyDescent="0.25">
      <c r="A551" t="s">
        <v>628</v>
      </c>
      <c r="B551" t="s">
        <v>96</v>
      </c>
      <c r="C551">
        <v>46793103</v>
      </c>
      <c r="D551" t="s">
        <v>3</v>
      </c>
      <c r="E551" t="s">
        <v>501</v>
      </c>
      <c r="F551" t="s">
        <v>575</v>
      </c>
      <c r="G551" s="56">
        <v>45882</v>
      </c>
      <c r="H551">
        <v>9</v>
      </c>
      <c r="I551" t="s">
        <v>209</v>
      </c>
      <c r="J551" s="56"/>
    </row>
    <row r="552" spans="1:10" x14ac:dyDescent="0.25">
      <c r="A552" t="s">
        <v>628</v>
      </c>
      <c r="B552" t="s">
        <v>85</v>
      </c>
      <c r="C552">
        <v>70477743</v>
      </c>
      <c r="D552" t="s">
        <v>3</v>
      </c>
      <c r="E552" t="s">
        <v>501</v>
      </c>
      <c r="F552" t="s">
        <v>575</v>
      </c>
      <c r="G552" s="56">
        <v>46055</v>
      </c>
      <c r="H552">
        <v>4</v>
      </c>
      <c r="I552" t="s">
        <v>209</v>
      </c>
      <c r="J552" s="56"/>
    </row>
    <row r="553" spans="1:10" x14ac:dyDescent="0.25">
      <c r="A553" t="s">
        <v>628</v>
      </c>
      <c r="B553" t="s">
        <v>58</v>
      </c>
      <c r="C553">
        <v>72519113</v>
      </c>
      <c r="D553" t="s">
        <v>3</v>
      </c>
      <c r="E553" t="s">
        <v>501</v>
      </c>
      <c r="F553" t="s">
        <v>575</v>
      </c>
      <c r="G553" s="56">
        <v>43119</v>
      </c>
      <c r="H553">
        <v>100</v>
      </c>
      <c r="I553" t="s">
        <v>209</v>
      </c>
      <c r="J553" s="56"/>
    </row>
    <row r="554" spans="1:10" x14ac:dyDescent="0.25">
      <c r="A554" t="s">
        <v>628</v>
      </c>
      <c r="B554" t="s">
        <v>76</v>
      </c>
      <c r="C554">
        <v>60914051</v>
      </c>
      <c r="D554" t="s">
        <v>2</v>
      </c>
      <c r="E554" t="s">
        <v>501</v>
      </c>
      <c r="F554" t="s">
        <v>575</v>
      </c>
      <c r="G554" s="56">
        <v>44817</v>
      </c>
      <c r="H554">
        <v>44</v>
      </c>
      <c r="I554" t="s">
        <v>159</v>
      </c>
      <c r="J554" s="56"/>
    </row>
    <row r="555" spans="1:10" x14ac:dyDescent="0.25">
      <c r="A555" t="s">
        <v>628</v>
      </c>
      <c r="B555" t="s">
        <v>65</v>
      </c>
      <c r="C555">
        <v>47659267</v>
      </c>
      <c r="D555" t="s">
        <v>2</v>
      </c>
      <c r="E555" t="s">
        <v>501</v>
      </c>
      <c r="F555" t="s">
        <v>575</v>
      </c>
      <c r="G555" s="56">
        <v>45019</v>
      </c>
      <c r="H555">
        <v>38</v>
      </c>
      <c r="I555" t="s">
        <v>159</v>
      </c>
      <c r="J555" s="56"/>
    </row>
    <row r="556" spans="1:10" x14ac:dyDescent="0.25">
      <c r="A556" t="s">
        <v>628</v>
      </c>
      <c r="B556" t="s">
        <v>13</v>
      </c>
      <c r="C556">
        <v>72512391</v>
      </c>
      <c r="D556" t="s">
        <v>2</v>
      </c>
      <c r="E556" t="s">
        <v>501</v>
      </c>
      <c r="F556" t="s">
        <v>575</v>
      </c>
      <c r="G556" s="56">
        <v>44809</v>
      </c>
      <c r="H556">
        <v>44</v>
      </c>
      <c r="I556" t="s">
        <v>159</v>
      </c>
      <c r="J556" s="56"/>
    </row>
    <row r="557" spans="1:10" x14ac:dyDescent="0.25">
      <c r="A557" t="s">
        <v>628</v>
      </c>
      <c r="B557" t="s">
        <v>25</v>
      </c>
      <c r="C557">
        <v>72373931</v>
      </c>
      <c r="D557" t="s">
        <v>2</v>
      </c>
      <c r="E557" t="s">
        <v>501</v>
      </c>
      <c r="F557" t="s">
        <v>575</v>
      </c>
      <c r="G557" s="56">
        <v>44818</v>
      </c>
      <c r="H557">
        <v>44</v>
      </c>
      <c r="I557" t="s">
        <v>159</v>
      </c>
      <c r="J557" s="56"/>
    </row>
    <row r="558" spans="1:10" x14ac:dyDescent="0.25">
      <c r="A558" t="s">
        <v>628</v>
      </c>
      <c r="B558" t="s">
        <v>81</v>
      </c>
      <c r="C558">
        <v>72716299</v>
      </c>
      <c r="D558" t="s">
        <v>2</v>
      </c>
      <c r="E558" t="s">
        <v>501</v>
      </c>
      <c r="F558" t="s">
        <v>575</v>
      </c>
      <c r="G558" s="56">
        <v>45511</v>
      </c>
      <c r="H558">
        <v>21</v>
      </c>
      <c r="I558" t="s">
        <v>159</v>
      </c>
      <c r="J558" s="56"/>
    </row>
    <row r="559" spans="1:10" x14ac:dyDescent="0.25">
      <c r="A559" t="s">
        <v>628</v>
      </c>
      <c r="B559" t="s">
        <v>10</v>
      </c>
      <c r="C559">
        <v>40980108</v>
      </c>
      <c r="D559" t="s">
        <v>2</v>
      </c>
      <c r="E559" t="s">
        <v>501</v>
      </c>
      <c r="F559" t="s">
        <v>575</v>
      </c>
      <c r="G559" s="56">
        <v>44704</v>
      </c>
      <c r="H559">
        <v>48</v>
      </c>
      <c r="I559" t="s">
        <v>159</v>
      </c>
      <c r="J559" s="56"/>
    </row>
    <row r="560" spans="1:10" x14ac:dyDescent="0.25">
      <c r="A560" t="s">
        <v>628</v>
      </c>
      <c r="B560" t="s">
        <v>24</v>
      </c>
      <c r="C560">
        <v>43614775</v>
      </c>
      <c r="D560" t="s">
        <v>2</v>
      </c>
      <c r="E560" t="s">
        <v>501</v>
      </c>
      <c r="F560" t="s">
        <v>575</v>
      </c>
      <c r="G560" s="56">
        <v>45334</v>
      </c>
      <c r="H560">
        <v>27</v>
      </c>
      <c r="I560" t="s">
        <v>159</v>
      </c>
      <c r="J560" s="56"/>
    </row>
    <row r="561" spans="1:10" x14ac:dyDescent="0.25">
      <c r="A561" t="s">
        <v>628</v>
      </c>
      <c r="B561" t="s">
        <v>15</v>
      </c>
      <c r="C561">
        <v>47587400</v>
      </c>
      <c r="D561" t="s">
        <v>2</v>
      </c>
      <c r="E561" t="s">
        <v>501</v>
      </c>
      <c r="F561" t="s">
        <v>575</v>
      </c>
      <c r="G561" s="56">
        <v>44733</v>
      </c>
      <c r="H561">
        <v>47</v>
      </c>
      <c r="I561" t="s">
        <v>159</v>
      </c>
      <c r="J561" s="56"/>
    </row>
    <row r="562" spans="1:10" x14ac:dyDescent="0.25">
      <c r="A562" t="s">
        <v>628</v>
      </c>
      <c r="B562" t="s">
        <v>109</v>
      </c>
      <c r="C562">
        <v>74626735</v>
      </c>
      <c r="D562" t="s">
        <v>125</v>
      </c>
      <c r="E562" t="s">
        <v>501</v>
      </c>
      <c r="F562" t="s">
        <v>575</v>
      </c>
      <c r="G562" s="56">
        <v>46024</v>
      </c>
      <c r="H562">
        <v>5</v>
      </c>
      <c r="I562" t="s">
        <v>159</v>
      </c>
      <c r="J562" s="56"/>
    </row>
    <row r="563" spans="1:10" x14ac:dyDescent="0.25">
      <c r="A563" t="s">
        <v>628</v>
      </c>
      <c r="B563" t="s">
        <v>41</v>
      </c>
      <c r="C563">
        <v>46461021</v>
      </c>
      <c r="D563" t="s">
        <v>125</v>
      </c>
      <c r="E563" t="s">
        <v>501</v>
      </c>
      <c r="F563" t="s">
        <v>575</v>
      </c>
      <c r="G563" s="56">
        <v>45302</v>
      </c>
      <c r="H563">
        <v>28</v>
      </c>
      <c r="I563" t="s">
        <v>159</v>
      </c>
      <c r="J563" s="56"/>
    </row>
    <row r="564" spans="1:10" x14ac:dyDescent="0.25">
      <c r="A564" t="s">
        <v>628</v>
      </c>
      <c r="B564" t="s">
        <v>12</v>
      </c>
      <c r="C564">
        <v>45262585</v>
      </c>
      <c r="D564" t="s">
        <v>125</v>
      </c>
      <c r="E564" t="s">
        <v>501</v>
      </c>
      <c r="F564" t="s">
        <v>575</v>
      </c>
      <c r="G564" s="56">
        <v>44868</v>
      </c>
      <c r="H564">
        <v>43</v>
      </c>
      <c r="I564" t="s">
        <v>159</v>
      </c>
      <c r="J564" s="56"/>
    </row>
    <row r="565" spans="1:10" x14ac:dyDescent="0.25">
      <c r="A565" t="s">
        <v>628</v>
      </c>
      <c r="B565" t="s">
        <v>80</v>
      </c>
      <c r="C565">
        <v>45084594</v>
      </c>
      <c r="D565" t="s">
        <v>125</v>
      </c>
      <c r="E565" t="s">
        <v>501</v>
      </c>
      <c r="F565" t="s">
        <v>575</v>
      </c>
      <c r="G565" s="56">
        <v>45281</v>
      </c>
      <c r="H565">
        <v>29</v>
      </c>
      <c r="I565" t="s">
        <v>159</v>
      </c>
      <c r="J565" s="56"/>
    </row>
    <row r="566" spans="1:10" x14ac:dyDescent="0.25">
      <c r="A566" t="s">
        <v>628</v>
      </c>
      <c r="B566" t="s">
        <v>564</v>
      </c>
      <c r="C566">
        <v>43184866</v>
      </c>
      <c r="D566" t="s">
        <v>125</v>
      </c>
      <c r="E566" t="s">
        <v>501</v>
      </c>
      <c r="F566" t="s">
        <v>575</v>
      </c>
      <c r="G566" s="56">
        <v>46083</v>
      </c>
      <c r="H566">
        <v>3</v>
      </c>
      <c r="I566" t="s">
        <v>159</v>
      </c>
      <c r="J566" s="56"/>
    </row>
    <row r="567" spans="1:10" x14ac:dyDescent="0.25">
      <c r="A567" t="s">
        <v>628</v>
      </c>
      <c r="B567" t="s">
        <v>72</v>
      </c>
      <c r="C567">
        <v>47690367</v>
      </c>
      <c r="D567" t="s">
        <v>125</v>
      </c>
      <c r="E567" t="s">
        <v>501</v>
      </c>
      <c r="F567" t="s">
        <v>575</v>
      </c>
      <c r="G567" s="56">
        <v>45691</v>
      </c>
      <c r="H567">
        <v>16</v>
      </c>
      <c r="I567" t="s">
        <v>159</v>
      </c>
      <c r="J567" s="56"/>
    </row>
    <row r="568" spans="1:10" x14ac:dyDescent="0.25">
      <c r="A568" t="s">
        <v>628</v>
      </c>
      <c r="B568" t="s">
        <v>75</v>
      </c>
      <c r="C568">
        <v>71264767</v>
      </c>
      <c r="D568" t="s">
        <v>125</v>
      </c>
      <c r="E568" t="s">
        <v>501</v>
      </c>
      <c r="F568" t="s">
        <v>575</v>
      </c>
      <c r="G568" s="56">
        <v>44714</v>
      </c>
      <c r="H568">
        <v>48</v>
      </c>
      <c r="I568" t="s">
        <v>159</v>
      </c>
      <c r="J568" s="56"/>
    </row>
    <row r="569" spans="1:10" x14ac:dyDescent="0.25">
      <c r="A569" t="s">
        <v>628</v>
      </c>
      <c r="B569" t="s">
        <v>495</v>
      </c>
      <c r="C569">
        <v>62792399</v>
      </c>
      <c r="D569" t="s">
        <v>125</v>
      </c>
      <c r="E569" t="s">
        <v>501</v>
      </c>
      <c r="F569" t="s">
        <v>575</v>
      </c>
      <c r="G569" s="56">
        <v>46052</v>
      </c>
      <c r="H569">
        <v>4</v>
      </c>
      <c r="I569" t="s">
        <v>159</v>
      </c>
      <c r="J569" s="56"/>
    </row>
    <row r="570" spans="1:10" x14ac:dyDescent="0.25">
      <c r="A570" t="s">
        <v>628</v>
      </c>
      <c r="B570" t="s">
        <v>61</v>
      </c>
      <c r="C570">
        <v>44001162</v>
      </c>
      <c r="D570" t="s">
        <v>125</v>
      </c>
      <c r="E570" t="s">
        <v>501</v>
      </c>
      <c r="F570" t="s">
        <v>575</v>
      </c>
      <c r="G570" s="56">
        <v>44907</v>
      </c>
      <c r="H570">
        <v>41</v>
      </c>
      <c r="I570" t="s">
        <v>159</v>
      </c>
      <c r="J570" s="56"/>
    </row>
    <row r="571" spans="1:10" x14ac:dyDescent="0.25">
      <c r="A571" t="s">
        <v>628</v>
      </c>
      <c r="B571" t="s">
        <v>26</v>
      </c>
      <c r="C571">
        <v>41005089</v>
      </c>
      <c r="D571" t="s">
        <v>125</v>
      </c>
      <c r="E571" t="s">
        <v>501</v>
      </c>
      <c r="F571" t="s">
        <v>575</v>
      </c>
      <c r="G571" s="56">
        <v>44257</v>
      </c>
      <c r="H571">
        <v>63</v>
      </c>
      <c r="I571" t="s">
        <v>159</v>
      </c>
      <c r="J571" s="56"/>
    </row>
    <row r="572" spans="1:10" x14ac:dyDescent="0.25">
      <c r="A572" t="s">
        <v>628</v>
      </c>
      <c r="B572" t="s">
        <v>77</v>
      </c>
      <c r="C572">
        <v>42251780</v>
      </c>
      <c r="D572" t="s">
        <v>7</v>
      </c>
      <c r="E572" t="s">
        <v>501</v>
      </c>
      <c r="F572" t="s">
        <v>575</v>
      </c>
      <c r="G572" s="56">
        <v>44838</v>
      </c>
      <c r="H572">
        <v>43</v>
      </c>
      <c r="I572" t="s">
        <v>158</v>
      </c>
      <c r="J572" s="56"/>
    </row>
    <row r="573" spans="1:10" x14ac:dyDescent="0.25">
      <c r="A573" t="s">
        <v>628</v>
      </c>
      <c r="B573" t="s">
        <v>51</v>
      </c>
      <c r="C573">
        <v>76089925</v>
      </c>
      <c r="D573" t="s">
        <v>7</v>
      </c>
      <c r="E573" t="s">
        <v>501</v>
      </c>
      <c r="F573" t="s">
        <v>575</v>
      </c>
      <c r="G573" s="56">
        <v>45678</v>
      </c>
      <c r="H573">
        <v>16</v>
      </c>
      <c r="I573" t="s">
        <v>158</v>
      </c>
      <c r="J573" s="56"/>
    </row>
    <row r="574" spans="1:10" x14ac:dyDescent="0.25">
      <c r="A574" t="s">
        <v>628</v>
      </c>
      <c r="B574" t="s">
        <v>49</v>
      </c>
      <c r="C574">
        <v>40702064</v>
      </c>
      <c r="D574" t="s">
        <v>7</v>
      </c>
      <c r="E574" t="s">
        <v>501</v>
      </c>
      <c r="F574" t="s">
        <v>575</v>
      </c>
      <c r="G574" s="56">
        <v>43313</v>
      </c>
      <c r="H574">
        <v>94</v>
      </c>
      <c r="I574" t="s">
        <v>158</v>
      </c>
      <c r="J574" s="56"/>
    </row>
    <row r="575" spans="1:10" x14ac:dyDescent="0.25">
      <c r="A575" t="s">
        <v>628</v>
      </c>
      <c r="B575" t="s">
        <v>50</v>
      </c>
      <c r="C575">
        <v>72733809</v>
      </c>
      <c r="D575" t="s">
        <v>7</v>
      </c>
      <c r="E575" t="s">
        <v>501</v>
      </c>
      <c r="F575" t="s">
        <v>575</v>
      </c>
      <c r="G575" s="56">
        <v>45789</v>
      </c>
      <c r="H575">
        <v>12</v>
      </c>
      <c r="I575" t="s">
        <v>158</v>
      </c>
      <c r="J575" s="56"/>
    </row>
    <row r="576" spans="1:10" x14ac:dyDescent="0.25">
      <c r="A576" t="s">
        <v>628</v>
      </c>
      <c r="B576" t="s">
        <v>600</v>
      </c>
      <c r="C576">
        <v>73623874</v>
      </c>
      <c r="D576" t="s">
        <v>7</v>
      </c>
      <c r="E576" t="s">
        <v>501</v>
      </c>
      <c r="F576" t="s">
        <v>575</v>
      </c>
      <c r="G576" s="56">
        <v>46139</v>
      </c>
      <c r="H576">
        <v>1</v>
      </c>
      <c r="I576" t="s">
        <v>158</v>
      </c>
      <c r="J576" s="56"/>
    </row>
    <row r="577" spans="1:10" x14ac:dyDescent="0.25">
      <c r="A577" t="s">
        <v>628</v>
      </c>
      <c r="B577" t="s">
        <v>549</v>
      </c>
      <c r="C577">
        <v>73233992</v>
      </c>
      <c r="D577" t="s">
        <v>7</v>
      </c>
      <c r="E577" t="s">
        <v>501</v>
      </c>
      <c r="F577" t="s">
        <v>575</v>
      </c>
      <c r="G577" s="56">
        <v>46065</v>
      </c>
      <c r="H577">
        <v>3</v>
      </c>
      <c r="I577" t="s">
        <v>158</v>
      </c>
      <c r="J577" s="56"/>
    </row>
    <row r="578" spans="1:10" x14ac:dyDescent="0.25">
      <c r="A578" t="s">
        <v>628</v>
      </c>
      <c r="B578" t="s">
        <v>55</v>
      </c>
      <c r="C578">
        <v>45119892</v>
      </c>
      <c r="D578" t="s">
        <v>7</v>
      </c>
      <c r="E578" t="s">
        <v>501</v>
      </c>
      <c r="F578" t="s">
        <v>575</v>
      </c>
      <c r="G578" s="56">
        <v>45813</v>
      </c>
      <c r="H578">
        <v>11</v>
      </c>
      <c r="I578" t="s">
        <v>158</v>
      </c>
      <c r="J578" s="56"/>
    </row>
    <row r="579" spans="1:10" x14ac:dyDescent="0.25">
      <c r="A579" t="s">
        <v>628</v>
      </c>
      <c r="B579" t="s">
        <v>599</v>
      </c>
      <c r="C579">
        <v>42227234</v>
      </c>
      <c r="D579" t="s">
        <v>7</v>
      </c>
      <c r="E579" t="s">
        <v>501</v>
      </c>
      <c r="F579" t="s">
        <v>575</v>
      </c>
      <c r="G579" s="56">
        <v>46121</v>
      </c>
      <c r="H579">
        <v>1</v>
      </c>
      <c r="I579" t="s">
        <v>158</v>
      </c>
      <c r="J579" s="56"/>
    </row>
    <row r="580" spans="1:10" x14ac:dyDescent="0.25">
      <c r="A580" t="s">
        <v>628</v>
      </c>
      <c r="B580" t="s">
        <v>37</v>
      </c>
      <c r="C580">
        <v>70988976</v>
      </c>
      <c r="D580" t="s">
        <v>7</v>
      </c>
      <c r="E580" t="s">
        <v>501</v>
      </c>
      <c r="F580" t="s">
        <v>575</v>
      </c>
      <c r="G580" s="56">
        <v>45112</v>
      </c>
      <c r="H580">
        <v>34</v>
      </c>
      <c r="I580" t="s">
        <v>158</v>
      </c>
      <c r="J580" s="56"/>
    </row>
    <row r="581" spans="1:10" x14ac:dyDescent="0.25">
      <c r="A581" t="s">
        <v>628</v>
      </c>
      <c r="B581" t="s">
        <v>78</v>
      </c>
      <c r="C581">
        <v>10706451</v>
      </c>
      <c r="D581" t="s">
        <v>7</v>
      </c>
      <c r="E581" t="s">
        <v>501</v>
      </c>
      <c r="F581" t="s">
        <v>575</v>
      </c>
      <c r="G581" s="56">
        <v>44943</v>
      </c>
      <c r="H581">
        <v>40</v>
      </c>
      <c r="I581" t="s">
        <v>158</v>
      </c>
      <c r="J581" s="56"/>
    </row>
    <row r="582" spans="1:10" x14ac:dyDescent="0.25">
      <c r="A582" t="s">
        <v>628</v>
      </c>
      <c r="B582" t="s">
        <v>73</v>
      </c>
      <c r="C582">
        <v>40318129</v>
      </c>
      <c r="D582" t="s">
        <v>7</v>
      </c>
      <c r="E582" t="s">
        <v>501</v>
      </c>
      <c r="F582" t="s">
        <v>575</v>
      </c>
      <c r="G582" s="56">
        <v>45141</v>
      </c>
      <c r="H582">
        <v>34</v>
      </c>
      <c r="I582" t="s">
        <v>158</v>
      </c>
      <c r="J582" s="56"/>
    </row>
    <row r="583" spans="1:10" x14ac:dyDescent="0.25">
      <c r="A583" t="s">
        <v>628</v>
      </c>
      <c r="B583" t="s">
        <v>630</v>
      </c>
      <c r="C583">
        <v>72505926</v>
      </c>
      <c r="D583" t="s">
        <v>7</v>
      </c>
      <c r="E583" t="s">
        <v>501</v>
      </c>
      <c r="F583" t="s">
        <v>575</v>
      </c>
      <c r="G583" s="56">
        <v>46175</v>
      </c>
      <c r="H583">
        <v>0</v>
      </c>
      <c r="I583" t="s">
        <v>158</v>
      </c>
      <c r="J583" s="56"/>
    </row>
    <row r="584" spans="1:10" x14ac:dyDescent="0.25">
      <c r="A584" t="s">
        <v>628</v>
      </c>
      <c r="B584" t="s">
        <v>29</v>
      </c>
      <c r="C584">
        <v>72758956</v>
      </c>
      <c r="D584" t="s">
        <v>500</v>
      </c>
      <c r="E584" t="s">
        <v>500</v>
      </c>
      <c r="F584" t="s">
        <v>575</v>
      </c>
      <c r="G584" s="56">
        <v>44685</v>
      </c>
      <c r="H584">
        <v>48</v>
      </c>
      <c r="I584" t="s">
        <v>500</v>
      </c>
      <c r="J584" s="56"/>
    </row>
    <row r="585" spans="1:10" x14ac:dyDescent="0.25">
      <c r="A585" t="s">
        <v>628</v>
      </c>
      <c r="B585" t="s">
        <v>18</v>
      </c>
      <c r="C585">
        <v>76214436</v>
      </c>
      <c r="D585" t="s">
        <v>500</v>
      </c>
      <c r="E585" t="s">
        <v>500</v>
      </c>
      <c r="F585" t="s">
        <v>575</v>
      </c>
      <c r="G585" s="56">
        <v>45132</v>
      </c>
      <c r="H585">
        <v>34</v>
      </c>
      <c r="I585" t="s">
        <v>500</v>
      </c>
      <c r="J585" s="56"/>
    </row>
    <row r="586" spans="1:10" x14ac:dyDescent="0.25">
      <c r="A586" t="s">
        <v>628</v>
      </c>
      <c r="B586" t="s">
        <v>48</v>
      </c>
      <c r="C586">
        <v>43307898</v>
      </c>
      <c r="D586" t="s">
        <v>500</v>
      </c>
      <c r="E586" t="s">
        <v>500</v>
      </c>
      <c r="F586" t="s">
        <v>575</v>
      </c>
      <c r="G586" s="56">
        <v>44746</v>
      </c>
      <c r="H586">
        <v>46</v>
      </c>
      <c r="I586" t="s">
        <v>500</v>
      </c>
      <c r="J586" s="56"/>
    </row>
    <row r="587" spans="1:10" x14ac:dyDescent="0.25">
      <c r="A587" t="s">
        <v>628</v>
      </c>
      <c r="B587" t="s">
        <v>17</v>
      </c>
      <c r="C587">
        <v>70876605</v>
      </c>
      <c r="D587" t="s">
        <v>602</v>
      </c>
      <c r="E587" t="s">
        <v>602</v>
      </c>
      <c r="F587" t="s">
        <v>575</v>
      </c>
      <c r="G587" s="56">
        <v>44886</v>
      </c>
      <c r="H587">
        <v>42</v>
      </c>
      <c r="I587" t="s">
        <v>602</v>
      </c>
      <c r="J587" s="5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14"/>
  <sheetViews>
    <sheetView topLeftCell="A207" zoomScale="85" zoomScaleNormal="85" workbookViewId="0">
      <selection activeCell="D213" sqref="D213:G213"/>
    </sheetView>
  </sheetViews>
  <sheetFormatPr baseColWidth="10" defaultRowHeight="15" x14ac:dyDescent="0.25"/>
  <cols>
    <col min="1" max="1" width="23.140625" bestFit="1" customWidth="1"/>
    <col min="4" max="4" width="14.28515625" bestFit="1" customWidth="1"/>
    <col min="7" max="7" width="16.42578125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12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12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12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12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12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28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1:7" x14ac:dyDescent="0.25">
      <c r="A209" s="51" t="str">
        <f>_xlfn.CONCAT(TablaMeta[[#This Row],[AÑO]],TablaMeta[[#This Row],[mes]],TablaMeta[[#This Row],[Equipo]])</f>
        <v>2026JUNIOSANDY</v>
      </c>
      <c r="B209" s="48" t="s">
        <v>208</v>
      </c>
      <c r="C209" s="26" t="s">
        <v>144</v>
      </c>
      <c r="D209" s="75" t="s">
        <v>3</v>
      </c>
      <c r="E209" s="9">
        <v>267159</v>
      </c>
      <c r="F209" s="9">
        <v>38500</v>
      </c>
      <c r="G209" s="39" t="s">
        <v>209</v>
      </c>
    </row>
    <row r="210" spans="1:7" x14ac:dyDescent="0.25">
      <c r="A210" s="51" t="str">
        <f>_xlfn.CONCAT(TablaMeta[[#This Row],[AÑO]],TablaMeta[[#This Row],[mes]],TablaMeta[[#This Row],[Equipo]])</f>
        <v>2026JUNIOSANDY</v>
      </c>
      <c r="B210" s="48" t="s">
        <v>208</v>
      </c>
      <c r="C210" s="26" t="s">
        <v>144</v>
      </c>
      <c r="D210" s="75" t="s">
        <v>3</v>
      </c>
      <c r="E210" s="9">
        <v>287738</v>
      </c>
      <c r="F210" s="9">
        <v>72000</v>
      </c>
      <c r="G210" s="39" t="s">
        <v>629</v>
      </c>
    </row>
    <row r="211" spans="1:7" x14ac:dyDescent="0.25">
      <c r="A211" s="51" t="str">
        <f>_xlfn.CONCAT(TablaMeta[[#This Row],[AÑO]],TablaMeta[[#This Row],[mes]],TablaMeta[[#This Row],[Equipo]])</f>
        <v>2026JUNIOKENNETH</v>
      </c>
      <c r="B211" s="48" t="s">
        <v>208</v>
      </c>
      <c r="C211" s="26" t="s">
        <v>144</v>
      </c>
      <c r="D211" s="75" t="s">
        <v>6</v>
      </c>
      <c r="E211" s="9">
        <v>320861</v>
      </c>
      <c r="F211" s="9">
        <v>40500</v>
      </c>
      <c r="G211" s="39" t="s">
        <v>209</v>
      </c>
    </row>
    <row r="212" spans="1:7" x14ac:dyDescent="0.25">
      <c r="A212" s="51" t="str">
        <f>_xlfn.CONCAT(TablaMeta[[#This Row],[AÑO]],TablaMeta[[#This Row],[mes]],TablaMeta[[#This Row],[Equipo]])</f>
        <v>2026JUNIOJOHAN</v>
      </c>
      <c r="B212" s="48" t="s">
        <v>208</v>
      </c>
      <c r="C212" s="26" t="s">
        <v>144</v>
      </c>
      <c r="D212" s="75" t="s">
        <v>125</v>
      </c>
      <c r="E212" s="9">
        <v>292300</v>
      </c>
      <c r="F212" s="9">
        <v>29500</v>
      </c>
      <c r="G212" s="39" t="s">
        <v>159</v>
      </c>
    </row>
    <row r="213" spans="1:7" x14ac:dyDescent="0.25">
      <c r="A213" s="51" t="str">
        <f>_xlfn.CONCAT(TablaMeta[[#This Row],[AÑO]],TablaMeta[[#This Row],[mes]],TablaMeta[[#This Row],[Equipo]])</f>
        <v>2026JUNIOJORGE</v>
      </c>
      <c r="B213" s="48" t="s">
        <v>208</v>
      </c>
      <c r="C213" s="26" t="s">
        <v>144</v>
      </c>
      <c r="D213" s="75" t="s">
        <v>2</v>
      </c>
      <c r="E213" s="9">
        <v>537194</v>
      </c>
      <c r="F213" s="9">
        <v>67500</v>
      </c>
      <c r="G213" s="39" t="s">
        <v>159</v>
      </c>
    </row>
    <row r="214" spans="1:7" x14ac:dyDescent="0.25">
      <c r="A214" s="52" t="str">
        <f>_xlfn.CONCAT(TablaMeta[[#This Row],[AÑO]],TablaMeta[[#This Row],[mes]],TablaMeta[[#This Row],[Equipo]])</f>
        <v>2026JUNIOLEONOR</v>
      </c>
      <c r="B214" s="49" t="s">
        <v>208</v>
      </c>
      <c r="C214" s="27" t="s">
        <v>144</v>
      </c>
      <c r="D214" s="76" t="s">
        <v>7</v>
      </c>
      <c r="E214" s="29">
        <v>143766</v>
      </c>
      <c r="F214" s="29">
        <v>12000</v>
      </c>
      <c r="G214" s="53" t="s">
        <v>158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JUNIO_2026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2026-06-09T13:03:10Z</dcterms:modified>
</cp:coreProperties>
</file>